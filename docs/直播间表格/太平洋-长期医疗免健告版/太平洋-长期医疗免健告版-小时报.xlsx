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7"/>
    <sheet name="2026.7" sheetId="5" r:id="rId8"/>
    <sheet name="2026.6" sheetId="6" r:id="rId9"/>
    <sheet name="早班小时报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0" i="2" a="true"/>
  <c r="I510" i="2" a="true"/>
  <c r="H786" i="3" a="true"/>
  <c r="I786" i="3" a="true"/>
  <c r="H27" i="7" a="true"/>
  <c r="I27" i="7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<sst xmlns="http://schemas.openxmlformats.org/spreadsheetml/2006/main" count="434" uniqueCount="434">
  <si>
    <t xml:space="preserve">  </t>
  </si>
  <si>
    <t xml:space="preserve"> </t>
  </si>
  <si>
    <t xml:space="preserve">主播</t>
  </si>
  <si>
    <t xml:space="preserve">时段</t>
  </si>
  <si>
    <t xml:space="preserve">总消耗</t>
  </si>
  <si>
    <t xml:space="preserve">画面消耗</t>
  </si>
  <si>
    <t xml:space="preserve">视频消耗</t>
  </si>
  <si>
    <t xml:space="preserve">视频02</t>
  </si>
  <si>
    <t xml:space="preserve">智擎版</t>
  </si>
  <si>
    <t xml:space="preserve">总保费</t>
  </si>
  <si>
    <t xml:space="preserve">撤单保费</t>
  </si>
  <si>
    <t xml:space="preserve">去撤单保费</t>
  </si>
  <si>
    <t xml:space="preserve">实收保费</t>
  </si>
  <si>
    <t xml:space="preserve">roi</t>
  </si>
  <si>
    <t xml:space="preserve">撤单后roi</t>
  </si>
  <si>
    <t xml:space="preserve">实收ROI</t>
  </si>
  <si>
    <t xml:space="preserve">单均</t>
  </si>
  <si>
    <t xml:space="preserve">保单成本</t>
  </si>
  <si>
    <t xml:space="preserve">AD成本</t>
  </si>
  <si>
    <t xml:space="preserve">支付率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</si>
  <si>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</si>
  <si>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</si>
  <si>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</si>
  <si>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</si>
  <si>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</si>
  <si>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</t>
  </si>
  <si>
    <t xml:space="preserve">待支付</t>
  </si>
  <si>
    <t xml:space="preserve">支付</t>
  </si>
  <si>
    <t xml:space="preserve">月缴保费</t>
  </si>
  <si>
    <t xml:space="preserve">年缴保费</t>
  </si>
  <si>
    <t xml:space="preserve">年缴占比</t>
  </si>
  <si>
    <t xml:space="preserve">投手</t>
  </si>
  <si>
    <t xml:space="preserve">场控</t>
  </si>
  <si>
    <t xml:space="preserve">保险支付数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</si>
  <si>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</si>
  <si>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</si>
  <si>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</si>
  <si>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</si>
  <si>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</si>
  <si>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翟晓丹</t>
  </si>
  <si>
    <t xml:space="preserve">06:00-07:00</t>
  </si>
  <si>
    <t xml:space="preserve">陈浏铭</t>
  </si>
  <si>
    <t xml:space="preserve">代文聪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</si>
  <si>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</si>
  <si>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</si>
  <si>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</si>
  <si>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</si>
  <si>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合计</t>
  </si>
  <si>
    <t xml:space="preserve">张雪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</si>
  <si>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</si>
  <si>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</si>
  <si>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</si>
  <si>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</si>
  <si>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郭智玲</t>
  </si>
  <si>
    <t xml:space="preserve">15:00-16:00</t>
  </si>
  <si>
    <t xml:space="preserve">16:00-17:00</t>
  </si>
  <si>
    <t xml:space="preserve">武周帅</t>
  </si>
  <si>
    <t xml:space="preserve">彭亚迁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</si>
  <si>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</si>
  <si>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</si>
  <si>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</si>
  <si>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</si>
  <si>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康梦帆</t>
  </si>
  <si>
    <t xml:space="preserve">21:00-22:00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</si>
  <si>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</si>
  <si>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</si>
  <si>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</si>
  <si>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</si>
  <si>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董云霄</t>
  </si>
  <si>
    <t xml:space="preserve">马晓晶</t>
  </si>
  <si>
    <t xml:space="preserve">闫小姗</t>
  </si>
  <si>
    <t xml:space="preserve">高琎梅</t>
  </si>
  <si>
    <t xml:space="preserve">李哲</t>
  </si>
  <si>
    <t xml:space="preserve">董云霄 </t>
  </si>
  <si>
    <t xml:space="preserve">内部群报单</t>
  </si>
  <si>
    <t xml:space="preserve">前一天退保</t>
  </si>
  <si>
    <t xml:space="preserve">复制这一列</t>
  </si>
  <si>
    <t xml:space="preserve">当天成交</t>
  </si>
  <si>
    <t xml:space="preserve">早班做表核对主播排班表，小时报、统计表、主播排班表时间数据要一致</t>
  </si>
  <si>
    <t xml:space="preserve">当天总退保</t>
  </si>
  <si>
    <t xml:space="preserve">凌晨2点汇总</t>
  </si>
  <si>
    <t xml:space="preserve"> </t>
  </si>
  <si>
    <t xml:space="preserve">主播</t>
  </si>
  <si>
    <t xml:space="preserve">时段</t>
  </si>
  <si>
    <t xml:space="preserve">总消耗</t>
  </si>
  <si>
    <t xml:space="preserve">画面消耗</t>
  </si>
  <si>
    <t xml:space="preserve">视频消耗</t>
  </si>
  <si>
    <t xml:space="preserve">视频02</t>
  </si>
  <si>
    <t xml:space="preserve">智擎版</t>
  </si>
  <si>
    <t xml:space="preserve">总保费</t>
  </si>
  <si>
    <t xml:space="preserve">撤单保费</t>
  </si>
  <si>
    <t xml:space="preserve">去撤单保费</t>
  </si>
  <si>
    <t xml:space="preserve">实收保费</t>
  </si>
  <si>
    <t xml:space="preserve">roi</t>
  </si>
  <si>
    <t xml:space="preserve">撤单后roi</t>
  </si>
  <si>
    <t xml:space="preserve">实收ROI</t>
  </si>
  <si>
    <t xml:space="preserve">单均</t>
  </si>
  <si>
    <t xml:space="preserve">保单成本</t>
  </si>
  <si>
    <t xml:space="preserve">AD成本</t>
  </si>
  <si>
    <t xml:space="preserve">支付率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</si>
  <si>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</si>
  <si>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</si>
  <si>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</si>
  <si>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</si>
  <si>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</si>
  <si>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</t>
  </si>
  <si>
    <t xml:space="preserve">待支付</t>
  </si>
  <si>
    <t xml:space="preserve">支付</t>
  </si>
  <si>
    <t xml:space="preserve">月缴保费</t>
  </si>
  <si>
    <t xml:space="preserve">年缴保费</t>
  </si>
  <si>
    <t xml:space="preserve">年缴占比</t>
  </si>
  <si>
    <t xml:space="preserve">投手</t>
  </si>
  <si>
    <t xml:space="preserve">场控</t>
  </si>
  <si>
    <t xml:space="preserve">保险支付数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</si>
  <si>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</si>
  <si>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</si>
  <si>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</si>
  <si>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</si>
  <si>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</si>
  <si>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董云霄</t>
  </si>
  <si>
    <t xml:space="preserve">06:00-07:00</t>
  </si>
  <si>
    <t xml:space="preserve">陈浏铭</t>
  </si>
  <si>
    <t xml:space="preserve">代文聪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</si>
  <si>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</si>
  <si>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</si>
  <si>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</si>
  <si>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</si>
  <si>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合计</t>
  </si>
  <si>
    <t xml:space="preserve">张雪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</si>
  <si>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</si>
  <si>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</si>
  <si>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</si>
  <si>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</si>
  <si>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彭亚迁</t>
  </si>
  <si>
    <t xml:space="preserve">15:00-16:00</t>
  </si>
  <si>
    <t xml:space="preserve">16:00-17:00</t>
  </si>
  <si>
    <t xml:space="preserve">林智豪</t>
  </si>
  <si>
    <t xml:space="preserve">武周帅</t>
  </si>
  <si>
    <t xml:space="preserve">17:00-18:00</t>
  </si>
  <si>
    <t xml:space="preserve">康梦帆</t>
  </si>
  <si>
    <t xml:space="preserve">18:00-19:00</t>
  </si>
  <si>
    <t xml:space="preserve">19:00-20:00</t>
  </si>
  <si>
    <t xml:space="preserve">20:00-21:00</t>
  </si>
  <si>
    <t xml:space="preserve">翟晓丹</t>
  </si>
  <si>
    <t xml:space="preserve">21:00-22:00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</si>
  <si>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</si>
  <si>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</si>
  <si>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</si>
  <si>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</si>
  <si>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李哲</t>
  </si>
  <si>
    <t xml:space="preserve">高琎梅</t>
  </si>
  <si>
    <t xml:space="preserve">彭亚迁 </t>
  </si>
  <si>
    <t xml:space="preserve">郭斯元</t>
  </si>
  <si>
    <t xml:space="preserve">闫小姗</t>
  </si>
  <si>
    <t xml:space="preserve">董柯言</t>
  </si>
  <si>
    <t xml:space="preserve">马晓晶 </t>
  </si>
  <si>
    <t xml:space="preserve">内部群报单</t>
  </si>
  <si>
    <t xml:space="preserve">前一天退保</t>
  </si>
  <si>
    <t xml:space="preserve">复制这一列</t>
  </si>
  <si>
    <t xml:space="preserve">当天成交</t>
  </si>
  <si>
    <t xml:space="preserve">当天总退保</t>
  </si>
  <si>
    <t xml:space="preserve">凌晨2点汇总</t>
  </si>
  <si>
    <t xml:space="preserve"> </t>
  </si>
  <si>
    <t xml:space="preserve">主播</t>
  </si>
  <si>
    <t xml:space="preserve">时段</t>
  </si>
  <si>
    <t xml:space="preserve">总消耗</t>
  </si>
  <si>
    <t xml:space="preserve">画面消耗</t>
  </si>
  <si>
    <t xml:space="preserve">视频消耗</t>
  </si>
  <si>
    <t xml:space="preserve">视频02</t>
  </si>
  <si>
    <t xml:space="preserve">智擎版</t>
  </si>
  <si>
    <t xml:space="preserve">总保费</t>
  </si>
  <si>
    <t xml:space="preserve">撤单保费</t>
  </si>
  <si>
    <t xml:space="preserve">去撤单保费</t>
  </si>
  <si>
    <t xml:space="preserve">实收保费</t>
  </si>
  <si>
    <t xml:space="preserve">roi</t>
  </si>
  <si>
    <t xml:space="preserve">撤单后roi</t>
  </si>
  <si>
    <t xml:space="preserve">实收ROI</t>
  </si>
  <si>
    <t xml:space="preserve">单均</t>
  </si>
  <si>
    <t xml:space="preserve">保单成本</t>
  </si>
  <si>
    <t xml:space="preserve">AD成本</t>
  </si>
  <si>
    <t xml:space="preserve">支付率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</si>
  <si>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</si>
  <si>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</si>
  <si>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</si>
  <si>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</si>
  <si>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</si>
  <si>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</t>
  </si>
  <si>
    <t xml:space="preserve">待支付</t>
  </si>
  <si>
    <t xml:space="preserve">支付</t>
  </si>
  <si>
    <t xml:space="preserve">月缴保费</t>
  </si>
  <si>
    <t xml:space="preserve">年缴保费</t>
  </si>
  <si>
    <t xml:space="preserve">年缴占比</t>
  </si>
  <si>
    <t xml:space="preserve">投手</t>
  </si>
  <si>
    <t xml:space="preserve">场控</t>
  </si>
  <si>
    <t xml:space="preserve">保险支付数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</si>
  <si>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</si>
  <si>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</si>
  <si>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</si>
  <si>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</si>
  <si>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</si>
  <si>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董云霄</t>
  </si>
  <si>
    <t xml:space="preserve">14:00-15:00</t>
  </si>
  <si>
    <t xml:space="preserve">陈浏铭</t>
  </si>
  <si>
    <t xml:space="preserve">武周帅</t>
  </si>
  <si>
    <t xml:space="preserve">15:00-16:00</t>
  </si>
  <si>
    <t xml:space="preserve">16:00-17:00</t>
  </si>
  <si>
    <t xml:space="preserve">17:00-18:00</t>
  </si>
  <si>
    <t xml:space="preserve">18:00-19:00</t>
  </si>
  <si>
    <t xml:space="preserve">合计</t>
  </si>
  <si>
    <t xml:space="preserve">翟晓丹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</si>
  <si>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</si>
  <si>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</si>
  <si>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</si>
  <si>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</si>
  <si>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</si>
  <si>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任子硕</t>
  </si>
  <si>
    <t xml:space="preserve">09:00-10:00</t>
  </si>
  <si>
    <t xml:space="preserve">李哲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</si>
  <si>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</si>
  <si>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</si>
  <si>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</si>
  <si>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</si>
  <si>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卢美玲</t>
  </si>
  <si>
    <t xml:space="preserve">索茜霖</t>
  </si>
  <si>
    <t xml:space="preserve">康梦帆</t>
  </si>
  <si>
    <t xml:space="preserve">张雪</t>
  </si>
  <si>
    <t xml:space="preserve">刘艺聪 </t>
  </si>
  <si>
    <t xml:space="preserve">魏迪</t>
  </si>
  <si>
    <t xml:space="preserve">董柯言</t>
  </si>
  <si>
    <t xml:space="preserve">侯思蕊</t>
  </si>
  <si>
    <t xml:space="preserve">彭亚迁</t>
  </si>
  <si>
    <t xml:space="preserve">索茜霖 </t>
  </si>
  <si>
    <t xml:space="preserve">张滋怡</t>
  </si>
  <si>
    <t xml:space="preserve">刘艺聪</t>
  </si>
  <si>
    <t xml:space="preserve">06:00-07:00</t>
  </si>
  <si>
    <t xml:space="preserve">07:00-08:00</t>
  </si>
  <si>
    <t xml:space="preserve">08:00-09:00</t>
  </si>
  <si>
    <t xml:space="preserve">24:00-01:00</t>
  </si>
  <si>
    <t xml:space="preserve">01:00-02:00</t>
  </si>
  <si>
    <t xml:space="preserve">高琎梅</t>
  </si>
  <si>
    <t xml:space="preserve">代文聪</t>
  </si>
  <si>
    <t xml:space="preserve">前一天退保</t>
  </si>
  <si>
    <t xml:space="preserve">复制这一列</t>
  </si>
  <si>
    <t xml:space="preserve">当天总退保</t>
  </si>
  <si>
    <t xml:space="preserve">当天成交</t>
  </si>
  <si>
    <t xml:space="preserve">凌晨2点</t>
  </si>
  <si>
    <t xml:space="preserve"> </t>
  </si>
  <si>
    <t xml:space="preserve">主播</t>
  </si>
  <si>
    <t xml:space="preserve">时段</t>
  </si>
  <si>
    <t xml:space="preserve">总消耗</t>
  </si>
  <si>
    <t xml:space="preserve">画面消耗</t>
  </si>
  <si>
    <t xml:space="preserve">视频消耗</t>
  </si>
  <si>
    <t xml:space="preserve">总保费</t>
  </si>
  <si>
    <t xml:space="preserve">撤单保费</t>
  </si>
  <si>
    <t xml:space="preserve">去撤单保费</t>
  </si>
  <si>
    <t xml:space="preserve">实收保费</t>
  </si>
  <si>
    <t xml:space="preserve">roi</t>
  </si>
  <si>
    <t xml:space="preserve">撤单后roi</t>
  </si>
  <si>
    <t xml:space="preserve">实收ROI</t>
  </si>
  <si>
    <t xml:space="preserve">单均</t>
  </si>
  <si>
    <t xml:space="preserve">保单成本</t>
  </si>
  <si>
    <t xml:space="preserve">AD成本</t>
  </si>
  <si>
    <t xml:space="preserve">支付率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</si>
  <si>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</si>
  <si>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</si>
  <si>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</si>
  <si>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</si>
  <si>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</si>
  <si>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</t>
  </si>
  <si>
    <t xml:space="preserve">待支付</t>
  </si>
  <si>
    <t xml:space="preserve">支付</t>
  </si>
  <si>
    <t xml:space="preserve">月缴保费</t>
  </si>
  <si>
    <t xml:space="preserve">年缴保费</t>
  </si>
  <si>
    <t xml:space="preserve">年缴占比</t>
  </si>
  <si>
    <t xml:space="preserve">投手</t>
  </si>
  <si>
    <t xml:space="preserve">场控</t>
  </si>
  <si>
    <t xml:space="preserve">保险支付数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</si>
  <si>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</si>
  <si>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</si>
  <si>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</si>
  <si>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</si>
  <si>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</si>
  <si>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董云霄</t>
  </si>
  <si>
    <t xml:space="preserve">19:00-20:00</t>
  </si>
  <si>
    <t xml:space="preserve">陈浏铭</t>
  </si>
  <si>
    <t xml:space="preserve">郭斯元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</si>
  <si>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</si>
  <si>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</si>
  <si>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</si>
  <si>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</si>
  <si>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合计</t>
  </si>
  <si>
    <t xml:space="preserve">任子硕</t>
  </si>
  <si>
    <t xml:space="preserve">14:00-15:00</t>
  </si>
  <si>
    <t xml:space="preserve">15:00-16:00</t>
  </si>
  <si>
    <t xml:space="preserve">16:00-17:00</t>
  </si>
  <si>
    <t xml:space="preserve">17:00-18:00</t>
  </si>
  <si>
    <t xml:space="preserve">18:00-19:00</t>
  </si>
  <si>
    <t xml:space="preserve">翟晓丹</t>
  </si>
  <si>
    <t xml:space="preserve">武周帅</t>
  </si>
  <si>
    <t xml:space="preserve">家庭单</t>
  </si>
  <si>
    <t xml:space="preserve">前一天退保</t>
  </si>
  <si>
    <t xml:space="preserve">董</t>
  </si>
  <si>
    <t xml:space="preserve">当天总退保</t>
  </si>
  <si>
    <t xml:space="preserve">当天成交</t>
  </si>
  <si>
    <t xml:space="preserve">翟</t>
  </si>
  <si>
    <t xml:space="preserve">前一天数据</t>
  </si>
  <si>
    <t xml:space="preserve"> </t>
  </si>
  <si>
    <t xml:space="preserve">主播</t>
  </si>
  <si>
    <t xml:space="preserve">时段</t>
  </si>
  <si>
    <t xml:space="preserve">总消耗</t>
  </si>
  <si>
    <t xml:space="preserve">画面消耗</t>
  </si>
  <si>
    <t xml:space="preserve">视频消耗</t>
  </si>
  <si>
    <t xml:space="preserve">总保费</t>
  </si>
  <si>
    <t xml:space="preserve">撤单保费</t>
  </si>
  <si>
    <t xml:space="preserve">去撤单保费</t>
  </si>
  <si>
    <t xml:space="preserve">实收保费</t>
  </si>
  <si>
    <t xml:space="preserve">roi</t>
  </si>
  <si>
    <t xml:space="preserve">撤单后roi</t>
  </si>
  <si>
    <t xml:space="preserve">实收ROI</t>
  </si>
  <si>
    <t xml:space="preserve">单均</t>
  </si>
  <si>
    <t xml:space="preserve">保单成本</t>
  </si>
  <si>
    <t xml:space="preserve">AD成本</t>
  </si>
  <si>
    <t xml:space="preserve">支付率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</si>
  <si>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</si>
  <si>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</si>
  <si>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</si>
  <si>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</si>
  <si>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</si>
  <si>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</t>
  </si>
  <si>
    <t xml:space="preserve">待支付</t>
  </si>
  <si>
    <t xml:space="preserve">支付</t>
  </si>
  <si>
    <t xml:space="preserve">月缴保费</t>
  </si>
  <si>
    <t xml:space="preserve">年缴保费</t>
  </si>
  <si>
    <t xml:space="preserve">年缴占比</t>
  </si>
  <si>
    <t xml:space="preserve">投手</t>
  </si>
  <si>
    <t xml:space="preserve">场控</t>
  </si>
  <si>
    <t xml:space="preserve">保险支付数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</si>
  <si>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</si>
  <si>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</si>
  <si>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</si>
  <si>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</si>
  <si>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</si>
  <si>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董云霄</t>
  </si>
  <si>
    <t xml:space="preserve">20:00-21:00</t>
  </si>
  <si>
    <t xml:space="preserve">陈浏铭</t>
  </si>
  <si>
    <t xml:space="preserve">任子硕</t>
  </si>
  <si>
    <t xml:space="preserve">21:00-22:00</t>
  </si>
  <si>
    <t xml:space="preserve">22:00-23:00</t>
  </si>
  <si>
    <t xml:space="preserve">23:00-24:00</t>
  </si>
  <si>
    <t xml:space="preserve">合计</t>
  </si>
  <si>
    <t xml:space="preserve">魏迪</t>
  </si>
  <si>
    <t xml:space="preserve">22:00-22:30</t>
  </si>
  <si>
    <t xml:space="preserve">郝泽晗</t>
  </si>
  <si>
    <t xml:space="preserve">郭斯元</t>
  </si>
  <si>
    <t xml:space="preserve">19:00-20:00</t>
  </si>
  <si>
    <t xml:space="preserve">前一天退保</t>
  </si>
  <si>
    <t xml:space="preserve">当天总退保</t>
  </si>
  <si>
    <t xml:space="preserve">当天成交</t>
  </si>
  <si>
    <t xml:space="preserve"> </t>
  </si>
  <si>
    <t xml:space="preserve">主播</t>
  </si>
  <si>
    <t xml:space="preserve">时段</t>
  </si>
  <si>
    <t xml:space="preserve">总消耗</t>
  </si>
  <si>
    <t xml:space="preserve">画面消耗</t>
  </si>
  <si>
    <t xml:space="preserve">视频消耗</t>
  </si>
  <si>
    <t xml:space="preserve">视频02</t>
  </si>
  <si>
    <t xml:space="preserve">智擎版</t>
  </si>
  <si>
    <t xml:space="preserve">总保费</t>
  </si>
  <si>
    <t xml:space="preserve">撤单保费</t>
  </si>
  <si>
    <t xml:space="preserve">去撤单保费</t>
  </si>
  <si>
    <t xml:space="preserve">实收保费</t>
  </si>
  <si>
    <t xml:space="preserve">roi</t>
  </si>
  <si>
    <t xml:space="preserve">撤单后roi</t>
  </si>
  <si>
    <t xml:space="preserve">实收ROI</t>
  </si>
  <si>
    <t xml:space="preserve">单均</t>
  </si>
  <si>
    <t xml:space="preserve">保单成本</t>
  </si>
  <si>
    <t xml:space="preserve">AD成本</t>
  </si>
  <si>
    <t xml:space="preserve">支付率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</si>
  <si>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</si>
  <si>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</si>
  <si>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</si>
  <si>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</si>
  <si>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</si>
  <si>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</t>
  </si>
  <si>
    <t xml:space="preserve">待支付</t>
  </si>
  <si>
    <t xml:space="preserve">支付</t>
  </si>
  <si>
    <t xml:space="preserve">月缴保费</t>
  </si>
  <si>
    <t xml:space="preserve">年缴保费</t>
  </si>
  <si>
    <t xml:space="preserve">年缴占比</t>
  </si>
  <si>
    <t xml:space="preserve">投手</t>
  </si>
  <si>
    <t xml:space="preserve">场控</t>
  </si>
  <si>
    <t xml:space="preserve">保险支付数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</si>
  <si>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</si>
  <si>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</si>
  <si>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</si>
  <si>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</si>
  <si>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</si>
  <si>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董云霄</t>
  </si>
  <si>
    <t xml:space="preserve">06:00-07:00</t>
  </si>
  <si>
    <t xml:space="preserve">陈浏铭</t>
  </si>
  <si>
    <t xml:space="preserve">闫小姗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</si>
  <si>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</si>
  <si>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</si>
  <si>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</si>
  <si>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</si>
  <si>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合计</t>
  </si>
  <si>
    <t xml:space="preserve">翟晓丹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</si>
  <si>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</si>
  <si>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</si>
  <si>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</si>
  <si>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</si>
  <si>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</si>
  <si>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康梦帆</t>
  </si>
  <si>
    <t xml:space="preserve">16:00-17:00</t>
  </si>
  <si>
    <t xml:space="preserve">武周帅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</si>
  <si>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</si>
  <si>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</si>
  <si>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</si>
  <si>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</si>
  <si>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张雪</t>
  </si>
  <si>
    <t xml:space="preserve">21:00-22:00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</si>
  <si>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</si>
  <si>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</si>
  <si>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</si>
  <si>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</si>
  <si>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内部群报单</t>
  </si>
  <si>
    <t xml:space="preserve">前一天退保</t>
  </si>
  <si>
    <t xml:space="preserve">复制这一列</t>
  </si>
  <si>
    <t xml:space="preserve">当天成交</t>
  </si>
  <si>
    <t xml:space="preserve">当天总退保</t>
  </si>
  <si>
    <t xml:space="preserve">凌晨2点汇总</t>
  </si>
  <si>
    <t xml:space="preserve">核对整月消耗</t>
  </si>
  <si>
    <t xml:space="preserve">当月消耗</t>
  </si>
  <si>
    <t xml:space="preserve">上月1-2点消耗</t>
  </si>
  <si>
    <t xml:space="preserve">下月1-2点消耗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</si>
</sst>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3">
    <numFmt numFmtId="164" formatCode="0.00_ "/>
    <numFmt numFmtId="165" formatCode="0.00"/>
    <numFmt numFmtId="166" formatCode="#,##0.00"/>
    <numFmt numFmtId="167" formatCode="yyyy/m/d"/>
    <numFmt numFmtId="168" formatCode="0.00_);(0.00)"/>
    <numFmt numFmtId="169" formatCode="0.00_);[Red](0.00)"/>
    <numFmt numFmtId="170" formatCode="#,##0.00_);[Red](#,##0.00)"/>
    <numFmt numFmtId="171" formatCode="0.00%"/>
    <numFmt numFmtId="172" formatCode="0_ "/>
    <numFmt numFmtId="173" formatCode="#,##0"/>
    <numFmt numFmtId="174" formatCode="General单"/>
    <numFmt numFmtId="175" formatCode="0.00_ "/>
    <numFmt numFmtId="176" formatCode="0.00"/>
    <numFmt numFmtId="177" formatCode="#,##0.00"/>
    <numFmt numFmtId="178" formatCode="yyyy/m/d"/>
    <numFmt numFmtId="179" formatCode="0.00_);(0.00)"/>
    <numFmt numFmtId="180" formatCode="0.00_);[Red](0.00)"/>
    <numFmt numFmtId="181" formatCode="#,##0.00_);[Red](#,##0.00)"/>
    <numFmt numFmtId="182" formatCode="0.00%"/>
    <numFmt numFmtId="183" formatCode="0_ "/>
    <numFmt numFmtId="184" formatCode="#,##0"/>
    <numFmt numFmtId="185" formatCode="General单"/>
    <numFmt numFmtId="186" formatCode="0.00_ "/>
    <numFmt numFmtId="187" formatCode="0.00"/>
    <numFmt numFmtId="188" formatCode="#,##0.00"/>
    <numFmt numFmtId="189" formatCode="yyyy/m/d"/>
    <numFmt numFmtId="190" formatCode="0.00_);(0.00)"/>
    <numFmt numFmtId="191" formatCode="0.00_);[Red](0.00)"/>
    <numFmt numFmtId="192" formatCode="#,##0.00_);[Red](#,##0.00)"/>
    <numFmt numFmtId="193" formatCode="0.00%"/>
    <numFmt numFmtId="194" formatCode="0_ "/>
    <numFmt numFmtId="195" formatCode="#,##0"/>
    <numFmt numFmtId="196" formatCode="0.00_ "/>
    <numFmt numFmtId="197" formatCode="0.00"/>
    <numFmt numFmtId="198" formatCode="#,##0.00"/>
    <numFmt numFmtId="199" formatCode="yyyy/m/d"/>
    <numFmt numFmtId="200" formatCode="0.00_);(0.00)"/>
    <numFmt numFmtId="201" formatCode="0.00_);[Red](0.00)"/>
    <numFmt numFmtId="202" formatCode="#,##0.00_);[Red](#,##0.00)"/>
    <numFmt numFmtId="203" formatCode="0.00%"/>
    <numFmt numFmtId="204" formatCode="0_ "/>
    <numFmt numFmtId="205" formatCode="#,##0"/>
    <numFmt numFmtId="206" formatCode="0.00_ "/>
    <numFmt numFmtId="207" formatCode="0.00"/>
    <numFmt numFmtId="208" formatCode="#,##0.00"/>
    <numFmt numFmtId="209" formatCode="yyyy/m/d"/>
    <numFmt numFmtId="210" formatCode="0.00_);(0.00)"/>
    <numFmt numFmtId="211" formatCode="0.00_);[Red](0.00)"/>
    <numFmt numFmtId="212" formatCode="#,##0.00_);[Red](#,##0.00)"/>
    <numFmt numFmtId="213" formatCode="0.00%"/>
    <numFmt numFmtId="214" formatCode="0_ "/>
    <numFmt numFmtId="215" formatCode="#,##0"/>
    <numFmt numFmtId="216" formatCode="0.00_ "/>
    <numFmt numFmtId="217" formatCode="0.00"/>
    <numFmt numFmtId="218" formatCode="#,##0.00"/>
    <numFmt numFmtId="219" formatCode="yyyy/m/d"/>
    <numFmt numFmtId="220" formatCode="0.00_);(0.00)"/>
    <numFmt numFmtId="221" formatCode="0.00_);[Red](0.00)"/>
    <numFmt numFmtId="222" formatCode="#,##0.00_);[Red](#,##0.00)"/>
    <numFmt numFmtId="223" formatCode="0.00%"/>
    <numFmt numFmtId="224" formatCode="0_ "/>
    <numFmt numFmtId="225" formatCode="#,##0"/>
    <numFmt numFmtId="226" formatCode="General单"/>
  </numFmts>
  <fonts count="22">
    <font>
      <sz val="12"/>
      <color theme="1"/>
      <name val="Calibri"/>
      <family val="2"/>
      <scheme val="minor"/>
    </font>
    <font>
      <sz val="14"/>
      <color rgb="FFFFFFFF"/>
      <name val="Calibri"/>
      <family val="2"/>
      <scheme val="minor"/>
    </font>
    <font>
      <sz val="11"/>
      <color rgb="FF373C4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2333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373C43"/>
      <name val="Calibri"/>
      <family val="2"/>
      <scheme val="minor"/>
    </font>
    <font>
      <b val="true"/>
      <sz val="14"/>
      <color rgb="FF373C43"/>
      <name val="Calibri"/>
      <family val="2"/>
      <scheme val="minor"/>
    </font>
    <font>
      <sz val="14"/>
      <color rgb="FF373C43"/>
      <name val="Calibri"/>
      <family val="2"/>
      <scheme val="minor"/>
    </font>
    <font>
      <b val="true"/>
      <sz val="14"/>
      <color rgb="FFFF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4"/>
      <color rgb="FFF54A45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9"/>
      <color rgb="FF31343B"/>
      <name val="PingFang SC"/>
      <family val="2"/>
    </font>
    <font>
      <sz val="9"/>
      <color rgb="FF31343B"/>
      <name val="Noto Sans SC"/>
      <family val="2"/>
    </font>
    <font>
      <sz val="10"/>
      <color rgb="FFF54A45"/>
      <name val="Calibri"/>
      <family val="2"/>
      <scheme val="minor"/>
    </font>
  </fonts>
  <fills count="5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C71C7"/>
        <bgColor/>
      </patternFill>
    </fill>
    <fill>
      <patternFill patternType="solid">
        <fgColor rgb="FF133C9A"/>
        <bgColor/>
      </patternFill>
    </fill>
    <fill>
      <patternFill patternType="solid">
        <fgColor rgb="FFFED4A4"/>
        <bgColor/>
      </patternFill>
    </fill>
    <fill>
      <patternFill patternType="solid">
        <fgColor rgb="FFFFAE12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F57AC0"/>
        <bgColor/>
      </patternFill>
    </fill>
    <fill>
      <patternFill patternType="solid">
        <fgColor rgb="FF64E8D6"/>
        <bgColor/>
      </patternFill>
    </fill>
    <fill>
      <patternFill patternType="solid">
        <fgColor rgb="FFFFFFFF"/>
        <bgColor/>
      </patternFill>
    </fill>
    <fill>
      <patternFill patternType="solid">
        <fgColor rgb="FF4C71C7"/>
        <bgColor/>
      </patternFill>
    </fill>
    <fill>
      <patternFill patternType="solid">
        <fgColor rgb="FF133C9A"/>
        <bgColor/>
      </patternFill>
    </fill>
    <fill>
      <patternFill patternType="solid">
        <fgColor rgb="FFFED4A4"/>
        <bgColor/>
      </patternFill>
    </fill>
    <fill>
      <patternFill patternType="solid">
        <fgColor rgb="FFFFAE12"/>
        <bgColor/>
      </patternFill>
    </fill>
    <fill>
      <patternFill patternType="solid">
        <fgColor rgb="FFFFFFFF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F57AC0"/>
        <bgColor/>
      </patternFill>
    </fill>
    <fill>
      <patternFill patternType="solid">
        <fgColor rgb="FF64E8D6"/>
        <bgColor/>
      </patternFill>
    </fill>
    <fill>
      <patternFill patternType="solid">
        <fgColor rgb="FF4C71C7"/>
        <bgColor/>
      </patternFill>
    </fill>
    <fill>
      <patternFill patternType="solid">
        <fgColor rgb="FF133C9A"/>
        <bgColor/>
      </patternFill>
    </fill>
    <fill>
      <patternFill patternType="solid">
        <fgColor rgb="FFFED4A4"/>
        <bgColor/>
      </patternFill>
    </fill>
    <fill>
      <patternFill patternType="solid">
        <fgColor rgb="FFFFAE12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57AC0"/>
        <bgColor/>
      </patternFill>
    </fill>
    <fill>
      <patternFill patternType="solid">
        <fgColor rgb="FF64E8D6"/>
        <bgColor/>
      </patternFill>
    </fill>
    <fill>
      <patternFill patternType="solid">
        <fgColor rgb="FFFFFFFF"/>
        <bgColor/>
      </patternFill>
    </fill>
    <fill>
      <patternFill patternType="solid">
        <fgColor rgb="FF4C71C7"/>
        <bgColor/>
      </patternFill>
    </fill>
    <fill>
      <patternFill patternType="solid">
        <fgColor rgb="FF133C9A"/>
        <bgColor/>
      </patternFill>
    </fill>
    <fill>
      <patternFill patternType="solid">
        <fgColor rgb="FFFED4A4"/>
        <bgColor/>
      </patternFill>
    </fill>
    <fill>
      <patternFill patternType="solid">
        <fgColor rgb="FFFFAE12"/>
        <bgColor/>
      </patternFill>
    </fill>
    <fill>
      <patternFill patternType="solid">
        <fgColor rgb="FFD9F5D6"/>
        <bgColor/>
      </patternFill>
    </fill>
    <fill>
      <patternFill patternType="solid">
        <fgColor rgb="FFFFF258"/>
        <bgColor/>
      </patternFill>
    </fill>
    <fill>
      <patternFill patternType="solid">
        <fgColor rgb="FFF2F5FD"/>
        <bgColor/>
      </patternFill>
    </fill>
    <fill>
      <patternFill patternType="solid">
        <fgColor rgb="FFF57AC0"/>
        <bgColor/>
      </patternFill>
    </fill>
    <fill>
      <patternFill patternType="solid">
        <fgColor rgb="FF64E8D6"/>
        <bgColor/>
      </patternFill>
    </fill>
    <fill>
      <patternFill patternType="solid">
        <fgColor rgb="FFFFFFFF"/>
        <bgColor/>
      </patternFill>
    </fill>
    <fill>
      <patternFill patternType="solid">
        <fgColor rgb="FF4C71C7"/>
        <bgColor/>
      </patternFill>
    </fill>
    <fill>
      <patternFill patternType="solid">
        <fgColor rgb="FF133C9A"/>
        <bgColor/>
      </patternFill>
    </fill>
    <fill>
      <patternFill patternType="solid">
        <fgColor rgb="FFFED4A4"/>
        <bgColor/>
      </patternFill>
    </fill>
    <fill>
      <patternFill patternType="solid">
        <fgColor rgb="FFFFAE12"/>
        <bgColor/>
      </patternFill>
    </fill>
    <fill>
      <patternFill patternType="solid">
        <fgColor rgb="FFF57AC0"/>
        <bgColor/>
      </patternFill>
    </fill>
    <fill>
      <patternFill patternType="solid">
        <fgColor rgb="FF8EE085"/>
        <bgColor/>
      </patternFill>
    </fill>
    <fill>
      <patternFill patternType="solid">
        <fgColor rgb="FF64E8D6"/>
        <bgColor/>
      </patternFill>
    </fill>
    <fill>
      <patternFill patternType="solid">
        <fgColor rgb="FF4C71C7"/>
        <bgColor/>
      </patternFill>
    </fill>
    <fill>
      <patternFill patternType="solid">
        <fgColor rgb="FF133C9A"/>
        <bgColor/>
      </patternFill>
    </fill>
    <fill>
      <patternFill patternType="solid">
        <fgColor rgb="FFFED4A4"/>
        <bgColor/>
      </patternFill>
    </fill>
    <fill>
      <patternFill patternType="solid">
        <fgColor rgb="FFFFAE12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F57AC0"/>
        <bgColor/>
      </patternFill>
    </fill>
    <fill>
      <patternFill patternType="solid">
        <fgColor rgb="FF64E8D6"/>
        <bgColor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3" fontId="1" numFmtId="165" xfId="0">
      <alignment horizontal="center" vertical="center"/>
    </xf>
    <xf applyAlignment="true" applyBorder="false" applyFill="true" applyFont="true" applyNumberFormat="true" applyProtection="false" borderId="3" fillId="3" fontId="1" numFmtId="165" xfId="0">
      <alignment horizontal="center" vertical="center"/>
    </xf>
    <xf applyAlignment="true" applyBorder="false" applyFill="true" applyFont="true" applyNumberFormat="false" applyProtection="false" borderId="3" fillId="3" fontId="1" numFmtId="0" xfId="0">
      <alignment horizontal="center" vertical="center"/>
    </xf>
    <xf applyAlignment="true" applyBorder="false" applyFill="true" applyFont="true" applyNumberFormat="true" applyProtection="false" borderId="2" fillId="3" fontId="1" numFmtId="164" xfId="0">
      <alignment horizontal="center" vertical="center"/>
    </xf>
    <xf applyAlignment="true" applyBorder="false" applyFill="true" applyFont="true" applyNumberFormat="true" applyProtection="false" borderId="4" fillId="3" fontId="1" numFmtId="164" xfId="0">
      <alignment horizontal="center" vertical="center"/>
    </xf>
    <xf applyAlignment="true" applyBorder="false" applyFill="true" applyFont="true" applyNumberFormat="true" applyProtection="false" borderId="5" fillId="2" fontId="1" numFmtId="164" xfId="0">
      <alignment horizontal="center" vertical="center"/>
    </xf>
    <xf applyAlignment="true" applyBorder="false" applyFill="true" applyFont="true" applyNumberFormat="true" applyProtection="false" borderId="5" fillId="2" fontId="1" numFmtId="165" xfId="0">
      <alignment horizontal="center" vertical="center"/>
    </xf>
    <xf applyAlignment="true" applyBorder="false" applyFill="true" applyFont="true" applyNumberFormat="true" applyProtection="false" borderId="5" fillId="2" fontId="1" numFmtId="166" xfId="0">
      <alignment horizontal="center" vertical="center"/>
    </xf>
    <xf applyAlignment="true" applyBorder="false" applyFill="false" applyFont="true" applyNumberFormat="true" applyProtection="false" borderId="6" fillId="0" fontId="2" numFmtId="167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horizontal="center" vertical="center" wrapText="true"/>
    </xf>
    <xf applyAlignment="true" applyBorder="false" applyFill="false" applyFont="true" applyNumberFormat="true" applyProtection="false" borderId="1" fillId="0" fontId="2" numFmtId="165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horizontal="center" vertical="center"/>
    </xf>
    <xf applyAlignment="true" applyBorder="false" applyFill="false" applyFont="true" applyNumberFormat="true" applyProtection="false" borderId="3" fillId="0" fontId="2" numFmtId="169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center"/>
    </xf>
    <xf applyAlignment="true" applyBorder="false" applyFill="false" applyFont="true" applyNumberFormat="true" applyProtection="false" borderId="3" fillId="0" fontId="4" numFmtId="170" xfId="0">
      <alignment horizontal="center" vertical="center"/>
    </xf>
    <xf applyAlignment="true" applyBorder="false" applyFill="false" applyFont="true" applyNumberFormat="true" applyProtection="false" borderId="1" fillId="0" fontId="5" numFmtId="165" xfId="0">
      <alignment horizontal="center" vertical="center"/>
    </xf>
    <xf applyAlignment="true" applyBorder="false" applyFill="false" applyFont="true" applyNumberFormat="true" applyProtection="false" borderId="1" fillId="0" fontId="6" numFmtId="171" xfId="0">
      <alignment horizontal="center" vertical="center"/>
    </xf>
    <xf applyAlignment="true" applyBorder="false" applyFill="false" applyFont="true" applyNumberFormat="true" applyProtection="false" borderId="1" fillId="0" fontId="7" numFmtId="171" xfId="0">
      <alignment horizontal="center" vertical="center"/>
    </xf>
    <xf applyAlignment="true" applyBorder="false" applyFill="false" applyFont="true" applyNumberFormat="true" applyProtection="false" borderId="1" fillId="0" fontId="5" numFmtId="171" xfId="0">
      <alignment horizontal="center" vertical="center"/>
    </xf>
    <xf applyAlignment="true" applyBorder="false" applyFill="false" applyFont="true" applyNumberFormat="true" applyProtection="false" borderId="1" fillId="0" fontId="8" numFmtId="172" xfId="0">
      <alignment horizontal="center" vertical="center"/>
    </xf>
    <xf applyAlignment="true" applyBorder="false" applyFill="false" applyFont="true" applyNumberFormat="true" applyProtection="false" borderId="1" fillId="0" fontId="6" numFmtId="166" xfId="0">
      <alignment horizontal="center" vertical="center"/>
    </xf>
    <xf applyAlignment="true" applyBorder="false" applyFill="false" applyFont="true" applyNumberFormat="false" applyProtection="false" borderId="1" fillId="0" fontId="6" numFmtId="0" xfId="0">
      <alignment horizontal="center" vertical="center"/>
    </xf>
    <xf applyAlignment="true" applyBorder="false" applyFill="false" applyFont="true" applyNumberFormat="false" applyProtection="false" borderId="1" fillId="0" fontId="6" numFmtId="0" xfId="0">
      <alignment horizontal="center" vertical="center"/>
    </xf>
    <xf applyAlignment="true" applyBorder="false" applyFill="false" applyFont="true" applyNumberFormat="true" applyProtection="false" borderId="6" fillId="0" fontId="5" numFmtId="173" xfId="0">
      <alignment horizontal="center" vertical="center"/>
    </xf>
    <xf applyAlignment="true" applyBorder="false" applyFill="false" applyFont="true" applyNumberFormat="true" applyProtection="false" borderId="6" fillId="0" fontId="5" numFmtId="173" xfId="0">
      <alignment horizontal="center" vertical="center"/>
    </xf>
    <xf applyAlignment="true" applyBorder="false" applyFill="false" applyFont="true" applyNumberFormat="true" applyProtection="false" borderId="6" fillId="0" fontId="5" numFmtId="173" xfId="0">
      <alignment horizontal="center" vertical="center"/>
    </xf>
    <xf applyAlignment="true" applyBorder="false" applyFill="false" applyFont="true" applyNumberFormat="true" applyProtection="false" borderId="0" fillId="0" fontId="5" numFmtId="165" xfId="0">
      <alignment horizontal="center" vertical="center"/>
    </xf>
    <xf applyAlignment="true" applyBorder="false" applyFill="true" applyFont="true" applyNumberFormat="false" applyProtection="false" borderId="7" fillId="4" fontId="9" numFmtId="0" xfId="0">
      <alignment horizontal="center" vertical="center"/>
    </xf>
    <xf applyAlignment="true" applyBorder="false" applyFill="true" applyFont="true" applyNumberFormat="false" applyProtection="false" borderId="1" fillId="4" fontId="10" numFmtId="0" xfId="0">
      <alignment horizontal="center" vertical="center"/>
    </xf>
    <xf applyAlignment="true" applyBorder="false" applyFill="true" applyFont="true" applyNumberFormat="true" applyProtection="false" borderId="1" fillId="4" fontId="10" numFmtId="164" xfId="0">
      <alignment horizontal="center" vertical="center"/>
    </xf>
    <xf applyAlignment="true" applyBorder="false" applyFill="true" applyFont="true" applyNumberFormat="true" applyProtection="false" borderId="3" fillId="4" fontId="11" numFmtId="169" xfId="0">
      <alignment horizontal="center" vertical="center"/>
    </xf>
    <xf applyAlignment="true" applyBorder="false" applyFill="true" applyFont="true" applyNumberFormat="true" applyProtection="false" borderId="1" fillId="4" fontId="12" numFmtId="170" xfId="0">
      <alignment horizontal="center" vertical="center"/>
    </xf>
    <xf applyAlignment="true" applyBorder="false" applyFill="true" applyFont="true" applyNumberFormat="true" applyProtection="false" borderId="1" fillId="4" fontId="13" numFmtId="165" xfId="0">
      <alignment horizontal="center" vertical="center"/>
    </xf>
    <xf applyAlignment="true" applyBorder="false" applyFill="true" applyFont="true" applyNumberFormat="true" applyProtection="false" borderId="1" fillId="4" fontId="13" numFmtId="165" xfId="0">
      <alignment horizontal="center" vertical="center"/>
    </xf>
    <xf applyAlignment="true" applyBorder="false" applyFill="true" applyFont="true" applyNumberFormat="true" applyProtection="false" borderId="1" fillId="4" fontId="13" numFmtId="171" xfId="0">
      <alignment horizontal="center" vertical="center"/>
    </xf>
    <xf applyAlignment="true" applyBorder="false" applyFill="true" applyFont="true" applyNumberFormat="true" applyProtection="false" borderId="1" fillId="4" fontId="13" numFmtId="166" xfId="0">
      <alignment horizontal="center" vertical="center"/>
    </xf>
    <xf applyAlignment="true" applyBorder="false" applyFill="true" applyFont="true" applyNumberFormat="true" applyProtection="false" borderId="3" fillId="4" fontId="13" numFmtId="166" xfId="0">
      <alignment horizontal="center" vertical="center"/>
    </xf>
    <xf applyAlignment="true" applyBorder="false" applyFill="false" applyFont="true" applyNumberFormat="true" applyProtection="false" borderId="0" fillId="0" fontId="5" numFmtId="166" xfId="0">
      <alignment horizontal="center" vertical="center"/>
    </xf>
    <xf applyAlignment="true" applyBorder="false" applyFill="false" applyFont="true" applyNumberFormat="true" applyProtection="false" borderId="3" fillId="0" fontId="2" numFmtId="168" xfId="0">
      <alignment horizontal="center" vertical="center" wrapText="true"/>
    </xf>
    <xf applyAlignment="true" applyBorder="false" applyFill="false" applyFont="true" applyNumberFormat="true" applyProtection="false" borderId="8" fillId="0" fontId="5" numFmtId="165" xfId="0">
      <alignment horizontal="center" vertical="center"/>
    </xf>
    <xf applyAlignment="true" applyBorder="false" applyFill="false" applyFont="true" applyNumberFormat="true" applyProtection="false" borderId="7" fillId="0" fontId="2" numFmtId="165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3" fillId="0" fontId="2" numFmtId="168" xfId="0">
      <alignment horizontal="center" vertical="center" wrapText="true"/>
    </xf>
    <xf applyAlignment="true" applyBorder="false" applyFill="false" applyFont="true" applyNumberFormat="true" applyProtection="false" borderId="1" fillId="0" fontId="2" numFmtId="168" xfId="0">
      <alignment horizontal="center" vertical="center" wrapText="true"/>
    </xf>
    <xf applyAlignment="true" applyBorder="false" applyFill="false" applyFont="true" applyNumberFormat="true" applyProtection="false" borderId="6" fillId="0" fontId="5" numFmtId="165" xfId="0">
      <alignment horizontal="center" vertical="center"/>
    </xf>
    <xf applyAlignment="true" applyBorder="false" applyFill="false" applyFont="true" applyNumberFormat="true" applyProtection="false" borderId="1" fillId="0" fontId="8" numFmtId="172" xfId="0">
      <alignment horizontal="center" vertical="center"/>
    </xf>
    <xf applyAlignment="true" applyBorder="false" applyFill="false" applyFont="true" applyNumberFormat="true" applyProtection="false" borderId="1" fillId="0" fontId="6" numFmtId="166" xfId="0">
      <alignment horizontal="center" vertical="center"/>
    </xf>
    <xf applyAlignment="true" applyBorder="false" applyFill="true" applyFont="true" applyNumberFormat="true" applyProtection="false" borderId="1" fillId="4" fontId="10" numFmtId="164" xfId="0">
      <alignment horizontal="center" vertical="center"/>
    </xf>
    <xf applyAlignment="true" applyBorder="false" applyFill="true" applyFont="true" applyNumberFormat="true" applyProtection="false" borderId="2" fillId="4" fontId="13" numFmtId="171" xfId="0">
      <alignment horizontal="center" vertical="center"/>
    </xf>
    <xf applyAlignment="true" applyBorder="false" applyFill="true" applyFont="true" applyNumberFormat="false" applyProtection="false" borderId="1" fillId="5" fontId="1" numFmtId="0" xfId="0">
      <alignment horizontal="center" vertical="center"/>
    </xf>
    <xf applyAlignment="true" applyBorder="false" applyFill="true" applyFont="true" applyNumberFormat="false" applyProtection="false" borderId="1" fillId="5" fontId="1" numFmtId="0" xfId="0">
      <alignment horizontal="center" vertical="center"/>
    </xf>
    <xf applyAlignment="true" applyBorder="false" applyFill="true" applyFont="true" applyNumberFormat="false" applyProtection="false" borderId="1" fillId="5" fontId="14" numFmtId="0" xfId="0">
      <alignment horizontal="center" vertical="center"/>
    </xf>
    <xf applyAlignment="true" applyBorder="false" applyFill="true" applyFont="true" applyNumberFormat="true" applyProtection="false" borderId="1" fillId="5" fontId="1" numFmtId="165" xfId="0">
      <alignment horizontal="center" vertical="center"/>
    </xf>
    <xf applyAlignment="true" applyBorder="false" applyFill="true" applyFont="true" applyNumberFormat="true" applyProtection="false" borderId="1" fillId="5" fontId="1" numFmtId="171" xfId="0">
      <alignment horizontal="center" vertical="center"/>
    </xf>
    <xf applyAlignment="true" applyBorder="false" applyFill="true" applyFont="true" applyNumberFormat="false" applyProtection="false" borderId="3" fillId="5" fontId="1" numFmtId="0" xfId="0">
      <alignment horizontal="center" vertical="center"/>
    </xf>
    <xf applyAlignment="true" applyBorder="false" applyFill="true" applyFont="true" applyNumberFormat="true" applyProtection="false" borderId="8" fillId="5" fontId="1" numFmtId="171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true" applyProtection="false" borderId="2" fillId="0" fontId="6" numFmtId="166" xfId="0">
      <alignment horizontal="center" vertical="center"/>
    </xf>
    <xf applyAlignment="true" applyBorder="false" applyFill="false" applyFont="true" applyNumberFormat="true" applyProtection="false" borderId="3" fillId="0" fontId="2" numFmtId="165" xfId="0">
      <alignment horizontal="center" vertical="center"/>
    </xf>
    <xf applyAlignment="true" applyBorder="false" applyFill="false" applyFont="true" applyNumberFormat="true" applyProtection="false" borderId="9" fillId="0" fontId="5" numFmtId="166" xfId="0">
      <alignment horizontal="center" vertical="center"/>
    </xf>
    <xf applyAlignment="true" applyBorder="false" applyFill="false" applyFont="true" applyNumberFormat="true" applyProtection="false" borderId="7" fillId="0" fontId="6" numFmtId="171" xfId="0">
      <alignment horizontal="center" vertical="center"/>
    </xf>
    <xf applyAlignment="true" applyBorder="false" applyFill="false" applyFont="true" applyNumberFormat="true" applyProtection="false" borderId="8" fillId="0" fontId="5" numFmtId="166" xfId="0">
      <alignment horizontal="center" vertical="center"/>
    </xf>
    <xf applyAlignment="true" applyBorder="false" applyFill="false" applyFont="true" applyNumberFormat="true" applyProtection="false" borderId="9" fillId="0" fontId="5" numFmtId="166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horizontal="center" vertical="center" wrapText="true"/>
    </xf>
    <xf applyAlignment="true" applyBorder="false" applyFill="false" applyFont="true" applyNumberFormat="true" applyProtection="false" borderId="1" fillId="0" fontId="2" numFmtId="165" xfId="0">
      <alignment horizontal="center" vertical="center"/>
    </xf>
    <xf applyAlignment="true" applyBorder="false" applyFill="true" applyFont="true" applyNumberFormat="false" applyProtection="false" borderId="0" fillId="6" fontId="16" numFmtId="0" xfId="0">
      <alignment horizontal="center" vertical="center"/>
    </xf>
    <xf applyAlignment="true" applyBorder="false" applyFill="false" applyFont="true" applyNumberFormat="true" applyProtection="false" borderId="0" fillId="0" fontId="3" numFmtId="174" xfId="0">
      <alignment horizontal="righ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65" xfId="0">
      <alignment vertical="center"/>
    </xf>
    <xf applyAlignment="true" applyBorder="false" applyFill="true" applyFont="true" applyNumberFormat="false" applyProtection="false" borderId="0" fillId="7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8" fontId="3" numFmtId="0" xfId="0">
      <alignment vertical="center"/>
    </xf>
    <xf applyAlignment="true" applyBorder="false" applyFill="true" applyFont="true" applyNumberFormat="false" applyProtection="false" borderId="0" fillId="7" fontId="3" numFmtId="0" xfId="0">
      <alignment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true" applyFont="true" applyNumberFormat="false" applyProtection="false" borderId="0" fillId="9" fontId="3" numFmtId="0" xfId="0">
      <alignment vertical="center"/>
    </xf>
    <xf applyAlignment="true" applyBorder="false" applyFill="true" applyFont="true" applyNumberFormat="false" applyProtection="false" borderId="0" fillId="9" fontId="3" numFmtId="0" xfId="0">
      <alignment vertical="center"/>
    </xf>
    <xf applyAlignment="true" applyBorder="false" applyFill="true" applyFont="true" applyNumberFormat="true" applyProtection="false" borderId="5" fillId="2" fontId="18" numFmtId="165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10" fontId="3" numFmtId="0" xfId="0">
      <alignment vertical="center"/>
    </xf>
    <xf applyAlignment="true" applyBorder="false" applyFill="true" applyFont="true" applyNumberFormat="false" applyProtection="false" borderId="0" fillId="10" fontId="3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10" fillId="11" fontId="1" numFmtId="0" xfId="0">
      <alignment horizontal="center" vertical="center"/>
    </xf>
    <xf applyAlignment="true" applyBorder="false" applyFill="true" applyFont="true" applyNumberFormat="false" applyProtection="false" borderId="10" fillId="11" fontId="1" numFmtId="0" xfId="0">
      <alignment horizontal="center" vertical="center"/>
    </xf>
    <xf applyAlignment="true" applyBorder="false" applyFill="true" applyFont="true" applyNumberFormat="false" applyProtection="false" borderId="10" fillId="12" fontId="1" numFmtId="0" xfId="0">
      <alignment horizontal="center" vertical="center"/>
    </xf>
    <xf applyAlignment="true" applyBorder="false" applyFill="true" applyFont="true" applyNumberFormat="false" applyProtection="false" borderId="11" fillId="11" fontId="1" numFmtId="0" xfId="0">
      <alignment horizontal="center" vertical="center"/>
    </xf>
    <xf applyAlignment="true" applyBorder="false" applyFill="true" applyFont="true" applyNumberFormat="true" applyProtection="false" borderId="10" fillId="11" fontId="1" numFmtId="175" xfId="0">
      <alignment horizontal="center" vertical="center"/>
    </xf>
    <xf applyAlignment="true" applyBorder="false" applyFill="true" applyFont="true" applyNumberFormat="true" applyProtection="false" borderId="10" fillId="11" fontId="1" numFmtId="176" xfId="0">
      <alignment horizontal="center" vertical="center"/>
    </xf>
    <xf applyAlignment="true" applyBorder="false" applyFill="true" applyFont="true" applyNumberFormat="true" applyProtection="false" borderId="10" fillId="12" fontId="1" numFmtId="176" xfId="0">
      <alignment horizontal="center" vertical="center"/>
    </xf>
    <xf applyAlignment="true" applyBorder="false" applyFill="true" applyFont="true" applyNumberFormat="true" applyProtection="false" borderId="12" fillId="12" fontId="1" numFmtId="176" xfId="0">
      <alignment horizontal="center" vertical="center"/>
    </xf>
    <xf applyAlignment="true" applyBorder="false" applyFill="true" applyFont="true" applyNumberFormat="false" applyProtection="false" borderId="12" fillId="12" fontId="1" numFmtId="0" xfId="0">
      <alignment horizontal="center" vertical="center"/>
    </xf>
    <xf applyAlignment="true" applyBorder="false" applyFill="true" applyFont="true" applyNumberFormat="true" applyProtection="false" borderId="11" fillId="12" fontId="1" numFmtId="175" xfId="0">
      <alignment horizontal="center" vertical="center"/>
    </xf>
    <xf applyAlignment="true" applyBorder="false" applyFill="true" applyFont="true" applyNumberFormat="true" applyProtection="false" borderId="13" fillId="12" fontId="1" numFmtId="175" xfId="0">
      <alignment horizontal="center" vertical="center"/>
    </xf>
    <xf applyAlignment="true" applyBorder="false" applyFill="true" applyFont="true" applyNumberFormat="true" applyProtection="false" borderId="14" fillId="11" fontId="1" numFmtId="175" xfId="0">
      <alignment horizontal="center" vertical="center"/>
    </xf>
    <xf applyAlignment="true" applyBorder="false" applyFill="true" applyFont="true" applyNumberFormat="true" applyProtection="false" borderId="14" fillId="11" fontId="1" numFmtId="176" xfId="0">
      <alignment horizontal="center" vertical="center"/>
    </xf>
    <xf applyAlignment="true" applyBorder="false" applyFill="true" applyFont="true" applyNumberFormat="true" applyProtection="false" borderId="14" fillId="11" fontId="1" numFmtId="177" xfId="0">
      <alignment horizontal="center" vertical="center"/>
    </xf>
    <xf applyAlignment="true" applyBorder="false" applyFill="false" applyFont="true" applyNumberFormat="true" applyProtection="false" borderId="15" fillId="0" fontId="2" numFmtId="178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true" applyProtection="false" borderId="10" fillId="0" fontId="2" numFmtId="17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10" fillId="0" fontId="2" numFmtId="179" xfId="0">
      <alignment horizontal="center" vertical="center" wrapText="true"/>
    </xf>
    <xf applyAlignment="true" applyBorder="false" applyFill="false" applyFont="true" applyNumberFormat="true" applyProtection="false" borderId="10" fillId="0" fontId="2" numFmtId="176" xfId="0">
      <alignment horizontal="center" vertical="center"/>
    </xf>
    <xf applyAlignment="true" applyBorder="false" applyFill="false" applyFont="true" applyNumberFormat="true" applyProtection="false" borderId="10" fillId="0" fontId="2" numFmtId="176" xfId="0">
      <alignment horizontal="center" vertical="center"/>
    </xf>
    <xf applyAlignment="true" applyBorder="false" applyFill="false" applyFont="true" applyNumberFormat="true" applyProtection="false" borderId="12" fillId="0" fontId="2" numFmtId="180" xfId="0">
      <alignment horizontal="center" vertical="center"/>
    </xf>
    <xf applyAlignment="true" applyBorder="false" applyFill="false" applyFont="true" applyNumberFormat="true" applyProtection="false" borderId="10" fillId="0" fontId="4" numFmtId="181" xfId="0">
      <alignment horizontal="center" vertical="center"/>
    </xf>
    <xf applyAlignment="true" applyBorder="false" applyFill="false" applyFont="true" applyNumberFormat="true" applyProtection="false" borderId="12" fillId="0" fontId="4" numFmtId="181" xfId="0">
      <alignment horizontal="center" vertical="center"/>
    </xf>
    <xf applyAlignment="true" applyBorder="false" applyFill="false" applyFont="true" applyNumberFormat="true" applyProtection="false" borderId="10" fillId="0" fontId="5" numFmtId="176" xfId="0">
      <alignment horizontal="center" vertical="center"/>
    </xf>
    <xf applyAlignment="true" applyBorder="false" applyFill="false" applyFont="true" applyNumberFormat="true" applyProtection="false" borderId="10" fillId="0" fontId="6" numFmtId="182" xfId="0">
      <alignment horizontal="center" vertical="center"/>
    </xf>
    <xf applyAlignment="true" applyBorder="false" applyFill="false" applyFont="true" applyNumberFormat="true" applyProtection="false" borderId="10" fillId="0" fontId="7" numFmtId="182" xfId="0">
      <alignment horizontal="center" vertical="center"/>
    </xf>
    <xf applyAlignment="true" applyBorder="false" applyFill="false" applyFont="true" applyNumberFormat="true" applyProtection="false" borderId="10" fillId="0" fontId="5" numFmtId="182" xfId="0">
      <alignment horizontal="center" vertical="center"/>
    </xf>
    <xf applyAlignment="true" applyBorder="false" applyFill="false" applyFont="true" applyNumberFormat="true" applyProtection="false" borderId="10" fillId="0" fontId="8" numFmtId="183" xfId="0">
      <alignment horizontal="center" vertical="center"/>
    </xf>
    <xf applyAlignment="true" applyBorder="false" applyFill="false" applyFont="true" applyNumberFormat="true" applyProtection="false" borderId="10" fillId="0" fontId="6" numFmtId="177" xfId="0">
      <alignment horizontal="center" vertical="center"/>
    </xf>
    <xf applyAlignment="true" applyBorder="false" applyFill="false" applyFont="true" applyNumberFormat="false" applyProtection="false" borderId="10" fillId="0" fontId="6" numFmtId="0" xfId="0">
      <alignment horizontal="center" vertical="center"/>
    </xf>
    <xf applyAlignment="true" applyBorder="false" applyFill="false" applyFont="true" applyNumberFormat="false" applyProtection="false" borderId="10" fillId="0" fontId="6" numFmtId="0" xfId="0">
      <alignment horizontal="center" vertical="center"/>
    </xf>
    <xf applyAlignment="true" applyBorder="false" applyFill="false" applyFont="true" applyNumberFormat="true" applyProtection="false" borderId="15" fillId="0" fontId="5" numFmtId="184" xfId="0">
      <alignment horizontal="center" vertical="center"/>
    </xf>
    <xf applyAlignment="true" applyBorder="false" applyFill="false" applyFont="true" applyNumberFormat="true" applyProtection="false" borderId="15" fillId="0" fontId="5" numFmtId="184" xfId="0">
      <alignment horizontal="center" vertical="center"/>
    </xf>
    <xf applyAlignment="true" applyBorder="false" applyFill="false" applyFont="true" applyNumberFormat="true" applyProtection="false" borderId="15" fillId="0" fontId="5" numFmtId="184" xfId="0">
      <alignment horizontal="center" vertical="center"/>
    </xf>
    <xf applyAlignment="true" applyBorder="false" applyFill="true" applyFont="true" applyNumberFormat="false" applyProtection="false" borderId="16" fillId="13" fontId="9" numFmtId="0" xfId="0">
      <alignment horizontal="center" vertical="center"/>
    </xf>
    <xf applyAlignment="true" applyBorder="false" applyFill="true" applyFont="true" applyNumberFormat="false" applyProtection="false" borderId="10" fillId="13" fontId="10" numFmtId="0" xfId="0">
      <alignment horizontal="center" vertical="center"/>
    </xf>
    <xf applyAlignment="true" applyBorder="false" applyFill="true" applyFont="true" applyNumberFormat="true" applyProtection="false" borderId="10" fillId="13" fontId="10" numFmtId="175" xfId="0">
      <alignment horizontal="center" vertical="center"/>
    </xf>
    <xf applyAlignment="true" applyBorder="false" applyFill="true" applyFont="true" applyNumberFormat="true" applyProtection="false" borderId="12" fillId="13" fontId="11" numFmtId="180" xfId="0">
      <alignment horizontal="center" vertical="center"/>
    </xf>
    <xf applyAlignment="true" applyBorder="false" applyFill="true" applyFont="true" applyNumberFormat="true" applyProtection="false" borderId="10" fillId="13" fontId="12" numFmtId="181" xfId="0">
      <alignment horizontal="center" vertical="center"/>
    </xf>
    <xf applyAlignment="true" applyBorder="false" applyFill="true" applyFont="true" applyNumberFormat="true" applyProtection="false" borderId="10" fillId="13" fontId="13" numFmtId="176" xfId="0">
      <alignment horizontal="center" vertical="center"/>
    </xf>
    <xf applyAlignment="true" applyBorder="false" applyFill="true" applyFont="true" applyNumberFormat="true" applyProtection="false" borderId="10" fillId="13" fontId="13" numFmtId="176" xfId="0">
      <alignment horizontal="center" vertical="center"/>
    </xf>
    <xf applyAlignment="true" applyBorder="false" applyFill="true" applyFont="true" applyNumberFormat="true" applyProtection="false" borderId="10" fillId="13" fontId="13" numFmtId="182" xfId="0">
      <alignment horizontal="center" vertical="center"/>
    </xf>
    <xf applyAlignment="true" applyBorder="false" applyFill="true" applyFont="true" applyNumberFormat="true" applyProtection="false" borderId="10" fillId="13" fontId="13" numFmtId="177" xfId="0">
      <alignment horizontal="center" vertical="center"/>
    </xf>
    <xf applyAlignment="true" applyBorder="false" applyFill="true" applyFont="true" applyNumberFormat="true" applyProtection="false" borderId="12" fillId="13" fontId="13" numFmtId="177" xfId="0">
      <alignment horizontal="center" vertical="center"/>
    </xf>
    <xf applyAlignment="true" applyBorder="false" applyFill="false" applyFont="true" applyNumberFormat="true" applyProtection="false" borderId="12" fillId="0" fontId="2" numFmtId="179" xfId="0">
      <alignment horizontal="center" vertical="center" wrapText="true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true" applyProtection="false" borderId="12" fillId="0" fontId="2" numFmtId="179" xfId="0">
      <alignment horizontal="center" vertical="center" wrapText="true"/>
    </xf>
    <xf applyAlignment="true" applyBorder="false" applyFill="false" applyFont="true" applyNumberFormat="true" applyProtection="false" borderId="12" fillId="0" fontId="2" numFmtId="175" xfId="0">
      <alignment horizontal="center" vertical="center"/>
    </xf>
    <xf applyAlignment="true" applyBorder="false" applyFill="false" applyFont="true" applyNumberFormat="false" applyProtection="false" borderId="17" fillId="0" fontId="3" numFmtId="0" xfId="0">
      <alignment horizontal="center" vertical="center"/>
    </xf>
    <xf applyAlignment="true" applyBorder="false" applyFill="false" applyFont="true" applyNumberFormat="true" applyProtection="false" borderId="17" fillId="0" fontId="2" numFmtId="179" xfId="0">
      <alignment horizontal="center" vertical="center" wrapText="true"/>
    </xf>
    <xf applyAlignment="true" applyBorder="false" applyFill="false" applyFont="true" applyNumberFormat="true" applyProtection="false" borderId="16" fillId="0" fontId="2" numFmtId="179" xfId="0">
      <alignment horizontal="center" vertical="center" wrapText="true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true" applyFont="true" applyNumberFormat="true" applyProtection="false" borderId="14" fillId="13" fontId="10" numFmtId="175" xfId="0">
      <alignment horizontal="center" vertical="center"/>
    </xf>
    <xf applyAlignment="true" applyBorder="false" applyFill="true" applyFont="true" applyNumberFormat="true" applyProtection="false" borderId="11" fillId="13" fontId="10" numFmtId="175" xfId="0">
      <alignment horizontal="center" vertical="center"/>
    </xf>
    <xf applyAlignment="true" applyBorder="false" applyFill="true" applyFont="true" applyNumberFormat="true" applyProtection="false" borderId="11" fillId="13" fontId="13" numFmtId="182" xfId="0">
      <alignment horizontal="center" vertical="center"/>
    </xf>
    <xf applyAlignment="true" applyBorder="false" applyFill="true" applyFont="true" applyNumberFormat="true" applyProtection="false" borderId="11" fillId="13" fontId="13" numFmtId="177" xfId="0">
      <alignment horizontal="center" vertical="center"/>
    </xf>
    <xf applyAlignment="true" applyBorder="false" applyFill="true" applyFont="true" applyNumberFormat="false" applyProtection="false" borderId="10" fillId="14" fontId="1" numFmtId="0" xfId="0">
      <alignment horizontal="center" vertical="center"/>
    </xf>
    <xf applyAlignment="true" applyBorder="false" applyFill="true" applyFont="true" applyNumberFormat="false" applyProtection="false" borderId="10" fillId="14" fontId="1" numFmtId="0" xfId="0">
      <alignment horizontal="center" vertical="center"/>
    </xf>
    <xf applyAlignment="true" applyBorder="false" applyFill="true" applyFont="true" applyNumberFormat="true" applyProtection="false" borderId="10" fillId="14" fontId="1" numFmtId="176" xfId="0">
      <alignment horizontal="center" vertical="center"/>
    </xf>
    <xf applyAlignment="true" applyBorder="false" applyFill="true" applyFont="true" applyNumberFormat="true" applyProtection="false" borderId="10" fillId="14" fontId="1" numFmtId="182" xfId="0">
      <alignment horizontal="center" vertical="center"/>
    </xf>
    <xf applyAlignment="true" applyBorder="false" applyFill="true" applyFont="true" applyNumberFormat="false" applyProtection="false" borderId="17" fillId="14" fontId="1" numFmtId="0" xfId="0">
      <alignment horizontal="center" vertical="center"/>
    </xf>
    <xf applyAlignment="true" applyBorder="false" applyFill="true" applyFont="true" applyNumberFormat="true" applyProtection="false" borderId="17" fillId="14" fontId="1" numFmtId="182" xfId="0">
      <alignment horizontal="center" vertical="center"/>
    </xf>
    <xf applyAlignment="true" applyBorder="false" applyFill="true" applyFont="true" applyNumberFormat="false" applyProtection="false" borderId="17" fillId="14" fontId="1" numFmtId="0" xfId="0">
      <alignment horizontal="center" vertical="center"/>
    </xf>
    <xf applyAlignment="true" applyBorder="false" applyFill="true" applyFont="true" applyNumberFormat="false" applyProtection="false" borderId="16" fillId="14" fontId="1" numFmtId="0" xfId="0">
      <alignment horizontal="center" vertical="center"/>
    </xf>
    <xf applyAlignment="true" applyBorder="false" applyFill="false" applyFont="true" applyNumberFormat="true" applyProtection="false" borderId="16" fillId="0" fontId="2" numFmtId="176" xfId="0">
      <alignment horizontal="center" vertical="center"/>
    </xf>
    <xf applyAlignment="true" applyBorder="false" applyFill="false" applyFont="true" applyNumberFormat="true" applyProtection="false" borderId="0" fillId="0" fontId="5" numFmtId="176" xfId="0">
      <alignment horizontal="center" vertical="center"/>
    </xf>
    <xf applyAlignment="true" applyBorder="false" applyFill="false" applyFont="true" applyNumberFormat="true" applyProtection="false" borderId="0" fillId="0" fontId="5" numFmtId="176" xfId="0">
      <alignment horizontal="center" vertical="center"/>
    </xf>
    <xf applyAlignment="true" applyBorder="false" applyFill="false" applyFont="true" applyNumberFormat="true" applyProtection="false" borderId="0" fillId="0" fontId="5" numFmtId="177" xfId="0">
      <alignment horizontal="center" vertical="center"/>
    </xf>
    <xf applyAlignment="true" applyBorder="false" applyFill="true" applyFont="true" applyNumberFormat="false" applyProtection="false" borderId="11" fillId="11" fontId="1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7" fillId="0" fontId="15" numFmtId="0" xfId="0">
      <alignment horizontal="center" vertical="center"/>
    </xf>
    <xf applyAlignment="true" applyBorder="false" applyFill="true" applyFont="true" applyNumberFormat="false" applyProtection="false" borderId="10" fillId="14" fontId="14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true" applyProtection="false" borderId="15" fillId="0" fontId="2" numFmtId="179" xfId="0">
      <alignment horizontal="center" vertical="center" wrapText="true"/>
    </xf>
    <xf applyAlignment="true" applyBorder="false" applyFill="false" applyFont="true" applyNumberFormat="true" applyProtection="false" borderId="10" fillId="0" fontId="2" numFmtId="179" xfId="0">
      <alignment horizontal="center" vertical="center" wrapText="true"/>
    </xf>
    <xf applyAlignment="true" applyBorder="false" applyFill="false" applyFont="true" applyNumberFormat="true" applyProtection="false" borderId="10" fillId="0" fontId="8" numFmtId="183" xfId="0">
      <alignment horizontal="center" vertical="center"/>
    </xf>
    <xf applyAlignment="true" applyBorder="false" applyFill="false" applyFont="true" applyNumberFormat="true" applyProtection="false" borderId="10" fillId="0" fontId="6" numFmtId="177" xfId="0">
      <alignment horizontal="center" vertical="center"/>
    </xf>
    <xf applyAlignment="true" applyBorder="false" applyFill="true" applyFont="true" applyNumberFormat="false" applyProtection="false" borderId="17" fillId="15" fontId="2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true" applyProtection="false" borderId="11" fillId="0" fontId="2" numFmtId="179" xfId="0">
      <alignment horizontal="center" vertical="center" wrapText="true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true" applyFont="true" applyNumberFormat="true" applyProtection="false" borderId="12" fillId="13" fontId="10" numFmtId="175" xfId="0">
      <alignment horizontal="center" vertical="center"/>
    </xf>
    <xf applyAlignment="true" applyBorder="false" applyFill="true" applyFont="true" applyNumberFormat="true" applyProtection="false" borderId="17" fillId="13" fontId="10" numFmtId="175" xfId="0">
      <alignment horizontal="center" vertical="center"/>
    </xf>
    <xf applyAlignment="true" applyBorder="false" applyFill="true" applyFont="true" applyNumberFormat="true" applyProtection="false" borderId="16" fillId="13" fontId="10" numFmtId="175" xfId="0">
      <alignment horizontal="center" vertical="center"/>
    </xf>
    <xf applyAlignment="true" applyBorder="false" applyFill="true" applyFont="true" applyNumberFormat="true" applyProtection="false" borderId="12" fillId="15" fontId="2" numFmtId="17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17" fillId="0" fontId="5" numFmtId="176" xfId="0">
      <alignment horizontal="center" vertical="center"/>
    </xf>
    <xf applyAlignment="true" applyBorder="false" applyFill="false" applyFont="true" applyNumberFormat="true" applyProtection="false" borderId="15" fillId="0" fontId="5" numFmtId="176" xfId="0">
      <alignment horizontal="center" vertical="center"/>
    </xf>
    <xf applyAlignment="true" applyBorder="false" applyFill="true" applyFont="true" applyNumberFormat="true" applyProtection="false" borderId="10" fillId="13" fontId="10" numFmtId="175" xfId="0">
      <alignment horizontal="center" vertical="center"/>
    </xf>
    <xf applyAlignment="true" applyBorder="false" applyFill="true" applyFont="true" applyNumberFormat="true" applyProtection="false" borderId="11" fillId="14" fontId="1" numFmtId="182" xfId="0">
      <alignment horizontal="center" vertical="center"/>
    </xf>
    <xf applyAlignment="true" applyBorder="false" applyFill="true" applyFont="true" applyNumberFormat="false" applyProtection="false" borderId="12" fillId="14" fontId="1" numFmtId="0" xfId="0">
      <alignment horizontal="center" vertical="center"/>
    </xf>
    <xf applyAlignment="true" applyBorder="false" applyFill="true" applyFont="true" applyNumberFormat="false" applyProtection="false" borderId="0" fillId="16" fontId="16" numFmtId="0" xfId="0">
      <alignment horizontal="center" vertical="center"/>
    </xf>
    <xf applyAlignment="true" applyBorder="false" applyFill="false" applyFont="true" applyNumberFormat="true" applyProtection="false" borderId="0" fillId="0" fontId="3" numFmtId="185" xfId="0">
      <alignment horizontal="righ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76" xfId="0">
      <alignment vertical="center"/>
    </xf>
    <xf applyAlignment="true" applyBorder="false" applyFill="true" applyFont="true" applyNumberFormat="false" applyProtection="false" borderId="0" fillId="17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18" fontId="3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true" applyFont="true" applyNumberFormat="false" applyProtection="false" borderId="0" fillId="19" fontId="3" numFmtId="0" xfId="0">
      <alignment vertical="center"/>
    </xf>
    <xf applyAlignment="true" applyBorder="false" applyFill="true" applyFont="true" applyNumberFormat="true" applyProtection="false" borderId="0" fillId="19" fontId="3" numFmtId="177" xfId="0">
      <alignment vertical="center"/>
    </xf>
    <xf applyAlignment="true" applyBorder="false" applyFill="true" applyFont="true" applyNumberFormat="true" applyProtection="false" borderId="0" fillId="17" fontId="3" numFmtId="177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15" fontId="3" numFmtId="0" xfId="0">
      <alignment vertical="center"/>
    </xf>
    <xf applyAlignment="true" applyBorder="false" applyFill="true" applyFont="true" applyNumberFormat="false" applyProtection="false" borderId="0" fillId="15" fontId="3" numFmtId="0" xfId="0">
      <alignment vertical="center"/>
    </xf>
    <xf applyAlignment="true" applyBorder="false" applyFill="true" applyFont="true" applyNumberFormat="false" applyProtection="false" borderId="18" fillId="20" fontId="1" numFmtId="0" xfId="0">
      <alignment horizontal="center" vertical="center"/>
    </xf>
    <xf applyAlignment="true" applyBorder="false" applyFill="true" applyFont="true" applyNumberFormat="false" applyProtection="false" borderId="18" fillId="20" fontId="1" numFmtId="0" xfId="0">
      <alignment horizontal="center" vertical="center"/>
    </xf>
    <xf applyAlignment="true" applyBorder="false" applyFill="true" applyFont="true" applyNumberFormat="false" applyProtection="false" borderId="18" fillId="21" fontId="1" numFmtId="0" xfId="0">
      <alignment horizontal="center" vertical="center"/>
    </xf>
    <xf applyAlignment="true" applyBorder="false" applyFill="true" applyFont="true" applyNumberFormat="false" applyProtection="false" borderId="19" fillId="20" fontId="1" numFmtId="0" xfId="0">
      <alignment horizontal="center" vertical="center"/>
    </xf>
    <xf applyAlignment="true" applyBorder="false" applyFill="true" applyFont="true" applyNumberFormat="true" applyProtection="false" borderId="18" fillId="20" fontId="1" numFmtId="186" xfId="0">
      <alignment horizontal="center" vertical="center"/>
    </xf>
    <xf applyAlignment="true" applyBorder="false" applyFill="true" applyFont="true" applyNumberFormat="true" applyProtection="false" borderId="18" fillId="20" fontId="1" numFmtId="187" xfId="0">
      <alignment horizontal="center" vertical="center"/>
    </xf>
    <xf applyAlignment="true" applyBorder="false" applyFill="true" applyFont="true" applyNumberFormat="true" applyProtection="false" borderId="18" fillId="21" fontId="1" numFmtId="187" xfId="0">
      <alignment horizontal="center" vertical="center"/>
    </xf>
    <xf applyAlignment="true" applyBorder="false" applyFill="true" applyFont="true" applyNumberFormat="true" applyProtection="false" borderId="20" fillId="21" fontId="1" numFmtId="187" xfId="0">
      <alignment horizontal="center" vertical="center"/>
    </xf>
    <xf applyAlignment="true" applyBorder="false" applyFill="true" applyFont="true" applyNumberFormat="false" applyProtection="false" borderId="20" fillId="21" fontId="1" numFmtId="0" xfId="0">
      <alignment horizontal="center" vertical="center"/>
    </xf>
    <xf applyAlignment="true" applyBorder="false" applyFill="true" applyFont="true" applyNumberFormat="true" applyProtection="false" borderId="19" fillId="21" fontId="1" numFmtId="186" xfId="0">
      <alignment horizontal="center" vertical="center"/>
    </xf>
    <xf applyAlignment="true" applyBorder="false" applyFill="true" applyFont="true" applyNumberFormat="true" applyProtection="false" borderId="21" fillId="21" fontId="1" numFmtId="186" xfId="0">
      <alignment horizontal="center" vertical="center"/>
    </xf>
    <xf applyAlignment="true" applyBorder="false" applyFill="true" applyFont="true" applyNumberFormat="true" applyProtection="false" borderId="22" fillId="20" fontId="1" numFmtId="186" xfId="0">
      <alignment horizontal="center" vertical="center"/>
    </xf>
    <xf applyAlignment="true" applyBorder="false" applyFill="true" applyFont="true" applyNumberFormat="true" applyProtection="false" borderId="22" fillId="20" fontId="1" numFmtId="187" xfId="0">
      <alignment horizontal="center" vertical="center"/>
    </xf>
    <xf applyAlignment="true" applyBorder="false" applyFill="true" applyFont="true" applyNumberFormat="true" applyProtection="false" borderId="22" fillId="20" fontId="1" numFmtId="188" xfId="0">
      <alignment horizontal="center" vertical="center"/>
    </xf>
    <xf applyAlignment="true" applyBorder="false" applyFill="false" applyFont="true" applyNumberFormat="true" applyProtection="false" borderId="23" fillId="0" fontId="2" numFmtId="189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false" applyFont="true" applyNumberFormat="true" applyProtection="false" borderId="18" fillId="0" fontId="2" numFmtId="186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18" fillId="0" fontId="2" numFmtId="190" xfId="0">
      <alignment horizontal="center" vertical="center" wrapText="true"/>
    </xf>
    <xf applyAlignment="true" applyBorder="false" applyFill="false" applyFont="true" applyNumberFormat="true" applyProtection="false" borderId="18" fillId="0" fontId="2" numFmtId="187" xfId="0">
      <alignment horizontal="center" vertical="center"/>
    </xf>
    <xf applyAlignment="true" applyBorder="false" applyFill="false" applyFont="true" applyNumberFormat="true" applyProtection="false" borderId="18" fillId="0" fontId="2" numFmtId="187" xfId="0">
      <alignment horizontal="center" vertical="center"/>
    </xf>
    <xf applyAlignment="true" applyBorder="false" applyFill="false" applyFont="true" applyNumberFormat="true" applyProtection="false" borderId="20" fillId="0" fontId="2" numFmtId="191" xfId="0">
      <alignment horizontal="center" vertical="center"/>
    </xf>
    <xf applyAlignment="true" applyBorder="false" applyFill="false" applyFont="true" applyNumberFormat="true" applyProtection="false" borderId="18" fillId="0" fontId="4" numFmtId="192" xfId="0">
      <alignment horizontal="center" vertical="center"/>
    </xf>
    <xf applyAlignment="true" applyBorder="false" applyFill="false" applyFont="true" applyNumberFormat="true" applyProtection="false" borderId="20" fillId="0" fontId="4" numFmtId="192" xfId="0">
      <alignment horizontal="center" vertical="center"/>
    </xf>
    <xf applyAlignment="true" applyBorder="false" applyFill="false" applyFont="true" applyNumberFormat="true" applyProtection="false" borderId="18" fillId="0" fontId="5" numFmtId="187" xfId="0">
      <alignment horizontal="center" vertical="center"/>
    </xf>
    <xf applyAlignment="true" applyBorder="false" applyFill="false" applyFont="true" applyNumberFormat="true" applyProtection="false" borderId="18" fillId="0" fontId="6" numFmtId="193" xfId="0">
      <alignment horizontal="center" vertical="center"/>
    </xf>
    <xf applyAlignment="true" applyBorder="false" applyFill="false" applyFont="true" applyNumberFormat="true" applyProtection="false" borderId="18" fillId="0" fontId="7" numFmtId="193" xfId="0">
      <alignment horizontal="center" vertical="center"/>
    </xf>
    <xf applyAlignment="true" applyBorder="false" applyFill="false" applyFont="true" applyNumberFormat="true" applyProtection="false" borderId="18" fillId="0" fontId="5" numFmtId="193" xfId="0">
      <alignment horizontal="center" vertical="center"/>
    </xf>
    <xf applyAlignment="true" applyBorder="false" applyFill="false" applyFont="true" applyNumberFormat="true" applyProtection="false" borderId="18" fillId="0" fontId="8" numFmtId="194" xfId="0">
      <alignment horizontal="center" vertical="center"/>
    </xf>
    <xf applyAlignment="true" applyBorder="false" applyFill="false" applyFont="true" applyNumberFormat="true" applyProtection="false" borderId="18" fillId="0" fontId="6" numFmtId="188" xfId="0">
      <alignment horizontal="center" vertical="center"/>
    </xf>
    <xf applyAlignment="true" applyBorder="false" applyFill="false" applyFont="true" applyNumberFormat="false" applyProtection="false" borderId="18" fillId="0" fontId="6" numFmtId="0" xfId="0">
      <alignment horizontal="center" vertical="center"/>
    </xf>
    <xf applyAlignment="true" applyBorder="false" applyFill="false" applyFont="true" applyNumberFormat="false" applyProtection="false" borderId="18" fillId="0" fontId="6" numFmtId="0" xfId="0">
      <alignment horizontal="center" vertical="center"/>
    </xf>
    <xf applyAlignment="true" applyBorder="false" applyFill="false" applyFont="true" applyNumberFormat="true" applyProtection="false" borderId="23" fillId="0" fontId="5" numFmtId="195" xfId="0">
      <alignment horizontal="center" vertical="center"/>
    </xf>
    <xf applyAlignment="true" applyBorder="false" applyFill="false" applyFont="true" applyNumberFormat="true" applyProtection="false" borderId="23" fillId="0" fontId="5" numFmtId="195" xfId="0">
      <alignment horizontal="center" vertical="center"/>
    </xf>
    <xf applyAlignment="true" applyBorder="false" applyFill="false" applyFont="true" applyNumberFormat="true" applyProtection="false" borderId="23" fillId="0" fontId="5" numFmtId="195" xfId="0">
      <alignment horizontal="center" vertical="center"/>
    </xf>
    <xf applyAlignment="true" applyBorder="false" applyFill="false" applyFont="true" applyNumberFormat="true" applyProtection="false" borderId="0" fillId="0" fontId="5" numFmtId="187" xfId="0">
      <alignment horizontal="center" vertical="center"/>
    </xf>
    <xf applyAlignment="true" applyBorder="false" applyFill="true" applyFont="true" applyNumberFormat="false" applyProtection="false" borderId="24" fillId="22" fontId="9" numFmtId="0" xfId="0">
      <alignment horizontal="center" vertical="center"/>
    </xf>
    <xf applyAlignment="true" applyBorder="false" applyFill="true" applyFont="true" applyNumberFormat="false" applyProtection="false" borderId="18" fillId="22" fontId="10" numFmtId="0" xfId="0">
      <alignment horizontal="center" vertical="center"/>
    </xf>
    <xf applyAlignment="true" applyBorder="false" applyFill="true" applyFont="true" applyNumberFormat="true" applyProtection="false" borderId="18" fillId="22" fontId="10" numFmtId="186" xfId="0">
      <alignment horizontal="center" vertical="center"/>
    </xf>
    <xf applyAlignment="true" applyBorder="false" applyFill="true" applyFont="true" applyNumberFormat="true" applyProtection="false" borderId="20" fillId="22" fontId="11" numFmtId="191" xfId="0">
      <alignment horizontal="center" vertical="center"/>
    </xf>
    <xf applyAlignment="true" applyBorder="false" applyFill="true" applyFont="true" applyNumberFormat="true" applyProtection="false" borderId="18" fillId="22" fontId="12" numFmtId="192" xfId="0">
      <alignment horizontal="center" vertical="center"/>
    </xf>
    <xf applyAlignment="true" applyBorder="false" applyFill="true" applyFont="true" applyNumberFormat="true" applyProtection="false" borderId="18" fillId="22" fontId="13" numFmtId="187" xfId="0">
      <alignment horizontal="center" vertical="center"/>
    </xf>
    <xf applyAlignment="true" applyBorder="false" applyFill="true" applyFont="true" applyNumberFormat="true" applyProtection="false" borderId="18" fillId="22" fontId="13" numFmtId="187" xfId="0">
      <alignment horizontal="center" vertical="center"/>
    </xf>
    <xf applyAlignment="true" applyBorder="false" applyFill="true" applyFont="true" applyNumberFormat="true" applyProtection="false" borderId="18" fillId="22" fontId="13" numFmtId="193" xfId="0">
      <alignment horizontal="center" vertical="center"/>
    </xf>
    <xf applyAlignment="true" applyBorder="false" applyFill="true" applyFont="true" applyNumberFormat="true" applyProtection="false" borderId="18" fillId="22" fontId="13" numFmtId="188" xfId="0">
      <alignment horizontal="center" vertical="center"/>
    </xf>
    <xf applyAlignment="true" applyBorder="false" applyFill="true" applyFont="true" applyNumberFormat="true" applyProtection="false" borderId="20" fillId="22" fontId="13" numFmtId="188" xfId="0">
      <alignment horizontal="center" vertical="center"/>
    </xf>
    <xf applyAlignment="true" applyBorder="false" applyFill="false" applyFont="true" applyNumberFormat="true" applyProtection="false" borderId="20" fillId="0" fontId="2" numFmtId="190" xfId="0">
      <alignment horizontal="center" vertical="center" wrapText="true"/>
    </xf>
    <xf applyAlignment="true" applyBorder="false" applyFill="false" applyFont="true" applyNumberFormat="true" applyProtection="false" borderId="25" fillId="0" fontId="5" numFmtId="187" xfId="0">
      <alignment horizontal="center" vertical="center"/>
    </xf>
    <xf applyAlignment="true" applyBorder="false" applyFill="false" applyFont="true" applyNumberFormat="true" applyProtection="false" borderId="24" fillId="0" fontId="2" numFmtId="187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true" applyFont="true" applyNumberFormat="false" applyProtection="false" borderId="18" fillId="23" fontId="1" numFmtId="0" xfId="0">
      <alignment horizontal="center" vertical="center"/>
    </xf>
    <xf applyAlignment="true" applyBorder="false" applyFill="true" applyFont="true" applyNumberFormat="false" applyProtection="false" borderId="18" fillId="23" fontId="1" numFmtId="0" xfId="0">
      <alignment horizontal="center" vertical="center"/>
    </xf>
    <xf applyAlignment="true" applyBorder="false" applyFill="true" applyFont="true" applyNumberFormat="true" applyProtection="false" borderId="18" fillId="23" fontId="1" numFmtId="190" xfId="0">
      <alignment horizontal="center" vertical="center"/>
    </xf>
    <xf applyAlignment="true" applyBorder="false" applyFill="true" applyFont="true" applyNumberFormat="true" applyProtection="false" borderId="18" fillId="23" fontId="1" numFmtId="187" xfId="0">
      <alignment horizontal="center" vertical="center"/>
    </xf>
    <xf applyAlignment="true" applyBorder="false" applyFill="true" applyFont="true" applyNumberFormat="true" applyProtection="false" borderId="18" fillId="23" fontId="1" numFmtId="193" xfId="0">
      <alignment horizontal="center" vertical="center"/>
    </xf>
    <xf applyAlignment="true" applyBorder="false" applyFill="true" applyFont="true" applyNumberFormat="true" applyProtection="false" borderId="19" fillId="23" fontId="1" numFmtId="193" xfId="0">
      <alignment horizontal="center" vertical="center"/>
    </xf>
    <xf applyAlignment="true" applyBorder="false" applyFill="true" applyFont="true" applyNumberFormat="true" applyProtection="false" borderId="19" fillId="22" fontId="10" numFmtId="186" xfId="0">
      <alignment horizontal="center" vertical="center"/>
    </xf>
    <xf applyAlignment="true" applyBorder="false" applyFill="true" applyFont="true" applyNumberFormat="true" applyProtection="false" borderId="22" fillId="22" fontId="10" numFmtId="186" xfId="0">
      <alignment horizontal="center" vertical="center"/>
    </xf>
    <xf applyAlignment="true" applyBorder="false" applyFill="false" applyFont="true" applyNumberFormat="false" applyProtection="false" borderId="25" fillId="0" fontId="3" numFmtId="0" xfId="0">
      <alignment horizontal="center" vertical="center"/>
    </xf>
    <xf applyAlignment="true" applyBorder="false" applyFill="false" applyFont="true" applyNumberFormat="true" applyProtection="false" borderId="24" fillId="0" fontId="2" numFmtId="190" xfId="0">
      <alignment horizontal="center" vertical="center" wrapText="true"/>
    </xf>
    <xf applyAlignment="true" applyBorder="false" applyFill="false" applyFont="true" applyNumberFormat="true" applyProtection="false" borderId="22" fillId="0" fontId="2" numFmtId="190" xfId="0">
      <alignment horizontal="center" vertical="center" wrapText="true"/>
    </xf>
    <xf applyAlignment="true" applyBorder="false" applyFill="true" applyFont="true" applyNumberFormat="true" applyProtection="false" borderId="18" fillId="23" fontId="1" numFmtId="188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true" applyFont="true" applyNumberFormat="true" applyProtection="false" borderId="18" fillId="23" fontId="1" numFmtId="188" xfId="0">
      <alignment horizontal="center" vertical="center"/>
    </xf>
    <xf applyAlignment="true" applyBorder="false" applyFill="true" applyFont="true" applyNumberFormat="false" applyProtection="false" borderId="18" fillId="24" fontId="2" numFmtId="0" xfId="0">
      <alignment horizontal="center" vertical="center"/>
    </xf>
    <xf applyAlignment="true" applyBorder="false" applyFill="false" applyFont="true" applyNumberFormat="true" applyProtection="false" borderId="20" fillId="0" fontId="2" numFmtId="190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horizontal="center" vertical="center" wrapText="true"/>
    </xf>
    <xf applyAlignment="true" applyBorder="false" applyFill="false" applyFont="true" applyNumberFormat="true" applyProtection="false" borderId="23" fillId="0" fontId="5" numFmtId="187" xfId="0">
      <alignment horizontal="center" vertical="center"/>
    </xf>
    <xf applyAlignment="true" applyBorder="false" applyFill="false" applyFont="true" applyNumberFormat="true" applyProtection="false" borderId="18" fillId="0" fontId="8" numFmtId="194" xfId="0">
      <alignment horizontal="center" vertical="center"/>
    </xf>
    <xf applyAlignment="true" applyBorder="false" applyFill="false" applyFont="true" applyNumberFormat="true" applyProtection="false" borderId="18" fillId="0" fontId="6" numFmtId="188" xfId="0">
      <alignment horizontal="center" vertical="center"/>
    </xf>
    <xf applyAlignment="true" applyBorder="false" applyFill="true" applyFont="true" applyNumberFormat="true" applyProtection="false" borderId="18" fillId="22" fontId="10" numFmtId="186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true" applyFont="true" applyNumberFormat="true" applyProtection="false" borderId="19" fillId="22" fontId="13" numFmtId="193" xfId="0">
      <alignment horizontal="center" vertical="center"/>
    </xf>
    <xf applyAlignment="true" applyBorder="false" applyFill="true" applyFont="true" applyNumberFormat="true" applyProtection="false" borderId="19" fillId="22" fontId="13" numFmtId="188" xfId="0">
      <alignment horizontal="center" vertical="center"/>
    </xf>
    <xf applyAlignment="true" applyBorder="false" applyFill="true" applyFont="true" applyNumberFormat="false" applyProtection="false" borderId="20" fillId="23" fontId="1" numFmtId="0" xfId="0">
      <alignment horizontal="center" vertical="center"/>
    </xf>
    <xf applyAlignment="true" applyBorder="false" applyFill="true" applyFont="true" applyNumberFormat="false" applyProtection="false" borderId="25" fillId="23" fontId="1" numFmtId="0" xfId="0">
      <alignment horizontal="center" vertical="center"/>
    </xf>
    <xf applyAlignment="true" applyBorder="false" applyFill="true" applyFont="true" applyNumberFormat="true" applyProtection="false" borderId="25" fillId="23" fontId="1" numFmtId="193" xfId="0">
      <alignment horizontal="center" vertical="center"/>
    </xf>
    <xf applyAlignment="true" applyBorder="false" applyFill="true" applyFont="true" applyNumberFormat="false" applyProtection="false" borderId="25" fillId="23" fontId="1" numFmtId="0" xfId="0">
      <alignment horizontal="center" vertical="center"/>
    </xf>
    <xf applyAlignment="true" applyBorder="false" applyFill="true" applyFont="true" applyNumberFormat="false" applyProtection="false" borderId="24" fillId="23" fontId="1" numFmtId="0" xfId="0">
      <alignment horizontal="center" vertical="center"/>
    </xf>
    <xf applyAlignment="true" applyBorder="false" applyFill="false" applyFont="true" applyNumberFormat="true" applyProtection="false" borderId="20" fillId="0" fontId="2" numFmtId="186" xfId="0">
      <alignment horizontal="center" vertical="center"/>
    </xf>
    <xf applyAlignment="true" applyBorder="false" applyFill="false" applyFont="true" applyNumberFormat="true" applyProtection="false" borderId="25" fillId="0" fontId="2" numFmtId="190" xfId="0">
      <alignment horizontal="center" vertical="center" wrapText="true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5" numFmtId="187" xfId="0">
      <alignment horizontal="center" vertical="center"/>
    </xf>
    <xf applyAlignment="true" applyBorder="false" applyFill="false" applyFont="true" applyNumberFormat="true" applyProtection="false" borderId="0" fillId="0" fontId="3" numFmtId="187" xfId="0">
      <alignment vertical="center"/>
    </xf>
    <xf applyAlignment="true" applyBorder="false" applyFill="true" applyFont="true" applyNumberFormat="false" applyProtection="false" borderId="0" fillId="25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true" applyFont="true" applyNumberFormat="false" applyProtection="false" borderId="0" fillId="26" fontId="3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true" applyFont="true" applyNumberFormat="false" applyProtection="false" borderId="0" fillId="27" fontId="3" numFmtId="0" xfId="0">
      <alignment vertical="center"/>
    </xf>
    <xf applyAlignment="true" applyBorder="false" applyFill="true" applyFont="true" applyNumberFormat="true" applyProtection="false" borderId="0" fillId="27" fontId="3" numFmtId="188" xfId="0">
      <alignment vertical="center"/>
    </xf>
    <xf applyAlignment="true" applyBorder="false" applyFill="true" applyFont="true" applyNumberFormat="true" applyProtection="false" borderId="0" fillId="25" fontId="3" numFmtId="188" xfId="0">
      <alignment vertical="center"/>
    </xf>
    <xf applyAlignment="true" applyBorder="false" applyFill="true" applyFont="true" applyNumberFormat="false" applyProtection="false" borderId="0" fillId="28" fontId="19" numFmtId="0" xfId="0">
      <alignment horizontal="right" vertical="center" wrapText="true"/>
    </xf>
    <xf applyAlignment="true" applyBorder="false" applyFill="true" applyFont="true" applyNumberFormat="false" applyProtection="false" borderId="26" fillId="29" fontId="1" numFmtId="0" xfId="0">
      <alignment horizontal="center" vertical="center"/>
    </xf>
    <xf applyAlignment="true" applyBorder="false" applyFill="true" applyFont="true" applyNumberFormat="false" applyProtection="false" borderId="26" fillId="29" fontId="1" numFmtId="0" xfId="0">
      <alignment horizontal="center" vertical="center"/>
    </xf>
    <xf applyAlignment="true" applyBorder="false" applyFill="true" applyFont="true" applyNumberFormat="false" applyProtection="false" borderId="26" fillId="30" fontId="1" numFmtId="0" xfId="0">
      <alignment horizontal="center" vertical="center"/>
    </xf>
    <xf applyAlignment="true" applyBorder="false" applyFill="true" applyFont="true" applyNumberFormat="true" applyProtection="false" borderId="26" fillId="29" fontId="1" numFmtId="196" xfId="0">
      <alignment horizontal="center" vertical="center"/>
    </xf>
    <xf applyAlignment="true" applyBorder="false" applyFill="true" applyFont="true" applyNumberFormat="true" applyProtection="false" borderId="26" fillId="29" fontId="1" numFmtId="197" xfId="0">
      <alignment horizontal="center" vertical="center"/>
    </xf>
    <xf applyAlignment="true" applyBorder="false" applyFill="true" applyFont="true" applyNumberFormat="true" applyProtection="false" borderId="26" fillId="30" fontId="1" numFmtId="197" xfId="0">
      <alignment horizontal="center" vertical="center"/>
    </xf>
    <xf applyAlignment="true" applyBorder="false" applyFill="true" applyFont="true" applyNumberFormat="true" applyProtection="false" borderId="27" fillId="30" fontId="1" numFmtId="197" xfId="0">
      <alignment horizontal="center" vertical="center"/>
    </xf>
    <xf applyAlignment="true" applyBorder="false" applyFill="true" applyFont="true" applyNumberFormat="false" applyProtection="false" borderId="27" fillId="30" fontId="1" numFmtId="0" xfId="0">
      <alignment horizontal="center" vertical="center"/>
    </xf>
    <xf applyAlignment="true" applyBorder="false" applyFill="true" applyFont="true" applyNumberFormat="true" applyProtection="false" borderId="28" fillId="30" fontId="1" numFmtId="196" xfId="0">
      <alignment horizontal="center" vertical="center"/>
    </xf>
    <xf applyAlignment="true" applyBorder="false" applyFill="true" applyFont="true" applyNumberFormat="true" applyProtection="false" borderId="29" fillId="30" fontId="1" numFmtId="196" xfId="0">
      <alignment horizontal="center" vertical="center"/>
    </xf>
    <xf applyAlignment="true" applyBorder="false" applyFill="true" applyFont="true" applyNumberFormat="true" applyProtection="false" borderId="30" fillId="29" fontId="1" numFmtId="196" xfId="0">
      <alignment horizontal="center" vertical="center"/>
    </xf>
    <xf applyAlignment="true" applyBorder="false" applyFill="true" applyFont="true" applyNumberFormat="true" applyProtection="false" borderId="30" fillId="29" fontId="1" numFmtId="197" xfId="0">
      <alignment horizontal="center" vertical="center"/>
    </xf>
    <xf applyAlignment="true" applyBorder="false" applyFill="true" applyFont="true" applyNumberFormat="true" applyProtection="false" borderId="30" fillId="29" fontId="1" numFmtId="198" xfId="0">
      <alignment horizontal="center" vertical="center"/>
    </xf>
    <xf applyAlignment="true" applyBorder="false" applyFill="false" applyFont="true" applyNumberFormat="true" applyProtection="false" borderId="31" fillId="0" fontId="2" numFmtId="199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true" applyProtection="false" borderId="26" fillId="0" fontId="2" numFmtId="196" xfId="0">
      <alignment horizontal="center" vertical="center"/>
    </xf>
    <xf applyAlignment="true" applyBorder="false" applyFill="false" applyFont="true" applyNumberFormat="true" applyProtection="false" borderId="26" fillId="0" fontId="2" numFmtId="200" xfId="0">
      <alignment horizontal="center" vertical="center" wrapText="true"/>
    </xf>
    <xf applyAlignment="true" applyBorder="false" applyFill="false" applyFont="true" applyNumberFormat="true" applyProtection="false" borderId="26" fillId="0" fontId="2" numFmtId="197" xfId="0">
      <alignment horizontal="center" vertical="center"/>
    </xf>
    <xf applyAlignment="true" applyBorder="false" applyFill="false" applyFont="true" applyNumberFormat="true" applyProtection="false" borderId="26" fillId="0" fontId="2" numFmtId="197" xfId="0">
      <alignment horizontal="center" vertical="center"/>
    </xf>
    <xf applyAlignment="true" applyBorder="false" applyFill="false" applyFont="true" applyNumberFormat="true" applyProtection="false" borderId="27" fillId="0" fontId="2" numFmtId="201" xfId="0">
      <alignment horizontal="center" vertical="center"/>
    </xf>
    <xf applyAlignment="true" applyBorder="false" applyFill="false" applyFont="true" applyNumberFormat="true" applyProtection="false" borderId="26" fillId="0" fontId="4" numFmtId="202" xfId="0">
      <alignment horizontal="center" vertical="center"/>
    </xf>
    <xf applyAlignment="true" applyBorder="false" applyFill="false" applyFont="true" applyNumberFormat="true" applyProtection="false" borderId="27" fillId="0" fontId="4" numFmtId="202" xfId="0">
      <alignment horizontal="center" vertical="center"/>
    </xf>
    <xf applyAlignment="true" applyBorder="false" applyFill="false" applyFont="true" applyNumberFormat="true" applyProtection="false" borderId="26" fillId="0" fontId="5" numFmtId="197" xfId="0">
      <alignment horizontal="center" vertical="center"/>
    </xf>
    <xf applyAlignment="true" applyBorder="false" applyFill="false" applyFont="true" applyNumberFormat="true" applyProtection="false" borderId="26" fillId="0" fontId="6" numFmtId="203" xfId="0">
      <alignment horizontal="center" vertical="center"/>
    </xf>
    <xf applyAlignment="true" applyBorder="false" applyFill="false" applyFont="true" applyNumberFormat="true" applyProtection="false" borderId="26" fillId="0" fontId="7" numFmtId="203" xfId="0">
      <alignment horizontal="center" vertical="center"/>
    </xf>
    <xf applyAlignment="true" applyBorder="false" applyFill="false" applyFont="true" applyNumberFormat="true" applyProtection="false" borderId="26" fillId="0" fontId="5" numFmtId="203" xfId="0">
      <alignment horizontal="center" vertical="center"/>
    </xf>
    <xf applyAlignment="true" applyBorder="false" applyFill="false" applyFont="true" applyNumberFormat="true" applyProtection="false" borderId="26" fillId="0" fontId="8" numFmtId="204" xfId="0">
      <alignment horizontal="center" vertical="center"/>
    </xf>
    <xf applyAlignment="true" applyBorder="false" applyFill="false" applyFont="true" applyNumberFormat="true" applyProtection="false" borderId="26" fillId="0" fontId="8" numFmtId="204" xfId="0">
      <alignment horizontal="center" vertical="center"/>
    </xf>
    <xf applyAlignment="true" applyBorder="false" applyFill="false" applyFont="true" applyNumberFormat="true" applyProtection="false" borderId="26" fillId="0" fontId="6" numFmtId="198" xfId="0">
      <alignment horizontal="center" vertical="center"/>
    </xf>
    <xf applyAlignment="true" applyBorder="false" applyFill="false" applyFont="true" applyNumberFormat="false" applyProtection="false" borderId="26" fillId="0" fontId="6" numFmtId="0" xfId="0">
      <alignment horizontal="center" vertical="center"/>
    </xf>
    <xf applyAlignment="true" applyBorder="false" applyFill="false" applyFont="true" applyNumberFormat="false" applyProtection="false" borderId="27" fillId="0" fontId="6" numFmtId="0" xfId="0">
      <alignment horizontal="center" vertical="center"/>
    </xf>
    <xf applyAlignment="true" applyBorder="false" applyFill="false" applyFont="true" applyNumberFormat="true" applyProtection="false" borderId="31" fillId="0" fontId="5" numFmtId="205" xfId="0">
      <alignment horizontal="center" vertical="center"/>
    </xf>
    <xf applyAlignment="true" applyBorder="false" applyFill="false" applyFont="true" applyNumberFormat="true" applyProtection="false" borderId="31" fillId="0" fontId="5" numFmtId="205" xfId="0">
      <alignment horizontal="center" vertical="center"/>
    </xf>
    <xf applyAlignment="true" applyBorder="false" applyFill="false" applyFont="true" applyNumberFormat="true" applyProtection="false" borderId="31" fillId="0" fontId="5" numFmtId="205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true" applyFont="true" applyNumberFormat="false" applyProtection="false" borderId="32" fillId="31" fontId="9" numFmtId="0" xfId="0">
      <alignment horizontal="center" vertical="center"/>
    </xf>
    <xf applyAlignment="true" applyBorder="false" applyFill="true" applyFont="true" applyNumberFormat="false" applyProtection="false" borderId="26" fillId="31" fontId="10" numFmtId="0" xfId="0">
      <alignment horizontal="center" vertical="center"/>
    </xf>
    <xf applyAlignment="true" applyBorder="false" applyFill="true" applyFont="true" applyNumberFormat="true" applyProtection="false" borderId="26" fillId="31" fontId="10" numFmtId="196" xfId="0">
      <alignment horizontal="center" vertical="center"/>
    </xf>
    <xf applyAlignment="true" applyBorder="false" applyFill="true" applyFont="true" applyNumberFormat="true" applyProtection="false" borderId="27" fillId="31" fontId="11" numFmtId="201" xfId="0">
      <alignment horizontal="center" vertical="center"/>
    </xf>
    <xf applyAlignment="true" applyBorder="false" applyFill="true" applyFont="true" applyNumberFormat="true" applyProtection="false" borderId="26" fillId="31" fontId="12" numFmtId="202" xfId="0">
      <alignment horizontal="center" vertical="center"/>
    </xf>
    <xf applyAlignment="true" applyBorder="false" applyFill="true" applyFont="true" applyNumberFormat="true" applyProtection="false" borderId="26" fillId="31" fontId="13" numFmtId="197" xfId="0">
      <alignment horizontal="center" vertical="center"/>
    </xf>
    <xf applyAlignment="true" applyBorder="false" applyFill="true" applyFont="true" applyNumberFormat="true" applyProtection="false" borderId="26" fillId="31" fontId="13" numFmtId="197" xfId="0">
      <alignment horizontal="center" vertical="center"/>
    </xf>
    <xf applyAlignment="true" applyBorder="false" applyFill="true" applyFont="true" applyNumberFormat="true" applyProtection="false" borderId="26" fillId="31" fontId="13" numFmtId="203" xfId="0">
      <alignment horizontal="center" vertical="center"/>
    </xf>
    <xf applyAlignment="true" applyBorder="false" applyFill="true" applyFont="true" applyNumberFormat="true" applyProtection="false" borderId="26" fillId="31" fontId="13" numFmtId="198" xfId="0">
      <alignment horizontal="center" vertical="center"/>
    </xf>
    <xf applyAlignment="true" applyBorder="false" applyFill="true" applyFont="true" applyNumberFormat="true" applyProtection="false" borderId="27" fillId="31" fontId="13" numFmtId="198" xfId="0">
      <alignment horizontal="center" vertical="center"/>
    </xf>
    <xf applyAlignment="true" applyBorder="false" applyFill="true" applyFont="true" applyNumberFormat="false" applyProtection="false" borderId="26" fillId="32" fontId="1" numFmtId="0" xfId="0">
      <alignment horizontal="center" vertical="center"/>
    </xf>
    <xf applyAlignment="true" applyBorder="false" applyFill="true" applyFont="true" applyNumberFormat="false" applyProtection="false" borderId="26" fillId="32" fontId="1" numFmtId="0" xfId="0">
      <alignment horizontal="center" vertical="center"/>
    </xf>
    <xf applyAlignment="true" applyBorder="false" applyFill="true" applyFont="true" applyNumberFormat="false" applyProtection="false" borderId="26" fillId="32" fontId="14" numFmtId="0" xfId="0">
      <alignment horizontal="center" vertical="center"/>
    </xf>
    <xf applyAlignment="true" applyBorder="false" applyFill="true" applyFont="true" applyNumberFormat="true" applyProtection="false" borderId="26" fillId="32" fontId="1" numFmtId="197" xfId="0">
      <alignment horizontal="center" vertical="center"/>
    </xf>
    <xf applyAlignment="true" applyBorder="false" applyFill="true" applyFont="true" applyNumberFormat="true" applyProtection="false" borderId="26" fillId="32" fontId="1" numFmtId="203" xfId="0">
      <alignment horizontal="center" vertical="center"/>
    </xf>
    <xf applyAlignment="true" applyBorder="false" applyFill="true" applyFont="true" applyNumberFormat="true" applyProtection="false" borderId="28" fillId="32" fontId="1" numFmtId="205" xfId="0">
      <alignment horizontal="center" vertical="center"/>
    </xf>
    <xf applyAlignment="true" applyBorder="false" applyFill="true" applyFont="true" applyNumberFormat="true" applyProtection="false" borderId="28" fillId="32" fontId="1" numFmtId="198" xfId="0">
      <alignment horizontal="center" vertical="center"/>
    </xf>
    <xf applyAlignment="true" applyBorder="false" applyFill="true" applyFont="true" applyNumberFormat="true" applyProtection="false" borderId="28" fillId="32" fontId="1" numFmtId="203" xfId="0">
      <alignment horizontal="center" vertical="center"/>
    </xf>
    <xf applyAlignment="true" applyBorder="false" applyFill="false" applyFont="true" applyNumberFormat="true" applyProtection="false" borderId="0" fillId="0" fontId="5" numFmtId="197" xfId="0">
      <alignment horizontal="center" vertical="center"/>
    </xf>
    <xf applyAlignment="true" applyBorder="false" applyFill="false" applyFont="true" applyNumberFormat="true" applyProtection="false" borderId="0" fillId="0" fontId="5" numFmtId="197" xfId="0">
      <alignment horizontal="center" vertical="center"/>
    </xf>
    <xf applyAlignment="true" applyBorder="false" applyFill="false" applyFont="true" applyNumberFormat="false" applyProtection="false" borderId="26" fillId="0" fontId="6" numFmtId="0" xfId="0">
      <alignment horizontal="center" vertical="center"/>
    </xf>
    <xf applyAlignment="true" applyBorder="false" applyFill="true" applyFont="true" applyNumberFormat="true" applyProtection="false" borderId="26" fillId="32" fontId="1" numFmtId="20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28" fillId="31" fontId="10" numFmtId="196" xfId="0">
      <alignment horizontal="center" vertical="center"/>
    </xf>
    <xf applyAlignment="true" applyBorder="false" applyFill="false" applyFont="true" applyNumberFormat="true" applyProtection="false" borderId="27" fillId="0" fontId="2" numFmtId="200" xfId="0">
      <alignment horizontal="center" vertical="center" wrapText="true"/>
    </xf>
    <xf applyAlignment="true" applyBorder="false" applyFill="false" applyFont="true" applyNumberFormat="true" applyProtection="false" borderId="33" fillId="0" fontId="5" numFmtId="197" xfId="0">
      <alignment horizontal="center" vertical="center"/>
    </xf>
    <xf applyAlignment="true" applyBorder="false" applyFill="false" applyFont="true" applyNumberFormat="true" applyProtection="false" borderId="32" fillId="0" fontId="2" numFmtId="197" xfId="0">
      <alignment horizontal="center" vertical="center"/>
    </xf>
    <xf applyAlignment="true" applyBorder="false" applyFill="true" applyFont="true" applyNumberFormat="true" applyProtection="false" borderId="30" fillId="31" fontId="10" numFmtId="196" xfId="0">
      <alignment horizontal="center" vertical="center"/>
    </xf>
    <xf applyAlignment="true" applyBorder="false" applyFill="true" applyFont="true" applyNumberFormat="false" applyProtection="false" borderId="28" fillId="30" fontId="1" numFmtId="0" xfId="0">
      <alignment horizontal="center" vertical="center"/>
    </xf>
    <xf applyAlignment="true" applyBorder="false" applyFill="true" applyFont="true" applyNumberFormat="false" applyProtection="false" borderId="0" fillId="33" fontId="17" numFmtId="0" xfId="0">
      <alignment horizontal="right" vertical="center"/>
    </xf>
    <xf applyAlignment="true" applyBorder="false" applyFill="true" applyFont="true" applyNumberFormat="false" applyProtection="false" borderId="0" fillId="33" fontId="3" numFmtId="0" xfId="0">
      <alignment vertical="center"/>
    </xf>
    <xf applyAlignment="true" applyBorder="false" applyFill="true" applyFont="true" applyNumberFormat="false" applyProtection="false" borderId="0" fillId="34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right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horizontal="right" vertical="center"/>
    </xf>
    <xf applyAlignment="true" applyBorder="false" applyFill="true" applyFont="true" applyNumberFormat="false" applyProtection="false" borderId="0" fillId="35" fontId="20" numFmtId="0" xfId="0">
      <alignment horizontal="right" vertical="center" wrapText="true"/>
    </xf>
    <xf applyAlignment="true" applyBorder="false" applyFill="true" applyFont="true" applyNumberFormat="false" applyProtection="false" borderId="0" fillId="36" fontId="3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true" applyFont="true" applyNumberFormat="false" applyProtection="false" borderId="0" fillId="37" fontId="3" numFmtId="0" xfId="0">
      <alignment vertical="center"/>
    </xf>
    <xf applyAlignment="true" applyBorder="false" applyFill="true" applyFont="true" applyNumberFormat="true" applyProtection="false" borderId="0" fillId="37" fontId="3" numFmtId="198" xfId="0">
      <alignment vertical="center"/>
    </xf>
    <xf applyAlignment="true" applyBorder="false" applyFill="true" applyFont="true" applyNumberFormat="false" applyProtection="false" borderId="0" fillId="38" fontId="20" numFmtId="0" xfId="0">
      <alignment horizontal="right" vertical="center" wrapText="true"/>
    </xf>
    <xf applyAlignment="true" applyBorder="false" applyFill="true" applyFont="true" applyNumberFormat="false" applyProtection="false" borderId="0" fillId="34" fontId="21" numFmtId="0" xfId="0">
      <alignment vertical="center"/>
    </xf>
    <xf applyAlignment="true" applyBorder="false" applyFill="true" applyFont="true" applyNumberFormat="false" applyProtection="false" borderId="0" fillId="34" fontId="21" numFmtId="0" xfId="0">
      <alignment horizontal="center" vertical="center"/>
    </xf>
    <xf applyAlignment="true" applyBorder="false" applyFill="true" applyFont="true" applyNumberFormat="false" applyProtection="false" borderId="34" fillId="39" fontId="1" numFmtId="0" xfId="0">
      <alignment horizontal="center" vertical="center"/>
    </xf>
    <xf applyAlignment="true" applyBorder="false" applyFill="true" applyFont="true" applyNumberFormat="false" applyProtection="false" borderId="34" fillId="39" fontId="1" numFmtId="0" xfId="0">
      <alignment horizontal="center" vertical="center"/>
    </xf>
    <xf applyAlignment="true" applyBorder="false" applyFill="true" applyFont="true" applyNumberFormat="false" applyProtection="false" borderId="34" fillId="40" fontId="1" numFmtId="0" xfId="0">
      <alignment horizontal="center" vertical="center"/>
    </xf>
    <xf applyAlignment="true" applyBorder="false" applyFill="true" applyFont="true" applyNumberFormat="true" applyProtection="false" borderId="34" fillId="39" fontId="1" numFmtId="206" xfId="0">
      <alignment horizontal="center" vertical="center"/>
    </xf>
    <xf applyAlignment="true" applyBorder="false" applyFill="true" applyFont="true" applyNumberFormat="true" applyProtection="false" borderId="34" fillId="39" fontId="1" numFmtId="207" xfId="0">
      <alignment horizontal="center" vertical="center"/>
    </xf>
    <xf applyAlignment="true" applyBorder="false" applyFill="true" applyFont="true" applyNumberFormat="true" applyProtection="false" borderId="34" fillId="40" fontId="1" numFmtId="207" xfId="0">
      <alignment horizontal="center" vertical="center"/>
    </xf>
    <xf applyAlignment="true" applyBorder="false" applyFill="true" applyFont="true" applyNumberFormat="true" applyProtection="false" borderId="35" fillId="40" fontId="1" numFmtId="207" xfId="0">
      <alignment horizontal="center" vertical="center"/>
    </xf>
    <xf applyAlignment="true" applyBorder="false" applyFill="true" applyFont="true" applyNumberFormat="false" applyProtection="false" borderId="35" fillId="40" fontId="1" numFmtId="0" xfId="0">
      <alignment horizontal="center" vertical="center"/>
    </xf>
    <xf applyAlignment="true" applyBorder="false" applyFill="true" applyFont="true" applyNumberFormat="true" applyProtection="false" borderId="36" fillId="40" fontId="1" numFmtId="206" xfId="0">
      <alignment horizontal="center" vertical="center"/>
    </xf>
    <xf applyAlignment="true" applyBorder="false" applyFill="true" applyFont="true" applyNumberFormat="true" applyProtection="false" borderId="37" fillId="40" fontId="1" numFmtId="206" xfId="0">
      <alignment horizontal="center" vertical="center"/>
    </xf>
    <xf applyAlignment="true" applyBorder="false" applyFill="true" applyFont="true" applyNumberFormat="true" applyProtection="false" borderId="38" fillId="39" fontId="1" numFmtId="206" xfId="0">
      <alignment horizontal="center" vertical="center"/>
    </xf>
    <xf applyAlignment="true" applyBorder="false" applyFill="true" applyFont="true" applyNumberFormat="true" applyProtection="false" borderId="38" fillId="39" fontId="1" numFmtId="207" xfId="0">
      <alignment horizontal="center" vertical="center"/>
    </xf>
    <xf applyAlignment="true" applyBorder="false" applyFill="true" applyFont="true" applyNumberFormat="true" applyProtection="false" borderId="38" fillId="39" fontId="1" numFmtId="208" xfId="0">
      <alignment horizontal="center" vertical="center"/>
    </xf>
    <xf applyAlignment="true" applyBorder="false" applyFill="false" applyFont="true" applyNumberFormat="true" applyProtection="false" borderId="39" fillId="0" fontId="2" numFmtId="209" xfId="0">
      <alignment horizontal="center" vertical="center"/>
    </xf>
    <xf applyAlignment="true" applyBorder="false" applyFill="false" applyFont="true" applyNumberFormat="false" applyProtection="false" borderId="40" fillId="0" fontId="2" numFmtId="0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false" applyFont="true" applyNumberFormat="true" applyProtection="false" borderId="34" fillId="0" fontId="2" numFmtId="206" xfId="0">
      <alignment horizontal="center" vertical="center"/>
    </xf>
    <xf applyAlignment="true" applyBorder="false" applyFill="false" applyFont="true" applyNumberFormat="true" applyProtection="false" borderId="34" fillId="0" fontId="2" numFmtId="210" xfId="0">
      <alignment horizontal="center" vertical="center" wrapText="true"/>
    </xf>
    <xf applyAlignment="true" applyBorder="false" applyFill="false" applyFont="true" applyNumberFormat="true" applyProtection="false" borderId="34" fillId="0" fontId="2" numFmtId="207" xfId="0">
      <alignment horizontal="center" vertical="center"/>
    </xf>
    <xf applyAlignment="true" applyBorder="false" applyFill="false" applyFont="true" applyNumberFormat="true" applyProtection="false" borderId="34" fillId="0" fontId="2" numFmtId="207" xfId="0">
      <alignment horizontal="center" vertical="center"/>
    </xf>
    <xf applyAlignment="true" applyBorder="false" applyFill="false" applyFont="true" applyNumberFormat="true" applyProtection="false" borderId="35" fillId="0" fontId="2" numFmtId="211" xfId="0">
      <alignment horizontal="center" vertical="center"/>
    </xf>
    <xf applyAlignment="true" applyBorder="false" applyFill="false" applyFont="true" applyNumberFormat="true" applyProtection="false" borderId="34" fillId="0" fontId="4" numFmtId="212" xfId="0">
      <alignment horizontal="center" vertical="center"/>
    </xf>
    <xf applyAlignment="true" applyBorder="false" applyFill="false" applyFont="true" applyNumberFormat="true" applyProtection="false" borderId="35" fillId="0" fontId="4" numFmtId="212" xfId="0">
      <alignment horizontal="center" vertical="center"/>
    </xf>
    <xf applyAlignment="true" applyBorder="false" applyFill="false" applyFont="true" applyNumberFormat="true" applyProtection="false" borderId="34" fillId="0" fontId="5" numFmtId="207" xfId="0">
      <alignment horizontal="center" vertical="center"/>
    </xf>
    <xf applyAlignment="true" applyBorder="false" applyFill="false" applyFont="true" applyNumberFormat="true" applyProtection="false" borderId="34" fillId="0" fontId="6" numFmtId="213" xfId="0">
      <alignment horizontal="center" vertical="center"/>
    </xf>
    <xf applyAlignment="true" applyBorder="false" applyFill="false" applyFont="true" applyNumberFormat="true" applyProtection="false" borderId="34" fillId="0" fontId="7" numFmtId="213" xfId="0">
      <alignment horizontal="center" vertical="center"/>
    </xf>
    <xf applyAlignment="true" applyBorder="false" applyFill="false" applyFont="true" applyNumberFormat="true" applyProtection="false" borderId="34" fillId="0" fontId="5" numFmtId="213" xfId="0">
      <alignment horizontal="center" vertical="center"/>
    </xf>
    <xf applyAlignment="true" applyBorder="false" applyFill="false" applyFont="true" applyNumberFormat="true" applyProtection="false" borderId="34" fillId="0" fontId="8" numFmtId="214" xfId="0">
      <alignment horizontal="center" vertical="center"/>
    </xf>
    <xf applyAlignment="true" applyBorder="false" applyFill="false" applyFont="true" applyNumberFormat="true" applyProtection="false" borderId="34" fillId="0" fontId="8" numFmtId="214" xfId="0">
      <alignment horizontal="center" vertical="center"/>
    </xf>
    <xf applyAlignment="true" applyBorder="false" applyFill="false" applyFont="true" applyNumberFormat="true" applyProtection="false" borderId="34" fillId="0" fontId="6" numFmtId="208" xfId="0">
      <alignment horizontal="center" vertical="center"/>
    </xf>
    <xf applyAlignment="true" applyBorder="false" applyFill="false" applyFont="true" applyNumberFormat="false" applyProtection="false" borderId="34" fillId="0" fontId="6" numFmtId="0" xfId="0">
      <alignment horizontal="center" vertical="center"/>
    </xf>
    <xf applyAlignment="true" applyBorder="false" applyFill="false" applyFont="true" applyNumberFormat="false" applyProtection="false" borderId="35" fillId="0" fontId="6" numFmtId="0" xfId="0">
      <alignment horizontal="center" vertical="center"/>
    </xf>
    <xf applyAlignment="true" applyBorder="false" applyFill="false" applyFont="true" applyNumberFormat="true" applyProtection="false" borderId="39" fillId="0" fontId="5" numFmtId="215" xfId="0">
      <alignment horizontal="center" vertical="center"/>
    </xf>
    <xf applyAlignment="true" applyBorder="false" applyFill="false" applyFont="true" applyNumberFormat="true" applyProtection="false" borderId="39" fillId="0" fontId="5" numFmtId="215" xfId="0">
      <alignment horizontal="center" vertical="center"/>
    </xf>
    <xf applyAlignment="true" applyBorder="false" applyFill="false" applyFont="true" applyNumberFormat="true" applyProtection="false" borderId="39" fillId="0" fontId="2" numFmtId="209" xfId="0">
      <alignment horizontal="center" vertical="center"/>
    </xf>
    <xf applyAlignment="true" applyBorder="false" applyFill="false" applyFont="true" applyNumberFormat="true" applyProtection="false" borderId="34" fillId="0" fontId="6" numFmtId="208" xfId="0">
      <alignment horizontal="center" vertical="center"/>
    </xf>
    <xf applyAlignment="true" applyBorder="false" applyFill="true" applyFont="true" applyNumberFormat="false" applyProtection="false" borderId="40" fillId="41" fontId="9" numFmtId="0" xfId="0">
      <alignment horizontal="center" vertical="center"/>
    </xf>
    <xf applyAlignment="true" applyBorder="false" applyFill="true" applyFont="true" applyNumberFormat="false" applyProtection="false" borderId="34" fillId="41" fontId="10" numFmtId="0" xfId="0">
      <alignment horizontal="center" vertical="center"/>
    </xf>
    <xf applyAlignment="true" applyBorder="false" applyFill="true" applyFont="true" applyNumberFormat="true" applyProtection="false" borderId="34" fillId="41" fontId="10" numFmtId="206" xfId="0">
      <alignment horizontal="center" vertical="center"/>
    </xf>
    <xf applyAlignment="true" applyBorder="false" applyFill="true" applyFont="true" applyNumberFormat="true" applyProtection="false" borderId="35" fillId="41" fontId="11" numFmtId="211" xfId="0">
      <alignment horizontal="center" vertical="center"/>
    </xf>
    <xf applyAlignment="true" applyBorder="false" applyFill="true" applyFont="true" applyNumberFormat="true" applyProtection="false" borderId="34" fillId="41" fontId="12" numFmtId="212" xfId="0">
      <alignment horizontal="center" vertical="center"/>
    </xf>
    <xf applyAlignment="true" applyBorder="false" applyFill="true" applyFont="true" applyNumberFormat="true" applyProtection="false" borderId="34" fillId="41" fontId="13" numFmtId="207" xfId="0">
      <alignment horizontal="center" vertical="center"/>
    </xf>
    <xf applyAlignment="true" applyBorder="false" applyFill="true" applyFont="true" applyNumberFormat="true" applyProtection="false" borderId="34" fillId="41" fontId="13" numFmtId="207" xfId="0">
      <alignment horizontal="center" vertical="center"/>
    </xf>
    <xf applyAlignment="true" applyBorder="false" applyFill="true" applyFont="true" applyNumberFormat="true" applyProtection="false" borderId="34" fillId="41" fontId="13" numFmtId="214" xfId="0">
      <alignment horizontal="center" vertical="center"/>
    </xf>
    <xf applyAlignment="true" applyBorder="false" applyFill="true" applyFont="true" applyNumberFormat="true" applyProtection="false" borderId="34" fillId="41" fontId="10" numFmtId="208" xfId="0">
      <alignment horizontal="center" vertical="center"/>
    </xf>
    <xf applyAlignment="true" applyBorder="false" applyFill="true" applyFont="true" applyNumberFormat="true" applyProtection="false" borderId="34" fillId="41" fontId="13" numFmtId="213" xfId="0">
      <alignment horizontal="center" vertical="center"/>
    </xf>
    <xf applyAlignment="true" applyBorder="false" applyFill="true" applyFont="true" applyNumberFormat="true" applyProtection="false" borderId="34" fillId="41" fontId="13" numFmtId="208" xfId="0">
      <alignment horizontal="center" vertical="center"/>
    </xf>
    <xf applyAlignment="true" applyBorder="false" applyFill="true" applyFont="true" applyNumberFormat="true" applyProtection="false" borderId="35" fillId="41" fontId="13" numFmtId="208" xfId="0">
      <alignment horizontal="center" vertical="center"/>
    </xf>
    <xf applyAlignment="true" applyBorder="false" applyFill="true" applyFont="true" applyNumberFormat="true" applyProtection="false" borderId="39" fillId="41" fontId="13" numFmtId="215" xfId="0">
      <alignment horizontal="center" vertical="center"/>
    </xf>
    <xf applyAlignment="true" applyBorder="false" applyFill="true" applyFont="true" applyNumberFormat="false" applyProtection="false" borderId="34" fillId="42" fontId="1" numFmtId="0" xfId="0">
      <alignment horizontal="center" vertical="center"/>
    </xf>
    <xf applyAlignment="true" applyBorder="false" applyFill="true" applyFont="true" applyNumberFormat="false" applyProtection="false" borderId="34" fillId="42" fontId="14" numFmtId="0" xfId="0">
      <alignment horizontal="center" vertical="center"/>
    </xf>
    <xf applyAlignment="true" applyBorder="false" applyFill="true" applyFont="true" applyNumberFormat="true" applyProtection="false" borderId="34" fillId="42" fontId="1" numFmtId="207" xfId="0">
      <alignment horizontal="center" vertical="center"/>
    </xf>
    <xf applyAlignment="true" applyBorder="false" applyFill="true" applyFont="true" applyNumberFormat="true" applyProtection="false" borderId="34" fillId="42" fontId="1" numFmtId="213" xfId="0">
      <alignment horizontal="center" vertical="center"/>
    </xf>
    <xf applyAlignment="true" applyBorder="false" applyFill="true" applyFont="true" applyNumberFormat="true" applyProtection="false" borderId="36" fillId="42" fontId="1" numFmtId="215" xfId="0">
      <alignment horizontal="center" vertical="center"/>
    </xf>
    <xf applyAlignment="true" applyBorder="false" applyFill="true" applyFont="true" applyNumberFormat="true" applyProtection="false" borderId="36" fillId="42" fontId="1" numFmtId="213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false" applyFont="true" applyNumberFormat="true" applyProtection="false" borderId="34" fillId="0" fontId="2" numFmtId="210" xfId="0">
      <alignment horizontal="center" vertical="center" wrapText="true"/>
    </xf>
    <xf applyAlignment="true" applyBorder="false" applyFill="false" applyFont="true" applyNumberFormat="true" applyProtection="false" borderId="39" fillId="0" fontId="5" numFmtId="215" xfId="0">
      <alignment horizontal="center" vertical="center"/>
    </xf>
    <xf applyAlignment="true" applyBorder="false" applyFill="true" applyFont="true" applyNumberFormat="true" applyProtection="false" borderId="36" fillId="42" fontId="1" numFmtId="208" xfId="0">
      <alignment horizontal="center" vertical="center"/>
    </xf>
    <xf applyAlignment="true" applyBorder="false" applyFill="true" applyFont="true" applyNumberFormat="true" applyProtection="false" borderId="34" fillId="41" fontId="13" numFmtId="206" xfId="0">
      <alignment horizontal="center" vertical="center"/>
    </xf>
    <xf applyAlignment="true" applyBorder="false" applyFill="true" applyFont="true" applyNumberFormat="false" applyProtection="false" borderId="34" fillId="42" fontId="1" numFmtId="0" xfId="0">
      <alignment horizontal="center" vertical="center"/>
    </xf>
    <xf applyAlignment="true" applyBorder="false" applyFill="false" applyFont="true" applyNumberFormat="true" applyProtection="false" borderId="34" fillId="0" fontId="6" numFmtId="213" xfId="0">
      <alignment horizontal="center" vertical="center"/>
    </xf>
    <xf applyAlignment="true" applyBorder="false" applyFill="false" applyFont="true" applyNumberFormat="true" applyProtection="false" borderId="34" fillId="0" fontId="8" numFmtId="214" xfId="0">
      <alignment horizontal="center" vertical="center"/>
    </xf>
    <xf applyAlignment="true" applyBorder="false" applyFill="true" applyFont="true" applyNumberFormat="true" applyProtection="false" borderId="34" fillId="41" fontId="13" numFmtId="207" xfId="0">
      <alignment horizontal="center" vertical="center"/>
    </xf>
    <xf applyAlignment="true" applyBorder="false" applyFill="true" applyFont="true" applyNumberFormat="true" applyProtection="false" borderId="34" fillId="41" fontId="10" numFmtId="206" xfId="0">
      <alignment horizontal="center" vertical="center"/>
    </xf>
    <xf applyAlignment="true" applyBorder="false" applyFill="true" applyFont="true" applyNumberFormat="true" applyProtection="false" borderId="36" fillId="42" fontId="1" numFmtId="21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43" fontId="3" numFmtId="0" xfId="0">
      <alignment vertical="center"/>
    </xf>
    <xf applyAlignment="true" applyBorder="false" applyFill="true" applyFont="true" applyNumberFormat="false" applyProtection="false" borderId="0" fillId="44" fontId="3" numFmtId="0" xfId="0">
      <alignment vertical="center"/>
    </xf>
    <xf applyAlignment="true" applyBorder="false" applyFill="true" applyFont="true" applyNumberFormat="false" applyProtection="false" borderId="0" fillId="45" fontId="3" numFmtId="0" xfId="0">
      <alignment vertical="center"/>
    </xf>
    <xf applyAlignment="true" applyBorder="false" applyFill="true" applyFont="true" applyNumberFormat="false" applyProtection="false" borderId="41" fillId="46" fontId="1" numFmtId="0" xfId="0">
      <alignment horizontal="center" vertical="center"/>
    </xf>
    <xf applyAlignment="true" applyBorder="false" applyFill="true" applyFont="true" applyNumberFormat="false" applyProtection="false" borderId="41" fillId="46" fontId="1" numFmtId="0" xfId="0">
      <alignment horizontal="center" vertical="center"/>
    </xf>
    <xf applyAlignment="true" applyBorder="false" applyFill="true" applyFont="true" applyNumberFormat="false" applyProtection="false" borderId="41" fillId="47" fontId="1" numFmtId="0" xfId="0">
      <alignment horizontal="center" vertical="center"/>
    </xf>
    <xf applyAlignment="true" applyBorder="false" applyFill="true" applyFont="true" applyNumberFormat="false" applyProtection="false" borderId="42" fillId="46" fontId="1" numFmtId="0" xfId="0">
      <alignment horizontal="center" vertical="center"/>
    </xf>
    <xf applyAlignment="true" applyBorder="false" applyFill="true" applyFont="true" applyNumberFormat="false" applyProtection="false" borderId="42" fillId="46" fontId="1" numFmtId="0" xfId="0">
      <alignment horizontal="center" vertical="center"/>
    </xf>
    <xf applyAlignment="true" applyBorder="false" applyFill="true" applyFont="true" applyNumberFormat="true" applyProtection="false" borderId="41" fillId="46" fontId="1" numFmtId="216" xfId="0">
      <alignment horizontal="center" vertical="center"/>
    </xf>
    <xf applyAlignment="true" applyBorder="false" applyFill="true" applyFont="true" applyNumberFormat="true" applyProtection="false" borderId="41" fillId="46" fontId="1" numFmtId="217" xfId="0">
      <alignment horizontal="center" vertical="center"/>
    </xf>
    <xf applyAlignment="true" applyBorder="false" applyFill="true" applyFont="true" applyNumberFormat="true" applyProtection="false" borderId="41" fillId="47" fontId="1" numFmtId="217" xfId="0">
      <alignment horizontal="center" vertical="center"/>
    </xf>
    <xf applyAlignment="true" applyBorder="false" applyFill="true" applyFont="true" applyNumberFormat="true" applyProtection="false" borderId="43" fillId="47" fontId="1" numFmtId="217" xfId="0">
      <alignment horizontal="center" vertical="center"/>
    </xf>
    <xf applyAlignment="true" applyBorder="false" applyFill="true" applyFont="true" applyNumberFormat="false" applyProtection="false" borderId="43" fillId="47" fontId="1" numFmtId="0" xfId="0">
      <alignment horizontal="center" vertical="center"/>
    </xf>
    <xf applyAlignment="true" applyBorder="false" applyFill="true" applyFont="true" applyNumberFormat="true" applyProtection="false" borderId="42" fillId="47" fontId="1" numFmtId="216" xfId="0">
      <alignment horizontal="center" vertical="center"/>
    </xf>
    <xf applyAlignment="true" applyBorder="false" applyFill="true" applyFont="true" applyNumberFormat="true" applyProtection="false" borderId="44" fillId="47" fontId="1" numFmtId="216" xfId="0">
      <alignment horizontal="center" vertical="center"/>
    </xf>
    <xf applyAlignment="true" applyBorder="false" applyFill="true" applyFont="true" applyNumberFormat="true" applyProtection="false" borderId="45" fillId="46" fontId="1" numFmtId="216" xfId="0">
      <alignment horizontal="center" vertical="center"/>
    </xf>
    <xf applyAlignment="true" applyBorder="false" applyFill="true" applyFont="true" applyNumberFormat="true" applyProtection="false" borderId="45" fillId="46" fontId="1" numFmtId="217" xfId="0">
      <alignment horizontal="center" vertical="center"/>
    </xf>
    <xf applyAlignment="true" applyBorder="false" applyFill="true" applyFont="true" applyNumberFormat="true" applyProtection="false" borderId="45" fillId="46" fontId="1" numFmtId="218" xfId="0">
      <alignment horizontal="center" vertical="center"/>
    </xf>
    <xf applyAlignment="true" applyBorder="false" applyFill="false" applyFont="true" applyNumberFormat="true" applyProtection="false" borderId="46" fillId="0" fontId="2" numFmtId="219" xfId="0">
      <alignment horizontal="center" vertical="center"/>
    </xf>
    <xf applyAlignment="true" applyBorder="false" applyFill="false" applyFont="true" applyNumberFormat="false" applyProtection="false" borderId="47" fillId="0" fontId="2" numFmtId="0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true" applyProtection="false" borderId="43" fillId="0" fontId="2" numFmtId="216" xfId="0">
      <alignment horizontal="center" vertical="center"/>
    </xf>
    <xf applyAlignment="true" applyBorder="false" applyFill="false" applyFont="true" applyNumberFormat="false" applyProtection="false" borderId="48" fillId="0" fontId="3" numFmtId="0" xfId="0">
      <alignment horizontal="center" vertical="center"/>
    </xf>
    <xf applyAlignment="true" applyBorder="false" applyFill="false" applyFont="true" applyNumberFormat="true" applyProtection="false" borderId="47" fillId="0" fontId="2" numFmtId="220" xfId="0">
      <alignment horizontal="center" vertical="center" wrapText="true"/>
    </xf>
    <xf applyAlignment="true" applyBorder="false" applyFill="false" applyFont="true" applyNumberFormat="true" applyProtection="false" borderId="41" fillId="0" fontId="2" numFmtId="220" xfId="0">
      <alignment horizontal="center" vertical="center" wrapText="true"/>
    </xf>
    <xf applyAlignment="true" applyBorder="false" applyFill="false" applyFont="true" applyNumberFormat="true" applyProtection="false" borderId="41" fillId="0" fontId="2" numFmtId="217" xfId="0">
      <alignment horizontal="center" vertical="center"/>
    </xf>
    <xf applyAlignment="true" applyBorder="false" applyFill="false" applyFont="true" applyNumberFormat="true" applyProtection="false" borderId="41" fillId="0" fontId="2" numFmtId="217" xfId="0">
      <alignment horizontal="center" vertical="center"/>
    </xf>
    <xf applyAlignment="true" applyBorder="false" applyFill="false" applyFont="true" applyNumberFormat="true" applyProtection="false" borderId="43" fillId="0" fontId="2" numFmtId="221" xfId="0">
      <alignment horizontal="center" vertical="center"/>
    </xf>
    <xf applyAlignment="true" applyBorder="false" applyFill="false" applyFont="true" applyNumberFormat="true" applyProtection="false" borderId="41" fillId="0" fontId="4" numFmtId="222" xfId="0">
      <alignment horizontal="center" vertical="center"/>
    </xf>
    <xf applyAlignment="true" applyBorder="false" applyFill="false" applyFont="true" applyNumberFormat="true" applyProtection="false" borderId="43" fillId="0" fontId="4" numFmtId="222" xfId="0">
      <alignment horizontal="center" vertical="center"/>
    </xf>
    <xf applyAlignment="true" applyBorder="false" applyFill="false" applyFont="true" applyNumberFormat="true" applyProtection="false" borderId="41" fillId="0" fontId="5" numFmtId="217" xfId="0">
      <alignment horizontal="center" vertical="center"/>
    </xf>
    <xf applyAlignment="true" applyBorder="false" applyFill="false" applyFont="true" applyNumberFormat="true" applyProtection="false" borderId="41" fillId="0" fontId="6" numFmtId="223" xfId="0">
      <alignment horizontal="center" vertical="center"/>
    </xf>
    <xf applyAlignment="true" applyBorder="false" applyFill="false" applyFont="true" applyNumberFormat="true" applyProtection="false" borderId="41" fillId="0" fontId="7" numFmtId="223" xfId="0">
      <alignment horizontal="center" vertical="center"/>
    </xf>
    <xf applyAlignment="true" applyBorder="false" applyFill="false" applyFont="true" applyNumberFormat="true" applyProtection="false" borderId="41" fillId="0" fontId="5" numFmtId="223" xfId="0">
      <alignment horizontal="center" vertical="center"/>
    </xf>
    <xf applyAlignment="true" applyBorder="false" applyFill="false" applyFont="true" applyNumberFormat="true" applyProtection="false" borderId="41" fillId="0" fontId="8" numFmtId="224" xfId="0">
      <alignment horizontal="center" vertical="center"/>
    </xf>
    <xf applyAlignment="true" applyBorder="false" applyFill="false" applyFont="true" applyNumberFormat="true" applyProtection="false" borderId="41" fillId="0" fontId="6" numFmtId="218" xfId="0">
      <alignment horizontal="center" vertical="center"/>
    </xf>
    <xf applyAlignment="true" applyBorder="false" applyFill="false" applyFont="true" applyNumberFormat="false" applyProtection="false" borderId="41" fillId="0" fontId="6" numFmtId="0" xfId="0">
      <alignment horizontal="center" vertical="center"/>
    </xf>
    <xf applyAlignment="true" applyBorder="false" applyFill="false" applyFont="true" applyNumberFormat="false" applyProtection="false" borderId="41" fillId="0" fontId="6" numFmtId="0" xfId="0">
      <alignment horizontal="center" vertical="center"/>
    </xf>
    <xf applyAlignment="true" applyBorder="false" applyFill="false" applyFont="true" applyNumberFormat="true" applyProtection="false" borderId="46" fillId="0" fontId="5" numFmtId="225" xfId="0">
      <alignment horizontal="center" vertical="center"/>
    </xf>
    <xf applyAlignment="true" applyBorder="false" applyFill="false" applyFont="true" applyNumberFormat="true" applyProtection="false" borderId="46" fillId="0" fontId="5" numFmtId="225" xfId="0">
      <alignment horizontal="center" vertical="center"/>
    </xf>
    <xf applyAlignment="true" applyBorder="false" applyFill="false" applyFont="true" applyNumberFormat="true" applyProtection="false" borderId="46" fillId="0" fontId="5" numFmtId="225" xfId="0">
      <alignment horizontal="center" vertical="center"/>
    </xf>
    <xf applyAlignment="true" applyBorder="false" applyFill="false" applyFont="true" applyNumberFormat="false" applyProtection="false" borderId="48" fillId="0" fontId="2" numFmtId="0" xfId="0">
      <alignment horizontal="center" vertical="center"/>
    </xf>
    <xf applyAlignment="true" applyBorder="false" applyFill="false" applyFont="true" applyNumberFormat="true" applyProtection="false" borderId="41" fillId="0" fontId="2" numFmtId="216" xfId="0">
      <alignment horizontal="center" vertical="center"/>
    </xf>
    <xf applyAlignment="true" applyBorder="false" applyFill="false" applyFont="true" applyNumberFormat="false" applyProtection="false" borderId="45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47" fillId="48" fontId="9" numFmtId="0" xfId="0">
      <alignment horizontal="center" vertical="center"/>
    </xf>
    <xf applyAlignment="true" applyBorder="false" applyFill="true" applyFont="true" applyNumberFormat="false" applyProtection="false" borderId="41" fillId="48" fontId="10" numFmtId="0" xfId="0">
      <alignment horizontal="center" vertical="center"/>
    </xf>
    <xf applyAlignment="true" applyBorder="false" applyFill="true" applyFont="true" applyNumberFormat="true" applyProtection="false" borderId="41" fillId="48" fontId="10" numFmtId="216" xfId="0">
      <alignment horizontal="center" vertical="center"/>
    </xf>
    <xf applyAlignment="true" applyBorder="false" applyFill="true" applyFont="true" applyNumberFormat="true" applyProtection="false" borderId="43" fillId="48" fontId="11" numFmtId="221" xfId="0">
      <alignment horizontal="center" vertical="center"/>
    </xf>
    <xf applyAlignment="true" applyBorder="false" applyFill="true" applyFont="true" applyNumberFormat="true" applyProtection="false" borderId="41" fillId="48" fontId="12" numFmtId="222" xfId="0">
      <alignment horizontal="center" vertical="center"/>
    </xf>
    <xf applyAlignment="true" applyBorder="false" applyFill="true" applyFont="true" applyNumberFormat="true" applyProtection="false" borderId="41" fillId="48" fontId="13" numFmtId="217" xfId="0">
      <alignment horizontal="center" vertical="center"/>
    </xf>
    <xf applyAlignment="true" applyBorder="false" applyFill="true" applyFont="true" applyNumberFormat="true" applyProtection="false" borderId="41" fillId="48" fontId="13" numFmtId="217" xfId="0">
      <alignment horizontal="center" vertical="center"/>
    </xf>
    <xf applyAlignment="true" applyBorder="false" applyFill="true" applyFont="true" applyNumberFormat="true" applyProtection="false" borderId="41" fillId="48" fontId="13" numFmtId="223" xfId="0">
      <alignment horizontal="center" vertical="center"/>
    </xf>
    <xf applyAlignment="true" applyBorder="false" applyFill="true" applyFont="true" applyNumberFormat="true" applyProtection="false" borderId="41" fillId="48" fontId="13" numFmtId="218" xfId="0">
      <alignment horizontal="center" vertical="center"/>
    </xf>
    <xf applyAlignment="true" applyBorder="false" applyFill="true" applyFont="true" applyNumberFormat="true" applyProtection="false" borderId="43" fillId="48" fontId="13" numFmtId="218" xfId="0">
      <alignment horizontal="center" vertical="center"/>
    </xf>
    <xf applyAlignment="true" applyBorder="false" applyFill="false" applyFont="true" applyNumberFormat="true" applyProtection="false" borderId="0" fillId="0" fontId="5" numFmtId="217" xfId="0">
      <alignment horizontal="center" vertical="center"/>
    </xf>
    <xf applyAlignment="true" applyBorder="false" applyFill="false" applyFont="true" applyNumberFormat="true" applyProtection="false" borderId="43" fillId="0" fontId="2" numFmtId="220" xfId="0">
      <alignment horizontal="center" vertical="center" wrapText="true"/>
    </xf>
    <xf applyAlignment="true" applyBorder="false" applyFill="false" applyFont="true" applyNumberFormat="true" applyProtection="false" borderId="47" fillId="0" fontId="2" numFmtId="217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false" applyProtection="false" borderId="48" fillId="0" fontId="15" numFmtId="0" xfId="0">
      <alignment horizontal="center" vertical="center"/>
    </xf>
    <xf applyAlignment="true" applyBorder="false" applyFill="false" applyFont="true" applyNumberFormat="true" applyProtection="false" borderId="48" fillId="0" fontId="2" numFmtId="220" xfId="0">
      <alignment horizontal="center" vertical="center" wrapText="true"/>
    </xf>
    <xf applyAlignment="true" applyBorder="false" applyFill="true" applyFont="true" applyNumberFormat="true" applyProtection="false" borderId="42" fillId="48" fontId="13" numFmtId="223" xfId="0">
      <alignment horizontal="center" vertical="center"/>
    </xf>
    <xf applyAlignment="true" applyBorder="false" applyFill="true" applyFont="true" applyNumberFormat="true" applyProtection="false" borderId="42" fillId="48" fontId="13" numFmtId="218" xfId="0">
      <alignment horizontal="center" vertical="center"/>
    </xf>
    <xf applyAlignment="true" applyBorder="false" applyFill="true" applyFont="true" applyNumberFormat="false" applyProtection="false" borderId="41" fillId="49" fontId="1" numFmtId="0" xfId="0">
      <alignment horizontal="center" vertical="center"/>
    </xf>
    <xf applyAlignment="true" applyBorder="false" applyFill="true" applyFont="true" applyNumberFormat="false" applyProtection="false" borderId="41" fillId="49" fontId="1" numFmtId="0" xfId="0">
      <alignment horizontal="center" vertical="center"/>
    </xf>
    <xf applyAlignment="true" applyBorder="false" applyFill="true" applyFont="true" applyNumberFormat="false" applyProtection="false" borderId="41" fillId="49" fontId="14" numFmtId="0" xfId="0">
      <alignment horizontal="center" vertical="center"/>
    </xf>
    <xf applyAlignment="true" applyBorder="false" applyFill="true" applyFont="true" applyNumberFormat="true" applyProtection="false" borderId="41" fillId="49" fontId="1" numFmtId="217" xfId="0">
      <alignment horizontal="center" vertical="center"/>
    </xf>
    <xf applyAlignment="true" applyBorder="false" applyFill="true" applyFont="true" applyNumberFormat="true" applyProtection="false" borderId="41" fillId="49" fontId="1" numFmtId="223" xfId="0">
      <alignment horizontal="center" vertical="center"/>
    </xf>
    <xf applyAlignment="true" applyBorder="false" applyFill="true" applyFont="true" applyNumberFormat="false" applyProtection="false" borderId="48" fillId="49" fontId="1" numFmtId="0" xfId="0">
      <alignment horizontal="center" vertical="center"/>
    </xf>
    <xf applyAlignment="true" applyBorder="false" applyFill="true" applyFont="true" applyNumberFormat="true" applyProtection="false" borderId="48" fillId="49" fontId="1" numFmtId="223" xfId="0">
      <alignment horizontal="center" vertical="center"/>
    </xf>
    <xf applyAlignment="true" applyBorder="false" applyFill="true" applyFont="true" applyNumberFormat="false" applyProtection="false" borderId="48" fillId="49" fontId="1" numFmtId="0" xfId="0">
      <alignment horizontal="center" vertical="center"/>
    </xf>
    <xf applyAlignment="true" applyBorder="false" applyFill="true" applyFont="true" applyNumberFormat="false" applyProtection="false" borderId="47" fillId="49" fontId="1" numFmtId="0" xfId="0">
      <alignment horizontal="center" vertical="center"/>
    </xf>
    <xf applyAlignment="true" applyBorder="false" applyFill="true" applyFont="true" applyNumberFormat="false" applyProtection="false" borderId="0" fillId="50" fontId="16" numFmtId="0" xfId="0">
      <alignment horizontal="center" vertical="center"/>
    </xf>
    <xf applyAlignment="true" applyBorder="false" applyFill="false" applyFont="true" applyNumberFormat="true" applyProtection="false" borderId="0" fillId="0" fontId="3" numFmtId="226" xfId="0">
      <alignment horizontal="righ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217" xfId="0">
      <alignment vertical="center"/>
    </xf>
    <xf applyAlignment="true" applyBorder="false" applyFill="true" applyFont="true" applyNumberFormat="false" applyProtection="false" borderId="0" fillId="51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true" applyFont="true" applyNumberFormat="false" applyProtection="false" borderId="0" fillId="52" fontId="3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true" applyFont="true" applyNumberFormat="false" applyProtection="false" borderId="0" fillId="53" fontId="3" numFmtId="0" xfId="0">
      <alignment vertical="center"/>
    </xf>
    <xf applyAlignment="true" applyBorder="false" applyFill="true" applyFont="true" applyNumberFormat="true" applyProtection="false" borderId="0" fillId="53" fontId="3" numFmtId="218" xfId="0">
      <alignment vertical="center"/>
    </xf>
    <xf applyAlignment="true" applyBorder="false" applyFill="true" applyFont="true" applyNumberFormat="true" applyProtection="false" borderId="0" fillId="51" fontId="3" numFmtId="218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48" fillId="0" fontId="3" numFmtId="0" xfId="0">
      <alignment horizontal="center" vertical="center"/>
    </xf>
    <xf applyAlignment="true" applyBorder="false" applyFill="false" applyFont="true" applyNumberFormat="false" applyProtection="false" borderId="48" fillId="0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calcChain.xml" Type="http://schemas.openxmlformats.org/officeDocument/2006/relationships/calcChain"></Relationship><Relationship Id="rId12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5" min="35" style="0" width="11.211267605633802"/>
    <col collapsed="false" customWidth="true" hidden="false" max="37" min="37" style="0" width="11.211267605633802"/>
    <col collapsed="false" customWidth="true" hidden="false" max="39" min="39" style="0" width="11.211267605633802"/>
    <col collapsed="false" customWidth="true" hidden="false" max="2" min="2" style="0" width="11.211267605633802"/>
    <col collapsed="false" customWidth="true" hidden="false" max="26" min="26" style="0" width="11.211267605633802"/>
    <col collapsed="false" customWidth="true" hidden="false" max="28" min="28" style="0" width="11.211267605633802"/>
    <col collapsed="false" customWidth="true" hidden="false" max="36" min="36" style="0" width="11.211267605633802"/>
    <col collapsed="false" customWidth="true" hidden="false" max="38" min="38" style="0" width="11.211267605633802"/>
    <col collapsed="false" customWidth="true" hidden="false" max="27" min="27" style="0" width="11.211267605633802"/>
    <col collapsed="false" customWidth="true" hidden="false" max="29" min="29" style="0" width="11.211267605633802"/>
    <col collapsed="false" customWidth="true" hidden="false" max="34" min="34" style="0" width="11.211267605633802"/>
  </cols>
  <sheetData>
    <row r="1">
      <c r="A1" s="1" t="s">
        <v>1</v>
      </c>
      <c r="B1" s="2" t="s">
        <v>2</v>
      </c>
      <c r="C1" s="2" t="s">
        <v>3</v>
      </c>
      <c r="D1" s="3" t="s">
        <v>4</v>
      </c>
      <c r="E1" s="2" t="s">
        <v>5</v>
      </c>
      <c r="F1" s="2" t="s">
        <v>6</v>
      </c>
      <c r="G1" s="4" t="s">
        <v>7</v>
      </c>
      <c r="H1" s="4" t="s">
        <v>8</v>
      </c>
      <c r="I1" s="3" t="s">
        <v>9</v>
      </c>
      <c r="J1" s="5" t="s">
        <v>10</v>
      </c>
      <c r="K1" s="6" t="s">
        <v>11</v>
      </c>
      <c r="L1" s="6" t="s">
        <v>12</v>
      </c>
      <c r="M1" s="7" t="s">
        <v>13</v>
      </c>
      <c r="N1" s="6" t="s">
        <v>14</v>
      </c>
      <c r="O1" s="2" t="s">
        <v>15</v>
      </c>
      <c r="P1" s="7" t="s">
        <v>16</v>
      </c>
      <c r="Q1" s="8" t="s">
        <v>17</v>
      </c>
      <c r="R1" s="8" t="s">
        <v>18</v>
      </c>
      <c r="S1" s="3" t="s">
        <v>19</v>
      </c>
      <c r="T1" s="9" t="s">
        <v>20</v>
      </c>
      <c r="U1" s="7" t="s">
        <v>21</v>
      </c>
      <c r="V1" s="10" t="s">
        <v>22</v>
      </c>
      <c r="W1" s="11" t="s">
        <v>23</v>
      </c>
      <c r="X1" s="7" t="s">
        <v>24</v>
      </c>
      <c r="Y1" s="12" t="s">
        <v>25</v>
      </c>
      <c r="Z1" s="13" t="s">
        <v>26</v>
      </c>
      <c r="AA1" s="12" t="s">
        <v>27</v>
      </c>
      <c r="AB1" s="14" t="s">
        <v>28</v>
      </c>
      <c r="AC1" s="14" t="s">
        <v>29</v>
      </c>
      <c r="AD1" s="6" t="s">
        <v>30</v>
      </c>
      <c r="AE1" s="5" t="s">
        <v>31</v>
      </c>
      <c r="AF1" s="6" t="s">
        <v>32</v>
      </c>
      <c r="AG1" s="5" t="s">
        <v>33</v>
      </c>
      <c r="AH1" s="5" t="s">
        <v>34</v>
      </c>
      <c r="AI1" s="6" t="s">
        <v>35</v>
      </c>
      <c r="AJ1" s="5" t="s">
        <v>36</v>
      </c>
      <c r="AK1" s="6" t="s">
        <v>37</v>
      </c>
      <c r="AL1" s="5" t="s">
        <v>38</v>
      </c>
    </row>
    <row r="2">
      <c r="A2" s="15">
        <v>46296</v>
      </c>
      <c r="B2" s="16" t="s">
        <v>39</v>
      </c>
      <c r="C2" s="17" t="s">
        <v>40</v>
      </c>
      <c r="D2" s="18">
        <f t="shared" ref="D2:D6" si="353">E2+F2+G2+H2</f>
      </c>
      <c r="E2" s="19">
        <v>2420.16</v>
      </c>
      <c r="F2" s="20">
        <v>22003.63</v>
      </c>
      <c r="G2" s="20">
        <v>0</v>
      </c>
      <c r="H2" s="20">
        <v>0</v>
      </c>
      <c r="I2" s="20">
        <f t="shared" ref="I2:I6" si="444">AB2+AC2</f>
      </c>
      <c r="J2" s="21">
        <f>696.6+4343.76+696.6+1797.12</f>
      </c>
      <c r="K2" s="22">
        <f t="shared" ref="K2:K6" si="535">I2-J2</f>
      </c>
      <c r="L2" s="22">
        <f t="shared" ref="L2:L6" si="205">(I2-AC2)/12+AC2</f>
      </c>
      <c r="M2" s="23">
        <f t="shared" ref="M2:M27" si="296">I2/D2</f>
      </c>
      <c r="N2" s="24">
        <f t="shared" ref="N2:N27" si="315">(I2-J2)/D2</f>
      </c>
      <c r="O2" s="25">
        <f t="shared" ref="O2:O27" si="334">(AC2+AB2/12)/D2</f>
      </c>
      <c r="P2" s="26">
        <f t="shared" ref="P2:P27" si="19">I2/AA2</f>
      </c>
      <c r="Q2" s="26">
        <f t="shared" ref="Q2:Q27" si="38">D2/AA2</f>
      </c>
      <c r="R2" s="26">
        <f t="shared" ref="R2:R27" si="57">D2/AG2</f>
      </c>
      <c r="S2" s="27">
        <f t="shared" ref="S2:S27" si="76">AA2/Y2</f>
      </c>
      <c r="T2" s="28">
        <f t="shared" ref="T2:T27" si="626">AI2/AH2</f>
      </c>
      <c r="U2" s="26">
        <f t="shared" ref="U2:U27" si="664">D2/AJ2</f>
      </c>
      <c r="V2" s="29">
        <f t="shared" ref="V2:V27" si="645">AK2/AJ2</f>
      </c>
      <c r="W2" s="29">
        <f t="shared" ref="W2:W27" si="683">AL2/AJ2</f>
      </c>
      <c r="X2" s="26">
        <f t="shared" ref="X2:X27" si="0">D2/AL2</f>
      </c>
      <c r="Y2" s="30">
        <f t="shared" ref="Y2:Y6" si="95">Z2+AA2</f>
      </c>
      <c r="Z2" s="30">
        <v>15</v>
      </c>
      <c r="AA2" s="30">
        <v>15</v>
      </c>
      <c r="AB2" s="31">
        <v>30636.359999999997</v>
      </c>
      <c r="AC2" s="31">
        <v>0</v>
      </c>
      <c r="AD2" s="27">
        <f t="shared" ref="AD2:AD27" si="186">AC2/I2</f>
      </c>
      <c r="AE2" s="32" t="s">
        <v>41</v>
      </c>
      <c r="AF2" s="33" t="s">
        <v>42</v>
      </c>
      <c r="AG2" s="34">
        <v>13</v>
      </c>
      <c r="AH2" s="34">
        <v>279758</v>
      </c>
      <c r="AI2" s="35">
        <v>11114</v>
      </c>
      <c r="AJ2" s="35">
        <v>11792</v>
      </c>
      <c r="AK2" s="34">
        <v>815</v>
      </c>
      <c r="AL2" s="36">
        <v>789</v>
      </c>
    </row>
    <row r="3">
      <c r="A3" s="15"/>
      <c r="B3" s="16" t="s">
        <v>39</v>
      </c>
      <c r="C3" s="17" t="s">
        <v>43</v>
      </c>
      <c r="D3" s="18">
        <f t="shared" si="353"/>
      </c>
      <c r="E3" s="17">
        <v>3978.68</v>
      </c>
      <c r="F3" s="20">
        <v>19650.09</v>
      </c>
      <c r="G3" s="20">
        <v>0</v>
      </c>
      <c r="H3" s="20">
        <v>0</v>
      </c>
      <c r="I3" s="20">
        <f t="shared" si="444"/>
      </c>
      <c r="J3" s="21">
        <f>716.04+1278.72+1278.72+498.96+534.6+2514.24+814.32</f>
      </c>
      <c r="K3" s="22">
        <f t="shared" si="535"/>
      </c>
      <c r="L3" s="22">
        <f t="shared" si="205"/>
      </c>
      <c r="M3" s="23">
        <f t="shared" si="296"/>
      </c>
      <c r="N3" s="24">
        <f t="shared" si="315"/>
      </c>
      <c r="O3" s="25">
        <f t="shared" si="334"/>
      </c>
      <c r="P3" s="26">
        <f t="shared" si="19"/>
      </c>
      <c r="Q3" s="26">
        <f t="shared" si="38"/>
      </c>
      <c r="R3" s="26">
        <f t="shared" si="57"/>
      </c>
      <c r="S3" s="27">
        <f t="shared" si="76"/>
      </c>
      <c r="T3" s="28">
        <f t="shared" si="626"/>
      </c>
      <c r="U3" s="26">
        <f t="shared" si="664"/>
      </c>
      <c r="V3" s="29">
        <f t="shared" si="645"/>
      </c>
      <c r="W3" s="29">
        <f t="shared" si="683"/>
      </c>
      <c r="X3" s="26">
        <f t="shared" si="0"/>
      </c>
      <c r="Y3" s="30">
        <f t="shared" si="95"/>
      </c>
      <c r="Z3" s="30">
        <v>11</v>
      </c>
      <c r="AA3" s="30">
        <v>21</v>
      </c>
      <c r="AB3" s="31">
        <f>29902.44+1788.48</f>
      </c>
      <c r="AC3" s="31">
        <v>0</v>
      </c>
      <c r="AD3" s="27">
        <f t="shared" si="186"/>
      </c>
      <c r="AE3" s="32" t="s">
        <v>41</v>
      </c>
      <c r="AF3" s="33" t="s">
        <v>42</v>
      </c>
      <c r="AG3" s="34">
        <v>17</v>
      </c>
      <c r="AH3" s="35">
        <v>296533</v>
      </c>
      <c r="AI3" s="35">
        <v>10358</v>
      </c>
      <c r="AJ3" s="35">
        <v>11409</v>
      </c>
      <c r="AK3" s="36">
        <v>866</v>
      </c>
      <c r="AL3" s="36">
        <v>792</v>
      </c>
    </row>
    <row r="4">
      <c r="A4" s="15"/>
      <c r="B4" s="16" t="s">
        <v>39</v>
      </c>
      <c r="C4" s="17" t="s">
        <v>44</v>
      </c>
      <c r="D4" s="18">
        <f t="shared" si="353"/>
      </c>
      <c r="E4" s="17">
        <v>3063.11</v>
      </c>
      <c r="F4" s="20">
        <v>14068.16</v>
      </c>
      <c r="G4" s="20">
        <v>0</v>
      </c>
      <c r="H4" s="20">
        <v>0</v>
      </c>
      <c r="I4" s="20">
        <f t="shared" si="444"/>
      </c>
      <c r="J4" s="21">
        <f>2603.88+4116.96+2050.92</f>
      </c>
      <c r="K4" s="22">
        <f t="shared" si="535"/>
      </c>
      <c r="L4" s="22">
        <f t="shared" si="205"/>
      </c>
      <c r="M4" s="23">
        <f t="shared" si="296"/>
      </c>
      <c r="N4" s="24">
        <f t="shared" si="315"/>
      </c>
      <c r="O4" s="25">
        <f t="shared" si="334"/>
      </c>
      <c r="P4" s="26">
        <f t="shared" si="19"/>
      </c>
      <c r="Q4" s="26">
        <f t="shared" si="38"/>
      </c>
      <c r="R4" s="26">
        <f t="shared" si="57"/>
      </c>
      <c r="S4" s="27">
        <f t="shared" si="76"/>
      </c>
      <c r="T4" s="28">
        <f t="shared" si="626"/>
      </c>
      <c r="U4" s="26">
        <f t="shared" si="664"/>
      </c>
      <c r="V4" s="29">
        <f t="shared" si="645"/>
      </c>
      <c r="W4" s="29">
        <f t="shared" si="683"/>
      </c>
      <c r="X4" s="26">
        <f t="shared" si="0"/>
      </c>
      <c r="Y4" s="30">
        <f t="shared" si="95"/>
      </c>
      <c r="Z4" s="30">
        <v>7</v>
      </c>
      <c r="AA4" s="30">
        <v>16</v>
      </c>
      <c r="AB4" s="31">
        <v>26353.08</v>
      </c>
      <c r="AC4" s="31">
        <v>1086</v>
      </c>
      <c r="AD4" s="27">
        <f t="shared" si="186"/>
      </c>
      <c r="AE4" s="32" t="s">
        <v>41</v>
      </c>
      <c r="AF4" s="33" t="s">
        <v>42</v>
      </c>
      <c r="AG4" s="36">
        <v>13</v>
      </c>
      <c r="AH4" s="35">
        <v>186890</v>
      </c>
      <c r="AI4" s="35">
        <v>5424</v>
      </c>
      <c r="AJ4" s="35">
        <v>6232</v>
      </c>
      <c r="AK4" s="36">
        <v>588</v>
      </c>
      <c r="AL4" s="36">
        <v>515</v>
      </c>
    </row>
    <row r="5">
      <c r="A5" s="15"/>
      <c r="B5" s="16" t="s">
        <v>39</v>
      </c>
      <c r="C5" s="17" t="s">
        <v>45</v>
      </c>
      <c r="D5" s="18">
        <f t="shared" si="353"/>
      </c>
      <c r="E5" s="17">
        <v>1840.8</v>
      </c>
      <c r="F5" s="20">
        <v>10137.26</v>
      </c>
      <c r="G5" s="20">
        <v>0</v>
      </c>
      <c r="H5" s="20">
        <v>0</v>
      </c>
      <c r="I5" s="37">
        <f t="shared" si="444"/>
      </c>
      <c r="J5" s="21">
        <v>0</v>
      </c>
      <c r="K5" s="22">
        <f t="shared" si="535"/>
      </c>
      <c r="L5" s="22">
        <f t="shared" si="205"/>
      </c>
      <c r="M5" s="23">
        <f t="shared" si="296"/>
      </c>
      <c r="N5" s="24">
        <f t="shared" si="315"/>
      </c>
      <c r="O5" s="25">
        <f t="shared" si="334"/>
      </c>
      <c r="P5" s="26">
        <f t="shared" si="19"/>
      </c>
      <c r="Q5" s="26">
        <f t="shared" si="38"/>
      </c>
      <c r="R5" s="26">
        <f t="shared" si="57"/>
      </c>
      <c r="S5" s="27">
        <f t="shared" si="76"/>
      </c>
      <c r="T5" s="28">
        <f t="shared" si="626"/>
      </c>
      <c r="U5" s="26">
        <f t="shared" si="664"/>
      </c>
      <c r="V5" s="29">
        <f t="shared" si="645"/>
      </c>
      <c r="W5" s="29">
        <f t="shared" si="683"/>
      </c>
      <c r="X5" s="26">
        <f t="shared" si="0"/>
      </c>
      <c r="Y5" s="30">
        <f t="shared" si="95"/>
      </c>
      <c r="Z5" s="30">
        <v>8</v>
      </c>
      <c r="AA5" s="30">
        <v>11</v>
      </c>
      <c r="AB5" s="31">
        <v>10437.119999999995</v>
      </c>
      <c r="AC5" s="31">
        <v>0</v>
      </c>
      <c r="AD5" s="27">
        <f t="shared" si="186"/>
      </c>
      <c r="AE5" s="32" t="s">
        <v>41</v>
      </c>
      <c r="AF5" s="33" t="s">
        <v>42</v>
      </c>
      <c r="AG5" s="34">
        <v>8</v>
      </c>
      <c r="AH5" s="35">
        <v>126476</v>
      </c>
      <c r="AI5" s="35">
        <v>3591</v>
      </c>
      <c r="AJ5" s="35">
        <v>4106</v>
      </c>
      <c r="AK5" s="36">
        <v>409</v>
      </c>
      <c r="AL5" s="36">
        <v>374</v>
      </c>
    </row>
    <row r="6">
      <c r="A6" s="15"/>
      <c r="B6" s="16" t="s">
        <v>39</v>
      </c>
      <c r="C6" s="17" t="s">
        <v>46</v>
      </c>
      <c r="D6" s="18">
        <f t="shared" si="353"/>
      </c>
      <c r="E6" s="17">
        <v>1319.14</v>
      </c>
      <c r="F6" s="20">
        <v>8906.15</v>
      </c>
      <c r="G6" s="20">
        <v>0</v>
      </c>
      <c r="H6" s="20">
        <v>0</v>
      </c>
      <c r="I6" s="20">
        <f t="shared" si="444"/>
      </c>
      <c r="J6" s="21">
        <v>4240.08</v>
      </c>
      <c r="K6" s="22">
        <f t="shared" si="535"/>
      </c>
      <c r="L6" s="22">
        <f t="shared" si="205"/>
      </c>
      <c r="M6" s="23">
        <f t="shared" si="296"/>
      </c>
      <c r="N6" s="24">
        <f t="shared" si="315"/>
      </c>
      <c r="O6" s="25">
        <f t="shared" si="334"/>
      </c>
      <c r="P6" s="26">
        <f t="shared" si="19"/>
      </c>
      <c r="Q6" s="26">
        <f t="shared" si="38"/>
      </c>
      <c r="R6" s="26">
        <f t="shared" si="57"/>
      </c>
      <c r="S6" s="27">
        <f t="shared" si="76"/>
      </c>
      <c r="T6" s="28">
        <f t="shared" si="626"/>
      </c>
      <c r="U6" s="26">
        <f t="shared" si="664"/>
      </c>
      <c r="V6" s="29">
        <f t="shared" si="645"/>
      </c>
      <c r="W6" s="29">
        <f t="shared" si="683"/>
      </c>
      <c r="X6" s="26">
        <f t="shared" si="0"/>
      </c>
      <c r="Y6" s="30">
        <f t="shared" si="95"/>
      </c>
      <c r="Z6" s="30">
        <v>5</v>
      </c>
      <c r="AA6" s="30">
        <v>16</v>
      </c>
      <c r="AB6" s="31">
        <f>28469.88+1591.92+1159.92</f>
      </c>
      <c r="AC6" s="31">
        <v>0</v>
      </c>
      <c r="AD6" s="27">
        <f t="shared" si="186"/>
      </c>
      <c r="AE6" s="32" t="s">
        <v>41</v>
      </c>
      <c r="AF6" s="33" t="s">
        <v>42</v>
      </c>
      <c r="AG6" s="34">
        <v>12</v>
      </c>
      <c r="AH6" s="35">
        <v>115511</v>
      </c>
      <c r="AI6" s="35">
        <v>3581</v>
      </c>
      <c r="AJ6" s="35">
        <v>3937</v>
      </c>
      <c r="AK6" s="34">
        <v>308</v>
      </c>
      <c r="AL6" s="34">
        <v>330</v>
      </c>
    </row>
    <row r="7">
      <c r="A7" s="15"/>
      <c r="B7" s="38" t="s">
        <v>47</v>
      </c>
      <c r="C7" s="39">
        <v>5</v>
      </c>
      <c r="D7" s="40">
        <f>SUM(D2:D6)</f>
      </c>
      <c r="E7" s="40">
        <f>SUM(E2:E6)</f>
      </c>
      <c r="F7" s="40">
        <f>SUM(F2:F6)</f>
      </c>
      <c r="G7" s="40">
        <f>SUM(G2:G6)</f>
      </c>
      <c r="H7" s="40">
        <f>SUM(H2:H6)</f>
      </c>
      <c r="I7" s="40">
        <f>SUM(I2:I6)</f>
      </c>
      <c r="J7" s="40">
        <f>SUM(J2:J6)</f>
      </c>
      <c r="K7" s="40">
        <f>SUM(K2:K6)</f>
      </c>
      <c r="L7" s="40">
        <f>SUM(L2:L6)</f>
      </c>
      <c r="M7" s="41">
        <f t="shared" si="296"/>
      </c>
      <c r="N7" s="42">
        <f t="shared" si="315"/>
      </c>
      <c r="O7" s="42">
        <f t="shared" si="334"/>
      </c>
      <c r="P7" s="43">
        <f t="shared" si="19"/>
      </c>
      <c r="Q7" s="43">
        <f t="shared" si="38"/>
      </c>
      <c r="R7" s="43">
        <f t="shared" si="57"/>
      </c>
      <c r="S7" s="44">
        <f t="shared" si="76"/>
      </c>
      <c r="T7" s="44">
        <f t="shared" si="626"/>
      </c>
      <c r="U7" s="43">
        <f t="shared" si="664"/>
      </c>
      <c r="V7" s="44">
        <f t="shared" si="645"/>
      </c>
      <c r="W7" s="44">
        <f t="shared" si="683"/>
      </c>
      <c r="X7" s="43">
        <f t="shared" si="0"/>
      </c>
      <c r="Y7" s="40">
        <f>SUM(Y2:Y6)</f>
      </c>
      <c r="Z7" s="40">
        <f>SUM(Z2:Z6)</f>
      </c>
      <c r="AA7" s="40">
        <f>SUM(AA2:AA6)</f>
      </c>
      <c r="AB7" s="40">
        <f>SUM(AB2:AB6)</f>
      </c>
      <c r="AC7" s="40">
        <f>SUM(AC2:AC6)</f>
      </c>
      <c r="AD7" s="45">
        <f t="shared" si="186"/>
      </c>
      <c r="AE7" s="46"/>
      <c r="AF7" s="47"/>
      <c r="AG7" s="40">
        <f>SUM(AG2:AG6)</f>
      </c>
      <c r="AH7" s="40">
        <f>SUM(AH2:AH6)</f>
      </c>
      <c r="AI7" s="40">
        <f>SUM(AI2:AI6)</f>
      </c>
      <c r="AJ7" s="40">
        <f>SUM(AJ2:AJ6)</f>
      </c>
      <c r="AK7" s="40">
        <f>SUM(AK2:AK6)</f>
      </c>
      <c r="AL7" s="40">
        <f>SUM(AL2:AL6)</f>
      </c>
    </row>
    <row r="8">
      <c r="A8" s="15"/>
      <c r="B8" s="16" t="s">
        <v>48</v>
      </c>
      <c r="C8" s="17" t="s">
        <v>49</v>
      </c>
      <c r="D8" s="18">
        <f t="shared" ref="D8:D11" si="354">E8+F8+G8+H8</f>
      </c>
      <c r="E8" s="19">
        <v>1174.9</v>
      </c>
      <c r="F8" s="20">
        <v>9399.53</v>
      </c>
      <c r="G8" s="20">
        <v>0</v>
      </c>
      <c r="H8" s="20">
        <v>0</v>
      </c>
      <c r="I8" s="20">
        <f t="shared" ref="I8:I11" si="445">AB8+AC8</f>
      </c>
      <c r="J8" s="21">
        <f>4240.08+2980+2411</f>
      </c>
      <c r="K8" s="22">
        <f t="shared" ref="K8:K11" si="536">I8-J8</f>
      </c>
      <c r="L8" s="22">
        <f t="shared" ref="L8:L11" si="206">(I8-AC8)/12+AC8</f>
      </c>
      <c r="M8" s="23">
        <f t="shared" si="296"/>
      </c>
      <c r="N8" s="24">
        <f t="shared" si="315"/>
      </c>
      <c r="O8" s="25">
        <f t="shared" si="334"/>
      </c>
      <c r="P8" s="26">
        <f t="shared" si="19"/>
      </c>
      <c r="Q8" s="26">
        <f t="shared" si="38"/>
      </c>
      <c r="R8" s="26">
        <f t="shared" si="57"/>
      </c>
      <c r="S8" s="27">
        <f t="shared" si="76"/>
      </c>
      <c r="T8" s="28">
        <f t="shared" si="626"/>
      </c>
      <c r="U8" s="26">
        <f t="shared" si="664"/>
      </c>
      <c r="V8" s="29">
        <f t="shared" si="645"/>
      </c>
      <c r="W8" s="29">
        <f t="shared" si="683"/>
      </c>
      <c r="X8" s="26">
        <f t="shared" si="0"/>
      </c>
      <c r="Y8" s="30">
        <f t="shared" ref="Y8:Y11" si="96">Z8+AA8</f>
      </c>
      <c r="Z8" s="30">
        <v>9</v>
      </c>
      <c r="AA8" s="30">
        <v>9</v>
      </c>
      <c r="AB8" s="31">
        <f>12399.48+864</f>
      </c>
      <c r="AC8" s="31">
        <v>5391</v>
      </c>
      <c r="AD8" s="27">
        <f t="shared" si="186"/>
      </c>
      <c r="AE8" s="32" t="s">
        <v>41</v>
      </c>
      <c r="AF8" s="33" t="s">
        <v>42</v>
      </c>
      <c r="AG8" s="34">
        <v>8</v>
      </c>
      <c r="AH8" s="35">
        <v>127166</v>
      </c>
      <c r="AI8" s="35">
        <v>3297</v>
      </c>
      <c r="AJ8" s="35">
        <v>3684</v>
      </c>
      <c r="AK8" s="34">
        <v>271</v>
      </c>
      <c r="AL8" s="34">
        <v>279</v>
      </c>
    </row>
    <row r="9">
      <c r="A9" s="15"/>
      <c r="B9" s="16" t="s">
        <v>48</v>
      </c>
      <c r="C9" s="17" t="s">
        <v>50</v>
      </c>
      <c r="D9" s="18">
        <f t="shared" si="354"/>
      </c>
      <c r="E9" s="17">
        <v>1188.47</v>
      </c>
      <c r="F9" s="20">
        <v>6589.99</v>
      </c>
      <c r="G9" s="20">
        <v>0</v>
      </c>
      <c r="H9" s="20">
        <v>0</v>
      </c>
      <c r="I9" s="20">
        <f t="shared" si="445"/>
      </c>
      <c r="J9" s="21">
        <v>1159.92</v>
      </c>
      <c r="K9" s="22">
        <f t="shared" si="536"/>
      </c>
      <c r="L9" s="22">
        <f t="shared" si="206"/>
      </c>
      <c r="M9" s="23">
        <f t="shared" si="296"/>
      </c>
      <c r="N9" s="24">
        <f t="shared" si="315"/>
      </c>
      <c r="O9" s="25">
        <f t="shared" si="334"/>
      </c>
      <c r="P9" s="26">
        <f t="shared" si="19"/>
      </c>
      <c r="Q9" s="26">
        <f t="shared" si="38"/>
      </c>
      <c r="R9" s="26">
        <f t="shared" si="57"/>
      </c>
      <c r="S9" s="27">
        <f t="shared" si="76"/>
      </c>
      <c r="T9" s="28">
        <f t="shared" si="626"/>
      </c>
      <c r="U9" s="26">
        <f t="shared" si="664"/>
      </c>
      <c r="V9" s="29">
        <f t="shared" si="645"/>
      </c>
      <c r="W9" s="29">
        <f t="shared" si="683"/>
      </c>
      <c r="X9" s="26">
        <f t="shared" si="0"/>
      </c>
      <c r="Y9" s="30">
        <f t="shared" si="96"/>
      </c>
      <c r="Z9" s="30">
        <v>3</v>
      </c>
      <c r="AA9" s="30">
        <v>7</v>
      </c>
      <c r="AB9" s="31">
        <v>13854.48000000001</v>
      </c>
      <c r="AC9" s="31">
        <v>0</v>
      </c>
      <c r="AD9" s="27">
        <f t="shared" si="186"/>
      </c>
      <c r="AE9" s="32" t="s">
        <v>41</v>
      </c>
      <c r="AF9" s="33" t="s">
        <v>42</v>
      </c>
      <c r="AG9" s="34">
        <v>2</v>
      </c>
      <c r="AH9" s="35">
        <v>96534</v>
      </c>
      <c r="AI9" s="35">
        <v>2715</v>
      </c>
      <c r="AJ9" s="35">
        <v>3069</v>
      </c>
      <c r="AK9" s="36">
        <v>245</v>
      </c>
      <c r="AL9" s="36">
        <v>231</v>
      </c>
    </row>
    <row r="10">
      <c r="A10" s="15"/>
      <c r="B10" s="16" t="s">
        <v>48</v>
      </c>
      <c r="C10" s="17" t="s">
        <v>51</v>
      </c>
      <c r="D10" s="18">
        <f t="shared" si="354"/>
      </c>
      <c r="E10" s="17">
        <v>1465.69</v>
      </c>
      <c r="F10" s="17">
        <v>6757.93</v>
      </c>
      <c r="G10" s="20">
        <v>0</v>
      </c>
      <c r="H10" s="20">
        <v>0</v>
      </c>
      <c r="I10" s="20">
        <f t="shared" si="445"/>
      </c>
      <c r="J10" s="21">
        <f>1159.92+733.32</f>
      </c>
      <c r="K10" s="22">
        <f t="shared" si="536"/>
      </c>
      <c r="L10" s="22">
        <f t="shared" si="206"/>
      </c>
      <c r="M10" s="23">
        <f t="shared" si="296"/>
      </c>
      <c r="N10" s="24">
        <f t="shared" si="315"/>
      </c>
      <c r="O10" s="25">
        <f t="shared" si="334"/>
      </c>
      <c r="P10" s="26">
        <f t="shared" si="19"/>
      </c>
      <c r="Q10" s="26">
        <f t="shared" si="38"/>
      </c>
      <c r="R10" s="26">
        <f t="shared" si="57"/>
      </c>
      <c r="S10" s="27">
        <f t="shared" si="76"/>
      </c>
      <c r="T10" s="28">
        <f t="shared" si="626"/>
      </c>
      <c r="U10" s="26">
        <f t="shared" si="664"/>
      </c>
      <c r="V10" s="29">
        <f t="shared" si="645"/>
      </c>
      <c r="W10" s="29">
        <f t="shared" si="683"/>
      </c>
      <c r="X10" s="26">
        <f t="shared" si="0"/>
      </c>
      <c r="Y10" s="30">
        <f t="shared" si="96"/>
      </c>
      <c r="Z10" s="30">
        <v>9</v>
      </c>
      <c r="AA10" s="30">
        <v>11</v>
      </c>
      <c r="AB10" s="31">
        <v>17142.119999999995</v>
      </c>
      <c r="AC10" s="31">
        <v>0</v>
      </c>
      <c r="AD10" s="27">
        <f t="shared" si="186"/>
      </c>
      <c r="AE10" s="32" t="s">
        <v>41</v>
      </c>
      <c r="AF10" s="33" t="s">
        <v>42</v>
      </c>
      <c r="AG10" s="36">
        <v>8</v>
      </c>
      <c r="AH10" s="35">
        <v>90107</v>
      </c>
      <c r="AI10" s="35">
        <v>2822</v>
      </c>
      <c r="AJ10" s="35">
        <v>3207</v>
      </c>
      <c r="AK10" s="36">
        <v>240</v>
      </c>
      <c r="AL10" s="36">
        <v>237</v>
      </c>
    </row>
    <row r="11">
      <c r="A11" s="15"/>
      <c r="B11" s="16" t="s">
        <v>48</v>
      </c>
      <c r="C11" s="17" t="s">
        <v>52</v>
      </c>
      <c r="D11" s="18">
        <f t="shared" si="354"/>
      </c>
      <c r="E11" s="17">
        <v>1198.75</v>
      </c>
      <c r="F11" s="20">
        <v>7244.54</v>
      </c>
      <c r="G11" s="20">
        <v>0</v>
      </c>
      <c r="H11" s="20">
        <v>0</v>
      </c>
      <c r="I11" s="20">
        <f t="shared" si="445"/>
      </c>
      <c r="J11" s="21">
        <v>435.24</v>
      </c>
      <c r="K11" s="22">
        <f t="shared" si="536"/>
      </c>
      <c r="L11" s="22">
        <f t="shared" si="206"/>
      </c>
      <c r="M11" s="23">
        <f t="shared" si="296"/>
      </c>
      <c r="N11" s="24">
        <f t="shared" si="315"/>
      </c>
      <c r="O11" s="25">
        <f t="shared" si="334"/>
      </c>
      <c r="P11" s="26">
        <f t="shared" si="19"/>
      </c>
      <c r="Q11" s="26">
        <f t="shared" si="38"/>
      </c>
      <c r="R11" s="26">
        <f t="shared" si="57"/>
      </c>
      <c r="S11" s="27">
        <f t="shared" si="76"/>
      </c>
      <c r="T11" s="28">
        <f t="shared" si="626"/>
      </c>
      <c r="U11" s="26">
        <f t="shared" si="664"/>
      </c>
      <c r="V11" s="29">
        <f t="shared" si="645"/>
      </c>
      <c r="W11" s="29">
        <f t="shared" si="683"/>
      </c>
      <c r="X11" s="26">
        <f t="shared" si="0"/>
      </c>
      <c r="Y11" s="30">
        <f t="shared" si="96"/>
      </c>
      <c r="Z11" s="30">
        <v>1</v>
      </c>
      <c r="AA11" s="30">
        <v>9</v>
      </c>
      <c r="AB11" s="21">
        <v>11738.51999999999</v>
      </c>
      <c r="AC11" s="48">
        <v>2701</v>
      </c>
      <c r="AD11" s="27">
        <f t="shared" si="186"/>
      </c>
      <c r="AE11" s="32" t="s">
        <v>41</v>
      </c>
      <c r="AF11" s="33" t="s">
        <v>42</v>
      </c>
      <c r="AG11" s="34">
        <v>6</v>
      </c>
      <c r="AH11" s="35">
        <v>100046</v>
      </c>
      <c r="AI11" s="35">
        <v>2873</v>
      </c>
      <c r="AJ11" s="35">
        <v>3135</v>
      </c>
      <c r="AK11" s="36">
        <v>257</v>
      </c>
      <c r="AL11" s="36">
        <v>278</v>
      </c>
    </row>
    <row r="12">
      <c r="A12" s="15"/>
      <c r="B12" s="38" t="s">
        <v>47</v>
      </c>
      <c r="C12" s="39">
        <v>4</v>
      </c>
      <c r="D12" s="40">
        <f>SUM(D8:D11)</f>
      </c>
      <c r="E12" s="40">
        <f>SUM(E8:E11)</f>
      </c>
      <c r="F12" s="40">
        <f>SUM(F8:F11)</f>
      </c>
      <c r="G12" s="40">
        <f>SUM(G8:G11)</f>
      </c>
      <c r="H12" s="40">
        <f>SUM(H8:H11)</f>
      </c>
      <c r="I12" s="40">
        <f>SUM(I8:I11)</f>
      </c>
      <c r="J12" s="40">
        <f>SUM(J8:J11)</f>
      </c>
      <c r="K12" s="40">
        <f>SUM(K8:K11)</f>
      </c>
      <c r="L12" s="40">
        <f>SUM(L8:L11)</f>
      </c>
      <c r="M12" s="41">
        <f t="shared" si="296"/>
      </c>
      <c r="N12" s="42">
        <f t="shared" si="315"/>
      </c>
      <c r="O12" s="42">
        <f t="shared" si="334"/>
      </c>
      <c r="P12" s="43">
        <f t="shared" si="19"/>
      </c>
      <c r="Q12" s="43">
        <f t="shared" si="38"/>
      </c>
      <c r="R12" s="43">
        <f t="shared" si="57"/>
      </c>
      <c r="S12" s="44">
        <f t="shared" si="76"/>
      </c>
      <c r="T12" s="44">
        <f t="shared" si="626"/>
      </c>
      <c r="U12" s="43">
        <f t="shared" si="664"/>
      </c>
      <c r="V12" s="44">
        <f t="shared" si="645"/>
      </c>
      <c r="W12" s="44">
        <f t="shared" si="683"/>
      </c>
      <c r="X12" s="43">
        <f t="shared" si="0"/>
      </c>
      <c r="Y12" s="40">
        <f>SUM(Y8:Y11)</f>
      </c>
      <c r="Z12" s="40">
        <f>SUM(Z8:Z11)</f>
      </c>
      <c r="AA12" s="40">
        <f>SUM(AA8:AA11)</f>
      </c>
      <c r="AB12" s="40">
        <f>SUM(AB8:AB11)</f>
      </c>
      <c r="AC12" s="40">
        <f>SUM(AC8:AC11)</f>
      </c>
      <c r="AD12" s="45">
        <f t="shared" si="186"/>
      </c>
      <c r="AE12" s="46"/>
      <c r="AF12" s="47"/>
      <c r="AG12" s="40">
        <f>SUM(AG8:AG11)</f>
      </c>
      <c r="AH12" s="40">
        <f>SUM(AH8:AH11)</f>
      </c>
      <c r="AI12" s="40">
        <f>SUM(AI8:AI11)</f>
      </c>
      <c r="AJ12" s="40">
        <f>SUM(AJ8:AJ11)</f>
      </c>
      <c r="AK12" s="40">
        <f>SUM(AK8:AK11)</f>
      </c>
      <c r="AL12" s="40">
        <f>SUM(AL8:AL11)</f>
      </c>
    </row>
    <row r="13">
      <c r="A13" s="15"/>
      <c r="B13" s="16" t="s">
        <v>53</v>
      </c>
      <c r="C13" s="17" t="s">
        <v>54</v>
      </c>
      <c r="D13" s="18">
        <f t="shared" ref="D13:D14" si="355">E13+F13+G13+H13</f>
      </c>
      <c r="E13" s="17">
        <v>1248.63</v>
      </c>
      <c r="F13" s="49">
        <v>5728.14</v>
      </c>
      <c r="G13" s="20">
        <v>0</v>
      </c>
      <c r="H13" s="20">
        <v>0</v>
      </c>
      <c r="I13" s="50">
        <f t="shared" ref="I13:I14" si="446">AB13+AC13</f>
      </c>
      <c r="J13" s="51">
        <v>0</v>
      </c>
      <c r="K13" s="22">
        <f t="shared" ref="K13:K14" si="537">I13-J13</f>
      </c>
      <c r="L13" s="22">
        <f t="shared" ref="L13:L14" si="207">(I13-AC13)/12+AC13</f>
      </c>
      <c r="M13" s="23">
        <f t="shared" si="296"/>
      </c>
      <c r="N13" s="24">
        <f t="shared" si="315"/>
      </c>
      <c r="O13" s="25">
        <f t="shared" si="334"/>
      </c>
      <c r="P13" s="26">
        <f t="shared" si="19"/>
      </c>
      <c r="Q13" s="26">
        <f t="shared" si="38"/>
      </c>
      <c r="R13" s="26">
        <f t="shared" si="57"/>
      </c>
      <c r="S13" s="27">
        <f t="shared" si="76"/>
      </c>
      <c r="T13" s="28">
        <f t="shared" si="626"/>
      </c>
      <c r="U13" s="26">
        <f t="shared" si="664"/>
      </c>
      <c r="V13" s="29">
        <f t="shared" si="645"/>
      </c>
      <c r="W13" s="29">
        <f t="shared" si="683"/>
      </c>
      <c r="X13" s="26">
        <f t="shared" si="0"/>
      </c>
      <c r="Y13" s="30">
        <f t="shared" ref="Y13:Y14" si="97">Z13+AA13</f>
      </c>
      <c r="Z13" s="30">
        <v>11</v>
      </c>
      <c r="AA13" s="30">
        <v>6</v>
      </c>
      <c r="AB13" s="31">
        <v>6154.920000000013</v>
      </c>
      <c r="AC13" s="31">
        <v>0</v>
      </c>
      <c r="AD13" s="27">
        <f t="shared" si="186"/>
      </c>
      <c r="AE13" s="32" t="s">
        <v>41</v>
      </c>
      <c r="AF13" s="33" t="s">
        <v>42</v>
      </c>
      <c r="AG13" s="34">
        <v>6</v>
      </c>
      <c r="AH13" s="35">
        <v>69031</v>
      </c>
      <c r="AI13" s="35">
        <v>2391</v>
      </c>
      <c r="AJ13" s="35">
        <v>2594</v>
      </c>
      <c r="AK13" s="36">
        <v>239</v>
      </c>
      <c r="AL13" s="36">
        <v>241</v>
      </c>
    </row>
    <row r="14">
      <c r="A14" s="15"/>
      <c r="B14" s="16" t="s">
        <v>53</v>
      </c>
      <c r="C14" s="17" t="s">
        <v>55</v>
      </c>
      <c r="D14" s="18">
        <f t="shared" si="355"/>
      </c>
      <c r="E14" s="52">
        <v>1449.27</v>
      </c>
      <c r="F14" s="53">
        <v>6170.06</v>
      </c>
      <c r="G14" s="54">
        <v>0</v>
      </c>
      <c r="H14" s="20">
        <v>0</v>
      </c>
      <c r="I14" s="55">
        <f t="shared" si="446"/>
      </c>
      <c r="J14" s="51">
        <f>733.32+2608.2+546.48</f>
      </c>
      <c r="K14" s="22">
        <f t="shared" si="537"/>
      </c>
      <c r="L14" s="22">
        <f t="shared" si="207"/>
      </c>
      <c r="M14" s="23">
        <f t="shared" si="296"/>
      </c>
      <c r="N14" s="24">
        <f t="shared" si="315"/>
      </c>
      <c r="O14" s="25">
        <f t="shared" si="334"/>
      </c>
      <c r="P14" s="26">
        <f t="shared" si="19"/>
      </c>
      <c r="Q14" s="26">
        <f t="shared" si="38"/>
      </c>
      <c r="R14" s="26">
        <f t="shared" si="57"/>
      </c>
      <c r="S14" s="27">
        <f t="shared" si="76"/>
      </c>
      <c r="T14" s="28">
        <f t="shared" si="626"/>
      </c>
      <c r="U14" s="26">
        <f t="shared" si="664"/>
      </c>
      <c r="V14" s="29">
        <f t="shared" si="645"/>
      </c>
      <c r="W14" s="29">
        <f t="shared" si="683"/>
      </c>
      <c r="X14" s="26">
        <f t="shared" si="0"/>
      </c>
      <c r="Y14" s="56">
        <f t="shared" si="97"/>
      </c>
      <c r="Z14" s="30">
        <v>5</v>
      </c>
      <c r="AA14" s="30">
        <v>14</v>
      </c>
      <c r="AB14" s="57">
        <f>15837.12+2608.2+6448.68</f>
      </c>
      <c r="AC14" s="31">
        <v>1371</v>
      </c>
      <c r="AD14" s="27">
        <f t="shared" si="186"/>
      </c>
      <c r="AE14" s="32" t="s">
        <v>41</v>
      </c>
      <c r="AF14" s="33" t="s">
        <v>56</v>
      </c>
      <c r="AG14" s="36">
        <v>9</v>
      </c>
      <c r="AH14" s="35">
        <v>68971</v>
      </c>
      <c r="AI14" s="35">
        <v>2335</v>
      </c>
      <c r="AJ14" s="35">
        <v>2477</v>
      </c>
      <c r="AK14" s="36">
        <v>224</v>
      </c>
      <c r="AL14" s="36">
        <v>245</v>
      </c>
    </row>
    <row r="15">
      <c r="A15" s="15"/>
      <c r="B15" s="38" t="s">
        <v>47</v>
      </c>
      <c r="C15" s="39">
        <v>2</v>
      </c>
      <c r="D15" s="58">
        <f>SUM(D13:D14)</f>
      </c>
      <c r="E15" s="58">
        <f>SUM(E13:E14)</f>
      </c>
      <c r="F15" s="58">
        <f>SUM(F13:F14)</f>
      </c>
      <c r="G15" s="58">
        <f>SUM(G13:G14)</f>
      </c>
      <c r="H15" s="58">
        <f>SUM(H13:H14)</f>
      </c>
      <c r="I15" s="58">
        <f>SUM(I13:I14)</f>
      </c>
      <c r="J15" s="58">
        <f>SUM(J13:J14)</f>
      </c>
      <c r="K15" s="58">
        <f>SUM(K13:K14)</f>
      </c>
      <c r="L15" s="58">
        <f>SUM(L13:L14)</f>
      </c>
      <c r="M15" s="41">
        <f t="shared" si="296"/>
      </c>
      <c r="N15" s="42">
        <f t="shared" si="315"/>
      </c>
      <c r="O15" s="42">
        <f t="shared" si="334"/>
      </c>
      <c r="P15" s="43">
        <f t="shared" si="19"/>
      </c>
      <c r="Q15" s="43">
        <f t="shared" si="38"/>
      </c>
      <c r="R15" s="43">
        <f t="shared" si="57"/>
      </c>
      <c r="S15" s="44">
        <f t="shared" si="76"/>
      </c>
      <c r="T15" s="44">
        <f t="shared" si="626"/>
      </c>
      <c r="U15" s="43">
        <f t="shared" si="664"/>
      </c>
      <c r="V15" s="44">
        <f t="shared" si="645"/>
      </c>
      <c r="W15" s="44">
        <f t="shared" si="683"/>
      </c>
      <c r="X15" s="43">
        <f t="shared" si="0"/>
      </c>
      <c r="Y15" s="58">
        <f>SUM(Y13:Y14)</f>
      </c>
      <c r="Z15" s="58">
        <f>SUM(Z13:Z14)</f>
      </c>
      <c r="AA15" s="58">
        <f>SUM(AA13:AA14)</f>
      </c>
      <c r="AB15" s="58">
        <f>SUM(AB13:AB14)</f>
      </c>
      <c r="AC15" s="58">
        <f>SUM(AC13:AC14)</f>
      </c>
      <c r="AD15" s="45">
        <f t="shared" si="186"/>
      </c>
      <c r="AE15" s="46"/>
      <c r="AF15" s="47"/>
      <c r="AG15" s="58">
        <f>SUM(AG13:AG14)</f>
      </c>
      <c r="AH15" s="58">
        <f>SUM(AH13:AH14)</f>
      </c>
      <c r="AI15" s="58">
        <f>SUM(AI13:AI14)</f>
      </c>
      <c r="AJ15" s="58">
        <f>SUM(AJ13:AJ14)</f>
      </c>
      <c r="AK15" s="58">
        <f>SUM(AK13:AK14)</f>
      </c>
      <c r="AL15" s="58">
        <f>SUM(AL13:AL14)</f>
      </c>
    </row>
    <row r="16">
      <c r="A16" s="15"/>
      <c r="B16" s="16" t="s">
        <v>57</v>
      </c>
      <c r="C16" s="17" t="s">
        <v>58</v>
      </c>
      <c r="D16" s="18">
        <f t="shared" ref="D16:D19" si="356">E16+F16+G16+H16</f>
      </c>
      <c r="E16" s="17">
        <v>1247.5</v>
      </c>
      <c r="F16" s="49">
        <v>7068.58</v>
      </c>
      <c r="G16" s="20">
        <v>0</v>
      </c>
      <c r="H16" s="20">
        <v>0</v>
      </c>
      <c r="I16" s="50">
        <f t="shared" ref="I16:I19" si="447">AB16+AC16</f>
      </c>
      <c r="J16" s="51">
        <f>1109.16+1546.2</f>
      </c>
      <c r="K16" s="22">
        <f t="shared" ref="K16:K19" si="538">I16-J16</f>
      </c>
      <c r="L16" s="22">
        <f t="shared" ref="L16:L19" si="208">(I16-AC16)/12+AC16</f>
      </c>
      <c r="M16" s="23">
        <f t="shared" si="296"/>
      </c>
      <c r="N16" s="24">
        <f t="shared" si="315"/>
      </c>
      <c r="O16" s="25">
        <f t="shared" si="334"/>
      </c>
      <c r="P16" s="26">
        <f t="shared" si="19"/>
      </c>
      <c r="Q16" s="26">
        <f t="shared" si="38"/>
      </c>
      <c r="R16" s="26">
        <f t="shared" si="57"/>
      </c>
      <c r="S16" s="27">
        <f t="shared" si="76"/>
      </c>
      <c r="T16" s="28">
        <f t="shared" si="626"/>
      </c>
      <c r="U16" s="26">
        <f t="shared" si="664"/>
      </c>
      <c r="V16" s="29">
        <f t="shared" si="645"/>
      </c>
      <c r="W16" s="29">
        <f t="shared" si="683"/>
      </c>
      <c r="X16" s="26">
        <f t="shared" si="0"/>
      </c>
      <c r="Y16" s="30">
        <f t="shared" ref="Y16:Y19" si="98">Z16+AA16</f>
      </c>
      <c r="Z16" s="30">
        <v>8</v>
      </c>
      <c r="AA16" s="30">
        <v>8</v>
      </c>
      <c r="AB16" s="31">
        <v>12063.23999999999</v>
      </c>
      <c r="AC16" s="31">
        <v>7375</v>
      </c>
      <c r="AD16" s="27">
        <f t="shared" si="186"/>
      </c>
      <c r="AE16" s="32" t="s">
        <v>41</v>
      </c>
      <c r="AF16" s="33" t="s">
        <v>56</v>
      </c>
      <c r="AG16" s="34">
        <v>8</v>
      </c>
      <c r="AH16" s="35">
        <v>84563</v>
      </c>
      <c r="AI16" s="35">
        <v>2561</v>
      </c>
      <c r="AJ16" s="35">
        <v>2796</v>
      </c>
      <c r="AK16" s="36">
        <v>245</v>
      </c>
      <c r="AL16" s="36">
        <v>251</v>
      </c>
    </row>
    <row r="17">
      <c r="A17" s="15"/>
      <c r="B17" s="16" t="s">
        <v>57</v>
      </c>
      <c r="C17" s="17" t="s">
        <v>59</v>
      </c>
      <c r="D17" s="18">
        <f t="shared" si="356"/>
      </c>
      <c r="E17" s="17">
        <v>969.82</v>
      </c>
      <c r="F17" s="49">
        <v>8758.07</v>
      </c>
      <c r="G17" s="20">
        <v>0</v>
      </c>
      <c r="H17" s="20">
        <v>0</v>
      </c>
      <c r="I17" s="50">
        <f t="shared" si="447"/>
      </c>
      <c r="J17" s="51">
        <v>0</v>
      </c>
      <c r="K17" s="22">
        <f t="shared" si="538"/>
      </c>
      <c r="L17" s="22">
        <f t="shared" si="208"/>
      </c>
      <c r="M17" s="23">
        <f t="shared" si="296"/>
      </c>
      <c r="N17" s="24">
        <f t="shared" si="315"/>
      </c>
      <c r="O17" s="25">
        <f t="shared" si="334"/>
      </c>
      <c r="P17" s="26">
        <f t="shared" si="19"/>
      </c>
      <c r="Q17" s="26">
        <f t="shared" si="38"/>
      </c>
      <c r="R17" s="26">
        <f t="shared" si="57"/>
      </c>
      <c r="S17" s="27">
        <f t="shared" si="76"/>
      </c>
      <c r="T17" s="28">
        <f t="shared" si="626"/>
      </c>
      <c r="U17" s="26">
        <f t="shared" si="664"/>
      </c>
      <c r="V17" s="29">
        <f t="shared" si="645"/>
      </c>
      <c r="W17" s="29">
        <f t="shared" si="683"/>
      </c>
      <c r="X17" s="26">
        <f t="shared" si="0"/>
      </c>
      <c r="Y17" s="30">
        <f t="shared" si="98"/>
      </c>
      <c r="Z17" s="30">
        <v>7</v>
      </c>
      <c r="AA17" s="30">
        <v>12</v>
      </c>
      <c r="AB17" s="31">
        <v>15908.399999999994</v>
      </c>
      <c r="AC17" s="31">
        <v>2545</v>
      </c>
      <c r="AD17" s="27">
        <f t="shared" si="186"/>
      </c>
      <c r="AE17" s="32" t="s">
        <v>41</v>
      </c>
      <c r="AF17" s="33" t="s">
        <v>56</v>
      </c>
      <c r="AG17" s="34">
        <v>11</v>
      </c>
      <c r="AH17" s="35">
        <v>119432</v>
      </c>
      <c r="AI17" s="35">
        <v>2847</v>
      </c>
      <c r="AJ17" s="35">
        <v>2998</v>
      </c>
      <c r="AK17" s="36">
        <v>305</v>
      </c>
      <c r="AL17" s="36">
        <v>296</v>
      </c>
    </row>
    <row r="18">
      <c r="A18" s="15"/>
      <c r="B18" s="16" t="s">
        <v>57</v>
      </c>
      <c r="C18" s="52" t="s">
        <v>60</v>
      </c>
      <c r="D18" s="18">
        <f t="shared" si="356"/>
      </c>
      <c r="E18" s="17">
        <v>1482.96</v>
      </c>
      <c r="F18" s="49">
        <v>15278.99</v>
      </c>
      <c r="G18" s="20">
        <v>0</v>
      </c>
      <c r="H18" s="20">
        <v>0</v>
      </c>
      <c r="I18" s="50">
        <f t="shared" si="447"/>
      </c>
      <c r="J18" s="51">
        <v>1231.32</v>
      </c>
      <c r="K18" s="22">
        <f t="shared" si="538"/>
      </c>
      <c r="L18" s="22">
        <f t="shared" si="208"/>
      </c>
      <c r="M18" s="23">
        <f t="shared" si="296"/>
      </c>
      <c r="N18" s="24">
        <f t="shared" si="315"/>
      </c>
      <c r="O18" s="25">
        <f t="shared" si="334"/>
      </c>
      <c r="P18" s="26">
        <f t="shared" si="19"/>
      </c>
      <c r="Q18" s="26">
        <f t="shared" si="38"/>
      </c>
      <c r="R18" s="26">
        <f t="shared" si="57"/>
      </c>
      <c r="S18" s="27">
        <f t="shared" si="76"/>
      </c>
      <c r="T18" s="28">
        <f t="shared" si="626"/>
      </c>
      <c r="U18" s="26">
        <f t="shared" si="664"/>
      </c>
      <c r="V18" s="29">
        <f t="shared" si="645"/>
      </c>
      <c r="W18" s="29">
        <f t="shared" si="683"/>
      </c>
      <c r="X18" s="26">
        <f t="shared" si="0"/>
      </c>
      <c r="Y18" s="30">
        <f t="shared" si="98"/>
      </c>
      <c r="Z18" s="30">
        <v>13</v>
      </c>
      <c r="AA18" s="30">
        <v>19</v>
      </c>
      <c r="AB18" s="31">
        <v>31006.559999999998</v>
      </c>
      <c r="AC18" s="31">
        <v>1127</v>
      </c>
      <c r="AD18" s="27">
        <f t="shared" si="186"/>
      </c>
      <c r="AE18" s="32" t="s">
        <v>41</v>
      </c>
      <c r="AF18" s="33" t="s">
        <v>56</v>
      </c>
      <c r="AG18" s="36">
        <v>15</v>
      </c>
      <c r="AH18" s="35">
        <v>218309</v>
      </c>
      <c r="AI18" s="35">
        <v>3524</v>
      </c>
      <c r="AJ18" s="35">
        <v>3710</v>
      </c>
      <c r="AK18" s="36">
        <v>464</v>
      </c>
      <c r="AL18" s="36">
        <v>483</v>
      </c>
    </row>
    <row r="19">
      <c r="A19" s="15"/>
      <c r="B19" s="16" t="s">
        <v>57</v>
      </c>
      <c r="C19" s="52" t="s">
        <v>61</v>
      </c>
      <c r="D19" s="18">
        <f t="shared" si="356"/>
      </c>
      <c r="E19" s="17">
        <v>1606.54</v>
      </c>
      <c r="F19" s="49">
        <v>11835.5</v>
      </c>
      <c r="G19" s="20">
        <v>0</v>
      </c>
      <c r="H19" s="20">
        <v>0</v>
      </c>
      <c r="I19" s="50">
        <f t="shared" si="447"/>
      </c>
      <c r="J19" s="51">
        <v>0</v>
      </c>
      <c r="K19" s="22">
        <f t="shared" si="538"/>
      </c>
      <c r="L19" s="22">
        <f t="shared" si="208"/>
      </c>
      <c r="M19" s="23">
        <f t="shared" si="296"/>
      </c>
      <c r="N19" s="24">
        <f t="shared" si="315"/>
      </c>
      <c r="O19" s="25">
        <f t="shared" si="334"/>
      </c>
      <c r="P19" s="26">
        <f t="shared" si="19"/>
      </c>
      <c r="Q19" s="26">
        <f t="shared" si="38"/>
      </c>
      <c r="R19" s="26">
        <f t="shared" si="57"/>
      </c>
      <c r="S19" s="27">
        <f t="shared" si="76"/>
      </c>
      <c r="T19" s="28">
        <f t="shared" si="626"/>
      </c>
      <c r="U19" s="26">
        <f t="shared" si="664"/>
      </c>
      <c r="V19" s="29">
        <f t="shared" si="645"/>
      </c>
      <c r="W19" s="29">
        <f t="shared" si="683"/>
      </c>
      <c r="X19" s="26">
        <f t="shared" si="0"/>
      </c>
      <c r="Y19" s="30">
        <f t="shared" si="98"/>
      </c>
      <c r="Z19" s="30">
        <v>10</v>
      </c>
      <c r="AA19" s="30">
        <v>10</v>
      </c>
      <c r="AB19" s="31">
        <v>26272.800000000047</v>
      </c>
      <c r="AC19" s="31">
        <v>0</v>
      </c>
      <c r="AD19" s="27">
        <f t="shared" si="186"/>
      </c>
      <c r="AE19" s="32" t="s">
        <v>41</v>
      </c>
      <c r="AF19" s="33" t="s">
        <v>56</v>
      </c>
      <c r="AG19" s="34">
        <v>9</v>
      </c>
      <c r="AH19" s="35">
        <v>198300</v>
      </c>
      <c r="AI19" s="35">
        <v>2862</v>
      </c>
      <c r="AJ19" s="35">
        <v>3107</v>
      </c>
      <c r="AK19" s="36">
        <v>425</v>
      </c>
      <c r="AL19" s="34">
        <v>476</v>
      </c>
    </row>
    <row r="20">
      <c r="A20" s="15"/>
      <c r="B20" s="38" t="s">
        <v>47</v>
      </c>
      <c r="C20" s="39">
        <v>4</v>
      </c>
      <c r="D20" s="40">
        <f>SUM(D16:D19)</f>
      </c>
      <c r="E20" s="40">
        <f>SUM(E16:E19)</f>
      </c>
      <c r="F20" s="40">
        <f>SUM(F16:F19)</f>
      </c>
      <c r="G20" s="40">
        <f>SUM(G16:G19)</f>
      </c>
      <c r="H20" s="40">
        <f>SUM(H16:H19)</f>
      </c>
      <c r="I20" s="40">
        <f>SUM(I16:I19)</f>
      </c>
      <c r="J20" s="40">
        <f>SUM(J16:J19)</f>
      </c>
      <c r="K20" s="40">
        <f>SUM(K16:K19)</f>
      </c>
      <c r="L20" s="40">
        <f>SUM(L16:L19)</f>
      </c>
      <c r="M20" s="41">
        <f t="shared" si="296"/>
      </c>
      <c r="N20" s="42">
        <f t="shared" si="315"/>
      </c>
      <c r="O20" s="42">
        <f t="shared" si="334"/>
      </c>
      <c r="P20" s="43">
        <f t="shared" si="19"/>
      </c>
      <c r="Q20" s="43">
        <f t="shared" si="38"/>
      </c>
      <c r="R20" s="43">
        <f t="shared" si="57"/>
      </c>
      <c r="S20" s="44">
        <f t="shared" si="76"/>
      </c>
      <c r="T20" s="44">
        <f t="shared" si="626"/>
      </c>
      <c r="U20" s="43">
        <f t="shared" si="664"/>
      </c>
      <c r="V20" s="44">
        <f t="shared" si="645"/>
      </c>
      <c r="W20" s="44">
        <f t="shared" si="683"/>
      </c>
      <c r="X20" s="43">
        <f t="shared" si="0"/>
      </c>
      <c r="Y20" s="40">
        <f>SUM(Y16:Y19)</f>
      </c>
      <c r="Z20" s="40">
        <f>SUM(Z16:Z19)</f>
      </c>
      <c r="AA20" s="40">
        <f>SUM(AA16:AA19)</f>
      </c>
      <c r="AB20" s="40">
        <f>SUM(AB16:AB19)</f>
      </c>
      <c r="AC20" s="40">
        <f>SUM(AC16:AC19)</f>
      </c>
      <c r="AD20" s="45">
        <f t="shared" si="186"/>
      </c>
      <c r="AE20" s="46"/>
      <c r="AF20" s="47"/>
      <c r="AG20" s="40">
        <f>SUM(AG16:AG19)</f>
      </c>
      <c r="AH20" s="40">
        <f>SUM(AH16:AH19)</f>
      </c>
      <c r="AI20" s="40">
        <f>SUM(AI16:AI19)</f>
      </c>
      <c r="AJ20" s="40">
        <f>SUM(AJ16:AJ19)</f>
      </c>
      <c r="AK20" s="40">
        <f>SUM(AK16:AK19)</f>
      </c>
      <c r="AL20" s="40">
        <f>SUM(AL16:AL19)</f>
      </c>
    </row>
    <row r="21">
      <c r="A21" s="15"/>
      <c r="B21" s="16" t="s">
        <v>62</v>
      </c>
      <c r="C21" s="52" t="s">
        <v>63</v>
      </c>
      <c r="D21" s="18">
        <f t="shared" ref="D21:D25" si="357">E21+F21+G21+H21</f>
      </c>
      <c r="E21" s="19">
        <v>1889.53</v>
      </c>
      <c r="F21" s="20">
        <v>13440.82</v>
      </c>
      <c r="G21" s="20">
        <v>0</v>
      </c>
      <c r="H21" s="20">
        <v>0</v>
      </c>
      <c r="I21" s="20">
        <f t="shared" ref="I21:I25" si="448">AB21+AC21</f>
      </c>
      <c r="J21" s="21">
        <v>0</v>
      </c>
      <c r="K21" s="22">
        <f t="shared" ref="K21:K25" si="539">I21-J21</f>
      </c>
      <c r="L21" s="22">
        <f t="shared" ref="L21:L25" si="209">(I21-AC21)/12+AC21</f>
      </c>
      <c r="M21" s="23">
        <f t="shared" si="296"/>
      </c>
      <c r="N21" s="24">
        <f t="shared" si="315"/>
      </c>
      <c r="O21" s="25">
        <f t="shared" si="334"/>
      </c>
      <c r="P21" s="26">
        <f t="shared" si="19"/>
      </c>
      <c r="Q21" s="26">
        <f t="shared" si="38"/>
      </c>
      <c r="R21" s="26">
        <f t="shared" si="57"/>
      </c>
      <c r="S21" s="27">
        <f t="shared" si="76"/>
      </c>
      <c r="T21" s="28">
        <f t="shared" si="626"/>
      </c>
      <c r="U21" s="26">
        <f t="shared" si="664"/>
      </c>
      <c r="V21" s="29">
        <f t="shared" si="645"/>
      </c>
      <c r="W21" s="29">
        <f t="shared" si="683"/>
      </c>
      <c r="X21" s="26">
        <f t="shared" si="0"/>
      </c>
      <c r="Y21" s="30">
        <f t="shared" ref="Y21:Y25" si="99">Z21+AA21</f>
      </c>
      <c r="Z21" s="30">
        <v>6</v>
      </c>
      <c r="AA21" s="30">
        <v>9</v>
      </c>
      <c r="AB21" s="31">
        <v>16049.27999999997</v>
      </c>
      <c r="AC21" s="31">
        <v>3256</v>
      </c>
      <c r="AD21" s="27">
        <f t="shared" si="186"/>
      </c>
      <c r="AE21" s="32" t="s">
        <v>41</v>
      </c>
      <c r="AF21" s="33" t="s">
        <v>56</v>
      </c>
      <c r="AG21" s="34">
        <v>9</v>
      </c>
      <c r="AH21" s="34">
        <v>200282</v>
      </c>
      <c r="AI21" s="35">
        <v>3395</v>
      </c>
      <c r="AJ21" s="35">
        <v>3655</v>
      </c>
      <c r="AK21" s="34">
        <v>394</v>
      </c>
      <c r="AL21" s="36">
        <v>453</v>
      </c>
    </row>
    <row r="22">
      <c r="A22" s="15"/>
      <c r="B22" s="16" t="s">
        <v>62</v>
      </c>
      <c r="C22" s="17" t="s">
        <v>64</v>
      </c>
      <c r="D22" s="18">
        <f t="shared" si="357"/>
      </c>
      <c r="E22" s="17">
        <v>1575.3</v>
      </c>
      <c r="F22" s="20">
        <v>7546.36</v>
      </c>
      <c r="G22" s="20">
        <v>0</v>
      </c>
      <c r="H22" s="20">
        <v>0</v>
      </c>
      <c r="I22" s="20">
        <f t="shared" si="448"/>
      </c>
      <c r="J22" s="21">
        <v>0</v>
      </c>
      <c r="K22" s="22">
        <f t="shared" si="539"/>
      </c>
      <c r="L22" s="22">
        <f t="shared" si="209"/>
      </c>
      <c r="M22" s="23">
        <f t="shared" si="296"/>
      </c>
      <c r="N22" s="24">
        <f t="shared" si="315"/>
      </c>
      <c r="O22" s="25">
        <f t="shared" si="334"/>
      </c>
      <c r="P22" s="26">
        <f t="shared" si="19"/>
      </c>
      <c r="Q22" s="26">
        <f t="shared" si="38"/>
      </c>
      <c r="R22" s="26">
        <f t="shared" si="57"/>
      </c>
      <c r="S22" s="27">
        <f t="shared" si="76"/>
      </c>
      <c r="T22" s="28">
        <f t="shared" si="626"/>
      </c>
      <c r="U22" s="26">
        <f t="shared" si="664"/>
      </c>
      <c r="V22" s="29">
        <f t="shared" si="645"/>
      </c>
      <c r="W22" s="29">
        <f t="shared" si="683"/>
      </c>
      <c r="X22" s="26">
        <f t="shared" si="0"/>
      </c>
      <c r="Y22" s="30">
        <f t="shared" si="99"/>
      </c>
      <c r="Z22" s="30">
        <v>5</v>
      </c>
      <c r="AA22" s="30">
        <v>4</v>
      </c>
      <c r="AB22" s="31">
        <v>10200.960000000021</v>
      </c>
      <c r="AC22" s="31">
        <v>0</v>
      </c>
      <c r="AD22" s="27">
        <f t="shared" si="186"/>
      </c>
      <c r="AE22" s="32" t="s">
        <v>41</v>
      </c>
      <c r="AF22" s="33" t="s">
        <v>56</v>
      </c>
      <c r="AG22" s="34">
        <v>4</v>
      </c>
      <c r="AH22" s="35">
        <v>134226</v>
      </c>
      <c r="AI22" s="35">
        <v>2686</v>
      </c>
      <c r="AJ22" s="35">
        <v>3035</v>
      </c>
      <c r="AK22" s="36">
        <v>332</v>
      </c>
      <c r="AL22" s="36">
        <v>399</v>
      </c>
    </row>
    <row r="23">
      <c r="A23" s="15"/>
      <c r="B23" s="16" t="s">
        <v>62</v>
      </c>
      <c r="C23" s="52" t="s">
        <v>65</v>
      </c>
      <c r="D23" s="18">
        <f t="shared" si="357"/>
      </c>
      <c r="E23" s="17">
        <v>1322.89</v>
      </c>
      <c r="F23" s="17">
        <v>5961.09</v>
      </c>
      <c r="G23" s="20">
        <v>0</v>
      </c>
      <c r="H23" s="20">
        <v>0</v>
      </c>
      <c r="I23" s="20">
        <f t="shared" si="448"/>
      </c>
      <c r="J23" s="21">
        <v>0</v>
      </c>
      <c r="K23" s="22">
        <f t="shared" si="539"/>
      </c>
      <c r="L23" s="22">
        <f t="shared" si="209"/>
      </c>
      <c r="M23" s="23">
        <f t="shared" si="296"/>
      </c>
      <c r="N23" s="24">
        <f t="shared" si="315"/>
      </c>
      <c r="O23" s="25">
        <f t="shared" si="334"/>
      </c>
      <c r="P23" s="26">
        <f t="shared" si="19"/>
      </c>
      <c r="Q23" s="26">
        <f t="shared" si="38"/>
      </c>
      <c r="R23" s="26">
        <f t="shared" si="57"/>
      </c>
      <c r="S23" s="27">
        <f t="shared" si="76"/>
      </c>
      <c r="T23" s="28">
        <f t="shared" si="626"/>
      </c>
      <c r="U23" s="26">
        <f t="shared" si="664"/>
      </c>
      <c r="V23" s="29">
        <f t="shared" si="645"/>
      </c>
      <c r="W23" s="29">
        <f t="shared" si="683"/>
      </c>
      <c r="X23" s="26">
        <f t="shared" si="0"/>
      </c>
      <c r="Y23" s="30">
        <f t="shared" si="99"/>
      </c>
      <c r="Z23" s="30">
        <v>10</v>
      </c>
      <c r="AA23" s="30">
        <v>5</v>
      </c>
      <c r="AB23" s="31">
        <v>5996.159999999974</v>
      </c>
      <c r="AC23" s="31">
        <v>0</v>
      </c>
      <c r="AD23" s="27">
        <f t="shared" si="186"/>
      </c>
      <c r="AE23" s="32" t="s">
        <v>41</v>
      </c>
      <c r="AF23" s="33" t="s">
        <v>56</v>
      </c>
      <c r="AG23" s="36">
        <v>2</v>
      </c>
      <c r="AH23" s="35">
        <v>86570</v>
      </c>
      <c r="AI23" s="35">
        <v>2299</v>
      </c>
      <c r="AJ23" s="35">
        <v>2520</v>
      </c>
      <c r="AK23" s="36">
        <v>207</v>
      </c>
      <c r="AL23" s="36">
        <v>253</v>
      </c>
    </row>
    <row r="24">
      <c r="A24" s="15"/>
      <c r="B24" s="16" t="s">
        <v>62</v>
      </c>
      <c r="C24" s="17" t="s">
        <v>66</v>
      </c>
      <c r="D24" s="18">
        <f t="shared" si="357"/>
      </c>
      <c r="E24" s="17">
        <v>1003.7</v>
      </c>
      <c r="F24" s="20">
        <v>4305.84</v>
      </c>
      <c r="G24" s="20">
        <v>0</v>
      </c>
      <c r="H24" s="20">
        <v>0</v>
      </c>
      <c r="I24" s="37">
        <f t="shared" si="448"/>
      </c>
      <c r="J24" s="21">
        <v>0</v>
      </c>
      <c r="K24" s="22">
        <f t="shared" si="539"/>
      </c>
      <c r="L24" s="22">
        <f t="shared" si="209"/>
      </c>
      <c r="M24" s="23">
        <f t="shared" si="296"/>
      </c>
      <c r="N24" s="24">
        <f t="shared" si="315"/>
      </c>
      <c r="O24" s="25">
        <f t="shared" si="334"/>
      </c>
      <c r="P24" s="26">
        <f t="shared" si="19"/>
      </c>
      <c r="Q24" s="26">
        <f t="shared" si="38"/>
      </c>
      <c r="R24" s="26">
        <f t="shared" si="57"/>
      </c>
      <c r="S24" s="27">
        <f t="shared" si="76"/>
      </c>
      <c r="T24" s="28">
        <f t="shared" si="626"/>
      </c>
      <c r="U24" s="26">
        <f t="shared" si="664"/>
      </c>
      <c r="V24" s="29">
        <f t="shared" si="645"/>
      </c>
      <c r="W24" s="29">
        <f t="shared" si="683"/>
      </c>
      <c r="X24" s="26">
        <f t="shared" si="0"/>
      </c>
      <c r="Y24" s="30">
        <f t="shared" si="99"/>
      </c>
      <c r="Z24" s="30">
        <v>5</v>
      </c>
      <c r="AA24" s="30">
        <v>1</v>
      </c>
      <c r="AB24" s="31">
        <v>0</v>
      </c>
      <c r="AC24" s="31">
        <v>679</v>
      </c>
      <c r="AD24" s="27">
        <f t="shared" si="186"/>
      </c>
      <c r="AE24" s="32" t="s">
        <v>41</v>
      </c>
      <c r="AF24" s="33" t="s">
        <v>56</v>
      </c>
      <c r="AG24" s="34">
        <v>1</v>
      </c>
      <c r="AH24" s="35">
        <v>73651</v>
      </c>
      <c r="AI24" s="35">
        <v>2488</v>
      </c>
      <c r="AJ24" s="35">
        <v>2813</v>
      </c>
      <c r="AK24" s="36">
        <v>187</v>
      </c>
      <c r="AL24" s="36">
        <v>185</v>
      </c>
    </row>
    <row r="25">
      <c r="A25" s="15"/>
      <c r="B25" s="16" t="s">
        <v>62</v>
      </c>
      <c r="C25" s="17" t="s">
        <v>67</v>
      </c>
      <c r="D25" s="18">
        <f t="shared" si="357"/>
      </c>
      <c r="E25" s="19">
        <f>563.93+10.14</f>
      </c>
      <c r="F25" s="20">
        <v>3557.03</v>
      </c>
      <c r="G25" s="20">
        <v>0</v>
      </c>
      <c r="H25" s="20">
        <v>0</v>
      </c>
      <c r="I25" s="20">
        <f t="shared" si="448"/>
      </c>
      <c r="J25" s="21">
        <v>0</v>
      </c>
      <c r="K25" s="22">
        <f t="shared" si="539"/>
      </c>
      <c r="L25" s="22">
        <f t="shared" si="209"/>
      </c>
      <c r="M25" s="23">
        <f t="shared" si="296"/>
      </c>
      <c r="N25" s="24">
        <f t="shared" si="315"/>
      </c>
      <c r="O25" s="25">
        <f t="shared" si="334"/>
      </c>
      <c r="P25" s="26">
        <f t="shared" si="19"/>
      </c>
      <c r="Q25" s="26">
        <f t="shared" si="38"/>
      </c>
      <c r="R25" s="26">
        <f t="shared" si="57"/>
      </c>
      <c r="S25" s="27">
        <f t="shared" si="76"/>
      </c>
      <c r="T25" s="28">
        <f t="shared" si="626"/>
      </c>
      <c r="U25" s="26">
        <f t="shared" si="664"/>
      </c>
      <c r="V25" s="29">
        <f t="shared" si="645"/>
      </c>
      <c r="W25" s="29">
        <f t="shared" si="683"/>
      </c>
      <c r="X25" s="26">
        <f t="shared" si="0"/>
      </c>
      <c r="Y25" s="30">
        <f t="shared" si="99"/>
      </c>
      <c r="Z25" s="30">
        <v>1</v>
      </c>
      <c r="AA25" s="30">
        <v>4</v>
      </c>
      <c r="AB25" s="31">
        <v>3258.36</v>
      </c>
      <c r="AC25" s="31">
        <v>1656</v>
      </c>
      <c r="AD25" s="27">
        <f t="shared" si="186"/>
      </c>
      <c r="AE25" s="32" t="s">
        <v>41</v>
      </c>
      <c r="AF25" s="33" t="s">
        <v>56</v>
      </c>
      <c r="AG25" s="34">
        <v>4</v>
      </c>
      <c r="AH25" s="35">
        <v>57489</v>
      </c>
      <c r="AI25" s="35">
        <v>2130</v>
      </c>
      <c r="AJ25" s="35">
        <v>2338</v>
      </c>
      <c r="AK25" s="34">
        <v>126</v>
      </c>
      <c r="AL25" s="34">
        <v>120</v>
      </c>
    </row>
    <row r="26">
      <c r="A26" s="15"/>
      <c r="B26" s="38" t="s">
        <v>47</v>
      </c>
      <c r="C26" s="39">
        <v>5</v>
      </c>
      <c r="D26" s="40">
        <f>SUM(D21:D25)</f>
      </c>
      <c r="E26" s="40">
        <f>SUM(E21:E25)</f>
      </c>
      <c r="F26" s="40">
        <f>SUM(F21:F25)</f>
      </c>
      <c r="G26" s="40">
        <f>SUM(G21:G25)</f>
      </c>
      <c r="H26" s="40">
        <f>SUM(H21:H25)</f>
      </c>
      <c r="I26" s="40">
        <f>SUM(I21:I25)</f>
      </c>
      <c r="J26" s="40">
        <f>SUM(J21:J25)</f>
      </c>
      <c r="K26" s="40">
        <f>SUM(K21:K25)</f>
      </c>
      <c r="L26" s="40">
        <f>SUM(L21:L25)</f>
      </c>
      <c r="M26" s="41">
        <f t="shared" si="296"/>
      </c>
      <c r="N26" s="42">
        <f t="shared" si="315"/>
      </c>
      <c r="O26" s="42">
        <f t="shared" si="334"/>
      </c>
      <c r="P26" s="43">
        <f t="shared" si="19"/>
      </c>
      <c r="Q26" s="43">
        <f t="shared" si="38"/>
      </c>
      <c r="R26" s="43">
        <f t="shared" si="57"/>
      </c>
      <c r="S26" s="44">
        <f t="shared" si="76"/>
      </c>
      <c r="T26" s="44">
        <f t="shared" si="626"/>
      </c>
      <c r="U26" s="43">
        <f t="shared" si="664"/>
      </c>
      <c r="V26" s="44">
        <f t="shared" si="645"/>
      </c>
      <c r="W26" s="44">
        <f t="shared" si="683"/>
      </c>
      <c r="X26" s="43">
        <f t="shared" si="0"/>
      </c>
      <c r="Y26" s="40">
        <f>SUM(Y21:Y25)</f>
      </c>
      <c r="Z26" s="40">
        <f>SUM(Z21:Z25)</f>
      </c>
      <c r="AA26" s="40">
        <f>SUM(AA21:AA25)</f>
      </c>
      <c r="AB26" s="40">
        <f>SUM(AB21:AB25)</f>
      </c>
      <c r="AC26" s="40">
        <f>SUM(AC21:AC25)</f>
      </c>
      <c r="AD26" s="59">
        <f t="shared" si="186"/>
      </c>
      <c r="AE26" s="46"/>
      <c r="AF26" s="47"/>
      <c r="AG26" s="40">
        <f>SUM(AG21:AG25)</f>
      </c>
      <c r="AH26" s="40">
        <f>SUM(AH21:AH25)</f>
      </c>
      <c r="AI26" s="40">
        <f>SUM(AI21:AI25)</f>
      </c>
      <c r="AJ26" s="40">
        <f>SUM(AJ21:AJ25)</f>
      </c>
      <c r="AK26" s="40">
        <f>SUM(AK21:AK25)</f>
      </c>
      <c r="AL26" s="40">
        <f>SUM(AL21:AL25)</f>
      </c>
    </row>
    <row r="27">
      <c r="A27" s="15"/>
      <c r="B27" s="60" t="s">
        <v>47</v>
      </c>
      <c r="C27" s="61">
        <f>C7+C12+C15+C20+C26</f>
      </c>
      <c r="D27" s="62">
        <f>D7+D12+D15+D20+D26</f>
      </c>
      <c r="E27" s="61">
        <f>E7+E12+E15+E20+E26</f>
      </c>
      <c r="F27" s="61">
        <f>F7+F12+F15+F20+F26</f>
      </c>
      <c r="G27" s="61">
        <f>G7+G12+G15+G20+G26</f>
      </c>
      <c r="H27" s="61">
        <f>H7+H12+H15+H20+H26</f>
      </c>
      <c r="I27" s="62">
        <f>I7+I12+I15+I20+I26</f>
      </c>
      <c r="J27" s="61">
        <f>J7+J12+J15+J20+J26</f>
      </c>
      <c r="K27" s="61">
        <f>K7+K12+K15+K20+K26</f>
      </c>
      <c r="L27" s="61">
        <f>L7+L12+L15+L20+L26</f>
      </c>
      <c r="M27" s="63">
        <f t="shared" si="296"/>
      </c>
      <c r="N27" s="63">
        <f t="shared" si="315"/>
      </c>
      <c r="O27" s="63">
        <f t="shared" si="334"/>
      </c>
      <c r="P27" s="63">
        <f t="shared" si="19"/>
      </c>
      <c r="Q27" s="63">
        <f t="shared" si="38"/>
      </c>
      <c r="R27" s="63">
        <f t="shared" si="57"/>
      </c>
      <c r="S27" s="64">
        <f t="shared" si="76"/>
      </c>
      <c r="T27" s="64">
        <f t="shared" si="626"/>
      </c>
      <c r="U27" s="63">
        <f t="shared" si="664"/>
      </c>
      <c r="V27" s="64">
        <f t="shared" si="645"/>
      </c>
      <c r="W27" s="64">
        <f t="shared" si="683"/>
      </c>
      <c r="X27" s="63">
        <f t="shared" si="0"/>
      </c>
      <c r="Y27" s="61">
        <f>Y7+Y12+Y15+Y20+Y26</f>
      </c>
      <c r="Z27" s="61">
        <f>Z7+Z12+Z15+Z20+Z26</f>
      </c>
      <c r="AA27" s="61">
        <f>AA7+AA12+AA15+AA20+AA26</f>
      </c>
      <c r="AB27" s="61">
        <f>AB7+AB12+AB15+AB20+AB26</f>
      </c>
      <c r="AC27" s="65">
        <f>AC7+AC12+AC15+AC20+AC26</f>
      </c>
      <c r="AD27" s="66">
        <f t="shared" si="186"/>
      </c>
      <c r="AE27" s="67"/>
      <c r="AF27" s="60"/>
      <c r="AG27" s="61">
        <f>AG7+AG12+AG15+AG20+AG26</f>
      </c>
      <c r="AH27" s="61">
        <f>AH7+AH12+AH15+AH20+AH26</f>
      </c>
      <c r="AI27" s="61">
        <f>AI7+AI12+AI15+AI20+AI26</f>
      </c>
      <c r="AJ27" s="61">
        <f>AJ7+AJ12+AJ15+AJ20+AJ26</f>
      </c>
      <c r="AK27" s="61">
        <f>AK7+AK12+AK15+AK20+AK26</f>
      </c>
      <c r="AL27" s="61">
        <f>AL7+AL12+AL15+AL20+AL26</f>
      </c>
    </row>
    <row r="28">
      <c r="A28" s="1" t="s">
        <v>1</v>
      </c>
      <c r="B28" s="2" t="s">
        <v>2</v>
      </c>
      <c r="C28" s="2" t="s">
        <v>3</v>
      </c>
      <c r="D28" s="3" t="s">
        <v>4</v>
      </c>
      <c r="E28" s="2" t="s">
        <v>5</v>
      </c>
      <c r="F28" s="2" t="s">
        <v>6</v>
      </c>
      <c r="G28" s="4" t="s">
        <v>7</v>
      </c>
      <c r="H28" s="4" t="s">
        <v>8</v>
      </c>
      <c r="I28" s="3" t="s">
        <v>9</v>
      </c>
      <c r="J28" s="5" t="s">
        <v>10</v>
      </c>
      <c r="K28" s="6" t="s">
        <v>11</v>
      </c>
      <c r="L28" s="6" t="s">
        <v>12</v>
      </c>
      <c r="M28" s="7" t="s">
        <v>13</v>
      </c>
      <c r="N28" s="6" t="s">
        <v>14</v>
      </c>
      <c r="O28" s="2" t="s">
        <v>15</v>
      </c>
      <c r="P28" s="7" t="s">
        <v>16</v>
      </c>
      <c r="Q28" s="8" t="s">
        <v>17</v>
      </c>
      <c r="R28" s="8" t="s">
        <v>18</v>
      </c>
      <c r="S28" s="3" t="s">
        <v>19</v>
      </c>
      <c r="T28" s="9" t="s">
        <v>20</v>
      </c>
      <c r="U28" s="7" t="s">
        <v>21</v>
      </c>
      <c r="V28" s="10" t="s">
        <v>22</v>
      </c>
      <c r="W28" s="11" t="s">
        <v>23</v>
      </c>
      <c r="X28" s="7" t="s">
        <v>24</v>
      </c>
      <c r="Y28" s="12" t="s">
        <v>25</v>
      </c>
      <c r="Z28" s="13" t="s">
        <v>26</v>
      </c>
      <c r="AA28" s="12" t="s">
        <v>27</v>
      </c>
      <c r="AB28" s="14" t="s">
        <v>28</v>
      </c>
      <c r="AC28" s="14" t="s">
        <v>29</v>
      </c>
      <c r="AD28" s="6" t="s">
        <v>30</v>
      </c>
      <c r="AE28" s="5" t="s">
        <v>31</v>
      </c>
      <c r="AF28" s="6" t="s">
        <v>32</v>
      </c>
      <c r="AG28" s="5" t="s">
        <v>33</v>
      </c>
      <c r="AH28" s="5" t="s">
        <v>34</v>
      </c>
      <c r="AI28" s="6" t="s">
        <v>35</v>
      </c>
      <c r="AJ28" s="5" t="s">
        <v>36</v>
      </c>
      <c r="AK28" s="6" t="s">
        <v>37</v>
      </c>
      <c r="AL28" s="5" t="s">
        <v>38</v>
      </c>
    </row>
    <row r="29">
      <c r="A29" s="15">
        <v>46297</v>
      </c>
      <c r="B29" s="16" t="s">
        <v>39</v>
      </c>
      <c r="C29" s="17" t="s">
        <v>40</v>
      </c>
      <c r="D29" s="18">
        <f t="shared" ref="D29:D33" si="358">E29+F29+G29+H29</f>
      </c>
      <c r="E29" s="19">
        <v>979.79</v>
      </c>
      <c r="F29" s="20">
        <v>9171.08</v>
      </c>
      <c r="G29" s="20">
        <v>0</v>
      </c>
      <c r="H29" s="20">
        <v>0</v>
      </c>
      <c r="I29" s="20">
        <f t="shared" ref="I29:I33" si="449">AB29+AC29</f>
      </c>
      <c r="J29" s="21">
        <f>4116.96+1128.6</f>
      </c>
      <c r="K29" s="22">
        <f t="shared" ref="K29:K33" si="540">I29-J29</f>
      </c>
      <c r="L29" s="22">
        <f t="shared" ref="L29:L33" si="210">(I29-AC29)/12+AC29</f>
      </c>
      <c r="M29" s="23">
        <f t="shared" ref="M29:M54" si="297">I29/D29</f>
      </c>
      <c r="N29" s="24">
        <f t="shared" ref="N29:N54" si="316">(I29-J29)/D29</f>
      </c>
      <c r="O29" s="25">
        <f t="shared" ref="O29:O54" si="335">(AC29+AB29/12)/D29</f>
      </c>
      <c r="P29" s="26">
        <f t="shared" ref="P29:P54" si="20">I29/AA29</f>
      </c>
      <c r="Q29" s="26">
        <f t="shared" ref="Q29:Q54" si="39">D29/AA29</f>
      </c>
      <c r="R29" s="26">
        <f t="shared" ref="R29:R54" si="58">D29/AG29</f>
      </c>
      <c r="S29" s="27">
        <f t="shared" ref="S29:S54" si="77">AA29/Y29</f>
      </c>
      <c r="T29" s="28">
        <f t="shared" ref="T29:T54" si="627">AI29/AH29</f>
      </c>
      <c r="U29" s="26">
        <f t="shared" ref="U29:U54" si="665">D29/AJ29</f>
      </c>
      <c r="V29" s="29">
        <f t="shared" ref="V29:V54" si="646">AK29/AJ29</f>
      </c>
      <c r="W29" s="29">
        <f t="shared" ref="W29:W54" si="684">AL29/AJ29</f>
      </c>
      <c r="X29" s="26">
        <f t="shared" ref="X29:X54" si="1">D29/AL29</f>
      </c>
      <c r="Y29" s="30">
        <f t="shared" ref="Y29:Y33" si="100">Z29+AA29</f>
      </c>
      <c r="Z29" s="30">
        <v>12</v>
      </c>
      <c r="AA29" s="30">
        <v>7</v>
      </c>
      <c r="AB29" s="31">
        <v>22108.68</v>
      </c>
      <c r="AC29" s="31">
        <v>539</v>
      </c>
      <c r="AD29" s="27">
        <f t="shared" ref="AD29:AD54" si="187">AC29/I29</f>
      </c>
      <c r="AE29" s="32" t="s">
        <v>41</v>
      </c>
      <c r="AF29" s="33" t="s">
        <v>42</v>
      </c>
      <c r="AG29" s="34">
        <v>5</v>
      </c>
      <c r="AH29" s="34">
        <v>98204</v>
      </c>
      <c r="AI29" s="35">
        <v>4909</v>
      </c>
      <c r="AJ29" s="35">
        <v>5293</v>
      </c>
      <c r="AK29" s="34">
        <v>334</v>
      </c>
      <c r="AL29" s="36">
        <v>325</v>
      </c>
    </row>
    <row r="30">
      <c r="A30" s="15"/>
      <c r="B30" s="16" t="s">
        <v>39</v>
      </c>
      <c r="C30" s="17" t="s">
        <v>43</v>
      </c>
      <c r="D30" s="18">
        <f t="shared" si="358"/>
      </c>
      <c r="E30" s="17">
        <v>1404.4</v>
      </c>
      <c r="F30" s="20">
        <v>8194.88</v>
      </c>
      <c r="G30" s="20">
        <v>0</v>
      </c>
      <c r="H30" s="20">
        <v>0</v>
      </c>
      <c r="I30" s="20">
        <f t="shared" si="449"/>
      </c>
      <c r="J30" s="21">
        <f>2608.2+696.6+2411+943.92</f>
      </c>
      <c r="K30" s="22">
        <f t="shared" si="540"/>
      </c>
      <c r="L30" s="22">
        <f t="shared" si="210"/>
      </c>
      <c r="M30" s="23">
        <f t="shared" si="297"/>
      </c>
      <c r="N30" s="24">
        <f t="shared" si="316"/>
      </c>
      <c r="O30" s="25">
        <f t="shared" si="335"/>
      </c>
      <c r="P30" s="26">
        <f t="shared" si="20"/>
      </c>
      <c r="Q30" s="26">
        <f t="shared" si="39"/>
      </c>
      <c r="R30" s="26">
        <f t="shared" si="58"/>
      </c>
      <c r="S30" s="27">
        <f t="shared" si="77"/>
      </c>
      <c r="T30" s="28">
        <f t="shared" si="627"/>
      </c>
      <c r="U30" s="26">
        <f t="shared" si="665"/>
      </c>
      <c r="V30" s="29">
        <f t="shared" si="646"/>
      </c>
      <c r="W30" s="29">
        <f t="shared" si="684"/>
      </c>
      <c r="X30" s="26">
        <f t="shared" si="1"/>
      </c>
      <c r="Y30" s="30">
        <f t="shared" si="100"/>
      </c>
      <c r="Z30" s="30">
        <v>7</v>
      </c>
      <c r="AA30" s="30">
        <v>13</v>
      </c>
      <c r="AB30" s="31">
        <v>21179.879999999997</v>
      </c>
      <c r="AC30" s="31">
        <v>3527</v>
      </c>
      <c r="AD30" s="27">
        <f t="shared" si="187"/>
      </c>
      <c r="AE30" s="32" t="s">
        <v>41</v>
      </c>
      <c r="AF30" s="33" t="s">
        <v>42</v>
      </c>
      <c r="AG30" s="34">
        <v>10</v>
      </c>
      <c r="AH30" s="35">
        <v>100416</v>
      </c>
      <c r="AI30" s="35">
        <v>3202</v>
      </c>
      <c r="AJ30" s="35">
        <v>3655</v>
      </c>
      <c r="AK30" s="36">
        <v>342</v>
      </c>
      <c r="AL30" s="36">
        <v>323</v>
      </c>
    </row>
    <row r="31">
      <c r="A31" s="15"/>
      <c r="B31" s="16" t="s">
        <v>39</v>
      </c>
      <c r="C31" s="17" t="s">
        <v>44</v>
      </c>
      <c r="D31" s="18">
        <f t="shared" si="358"/>
      </c>
      <c r="E31" s="17">
        <v>986.35</v>
      </c>
      <c r="F31" s="20">
        <v>10112.58</v>
      </c>
      <c r="G31" s="20">
        <v>0</v>
      </c>
      <c r="H31" s="20">
        <v>0</v>
      </c>
      <c r="I31" s="20">
        <f t="shared" si="449"/>
      </c>
      <c r="J31" s="21">
        <v>1788.48</v>
      </c>
      <c r="K31" s="22">
        <f t="shared" si="540"/>
      </c>
      <c r="L31" s="22">
        <f t="shared" si="210"/>
      </c>
      <c r="M31" s="23">
        <f t="shared" si="297"/>
      </c>
      <c r="N31" s="24">
        <f t="shared" si="316"/>
      </c>
      <c r="O31" s="25">
        <f t="shared" si="335"/>
      </c>
      <c r="P31" s="26">
        <f t="shared" si="20"/>
      </c>
      <c r="Q31" s="26">
        <f t="shared" si="39"/>
      </c>
      <c r="R31" s="26">
        <f t="shared" si="58"/>
      </c>
      <c r="S31" s="27">
        <f t="shared" si="77"/>
      </c>
      <c r="T31" s="28">
        <f t="shared" si="627"/>
      </c>
      <c r="U31" s="26">
        <f t="shared" si="665"/>
      </c>
      <c r="V31" s="29">
        <f t="shared" si="646"/>
      </c>
      <c r="W31" s="29">
        <f t="shared" si="684"/>
      </c>
      <c r="X31" s="26">
        <f t="shared" si="1"/>
      </c>
      <c r="Y31" s="30">
        <f t="shared" si="100"/>
      </c>
      <c r="Z31" s="30">
        <v>8</v>
      </c>
      <c r="AA31" s="30">
        <v>13</v>
      </c>
      <c r="AB31" s="31">
        <v>22584.960000000006</v>
      </c>
      <c r="AC31" s="31">
        <v>0</v>
      </c>
      <c r="AD31" s="27">
        <f t="shared" si="187"/>
      </c>
      <c r="AE31" s="32" t="s">
        <v>41</v>
      </c>
      <c r="AF31" s="33" t="s">
        <v>42</v>
      </c>
      <c r="AG31" s="36">
        <v>9</v>
      </c>
      <c r="AH31" s="35">
        <v>98172</v>
      </c>
      <c r="AI31" s="35">
        <v>2067</v>
      </c>
      <c r="AJ31" s="35">
        <v>2328</v>
      </c>
      <c r="AK31" s="36">
        <v>321</v>
      </c>
      <c r="AL31" s="36">
        <v>334</v>
      </c>
    </row>
    <row r="32">
      <c r="A32" s="15"/>
      <c r="B32" s="16" t="s">
        <v>39</v>
      </c>
      <c r="C32" s="17" t="s">
        <v>45</v>
      </c>
      <c r="D32" s="18">
        <f t="shared" si="358"/>
      </c>
      <c r="E32" s="17">
        <v>1272.9</v>
      </c>
      <c r="F32" s="20">
        <v>9068.78</v>
      </c>
      <c r="G32" s="20">
        <v>0</v>
      </c>
      <c r="H32" s="20">
        <v>0</v>
      </c>
      <c r="I32" s="37">
        <f t="shared" si="449"/>
      </c>
      <c r="J32" s="21">
        <v>0</v>
      </c>
      <c r="K32" s="22">
        <f t="shared" si="540"/>
      </c>
      <c r="L32" s="22">
        <f t="shared" si="210"/>
      </c>
      <c r="M32" s="23">
        <f t="shared" si="297"/>
      </c>
      <c r="N32" s="24">
        <f t="shared" si="316"/>
      </c>
      <c r="O32" s="25">
        <f t="shared" si="335"/>
      </c>
      <c r="P32" s="26">
        <f t="shared" si="20"/>
      </c>
      <c r="Q32" s="26">
        <f t="shared" si="39"/>
      </c>
      <c r="R32" s="26">
        <f t="shared" si="58"/>
      </c>
      <c r="S32" s="27">
        <f t="shared" si="77"/>
      </c>
      <c r="T32" s="28">
        <f t="shared" si="627"/>
      </c>
      <c r="U32" s="26">
        <f t="shared" si="665"/>
      </c>
      <c r="V32" s="29">
        <f t="shared" si="646"/>
      </c>
      <c r="W32" s="29">
        <f t="shared" si="684"/>
      </c>
      <c r="X32" s="26">
        <f t="shared" si="1"/>
      </c>
      <c r="Y32" s="30">
        <f t="shared" si="100"/>
      </c>
      <c r="Z32" s="30">
        <v>9</v>
      </c>
      <c r="AA32" s="30">
        <v>9</v>
      </c>
      <c r="AB32" s="31">
        <v>23783.759999999995</v>
      </c>
      <c r="AC32" s="31">
        <v>1669</v>
      </c>
      <c r="AD32" s="27">
        <f t="shared" si="187"/>
      </c>
      <c r="AE32" s="32" t="s">
        <v>41</v>
      </c>
      <c r="AF32" s="33" t="s">
        <v>42</v>
      </c>
      <c r="AG32" s="34">
        <v>6</v>
      </c>
      <c r="AH32" s="35">
        <v>95777</v>
      </c>
      <c r="AI32" s="35">
        <v>1819</v>
      </c>
      <c r="AJ32" s="35">
        <v>2132</v>
      </c>
      <c r="AK32" s="36">
        <v>280</v>
      </c>
      <c r="AL32" s="36">
        <v>283</v>
      </c>
    </row>
    <row r="33">
      <c r="A33" s="15"/>
      <c r="B33" s="16" t="s">
        <v>39</v>
      </c>
      <c r="C33" s="17" t="s">
        <v>46</v>
      </c>
      <c r="D33" s="18">
        <f t="shared" si="358"/>
      </c>
      <c r="E33" s="17">
        <v>1945.86</v>
      </c>
      <c r="F33" s="20">
        <v>4794.62</v>
      </c>
      <c r="G33" s="20">
        <v>0</v>
      </c>
      <c r="H33" s="20">
        <v>0</v>
      </c>
      <c r="I33" s="20">
        <f t="shared" si="449"/>
      </c>
      <c r="J33" s="21">
        <v>1863</v>
      </c>
      <c r="K33" s="22">
        <f t="shared" si="540"/>
      </c>
      <c r="L33" s="22">
        <f t="shared" si="210"/>
      </c>
      <c r="M33" s="23">
        <f t="shared" si="297"/>
      </c>
      <c r="N33" s="24">
        <f t="shared" si="316"/>
      </c>
      <c r="O33" s="25">
        <f t="shared" si="335"/>
      </c>
      <c r="P33" s="26">
        <f t="shared" si="20"/>
      </c>
      <c r="Q33" s="26">
        <f t="shared" si="39"/>
      </c>
      <c r="R33" s="26">
        <f t="shared" si="58"/>
      </c>
      <c r="S33" s="27">
        <f t="shared" si="77"/>
      </c>
      <c r="T33" s="28">
        <f t="shared" si="627"/>
      </c>
      <c r="U33" s="26">
        <f t="shared" si="665"/>
      </c>
      <c r="V33" s="29">
        <f t="shared" si="646"/>
      </c>
      <c r="W33" s="29">
        <f t="shared" si="684"/>
      </c>
      <c r="X33" s="26">
        <f t="shared" si="1"/>
      </c>
      <c r="Y33" s="30">
        <f t="shared" si="100"/>
      </c>
      <c r="Z33" s="30">
        <v>12</v>
      </c>
      <c r="AA33" s="30">
        <v>5</v>
      </c>
      <c r="AB33" s="31">
        <v>5006.880000000005</v>
      </c>
      <c r="AC33" s="31">
        <v>635</v>
      </c>
      <c r="AD33" s="27">
        <f t="shared" si="187"/>
      </c>
      <c r="AE33" s="32" t="s">
        <v>41</v>
      </c>
      <c r="AF33" s="33" t="s">
        <v>42</v>
      </c>
      <c r="AG33" s="34">
        <v>4</v>
      </c>
      <c r="AH33" s="35">
        <v>53757</v>
      </c>
      <c r="AI33" s="35">
        <v>1245</v>
      </c>
      <c r="AJ33" s="35">
        <v>1585</v>
      </c>
      <c r="AK33" s="34">
        <v>216</v>
      </c>
      <c r="AL33" s="34">
        <v>206</v>
      </c>
    </row>
    <row r="34">
      <c r="A34" s="15"/>
      <c r="B34" s="38" t="s">
        <v>47</v>
      </c>
      <c r="C34" s="39">
        <v>5</v>
      </c>
      <c r="D34" s="40">
        <f>SUM(D29:D33)</f>
      </c>
      <c r="E34" s="40">
        <f>SUM(E29:E33)</f>
      </c>
      <c r="F34" s="40">
        <f>SUM(F29:F33)</f>
      </c>
      <c r="G34" s="40">
        <f>SUM(G29:G33)</f>
      </c>
      <c r="H34" s="40">
        <f>SUM(H29:H33)</f>
      </c>
      <c r="I34" s="40">
        <f>SUM(I29:I33)</f>
      </c>
      <c r="J34" s="40">
        <f>SUM(J29:J33)</f>
      </c>
      <c r="K34" s="40">
        <f>SUM(K29:K33)</f>
      </c>
      <c r="L34" s="40">
        <f>SUM(L29:L33)</f>
      </c>
      <c r="M34" s="41">
        <f t="shared" si="297"/>
      </c>
      <c r="N34" s="42">
        <f t="shared" si="316"/>
      </c>
      <c r="O34" s="42">
        <f t="shared" si="335"/>
      </c>
      <c r="P34" s="43">
        <f t="shared" si="20"/>
      </c>
      <c r="Q34" s="43">
        <f t="shared" si="39"/>
      </c>
      <c r="R34" s="43">
        <f t="shared" si="58"/>
      </c>
      <c r="S34" s="44">
        <f t="shared" si="77"/>
      </c>
      <c r="T34" s="44">
        <f t="shared" si="627"/>
      </c>
      <c r="U34" s="43">
        <f t="shared" si="665"/>
      </c>
      <c r="V34" s="44">
        <f t="shared" si="646"/>
      </c>
      <c r="W34" s="44">
        <f t="shared" si="684"/>
      </c>
      <c r="X34" s="43">
        <f t="shared" si="1"/>
      </c>
      <c r="Y34" s="40">
        <f>SUM(Y29:Y33)</f>
      </c>
      <c r="Z34" s="40">
        <f>SUM(Z29:Z33)</f>
      </c>
      <c r="AA34" s="40">
        <f>SUM(AA29:AA33)</f>
      </c>
      <c r="AB34" s="40">
        <f>SUM(AB29:AB33)</f>
      </c>
      <c r="AC34" s="40">
        <f>SUM(AC29:AC33)</f>
      </c>
      <c r="AD34" s="45">
        <f t="shared" si="187"/>
      </c>
      <c r="AE34" s="46"/>
      <c r="AF34" s="47"/>
      <c r="AG34" s="40">
        <f>SUM(AG29:AG33)</f>
      </c>
      <c r="AH34" s="40">
        <f>SUM(AH29:AH33)</f>
      </c>
      <c r="AI34" s="40">
        <f>SUM(AI29:AI33)</f>
      </c>
      <c r="AJ34" s="40">
        <f>SUM(AJ29:AJ33)</f>
      </c>
      <c r="AK34" s="40">
        <f>SUM(AK29:AK33)</f>
      </c>
      <c r="AL34" s="40">
        <f>SUM(AL29:AL33)</f>
      </c>
    </row>
    <row r="35">
      <c r="A35" s="15"/>
      <c r="B35" s="16" t="s">
        <v>48</v>
      </c>
      <c r="C35" s="17" t="s">
        <v>49</v>
      </c>
      <c r="D35" s="18">
        <f t="shared" ref="D35:D38" si="359">E35+F35+G35+H35</f>
      </c>
      <c r="E35" s="19">
        <v>1961.88</v>
      </c>
      <c r="F35" s="20">
        <v>4121.15</v>
      </c>
      <c r="G35" s="20">
        <v>0</v>
      </c>
      <c r="H35" s="20">
        <v>0</v>
      </c>
      <c r="I35" s="20">
        <f t="shared" ref="I35:I38" si="450">AB35+AC35</f>
      </c>
      <c r="J35" s="21">
        <f>2603.88+4394.52</f>
      </c>
      <c r="K35" s="22">
        <f t="shared" ref="K35:K38" si="541">I35-J35</f>
      </c>
      <c r="L35" s="22">
        <f t="shared" ref="L35:L38" si="211">(I35-AC35)/12+AC35</f>
      </c>
      <c r="M35" s="23">
        <f t="shared" si="297"/>
      </c>
      <c r="N35" s="24">
        <f t="shared" si="316"/>
      </c>
      <c r="O35" s="25">
        <f t="shared" si="335"/>
      </c>
      <c r="P35" s="26">
        <f t="shared" si="20"/>
      </c>
      <c r="Q35" s="26">
        <f t="shared" si="39"/>
      </c>
      <c r="R35" s="26">
        <f t="shared" si="58"/>
      </c>
      <c r="S35" s="27">
        <f t="shared" si="77"/>
      </c>
      <c r="T35" s="28">
        <f t="shared" si="627"/>
      </c>
      <c r="U35" s="26">
        <f t="shared" si="665"/>
      </c>
      <c r="V35" s="29">
        <f t="shared" si="646"/>
      </c>
      <c r="W35" s="29">
        <f t="shared" si="684"/>
      </c>
      <c r="X35" s="26">
        <f t="shared" si="1"/>
      </c>
      <c r="Y35" s="30">
        <f t="shared" ref="Y35:Y38" si="101">Z35+AA35</f>
      </c>
      <c r="Z35" s="30">
        <v>3</v>
      </c>
      <c r="AA35" s="30">
        <v>4</v>
      </c>
      <c r="AB35" s="31">
        <v>10514.87999999999</v>
      </c>
      <c r="AC35" s="31">
        <v>0</v>
      </c>
      <c r="AD35" s="27">
        <f t="shared" si="187"/>
      </c>
      <c r="AE35" s="32" t="s">
        <v>41</v>
      </c>
      <c r="AF35" s="33" t="s">
        <v>42</v>
      </c>
      <c r="AG35" s="34">
        <v>2</v>
      </c>
      <c r="AH35" s="35">
        <v>48003</v>
      </c>
      <c r="AI35" s="35">
        <v>1145</v>
      </c>
      <c r="AJ35" s="35">
        <v>1388</v>
      </c>
      <c r="AK35" s="34">
        <v>188</v>
      </c>
      <c r="AL35" s="34">
        <v>182</v>
      </c>
    </row>
    <row r="36">
      <c r="A36" s="15"/>
      <c r="B36" s="16" t="s">
        <v>48</v>
      </c>
      <c r="C36" s="17" t="s">
        <v>50</v>
      </c>
      <c r="D36" s="18">
        <f t="shared" si="359"/>
      </c>
      <c r="E36" s="17">
        <v>1695.91</v>
      </c>
      <c r="F36" s="20">
        <v>3236.68</v>
      </c>
      <c r="G36" s="20">
        <v>0</v>
      </c>
      <c r="H36" s="20">
        <v>0</v>
      </c>
      <c r="I36" s="20">
        <f t="shared" si="450"/>
      </c>
      <c r="J36" s="21">
        <f>6016.68+1253.88+6448.68+4725</f>
      </c>
      <c r="K36" s="22">
        <f t="shared" si="541"/>
      </c>
      <c r="L36" s="22">
        <f t="shared" si="211"/>
      </c>
      <c r="M36" s="23">
        <f t="shared" si="297"/>
      </c>
      <c r="N36" s="24">
        <f t="shared" si="316"/>
      </c>
      <c r="O36" s="25">
        <f t="shared" si="335"/>
      </c>
      <c r="P36" s="26">
        <f t="shared" si="20"/>
      </c>
      <c r="Q36" s="26">
        <f t="shared" si="39"/>
      </c>
      <c r="R36" s="26">
        <f t="shared" si="58"/>
      </c>
      <c r="S36" s="27">
        <f t="shared" si="77"/>
      </c>
      <c r="T36" s="28">
        <f t="shared" si="627"/>
      </c>
      <c r="U36" s="26">
        <f t="shared" si="665"/>
      </c>
      <c r="V36" s="29">
        <f t="shared" si="646"/>
      </c>
      <c r="W36" s="29">
        <f t="shared" si="684"/>
      </c>
      <c r="X36" s="26">
        <f t="shared" si="1"/>
      </c>
      <c r="Y36" s="30">
        <f t="shared" si="101"/>
      </c>
      <c r="Z36" s="30">
        <v>2</v>
      </c>
      <c r="AA36" s="30">
        <v>7</v>
      </c>
      <c r="AB36" s="31">
        <v>23745.959999999992</v>
      </c>
      <c r="AC36" s="31">
        <v>0</v>
      </c>
      <c r="AD36" s="27">
        <f t="shared" si="187"/>
      </c>
      <c r="AE36" s="32" t="s">
        <v>41</v>
      </c>
      <c r="AF36" s="33" t="s">
        <v>42</v>
      </c>
      <c r="AG36" s="34">
        <v>6</v>
      </c>
      <c r="AH36" s="35">
        <v>43601</v>
      </c>
      <c r="AI36" s="35">
        <v>923</v>
      </c>
      <c r="AJ36" s="35">
        <v>1143</v>
      </c>
      <c r="AK36" s="36">
        <v>155</v>
      </c>
      <c r="AL36" s="36">
        <v>171</v>
      </c>
    </row>
    <row r="37">
      <c r="A37" s="15"/>
      <c r="B37" s="16" t="s">
        <v>48</v>
      </c>
      <c r="C37" s="17" t="s">
        <v>51</v>
      </c>
      <c r="D37" s="18">
        <f t="shared" si="359"/>
      </c>
      <c r="E37" s="17">
        <v>1258.27</v>
      </c>
      <c r="F37" s="17">
        <v>4959.94</v>
      </c>
      <c r="G37" s="20">
        <v>0</v>
      </c>
      <c r="H37" s="20">
        <v>0</v>
      </c>
      <c r="I37" s="20">
        <f t="shared" si="450"/>
      </c>
      <c r="J37" s="21">
        <v>0</v>
      </c>
      <c r="K37" s="22">
        <f t="shared" si="541"/>
      </c>
      <c r="L37" s="22">
        <f t="shared" si="211"/>
      </c>
      <c r="M37" s="23">
        <f t="shared" si="297"/>
      </c>
      <c r="N37" s="24">
        <f t="shared" si="316"/>
      </c>
      <c r="O37" s="25">
        <f t="shared" si="335"/>
      </c>
      <c r="P37" s="26">
        <f t="shared" si="20"/>
      </c>
      <c r="Q37" s="26">
        <f t="shared" si="39"/>
      </c>
      <c r="R37" s="26">
        <f t="shared" si="58"/>
      </c>
      <c r="S37" s="27">
        <f t="shared" si="77"/>
      </c>
      <c r="T37" s="28">
        <f t="shared" si="627"/>
      </c>
      <c r="U37" s="26">
        <f t="shared" si="665"/>
      </c>
      <c r="V37" s="29">
        <f t="shared" si="646"/>
      </c>
      <c r="W37" s="29">
        <f t="shared" si="684"/>
      </c>
      <c r="X37" s="26">
        <f t="shared" si="1"/>
      </c>
      <c r="Y37" s="30">
        <f t="shared" si="101"/>
      </c>
      <c r="Z37" s="30">
        <v>3</v>
      </c>
      <c r="AA37" s="30">
        <v>3</v>
      </c>
      <c r="AB37" s="31">
        <v>4248.720000000016</v>
      </c>
      <c r="AC37" s="31">
        <v>0</v>
      </c>
      <c r="AD37" s="27">
        <f t="shared" si="187"/>
      </c>
      <c r="AE37" s="32" t="s">
        <v>41</v>
      </c>
      <c r="AF37" s="33" t="s">
        <v>42</v>
      </c>
      <c r="AG37" s="36">
        <v>3</v>
      </c>
      <c r="AH37" s="35">
        <v>81036</v>
      </c>
      <c r="AI37" s="35">
        <v>1146</v>
      </c>
      <c r="AJ37" s="35">
        <v>1293</v>
      </c>
      <c r="AK37" s="36">
        <v>204</v>
      </c>
      <c r="AL37" s="36">
        <v>254</v>
      </c>
    </row>
    <row r="38">
      <c r="A38" s="15"/>
      <c r="B38" s="16" t="s">
        <v>48</v>
      </c>
      <c r="C38" s="17" t="s">
        <v>52</v>
      </c>
      <c r="D38" s="18">
        <f t="shared" si="359"/>
      </c>
      <c r="E38" s="17">
        <v>1472.31</v>
      </c>
      <c r="F38" s="20">
        <v>4082.08</v>
      </c>
      <c r="G38" s="20">
        <v>0</v>
      </c>
      <c r="H38" s="20">
        <v>0</v>
      </c>
      <c r="I38" s="20">
        <f t="shared" si="450"/>
      </c>
      <c r="J38" s="21">
        <v>0</v>
      </c>
      <c r="K38" s="22">
        <f t="shared" si="541"/>
      </c>
      <c r="L38" s="22">
        <f t="shared" si="211"/>
      </c>
      <c r="M38" s="23">
        <f t="shared" si="297"/>
      </c>
      <c r="N38" s="24">
        <f t="shared" si="316"/>
      </c>
      <c r="O38" s="25">
        <f t="shared" si="335"/>
      </c>
      <c r="P38" s="26">
        <f t="shared" si="20"/>
      </c>
      <c r="Q38" s="26">
        <f t="shared" si="39"/>
      </c>
      <c r="R38" s="26">
        <f t="shared" si="58"/>
      </c>
      <c r="S38" s="27">
        <f t="shared" si="77"/>
      </c>
      <c r="T38" s="28">
        <f t="shared" si="627"/>
      </c>
      <c r="U38" s="26">
        <f t="shared" si="665"/>
      </c>
      <c r="V38" s="29">
        <f t="shared" si="646"/>
      </c>
      <c r="W38" s="29">
        <f t="shared" si="684"/>
      </c>
      <c r="X38" s="26">
        <f t="shared" si="1"/>
      </c>
      <c r="Y38" s="30">
        <f t="shared" si="101"/>
      </c>
      <c r="Z38" s="30">
        <v>5</v>
      </c>
      <c r="AA38" s="30">
        <v>7</v>
      </c>
      <c r="AB38" s="21">
        <f>9175.68000000002+465.48</f>
      </c>
      <c r="AC38" s="48">
        <v>0</v>
      </c>
      <c r="AD38" s="27">
        <f t="shared" si="187"/>
      </c>
      <c r="AE38" s="32" t="s">
        <v>41</v>
      </c>
      <c r="AF38" s="33" t="s">
        <v>42</v>
      </c>
      <c r="AG38" s="34">
        <v>3</v>
      </c>
      <c r="AH38" s="35">
        <v>50600</v>
      </c>
      <c r="AI38" s="35">
        <v>968</v>
      </c>
      <c r="AJ38" s="35">
        <v>1065</v>
      </c>
      <c r="AK38" s="36">
        <v>162</v>
      </c>
      <c r="AL38" s="36">
        <v>193</v>
      </c>
    </row>
    <row r="39">
      <c r="A39" s="15"/>
      <c r="B39" s="38" t="s">
        <v>47</v>
      </c>
      <c r="C39" s="39">
        <v>4</v>
      </c>
      <c r="D39" s="40">
        <f>SUM(D35:D38)</f>
      </c>
      <c r="E39" s="40">
        <f>SUM(E35:E38)</f>
      </c>
      <c r="F39" s="40">
        <f>SUM(F35:F38)</f>
      </c>
      <c r="G39" s="40">
        <f>SUM(G35:G38)</f>
      </c>
      <c r="H39" s="40">
        <f>SUM(H35:H38)</f>
      </c>
      <c r="I39" s="40">
        <f>SUM(I35:I38)</f>
      </c>
      <c r="J39" s="40">
        <f>SUM(J35:J38)</f>
      </c>
      <c r="K39" s="40">
        <f>SUM(K35:K38)</f>
      </c>
      <c r="L39" s="40">
        <f>SUM(L35:L38)</f>
      </c>
      <c r="M39" s="41">
        <f t="shared" si="297"/>
      </c>
      <c r="N39" s="42">
        <f t="shared" si="316"/>
      </c>
      <c r="O39" s="42">
        <f t="shared" si="335"/>
      </c>
      <c r="P39" s="43">
        <f t="shared" si="20"/>
      </c>
      <c r="Q39" s="43">
        <f t="shared" si="39"/>
      </c>
      <c r="R39" s="43">
        <f t="shared" si="58"/>
      </c>
      <c r="S39" s="44">
        <f t="shared" si="77"/>
      </c>
      <c r="T39" s="44">
        <f t="shared" si="627"/>
      </c>
      <c r="U39" s="43">
        <f t="shared" si="665"/>
      </c>
      <c r="V39" s="44">
        <f t="shared" si="646"/>
      </c>
      <c r="W39" s="44">
        <f t="shared" si="684"/>
      </c>
      <c r="X39" s="43">
        <f t="shared" si="1"/>
      </c>
      <c r="Y39" s="40">
        <f>SUM(Y35:Y38)</f>
      </c>
      <c r="Z39" s="40">
        <f>SUM(Z35:Z38)</f>
      </c>
      <c r="AA39" s="40">
        <f>SUM(AA35:AA38)</f>
      </c>
      <c r="AB39" s="40">
        <f>SUM(AB35:AB38)</f>
      </c>
      <c r="AC39" s="40">
        <f>SUM(AC35:AC38)</f>
      </c>
      <c r="AD39" s="45">
        <f t="shared" si="187"/>
      </c>
      <c r="AE39" s="46"/>
      <c r="AF39" s="47"/>
      <c r="AG39" s="40">
        <f>SUM(AG35:AG38)</f>
      </c>
      <c r="AH39" s="40">
        <f>SUM(AH35:AH38)</f>
      </c>
      <c r="AI39" s="40">
        <f>SUM(AI35:AI38)</f>
      </c>
      <c r="AJ39" s="40">
        <f>SUM(AJ35:AJ38)</f>
      </c>
      <c r="AK39" s="40">
        <f>SUM(AK35:AK38)</f>
      </c>
      <c r="AL39" s="40">
        <f>SUM(AL35:AL38)</f>
      </c>
    </row>
    <row r="40">
      <c r="A40" s="15"/>
      <c r="B40" s="16" t="s">
        <v>53</v>
      </c>
      <c r="C40" s="17" t="s">
        <v>54</v>
      </c>
      <c r="D40" s="18">
        <f t="shared" ref="D40:D41" si="360">E40+F40+G40+H40</f>
      </c>
      <c r="E40" s="17">
        <v>1628.71</v>
      </c>
      <c r="F40" s="49">
        <v>3652.39</v>
      </c>
      <c r="G40" s="20">
        <v>0</v>
      </c>
      <c r="H40" s="20">
        <v>0</v>
      </c>
      <c r="I40" s="50">
        <f t="shared" ref="I40:I41" si="451">AB40+AC40</f>
      </c>
      <c r="J40" s="51">
        <v>645.84</v>
      </c>
      <c r="K40" s="22">
        <f t="shared" ref="K40:K41" si="542">I40-J40</f>
      </c>
      <c r="L40" s="22">
        <f t="shared" ref="L40:L41" si="212">(I40-AC40)/12+AC40</f>
      </c>
      <c r="M40" s="23">
        <f t="shared" si="297"/>
      </c>
      <c r="N40" s="24">
        <f t="shared" si="316"/>
      </c>
      <c r="O40" s="25">
        <f t="shared" si="335"/>
      </c>
      <c r="P40" s="26">
        <f t="shared" si="20"/>
      </c>
      <c r="Q40" s="26">
        <f t="shared" si="39"/>
      </c>
      <c r="R40" s="26">
        <f t="shared" si="58"/>
      </c>
      <c r="S40" s="27">
        <f t="shared" si="77"/>
      </c>
      <c r="T40" s="28">
        <f t="shared" si="627"/>
      </c>
      <c r="U40" s="26">
        <f t="shared" si="665"/>
      </c>
      <c r="V40" s="29">
        <f t="shared" si="646"/>
      </c>
      <c r="W40" s="29">
        <f t="shared" si="684"/>
      </c>
      <c r="X40" s="26">
        <f t="shared" si="1"/>
      </c>
      <c r="Y40" s="30">
        <f t="shared" ref="Y40:Y41" si="102">Z40+AA40</f>
      </c>
      <c r="Z40" s="30">
        <v>3</v>
      </c>
      <c r="AA40" s="30">
        <v>7</v>
      </c>
      <c r="AB40" s="31">
        <v>9910.080000000016</v>
      </c>
      <c r="AC40" s="31">
        <v>0</v>
      </c>
      <c r="AD40" s="27">
        <f t="shared" si="187"/>
      </c>
      <c r="AE40" s="32" t="s">
        <v>41</v>
      </c>
      <c r="AF40" s="33" t="s">
        <v>42</v>
      </c>
      <c r="AG40" s="34">
        <v>7</v>
      </c>
      <c r="AH40" s="35">
        <v>48273</v>
      </c>
      <c r="AI40" s="35">
        <v>988</v>
      </c>
      <c r="AJ40" s="35">
        <v>1109</v>
      </c>
      <c r="AK40" s="36">
        <v>170</v>
      </c>
      <c r="AL40" s="36">
        <v>208</v>
      </c>
    </row>
    <row r="41">
      <c r="A41" s="15"/>
      <c r="B41" s="16" t="s">
        <v>53</v>
      </c>
      <c r="C41" s="17" t="s">
        <v>55</v>
      </c>
      <c r="D41" s="18">
        <f t="shared" si="360"/>
      </c>
      <c r="E41" s="52">
        <v>1839.39</v>
      </c>
      <c r="F41" s="53">
        <v>3792.66</v>
      </c>
      <c r="G41" s="54">
        <v>0</v>
      </c>
      <c r="H41" s="20">
        <v>0</v>
      </c>
      <c r="I41" s="55">
        <f t="shared" si="451"/>
      </c>
      <c r="J41" s="51">
        <v>4935.6</v>
      </c>
      <c r="K41" s="22">
        <f t="shared" si="542"/>
      </c>
      <c r="L41" s="22">
        <f t="shared" si="212"/>
      </c>
      <c r="M41" s="23">
        <f t="shared" si="297"/>
      </c>
      <c r="N41" s="24">
        <f t="shared" si="316"/>
      </c>
      <c r="O41" s="25">
        <f t="shared" si="335"/>
      </c>
      <c r="P41" s="26">
        <f t="shared" si="20"/>
      </c>
      <c r="Q41" s="26">
        <f t="shared" si="39"/>
      </c>
      <c r="R41" s="26">
        <f t="shared" si="58"/>
      </c>
      <c r="S41" s="27">
        <f t="shared" si="77"/>
      </c>
      <c r="T41" s="28">
        <f t="shared" si="627"/>
      </c>
      <c r="U41" s="26">
        <f t="shared" si="665"/>
      </c>
      <c r="V41" s="29">
        <f t="shared" si="646"/>
      </c>
      <c r="W41" s="29">
        <f t="shared" si="684"/>
      </c>
      <c r="X41" s="26">
        <f t="shared" si="1"/>
      </c>
      <c r="Y41" s="56">
        <f t="shared" si="102"/>
      </c>
      <c r="Z41" s="30">
        <v>2</v>
      </c>
      <c r="AA41" s="30">
        <f>5+1</f>
      </c>
      <c r="AB41" s="57">
        <f>12397.32+757.08</f>
      </c>
      <c r="AC41" s="31">
        <v>0</v>
      </c>
      <c r="AD41" s="27">
        <f t="shared" si="187"/>
      </c>
      <c r="AE41" s="32" t="s">
        <v>41</v>
      </c>
      <c r="AF41" s="33" t="s">
        <v>56</v>
      </c>
      <c r="AG41" s="36">
        <v>4</v>
      </c>
      <c r="AH41" s="35">
        <v>47424</v>
      </c>
      <c r="AI41" s="35">
        <v>990</v>
      </c>
      <c r="AJ41" s="35">
        <v>1132</v>
      </c>
      <c r="AK41" s="36">
        <v>127</v>
      </c>
      <c r="AL41" s="36">
        <v>157</v>
      </c>
    </row>
    <row r="42">
      <c r="A42" s="15"/>
      <c r="B42" s="38" t="s">
        <v>47</v>
      </c>
      <c r="C42" s="39">
        <v>2</v>
      </c>
      <c r="D42" s="58">
        <f>SUM(D40:D41)</f>
      </c>
      <c r="E42" s="58">
        <f>SUM(E40:E41)</f>
      </c>
      <c r="F42" s="58">
        <f>SUM(F40:F41)</f>
      </c>
      <c r="G42" s="58">
        <f>SUM(G40:G41)</f>
      </c>
      <c r="H42" s="58">
        <f>SUM(H40:H41)</f>
      </c>
      <c r="I42" s="58">
        <f>SUM(I40:I41)</f>
      </c>
      <c r="J42" s="58">
        <f>SUM(J40:J41)</f>
      </c>
      <c r="K42" s="58">
        <f>SUM(K40:K41)</f>
      </c>
      <c r="L42" s="58">
        <f>SUM(L40:L41)</f>
      </c>
      <c r="M42" s="41">
        <f t="shared" si="297"/>
      </c>
      <c r="N42" s="42">
        <f t="shared" si="316"/>
      </c>
      <c r="O42" s="42">
        <f t="shared" si="335"/>
      </c>
      <c r="P42" s="43">
        <f t="shared" si="20"/>
      </c>
      <c r="Q42" s="43">
        <f t="shared" si="39"/>
      </c>
      <c r="R42" s="43">
        <f t="shared" si="58"/>
      </c>
      <c r="S42" s="44">
        <f t="shared" si="77"/>
      </c>
      <c r="T42" s="44">
        <f t="shared" si="627"/>
      </c>
      <c r="U42" s="43">
        <f t="shared" si="665"/>
      </c>
      <c r="V42" s="44">
        <f t="shared" si="646"/>
      </c>
      <c r="W42" s="44">
        <f t="shared" si="684"/>
      </c>
      <c r="X42" s="43">
        <f t="shared" si="1"/>
      </c>
      <c r="Y42" s="58">
        <f>SUM(Y40:Y41)</f>
      </c>
      <c r="Z42" s="58">
        <f>SUM(Z40:Z41)</f>
      </c>
      <c r="AA42" s="58">
        <f>SUM(AA40:AA41)</f>
      </c>
      <c r="AB42" s="58">
        <f>SUM(AB40:AB41)</f>
      </c>
      <c r="AC42" s="58">
        <f>SUM(AC40:AC41)</f>
      </c>
      <c r="AD42" s="45">
        <f t="shared" si="187"/>
      </c>
      <c r="AE42" s="46"/>
      <c r="AF42" s="47"/>
      <c r="AG42" s="58">
        <f>SUM(AG40:AG41)</f>
      </c>
      <c r="AH42" s="58">
        <f>SUM(AH40:AH41)</f>
      </c>
      <c r="AI42" s="58">
        <f>SUM(AI40:AI41)</f>
      </c>
      <c r="AJ42" s="58">
        <f>SUM(AJ40:AJ41)</f>
      </c>
      <c r="AK42" s="58">
        <f>SUM(AK40:AK41)</f>
      </c>
      <c r="AL42" s="58">
        <f>SUM(AL40:AL41)</f>
      </c>
    </row>
    <row r="43">
      <c r="A43" s="15"/>
      <c r="B43" s="16" t="s">
        <v>62</v>
      </c>
      <c r="C43" s="17" t="s">
        <v>58</v>
      </c>
      <c r="D43" s="18">
        <f t="shared" ref="D43:D46" si="361">E43+F43+G43+H43</f>
      </c>
      <c r="E43" s="17">
        <v>1719.95</v>
      </c>
      <c r="F43" s="49">
        <v>3765.07</v>
      </c>
      <c r="G43" s="20">
        <v>0</v>
      </c>
      <c r="H43" s="20">
        <v>0</v>
      </c>
      <c r="I43" s="50">
        <f t="shared" ref="I43:I46" si="452">AB43+AC43</f>
      </c>
      <c r="J43" s="51">
        <v>0</v>
      </c>
      <c r="K43" s="22">
        <f t="shared" ref="K43:K46" si="543">I43-J43</f>
      </c>
      <c r="L43" s="22">
        <f t="shared" ref="L43:L46" si="213">(I43-AC43)/12+AC43</f>
      </c>
      <c r="M43" s="23">
        <f t="shared" si="297"/>
      </c>
      <c r="N43" s="24">
        <f t="shared" si="316"/>
      </c>
      <c r="O43" s="25">
        <f t="shared" si="335"/>
      </c>
      <c r="P43" s="26">
        <f t="shared" si="20"/>
      </c>
      <c r="Q43" s="26">
        <f t="shared" si="39"/>
      </c>
      <c r="R43" s="26">
        <f t="shared" si="58"/>
      </c>
      <c r="S43" s="27">
        <f t="shared" si="77"/>
      </c>
      <c r="T43" s="28">
        <f t="shared" si="627"/>
      </c>
      <c r="U43" s="26">
        <f t="shared" si="665"/>
      </c>
      <c r="V43" s="29">
        <f t="shared" si="646"/>
      </c>
      <c r="W43" s="29">
        <f t="shared" si="684"/>
      </c>
      <c r="X43" s="26">
        <f t="shared" si="1"/>
      </c>
      <c r="Y43" s="30">
        <f t="shared" ref="Y43:Y46" si="103">Z43+AA43</f>
      </c>
      <c r="Z43" s="30">
        <v>4</v>
      </c>
      <c r="AA43" s="30">
        <v>4</v>
      </c>
      <c r="AB43" s="31">
        <v>3987.359999999986</v>
      </c>
      <c r="AC43" s="31">
        <v>1195</v>
      </c>
      <c r="AD43" s="27">
        <f t="shared" si="187"/>
      </c>
      <c r="AE43" s="32" t="s">
        <v>41</v>
      </c>
      <c r="AF43" s="33" t="s">
        <v>56</v>
      </c>
      <c r="AG43" s="34">
        <v>5</v>
      </c>
      <c r="AH43" s="35">
        <v>46748</v>
      </c>
      <c r="AI43" s="35">
        <v>1010</v>
      </c>
      <c r="AJ43" s="35">
        <v>1229</v>
      </c>
      <c r="AK43" s="36">
        <v>131</v>
      </c>
      <c r="AL43" s="36">
        <v>147</v>
      </c>
    </row>
    <row r="44">
      <c r="A44" s="15"/>
      <c r="B44" s="16" t="s">
        <v>62</v>
      </c>
      <c r="C44" s="17" t="s">
        <v>59</v>
      </c>
      <c r="D44" s="18">
        <f t="shared" si="361"/>
      </c>
      <c r="E44" s="17">
        <v>1648.47</v>
      </c>
      <c r="F44" s="49">
        <v>3239.78</v>
      </c>
      <c r="G44" s="20">
        <v>0</v>
      </c>
      <c r="H44" s="20">
        <v>0</v>
      </c>
      <c r="I44" s="50">
        <f t="shared" si="452"/>
      </c>
      <c r="J44" s="51">
        <f>1204+590.76+1871.64</f>
      </c>
      <c r="K44" s="22">
        <f t="shared" si="543"/>
      </c>
      <c r="L44" s="22">
        <f t="shared" si="213"/>
      </c>
      <c r="M44" s="23">
        <f t="shared" si="297"/>
      </c>
      <c r="N44" s="24">
        <f t="shared" si="316"/>
      </c>
      <c r="O44" s="25">
        <f t="shared" si="335"/>
      </c>
      <c r="P44" s="26">
        <f t="shared" si="20"/>
      </c>
      <c r="Q44" s="26">
        <f t="shared" si="39"/>
      </c>
      <c r="R44" s="26">
        <f t="shared" si="58"/>
      </c>
      <c r="S44" s="27">
        <f t="shared" si="77"/>
      </c>
      <c r="T44" s="28">
        <f t="shared" si="627"/>
      </c>
      <c r="U44" s="26">
        <f t="shared" si="665"/>
      </c>
      <c r="V44" s="29">
        <f t="shared" si="646"/>
      </c>
      <c r="W44" s="29">
        <f t="shared" si="684"/>
      </c>
      <c r="X44" s="26">
        <f t="shared" si="1"/>
      </c>
      <c r="Y44" s="30">
        <f t="shared" si="103"/>
      </c>
      <c r="Z44" s="30">
        <v>1</v>
      </c>
      <c r="AA44" s="30">
        <v>8</v>
      </c>
      <c r="AB44" s="31">
        <v>10336.680000000022</v>
      </c>
      <c r="AC44" s="31">
        <v>1204</v>
      </c>
      <c r="AD44" s="27">
        <f t="shared" si="187"/>
      </c>
      <c r="AE44" s="32" t="s">
        <v>41</v>
      </c>
      <c r="AF44" s="33" t="s">
        <v>56</v>
      </c>
      <c r="AG44" s="34">
        <v>7</v>
      </c>
      <c r="AH44" s="35">
        <v>40427</v>
      </c>
      <c r="AI44" s="35">
        <v>1130</v>
      </c>
      <c r="AJ44" s="35">
        <v>1318</v>
      </c>
      <c r="AK44" s="36">
        <v>141</v>
      </c>
      <c r="AL44" s="36">
        <v>149</v>
      </c>
    </row>
    <row r="45">
      <c r="A45" s="15"/>
      <c r="B45" s="16" t="s">
        <v>62</v>
      </c>
      <c r="C45" s="52" t="s">
        <v>60</v>
      </c>
      <c r="D45" s="18">
        <f t="shared" si="361"/>
      </c>
      <c r="E45" s="17">
        <v>1741.71</v>
      </c>
      <c r="F45" s="49">
        <v>3441.99</v>
      </c>
      <c r="G45" s="20">
        <v>0</v>
      </c>
      <c r="H45" s="20">
        <v>0</v>
      </c>
      <c r="I45" s="50">
        <f t="shared" si="452"/>
      </c>
      <c r="J45" s="51">
        <v>4691.52</v>
      </c>
      <c r="K45" s="22">
        <f t="shared" si="543"/>
      </c>
      <c r="L45" s="22">
        <f t="shared" si="213"/>
      </c>
      <c r="M45" s="23">
        <f t="shared" si="297"/>
      </c>
      <c r="N45" s="24">
        <f t="shared" si="316"/>
      </c>
      <c r="O45" s="25">
        <f t="shared" si="335"/>
      </c>
      <c r="P45" s="26">
        <f t="shared" si="20"/>
      </c>
      <c r="Q45" s="26">
        <f t="shared" si="39"/>
      </c>
      <c r="R45" s="26">
        <f t="shared" si="58"/>
      </c>
      <c r="S45" s="27">
        <f t="shared" si="77"/>
      </c>
      <c r="T45" s="28">
        <f t="shared" si="627"/>
      </c>
      <c r="U45" s="26">
        <f t="shared" si="665"/>
      </c>
      <c r="V45" s="29">
        <f t="shared" si="646"/>
      </c>
      <c r="W45" s="29">
        <f t="shared" si="684"/>
      </c>
      <c r="X45" s="26">
        <f t="shared" si="1"/>
      </c>
      <c r="Y45" s="30">
        <f t="shared" si="103"/>
      </c>
      <c r="Z45" s="30">
        <v>2</v>
      </c>
      <c r="AA45" s="30">
        <v>7</v>
      </c>
      <c r="AB45" s="31">
        <v>13267.799999999988</v>
      </c>
      <c r="AC45" s="31">
        <v>0</v>
      </c>
      <c r="AD45" s="27">
        <f t="shared" si="187"/>
      </c>
      <c r="AE45" s="32" t="s">
        <v>41</v>
      </c>
      <c r="AF45" s="33" t="s">
        <v>56</v>
      </c>
      <c r="AG45" s="36">
        <v>4</v>
      </c>
      <c r="AH45" s="35">
        <v>41236</v>
      </c>
      <c r="AI45" s="35">
        <v>1501</v>
      </c>
      <c r="AJ45" s="35">
        <v>1669</v>
      </c>
      <c r="AK45" s="36">
        <v>154</v>
      </c>
      <c r="AL45" s="36">
        <v>158</v>
      </c>
    </row>
    <row r="46">
      <c r="A46" s="15"/>
      <c r="B46" s="16" t="s">
        <v>62</v>
      </c>
      <c r="C46" s="52" t="s">
        <v>61</v>
      </c>
      <c r="D46" s="18">
        <f t="shared" si="361"/>
      </c>
      <c r="E46" s="17">
        <v>1899.81</v>
      </c>
      <c r="F46" s="49">
        <v>4070.39</v>
      </c>
      <c r="G46" s="20">
        <v>0</v>
      </c>
      <c r="H46" s="20">
        <v>0</v>
      </c>
      <c r="I46" s="50">
        <f t="shared" si="452"/>
      </c>
      <c r="J46" s="51">
        <v>0</v>
      </c>
      <c r="K46" s="22">
        <f t="shared" si="543"/>
      </c>
      <c r="L46" s="22">
        <f t="shared" si="213"/>
      </c>
      <c r="M46" s="23">
        <f t="shared" si="297"/>
      </c>
      <c r="N46" s="24">
        <f t="shared" si="316"/>
      </c>
      <c r="O46" s="25">
        <f t="shared" si="335"/>
      </c>
      <c r="P46" s="26">
        <f t="shared" si="20"/>
      </c>
      <c r="Q46" s="26">
        <f t="shared" si="39"/>
      </c>
      <c r="R46" s="26">
        <f t="shared" si="58"/>
      </c>
      <c r="S46" s="27">
        <f t="shared" si="77"/>
      </c>
      <c r="T46" s="28">
        <f t="shared" si="627"/>
      </c>
      <c r="U46" s="26">
        <f t="shared" si="665"/>
      </c>
      <c r="V46" s="29">
        <f t="shared" si="646"/>
      </c>
      <c r="W46" s="29">
        <f t="shared" si="684"/>
      </c>
      <c r="X46" s="26">
        <f t="shared" si="1"/>
      </c>
      <c r="Y46" s="30">
        <f t="shared" si="103"/>
      </c>
      <c r="Z46" s="30">
        <v>3</v>
      </c>
      <c r="AA46" s="30">
        <v>2</v>
      </c>
      <c r="AB46" s="31">
        <v>1188</v>
      </c>
      <c r="AC46" s="31">
        <v>0</v>
      </c>
      <c r="AD46" s="27">
        <f t="shared" si="187"/>
      </c>
      <c r="AE46" s="32" t="s">
        <v>41</v>
      </c>
      <c r="AF46" s="33" t="s">
        <v>56</v>
      </c>
      <c r="AG46" s="34">
        <v>2</v>
      </c>
      <c r="AH46" s="35">
        <v>60903</v>
      </c>
      <c r="AI46" s="35">
        <v>1989</v>
      </c>
      <c r="AJ46" s="35">
        <v>2254</v>
      </c>
      <c r="AK46" s="36">
        <v>171</v>
      </c>
      <c r="AL46" s="34">
        <v>185</v>
      </c>
    </row>
    <row r="47">
      <c r="A47" s="15"/>
      <c r="B47" s="38" t="s">
        <v>47</v>
      </c>
      <c r="C47" s="39">
        <v>4</v>
      </c>
      <c r="D47" s="40">
        <f>SUM(D43:D46)</f>
      </c>
      <c r="E47" s="40">
        <f>SUM(E43:E46)</f>
      </c>
      <c r="F47" s="40">
        <f>SUM(F43:F46)</f>
      </c>
      <c r="G47" s="40">
        <f>SUM(G43:G46)</f>
      </c>
      <c r="H47" s="40">
        <f>SUM(H43:H46)</f>
      </c>
      <c r="I47" s="40">
        <f>SUM(I43:I46)</f>
      </c>
      <c r="J47" s="40">
        <f>SUM(J43:J46)</f>
      </c>
      <c r="K47" s="40">
        <f>SUM(K43:K46)</f>
      </c>
      <c r="L47" s="40">
        <f>SUM(L43:L46)</f>
      </c>
      <c r="M47" s="41">
        <f t="shared" si="297"/>
      </c>
      <c r="N47" s="42">
        <f t="shared" si="316"/>
      </c>
      <c r="O47" s="42">
        <f t="shared" si="335"/>
      </c>
      <c r="P47" s="43">
        <f t="shared" si="20"/>
      </c>
      <c r="Q47" s="43">
        <f t="shared" si="39"/>
      </c>
      <c r="R47" s="43">
        <f t="shared" si="58"/>
      </c>
      <c r="S47" s="44">
        <f t="shared" si="77"/>
      </c>
      <c r="T47" s="44">
        <f t="shared" si="627"/>
      </c>
      <c r="U47" s="43">
        <f t="shared" si="665"/>
      </c>
      <c r="V47" s="44">
        <f t="shared" si="646"/>
      </c>
      <c r="W47" s="44">
        <f t="shared" si="684"/>
      </c>
      <c r="X47" s="43">
        <f t="shared" si="1"/>
      </c>
      <c r="Y47" s="40">
        <f>SUM(Y43:Y46)</f>
      </c>
      <c r="Z47" s="40">
        <f>SUM(Z43:Z46)</f>
      </c>
      <c r="AA47" s="40">
        <f>SUM(AA43:AA46)</f>
      </c>
      <c r="AB47" s="40">
        <f>SUM(AB43:AB46)</f>
      </c>
      <c r="AC47" s="40">
        <f>SUM(AC43:AC46)</f>
      </c>
      <c r="AD47" s="45">
        <f t="shared" si="187"/>
      </c>
      <c r="AE47" s="46"/>
      <c r="AF47" s="47"/>
      <c r="AG47" s="40">
        <f>SUM(AG43:AG46)</f>
      </c>
      <c r="AH47" s="40">
        <f>SUM(AH43:AH46)</f>
      </c>
      <c r="AI47" s="40">
        <f>SUM(AI43:AI46)</f>
      </c>
      <c r="AJ47" s="40">
        <f>SUM(AJ43:AJ46)</f>
      </c>
      <c r="AK47" s="40">
        <f>SUM(AK43:AK46)</f>
      </c>
      <c r="AL47" s="40">
        <f>SUM(AL43:AL46)</f>
      </c>
    </row>
    <row r="48">
      <c r="A48" s="15"/>
      <c r="B48" s="16" t="s">
        <v>68</v>
      </c>
      <c r="C48" s="52" t="s">
        <v>63</v>
      </c>
      <c r="D48" s="18">
        <f t="shared" ref="D48:D52" si="362">E48+F48+G48+H48</f>
      </c>
      <c r="E48" s="68">
        <v>3364.04</v>
      </c>
      <c r="F48" s="20">
        <v>4667.47</v>
      </c>
      <c r="G48" s="20">
        <v>0</v>
      </c>
      <c r="H48" s="20">
        <v>0</v>
      </c>
      <c r="I48" s="20">
        <f t="shared" ref="I48:I52" si="453">AB48+AC48</f>
      </c>
      <c r="J48" s="21">
        <v>0</v>
      </c>
      <c r="K48" s="22">
        <f t="shared" ref="K48:K52" si="544">I48-J48</f>
      </c>
      <c r="L48" s="22">
        <f t="shared" ref="L48:L52" si="214">(I48-AC48)/12+AC48</f>
      </c>
      <c r="M48" s="23">
        <f t="shared" si="297"/>
      </c>
      <c r="N48" s="24">
        <f t="shared" si="316"/>
      </c>
      <c r="O48" s="25">
        <f t="shared" si="335"/>
      </c>
      <c r="P48" s="26">
        <f t="shared" si="20"/>
      </c>
      <c r="Q48" s="26">
        <f t="shared" si="39"/>
      </c>
      <c r="R48" s="26">
        <f t="shared" si="58"/>
      </c>
      <c r="S48" s="27">
        <f t="shared" si="77"/>
      </c>
      <c r="T48" s="28">
        <f t="shared" si="627"/>
      </c>
      <c r="U48" s="26">
        <f t="shared" si="665"/>
      </c>
      <c r="V48" s="29">
        <f t="shared" si="646"/>
      </c>
      <c r="W48" s="29">
        <f t="shared" si="684"/>
      </c>
      <c r="X48" s="26">
        <f t="shared" si="1"/>
      </c>
      <c r="Y48" s="30">
        <f t="shared" ref="Y48:Y52" si="104">Z48+AA48</f>
      </c>
      <c r="Z48" s="30">
        <v>2</v>
      </c>
      <c r="AA48" s="30">
        <v>3</v>
      </c>
      <c r="AB48" s="31">
        <v>6684.959999999992</v>
      </c>
      <c r="AC48" s="31">
        <v>0</v>
      </c>
      <c r="AD48" s="27">
        <f t="shared" si="187"/>
      </c>
      <c r="AE48" s="32" t="s">
        <v>41</v>
      </c>
      <c r="AF48" s="33" t="s">
        <v>56</v>
      </c>
      <c r="AG48" s="34">
        <v>3</v>
      </c>
      <c r="AH48" s="34">
        <v>64578</v>
      </c>
      <c r="AI48" s="35">
        <v>2683</v>
      </c>
      <c r="AJ48" s="35">
        <v>3001</v>
      </c>
      <c r="AK48" s="34">
        <v>207</v>
      </c>
      <c r="AL48" s="36">
        <v>215</v>
      </c>
    </row>
    <row r="49">
      <c r="A49" s="15"/>
      <c r="B49" s="16" t="s">
        <v>68</v>
      </c>
      <c r="C49" s="17" t="s">
        <v>64</v>
      </c>
      <c r="D49" s="18">
        <f t="shared" si="362"/>
      </c>
      <c r="E49" s="17">
        <v>1454.56</v>
      </c>
      <c r="F49" s="20">
        <v>4632.38</v>
      </c>
      <c r="G49" s="20">
        <v>0</v>
      </c>
      <c r="H49" s="20">
        <v>0</v>
      </c>
      <c r="I49" s="20">
        <f t="shared" si="453"/>
      </c>
      <c r="J49" s="21">
        <v>0</v>
      </c>
      <c r="K49" s="22">
        <f t="shared" si="544"/>
      </c>
      <c r="L49" s="22">
        <f t="shared" si="214"/>
      </c>
      <c r="M49" s="23">
        <f t="shared" si="297"/>
      </c>
      <c r="N49" s="24">
        <f t="shared" si="316"/>
      </c>
      <c r="O49" s="25">
        <f t="shared" si="335"/>
      </c>
      <c r="P49" s="26">
        <f t="shared" si="20"/>
      </c>
      <c r="Q49" s="26">
        <f t="shared" si="39"/>
      </c>
      <c r="R49" s="26">
        <f t="shared" si="58"/>
      </c>
      <c r="S49" s="27">
        <f t="shared" si="77"/>
      </c>
      <c r="T49" s="28">
        <f t="shared" si="627"/>
      </c>
      <c r="U49" s="26">
        <f t="shared" si="665"/>
      </c>
      <c r="V49" s="29">
        <f t="shared" si="646"/>
      </c>
      <c r="W49" s="29">
        <f t="shared" si="684"/>
      </c>
      <c r="X49" s="26">
        <f t="shared" si="1"/>
      </c>
      <c r="Y49" s="30">
        <f t="shared" si="104"/>
      </c>
      <c r="Z49" s="30">
        <v>5</v>
      </c>
      <c r="AA49" s="30">
        <v>3</v>
      </c>
      <c r="AB49" s="31">
        <v>13247.279999999999</v>
      </c>
      <c r="AC49" s="31">
        <v>0</v>
      </c>
      <c r="AD49" s="27">
        <f t="shared" si="187"/>
      </c>
      <c r="AE49" s="32" t="s">
        <v>41</v>
      </c>
      <c r="AF49" s="33" t="s">
        <v>56</v>
      </c>
      <c r="AG49" s="34">
        <v>3</v>
      </c>
      <c r="AH49" s="35">
        <v>53565</v>
      </c>
      <c r="AI49" s="35">
        <v>1570</v>
      </c>
      <c r="AJ49" s="35">
        <v>1777</v>
      </c>
      <c r="AK49" s="36">
        <v>196</v>
      </c>
      <c r="AL49" s="36">
        <v>231</v>
      </c>
    </row>
    <row r="50">
      <c r="A50" s="15"/>
      <c r="B50" s="16" t="s">
        <v>68</v>
      </c>
      <c r="C50" s="52" t="s">
        <v>65</v>
      </c>
      <c r="D50" s="18">
        <f t="shared" si="362"/>
      </c>
      <c r="E50" s="17">
        <v>1213.1</v>
      </c>
      <c r="F50" s="17">
        <v>2303.94</v>
      </c>
      <c r="G50" s="20">
        <v>0</v>
      </c>
      <c r="H50" s="20">
        <v>0</v>
      </c>
      <c r="I50" s="20">
        <f t="shared" si="453"/>
      </c>
      <c r="J50" s="21">
        <v>0</v>
      </c>
      <c r="K50" s="22">
        <f t="shared" si="544"/>
      </c>
      <c r="L50" s="22">
        <f t="shared" si="214"/>
      </c>
      <c r="M50" s="23">
        <f t="shared" si="297"/>
      </c>
      <c r="N50" s="24">
        <f t="shared" si="316"/>
      </c>
      <c r="O50" s="25">
        <f t="shared" si="335"/>
      </c>
      <c r="P50" s="26">
        <f t="shared" si="20"/>
      </c>
      <c r="Q50" s="26">
        <f t="shared" si="39"/>
      </c>
      <c r="R50" s="26">
        <f t="shared" si="58"/>
      </c>
      <c r="S50" s="27">
        <f t="shared" si="77"/>
      </c>
      <c r="T50" s="28">
        <f t="shared" si="627"/>
      </c>
      <c r="U50" s="26">
        <f t="shared" si="665"/>
      </c>
      <c r="V50" s="29">
        <f t="shared" si="646"/>
      </c>
      <c r="W50" s="29">
        <f t="shared" si="684"/>
      </c>
      <c r="X50" s="26">
        <f t="shared" si="1"/>
      </c>
      <c r="Y50" s="30">
        <f t="shared" si="104"/>
      </c>
      <c r="Z50" s="30">
        <v>2</v>
      </c>
      <c r="AA50" s="30">
        <v>9</v>
      </c>
      <c r="AB50" s="31">
        <v>18067.320000000007</v>
      </c>
      <c r="AC50" s="31">
        <v>0</v>
      </c>
      <c r="AD50" s="27">
        <f t="shared" si="187"/>
      </c>
      <c r="AE50" s="32" t="s">
        <v>41</v>
      </c>
      <c r="AF50" s="33" t="s">
        <v>56</v>
      </c>
      <c r="AG50" s="36">
        <v>8</v>
      </c>
      <c r="AH50" s="35">
        <v>33800</v>
      </c>
      <c r="AI50" s="35">
        <v>856</v>
      </c>
      <c r="AJ50" s="35">
        <v>1077</v>
      </c>
      <c r="AK50" s="36">
        <v>146</v>
      </c>
      <c r="AL50" s="36">
        <v>137</v>
      </c>
    </row>
    <row r="51">
      <c r="A51" s="15"/>
      <c r="B51" s="16" t="s">
        <v>68</v>
      </c>
      <c r="C51" s="17" t="s">
        <v>66</v>
      </c>
      <c r="D51" s="18">
        <f t="shared" si="362"/>
      </c>
      <c r="E51" s="17">
        <v>1017.32</v>
      </c>
      <c r="F51" s="20">
        <v>4727.92</v>
      </c>
      <c r="G51" s="20">
        <v>0</v>
      </c>
      <c r="H51" s="20">
        <v>0</v>
      </c>
      <c r="I51" s="37">
        <f t="shared" si="453"/>
      </c>
      <c r="J51" s="21">
        <v>0</v>
      </c>
      <c r="K51" s="22">
        <f t="shared" si="544"/>
      </c>
      <c r="L51" s="22">
        <f t="shared" si="214"/>
      </c>
      <c r="M51" s="23">
        <f t="shared" si="297"/>
      </c>
      <c r="N51" s="24">
        <f t="shared" si="316"/>
      </c>
      <c r="O51" s="25">
        <f t="shared" si="335"/>
      </c>
      <c r="P51" s="26">
        <f t="shared" si="20"/>
      </c>
      <c r="Q51" s="26">
        <f t="shared" si="39"/>
      </c>
      <c r="R51" s="26">
        <f t="shared" si="58"/>
      </c>
      <c r="S51" s="27">
        <f t="shared" si="77"/>
      </c>
      <c r="T51" s="28">
        <f t="shared" si="627"/>
      </c>
      <c r="U51" s="26">
        <f t="shared" si="665"/>
      </c>
      <c r="V51" s="29">
        <f t="shared" si="646"/>
      </c>
      <c r="W51" s="29">
        <f t="shared" si="684"/>
      </c>
      <c r="X51" s="26">
        <f t="shared" si="1"/>
      </c>
      <c r="Y51" s="30">
        <f t="shared" si="104"/>
      </c>
      <c r="Z51" s="30">
        <v>2</v>
      </c>
      <c r="AA51" s="30">
        <v>5</v>
      </c>
      <c r="AB51" s="31">
        <v>5168.88</v>
      </c>
      <c r="AC51" s="31">
        <v>3224.7</v>
      </c>
      <c r="AD51" s="27">
        <f t="shared" si="187"/>
      </c>
      <c r="AE51" s="32" t="s">
        <v>41</v>
      </c>
      <c r="AF51" s="33" t="s">
        <v>56</v>
      </c>
      <c r="AG51" s="34">
        <v>3</v>
      </c>
      <c r="AH51" s="35">
        <v>73984</v>
      </c>
      <c r="AI51" s="35">
        <v>1393</v>
      </c>
      <c r="AJ51" s="35">
        <v>1670</v>
      </c>
      <c r="AK51" s="36">
        <v>171</v>
      </c>
      <c r="AL51" s="36">
        <v>186</v>
      </c>
    </row>
    <row r="52">
      <c r="A52" s="15"/>
      <c r="B52" s="16" t="s">
        <v>68</v>
      </c>
      <c r="C52" s="17" t="s">
        <v>67</v>
      </c>
      <c r="D52" s="18">
        <f t="shared" si="362"/>
      </c>
      <c r="E52" s="19">
        <f>602+3.13</f>
      </c>
      <c r="F52" s="20">
        <v>2330</v>
      </c>
      <c r="G52" s="20">
        <v>0</v>
      </c>
      <c r="H52" s="20">
        <v>0</v>
      </c>
      <c r="I52" s="20">
        <f t="shared" si="453"/>
      </c>
      <c r="J52" s="21">
        <v>0</v>
      </c>
      <c r="K52" s="22">
        <f t="shared" si="544"/>
      </c>
      <c r="L52" s="22">
        <f t="shared" si="214"/>
      </c>
      <c r="M52" s="23">
        <f t="shared" si="297"/>
      </c>
      <c r="N52" s="24">
        <f t="shared" si="316"/>
      </c>
      <c r="O52" s="25">
        <f t="shared" si="335"/>
      </c>
      <c r="P52" s="26">
        <f t="shared" si="20"/>
      </c>
      <c r="Q52" s="26">
        <f t="shared" si="39"/>
      </c>
      <c r="R52" s="26">
        <f t="shared" si="58"/>
      </c>
      <c r="S52" s="27">
        <f t="shared" si="77"/>
      </c>
      <c r="T52" s="28">
        <f t="shared" si="627"/>
      </c>
      <c r="U52" s="26">
        <f t="shared" si="665"/>
      </c>
      <c r="V52" s="29">
        <f t="shared" si="646"/>
      </c>
      <c r="W52" s="29">
        <f t="shared" si="684"/>
      </c>
      <c r="X52" s="26">
        <f t="shared" si="1"/>
      </c>
      <c r="Y52" s="30">
        <f t="shared" si="104"/>
      </c>
      <c r="Z52" s="30">
        <v>3</v>
      </c>
      <c r="AA52" s="30">
        <v>3</v>
      </c>
      <c r="AB52" s="31">
        <v>1788.4799999999996</v>
      </c>
      <c r="AC52" s="31">
        <v>1040</v>
      </c>
      <c r="AD52" s="27">
        <f t="shared" si="187"/>
      </c>
      <c r="AE52" s="32" t="s">
        <v>41</v>
      </c>
      <c r="AF52" s="33" t="s">
        <v>56</v>
      </c>
      <c r="AG52" s="34">
        <v>3</v>
      </c>
      <c r="AH52" s="35">
        <v>37062</v>
      </c>
      <c r="AI52" s="35">
        <v>1262</v>
      </c>
      <c r="AJ52" s="35">
        <v>1514</v>
      </c>
      <c r="AK52" s="34">
        <v>127</v>
      </c>
      <c r="AL52" s="34">
        <v>107</v>
      </c>
    </row>
    <row r="53">
      <c r="A53" s="15"/>
      <c r="B53" s="38" t="s">
        <v>47</v>
      </c>
      <c r="C53" s="39">
        <v>5</v>
      </c>
      <c r="D53" s="40">
        <f>SUM(D48:D52)</f>
      </c>
      <c r="E53" s="40">
        <f>SUM(E48:E52)</f>
      </c>
      <c r="F53" s="40">
        <f>SUM(F48:F52)</f>
      </c>
      <c r="G53" s="40">
        <f>SUM(G48:G52)</f>
      </c>
      <c r="H53" s="40">
        <f>SUM(H48:H52)</f>
      </c>
      <c r="I53" s="40">
        <f>SUM(I48:I52)</f>
      </c>
      <c r="J53" s="40">
        <f>SUM(J48:J52)</f>
      </c>
      <c r="K53" s="40">
        <f>SUM(K48:K52)</f>
      </c>
      <c r="L53" s="40">
        <f>SUM(L48:L52)</f>
      </c>
      <c r="M53" s="41">
        <f t="shared" si="297"/>
      </c>
      <c r="N53" s="42">
        <f t="shared" si="316"/>
      </c>
      <c r="O53" s="42">
        <f t="shared" si="335"/>
      </c>
      <c r="P53" s="43">
        <f t="shared" si="20"/>
      </c>
      <c r="Q53" s="43">
        <f t="shared" si="39"/>
      </c>
      <c r="R53" s="43">
        <f t="shared" si="58"/>
      </c>
      <c r="S53" s="44">
        <f t="shared" si="77"/>
      </c>
      <c r="T53" s="44">
        <f t="shared" si="627"/>
      </c>
      <c r="U53" s="43">
        <f t="shared" si="665"/>
      </c>
      <c r="V53" s="44">
        <f t="shared" si="646"/>
      </c>
      <c r="W53" s="44">
        <f t="shared" si="684"/>
      </c>
      <c r="X53" s="43">
        <f t="shared" si="1"/>
      </c>
      <c r="Y53" s="40">
        <f>SUM(Y48:Y52)</f>
      </c>
      <c r="Z53" s="40">
        <f>SUM(Z48:Z52)</f>
      </c>
      <c r="AA53" s="40">
        <f>SUM(AA48:AA52)</f>
      </c>
      <c r="AB53" s="40">
        <f>SUM(AB48:AB52)</f>
      </c>
      <c r="AC53" s="40">
        <f>SUM(AC48:AC52)</f>
      </c>
      <c r="AD53" s="59">
        <f t="shared" si="187"/>
      </c>
      <c r="AE53" s="46"/>
      <c r="AF53" s="47"/>
      <c r="AG53" s="40">
        <f>SUM(AG48:AG52)</f>
      </c>
      <c r="AH53" s="40">
        <f>SUM(AH48:AH52)</f>
      </c>
      <c r="AI53" s="40">
        <f>SUM(AI48:AI52)</f>
      </c>
      <c r="AJ53" s="40">
        <f>SUM(AJ48:AJ52)</f>
      </c>
      <c r="AK53" s="40">
        <f>SUM(AK48:AK52)</f>
      </c>
      <c r="AL53" s="40">
        <f>SUM(AL48:AL52)</f>
      </c>
    </row>
    <row r="54">
      <c r="A54" s="15"/>
      <c r="B54" s="60" t="s">
        <v>47</v>
      </c>
      <c r="C54" s="61">
        <f>C34+C39+C42+C47+C53</f>
      </c>
      <c r="D54" s="62">
        <f>D34+D39+D42+D47+D53</f>
      </c>
      <c r="E54" s="61">
        <f>E34+E39+E42+E47+E53</f>
      </c>
      <c r="F54" s="61">
        <f>F34+F39+F42+F47+F53</f>
      </c>
      <c r="G54" s="61">
        <f>G34+G39+G42+G47+G53</f>
      </c>
      <c r="H54" s="61">
        <f>H34+H39+H42+H47+H53</f>
      </c>
      <c r="I54" s="62">
        <f>I34+I39+I42+I47+I53</f>
      </c>
      <c r="J54" s="61">
        <f>J34+J39+J42+J47+J53</f>
      </c>
      <c r="K54" s="61">
        <f>K34+K39+K42+K47+K53</f>
      </c>
      <c r="L54" s="61">
        <f>L34+L39+L42+L47+L53</f>
      </c>
      <c r="M54" s="63">
        <f t="shared" si="297"/>
      </c>
      <c r="N54" s="63">
        <f t="shared" si="316"/>
      </c>
      <c r="O54" s="63">
        <f t="shared" si="335"/>
      </c>
      <c r="P54" s="63">
        <f t="shared" si="20"/>
      </c>
      <c r="Q54" s="63">
        <f t="shared" si="39"/>
      </c>
      <c r="R54" s="63">
        <f t="shared" si="58"/>
      </c>
      <c r="S54" s="64">
        <f t="shared" si="77"/>
      </c>
      <c r="T54" s="64">
        <f t="shared" si="627"/>
      </c>
      <c r="U54" s="63">
        <f t="shared" si="665"/>
      </c>
      <c r="V54" s="64">
        <f t="shared" si="646"/>
      </c>
      <c r="W54" s="64">
        <f t="shared" si="684"/>
      </c>
      <c r="X54" s="63">
        <f t="shared" si="1"/>
      </c>
      <c r="Y54" s="61">
        <f>Y34+Y39+Y42+Y47+Y53</f>
      </c>
      <c r="Z54" s="61">
        <f>Z34+Z39+Z42+Z47+Z53</f>
      </c>
      <c r="AA54" s="61">
        <f>AA34+AA39+AA42+AA47+AA53</f>
      </c>
      <c r="AB54" s="61">
        <f>AB34+AB39+AB42+AB47+AB53</f>
      </c>
      <c r="AC54" s="65">
        <f>AC34+AC39+AC42+AC47+AC53</f>
      </c>
      <c r="AD54" s="66">
        <f t="shared" si="187"/>
      </c>
      <c r="AE54" s="67"/>
      <c r="AF54" s="60"/>
      <c r="AG54" s="61">
        <f>AG34+AG39+AG42+AG47+AG53</f>
      </c>
      <c r="AH54" s="61">
        <f>AH34+AH39+AH42+AH47+AH53</f>
      </c>
      <c r="AI54" s="61">
        <f>AI34+AI39+AI42+AI47+AI53</f>
      </c>
      <c r="AJ54" s="61">
        <f>AJ34+AJ39+AJ42+AJ47+AJ53</f>
      </c>
      <c r="AK54" s="61">
        <f>AK34+AK39+AK42+AK47+AK53</f>
      </c>
      <c r="AL54" s="61">
        <f>AL34+AL39+AL42+AL47+AL53</f>
      </c>
    </row>
    <row r="55">
      <c r="A55" s="1" t="s">
        <v>1</v>
      </c>
      <c r="B55" s="2" t="s">
        <v>2</v>
      </c>
      <c r="C55" s="2" t="s">
        <v>3</v>
      </c>
      <c r="D55" s="3" t="s">
        <v>4</v>
      </c>
      <c r="E55" s="2" t="s">
        <v>5</v>
      </c>
      <c r="F55" s="2" t="s">
        <v>6</v>
      </c>
      <c r="G55" s="4" t="s">
        <v>7</v>
      </c>
      <c r="H55" s="4" t="s">
        <v>8</v>
      </c>
      <c r="I55" s="3" t="s">
        <v>9</v>
      </c>
      <c r="J55" s="5" t="s">
        <v>10</v>
      </c>
      <c r="K55" s="6" t="s">
        <v>11</v>
      </c>
      <c r="L55" s="6" t="s">
        <v>12</v>
      </c>
      <c r="M55" s="7" t="s">
        <v>13</v>
      </c>
      <c r="N55" s="6" t="s">
        <v>14</v>
      </c>
      <c r="O55" s="2" t="s">
        <v>15</v>
      </c>
      <c r="P55" s="7" t="s">
        <v>16</v>
      </c>
      <c r="Q55" s="8" t="s">
        <v>17</v>
      </c>
      <c r="R55" s="8" t="s">
        <v>18</v>
      </c>
      <c r="S55" s="3" t="s">
        <v>19</v>
      </c>
      <c r="T55" s="9" t="s">
        <v>20</v>
      </c>
      <c r="U55" s="7" t="s">
        <v>21</v>
      </c>
      <c r="V55" s="10" t="s">
        <v>22</v>
      </c>
      <c r="W55" s="11" t="s">
        <v>23</v>
      </c>
      <c r="X55" s="7" t="s">
        <v>24</v>
      </c>
      <c r="Y55" s="12" t="s">
        <v>25</v>
      </c>
      <c r="Z55" s="13" t="s">
        <v>26</v>
      </c>
      <c r="AA55" s="12" t="s">
        <v>27</v>
      </c>
      <c r="AB55" s="14" t="s">
        <v>28</v>
      </c>
      <c r="AC55" s="14" t="s">
        <v>29</v>
      </c>
      <c r="AD55" s="6" t="s">
        <v>30</v>
      </c>
      <c r="AE55" s="5" t="s">
        <v>31</v>
      </c>
      <c r="AF55" s="6" t="s">
        <v>32</v>
      </c>
      <c r="AG55" s="5" t="s">
        <v>33</v>
      </c>
      <c r="AH55" s="5" t="s">
        <v>34</v>
      </c>
      <c r="AI55" s="6" t="s">
        <v>35</v>
      </c>
      <c r="AJ55" s="5" t="s">
        <v>36</v>
      </c>
      <c r="AK55" s="6" t="s">
        <v>37</v>
      </c>
      <c r="AL55" s="5" t="s">
        <v>38</v>
      </c>
    </row>
    <row r="56">
      <c r="A56" s="15">
        <v>46298</v>
      </c>
      <c r="B56" s="16" t="s">
        <v>39</v>
      </c>
      <c r="C56" s="17" t="s">
        <v>40</v>
      </c>
      <c r="D56" s="18">
        <f t="shared" ref="D56:D60" si="363">E56+F56+G56+H56</f>
      </c>
      <c r="E56" s="19">
        <v>1196.51</v>
      </c>
      <c r="F56" s="20">
        <v>5469.86</v>
      </c>
      <c r="G56" s="20">
        <v>0</v>
      </c>
      <c r="H56" s="20">
        <v>0</v>
      </c>
      <c r="I56" s="20">
        <f t="shared" ref="I56:I60" si="454">AB56+AC56</f>
      </c>
      <c r="J56" s="21">
        <v>0</v>
      </c>
      <c r="K56" s="22">
        <f t="shared" ref="K56:K60" si="545">I56-J56</f>
      </c>
      <c r="L56" s="22">
        <f t="shared" ref="L56:L60" si="215">(I56-AC56)/12+AC56</f>
      </c>
      <c r="M56" s="23">
        <f t="shared" ref="M56:M81" si="298">I56/D56</f>
      </c>
      <c r="N56" s="24">
        <f t="shared" ref="N56:N81" si="317">(I56-J56)/D56</f>
      </c>
      <c r="O56" s="25">
        <f t="shared" ref="O56:O81" si="336">(AC56+AB56/12)/D56</f>
      </c>
      <c r="P56" s="26">
        <f t="shared" ref="P56:P81" si="21">I56/AA56</f>
      </c>
      <c r="Q56" s="26">
        <f t="shared" ref="Q56:Q81" si="40">D56/AA56</f>
      </c>
      <c r="R56" s="26">
        <f t="shared" ref="R56:R81" si="59">D56/AG56</f>
      </c>
      <c r="S56" s="27">
        <f t="shared" ref="S56:S81" si="78">AA56/Y56</f>
      </c>
      <c r="T56" s="28">
        <f t="shared" ref="T56:T81" si="628">AI56/AH56</f>
      </c>
      <c r="U56" s="26">
        <f t="shared" ref="U56:U81" si="666">D56/AJ56</f>
      </c>
      <c r="V56" s="29">
        <f t="shared" ref="V56:V81" si="647">AK56/AJ56</f>
      </c>
      <c r="W56" s="29">
        <f t="shared" ref="W56:W81" si="685">AL56/AJ56</f>
      </c>
      <c r="X56" s="26">
        <f t="shared" ref="X56:X81" si="2">D56/AL56</f>
      </c>
      <c r="Y56" s="30">
        <f t="shared" ref="Y56:Y60" si="105">Z56+AA56</f>
      </c>
      <c r="Z56" s="30">
        <v>6</v>
      </c>
      <c r="AA56" s="30">
        <v>3</v>
      </c>
      <c r="AB56" s="31">
        <v>2796.12</v>
      </c>
      <c r="AC56" s="31">
        <v>0</v>
      </c>
      <c r="AD56" s="27">
        <f t="shared" ref="AD56:AD81" si="188">AC56/I56</f>
      </c>
      <c r="AE56" s="32" t="s">
        <v>41</v>
      </c>
      <c r="AF56" s="33" t="s">
        <v>42</v>
      </c>
      <c r="AG56" s="34">
        <v>3</v>
      </c>
      <c r="AH56" s="34">
        <v>77521</v>
      </c>
      <c r="AI56" s="35">
        <v>2890</v>
      </c>
      <c r="AJ56" s="35">
        <v>3400</v>
      </c>
      <c r="AK56" s="34">
        <v>256</v>
      </c>
      <c r="AL56" s="36">
        <v>212</v>
      </c>
    </row>
    <row r="57">
      <c r="A57" s="15"/>
      <c r="B57" s="16" t="s">
        <v>39</v>
      </c>
      <c r="C57" s="17" t="s">
        <v>43</v>
      </c>
      <c r="D57" s="18">
        <f t="shared" si="363"/>
      </c>
      <c r="E57" s="17">
        <v>1246.48</v>
      </c>
      <c r="F57" s="20">
        <v>6981.44</v>
      </c>
      <c r="G57" s="20">
        <v>0</v>
      </c>
      <c r="H57" s="20">
        <v>0</v>
      </c>
      <c r="I57" s="20">
        <f t="shared" si="454"/>
      </c>
      <c r="J57" s="21">
        <f>519.24+395.04+1149.12+1270.2+1474.32</f>
      </c>
      <c r="K57" s="22">
        <f t="shared" si="545"/>
      </c>
      <c r="L57" s="22">
        <f t="shared" si="215"/>
      </c>
      <c r="M57" s="23">
        <f t="shared" si="298"/>
      </c>
      <c r="N57" s="24">
        <f t="shared" si="317"/>
      </c>
      <c r="O57" s="25">
        <f t="shared" si="336"/>
      </c>
      <c r="P57" s="26">
        <f t="shared" si="21"/>
      </c>
      <c r="Q57" s="26">
        <f t="shared" si="40"/>
      </c>
      <c r="R57" s="26">
        <f t="shared" si="59"/>
      </c>
      <c r="S57" s="27">
        <f t="shared" si="78"/>
      </c>
      <c r="T57" s="28">
        <f t="shared" si="628"/>
      </c>
      <c r="U57" s="26">
        <f t="shared" si="666"/>
      </c>
      <c r="V57" s="29">
        <f t="shared" si="647"/>
      </c>
      <c r="W57" s="29">
        <f t="shared" si="685"/>
      </c>
      <c r="X57" s="26">
        <f t="shared" si="2"/>
      </c>
      <c r="Y57" s="30">
        <f t="shared" si="105"/>
      </c>
      <c r="Z57" s="30">
        <v>3</v>
      </c>
      <c r="AA57" s="30">
        <v>8</v>
      </c>
      <c r="AB57" s="31">
        <v>14618.64</v>
      </c>
      <c r="AC57" s="31">
        <v>2129</v>
      </c>
      <c r="AD57" s="27">
        <f t="shared" si="188"/>
      </c>
      <c r="AE57" s="32" t="s">
        <v>41</v>
      </c>
      <c r="AF57" s="33" t="s">
        <v>42</v>
      </c>
      <c r="AG57" s="34">
        <v>7</v>
      </c>
      <c r="AH57" s="35">
        <v>92371</v>
      </c>
      <c r="AI57" s="35">
        <v>1910</v>
      </c>
      <c r="AJ57" s="35">
        <v>2357</v>
      </c>
      <c r="AK57" s="36">
        <v>298</v>
      </c>
      <c r="AL57" s="36">
        <v>300</v>
      </c>
    </row>
    <row r="58">
      <c r="A58" s="15"/>
      <c r="B58" s="16" t="s">
        <v>39</v>
      </c>
      <c r="C58" s="17" t="s">
        <v>44</v>
      </c>
      <c r="D58" s="18">
        <f t="shared" si="363"/>
      </c>
      <c r="E58" s="17">
        <v>776.76</v>
      </c>
      <c r="F58" s="20">
        <v>5846.33</v>
      </c>
      <c r="G58" s="20">
        <v>0</v>
      </c>
      <c r="H58" s="20">
        <v>0</v>
      </c>
      <c r="I58" s="20">
        <f t="shared" si="454"/>
      </c>
      <c r="J58" s="21">
        <v>696.6</v>
      </c>
      <c r="K58" s="22">
        <f t="shared" si="545"/>
      </c>
      <c r="L58" s="22">
        <f t="shared" si="215"/>
      </c>
      <c r="M58" s="23">
        <f t="shared" si="298"/>
      </c>
      <c r="N58" s="24">
        <f t="shared" si="317"/>
      </c>
      <c r="O58" s="25">
        <f t="shared" si="336"/>
      </c>
      <c r="P58" s="26">
        <f t="shared" si="21"/>
      </c>
      <c r="Q58" s="26">
        <f t="shared" si="40"/>
      </c>
      <c r="R58" s="26">
        <f t="shared" si="59"/>
      </c>
      <c r="S58" s="27">
        <f t="shared" si="78"/>
      </c>
      <c r="T58" s="28">
        <f t="shared" si="628"/>
      </c>
      <c r="U58" s="26">
        <f t="shared" si="666"/>
      </c>
      <c r="V58" s="29">
        <f t="shared" si="647"/>
      </c>
      <c r="W58" s="29">
        <f t="shared" si="685"/>
      </c>
      <c r="X58" s="26">
        <f t="shared" si="2"/>
      </c>
      <c r="Y58" s="30">
        <f t="shared" si="105"/>
      </c>
      <c r="Z58" s="30">
        <v>6</v>
      </c>
      <c r="AA58" s="30">
        <v>6</v>
      </c>
      <c r="AB58" s="31">
        <v>8926.2</v>
      </c>
      <c r="AC58" s="31">
        <v>0</v>
      </c>
      <c r="AD58" s="27">
        <f t="shared" si="188"/>
      </c>
      <c r="AE58" s="32" t="s">
        <v>41</v>
      </c>
      <c r="AF58" s="33" t="s">
        <v>42</v>
      </c>
      <c r="AG58" s="36">
        <v>5</v>
      </c>
      <c r="AH58" s="35">
        <v>68592</v>
      </c>
      <c r="AI58" s="35">
        <v>1254</v>
      </c>
      <c r="AJ58" s="35">
        <v>1432</v>
      </c>
      <c r="AK58" s="36">
        <v>215</v>
      </c>
      <c r="AL58" s="36">
        <v>236</v>
      </c>
    </row>
    <row r="59">
      <c r="A59" s="15"/>
      <c r="B59" s="16" t="s">
        <v>39</v>
      </c>
      <c r="C59" s="17" t="s">
        <v>45</v>
      </c>
      <c r="D59" s="18">
        <f t="shared" si="363"/>
      </c>
      <c r="E59" s="17">
        <v>1495.92</v>
      </c>
      <c r="F59" s="20">
        <v>8446.17</v>
      </c>
      <c r="G59" s="20">
        <v>0</v>
      </c>
      <c r="H59" s="20">
        <v>0</v>
      </c>
      <c r="I59" s="37">
        <f t="shared" si="454"/>
      </c>
      <c r="J59" s="21">
        <f>443.88+495+1253.88</f>
      </c>
      <c r="K59" s="22">
        <f t="shared" si="545"/>
      </c>
      <c r="L59" s="22">
        <f t="shared" si="215"/>
      </c>
      <c r="M59" s="23">
        <f t="shared" si="298"/>
      </c>
      <c r="N59" s="24">
        <f t="shared" si="317"/>
      </c>
      <c r="O59" s="25">
        <f t="shared" si="336"/>
      </c>
      <c r="P59" s="26">
        <f t="shared" si="21"/>
      </c>
      <c r="Q59" s="26">
        <f t="shared" si="40"/>
      </c>
      <c r="R59" s="26">
        <f t="shared" si="59"/>
      </c>
      <c r="S59" s="27">
        <f t="shared" si="78"/>
      </c>
      <c r="T59" s="28">
        <f t="shared" si="628"/>
      </c>
      <c r="U59" s="26">
        <f t="shared" si="666"/>
      </c>
      <c r="V59" s="29">
        <f t="shared" si="647"/>
      </c>
      <c r="W59" s="29">
        <f t="shared" si="685"/>
      </c>
      <c r="X59" s="26">
        <f t="shared" si="2"/>
      </c>
      <c r="Y59" s="30">
        <f t="shared" si="105"/>
      </c>
      <c r="Z59" s="30">
        <v>6</v>
      </c>
      <c r="AA59" s="30">
        <v>11</v>
      </c>
      <c r="AB59" s="31">
        <v>15989.400000000001</v>
      </c>
      <c r="AC59" s="31">
        <v>495</v>
      </c>
      <c r="AD59" s="27">
        <f t="shared" si="188"/>
      </c>
      <c r="AE59" s="32" t="s">
        <v>41</v>
      </c>
      <c r="AF59" s="33" t="s">
        <v>42</v>
      </c>
      <c r="AG59" s="34">
        <v>11</v>
      </c>
      <c r="AH59" s="35">
        <v>103783</v>
      </c>
      <c r="AI59" s="35">
        <v>1498</v>
      </c>
      <c r="AJ59" s="35">
        <v>1637</v>
      </c>
      <c r="AK59" s="36">
        <v>276</v>
      </c>
      <c r="AL59" s="36">
        <v>311</v>
      </c>
    </row>
    <row r="60">
      <c r="A60" s="15"/>
      <c r="B60" s="16" t="s">
        <v>39</v>
      </c>
      <c r="C60" s="17" t="s">
        <v>46</v>
      </c>
      <c r="D60" s="18">
        <f t="shared" si="363"/>
      </c>
      <c r="E60" s="17">
        <v>809.22</v>
      </c>
      <c r="F60" s="20">
        <v>8322.77</v>
      </c>
      <c r="G60" s="20">
        <v>0</v>
      </c>
      <c r="H60" s="20">
        <v>0</v>
      </c>
      <c r="I60" s="20">
        <f t="shared" si="454"/>
      </c>
      <c r="J60" s="21">
        <f>4116.96+1149.12+1551.96</f>
      </c>
      <c r="K60" s="22">
        <f t="shared" si="545"/>
      </c>
      <c r="L60" s="22">
        <f t="shared" si="215"/>
      </c>
      <c r="M60" s="23">
        <f t="shared" si="298"/>
      </c>
      <c r="N60" s="24">
        <f t="shared" si="317"/>
      </c>
      <c r="O60" s="25">
        <f t="shared" si="336"/>
      </c>
      <c r="P60" s="26">
        <f t="shared" si="21"/>
      </c>
      <c r="Q60" s="26">
        <f t="shared" si="40"/>
      </c>
      <c r="R60" s="26">
        <f t="shared" si="59"/>
      </c>
      <c r="S60" s="27">
        <f t="shared" si="78"/>
      </c>
      <c r="T60" s="28">
        <f t="shared" si="628"/>
      </c>
      <c r="U60" s="26">
        <f t="shared" si="666"/>
      </c>
      <c r="V60" s="29">
        <f t="shared" si="647"/>
      </c>
      <c r="W60" s="29">
        <f t="shared" si="685"/>
      </c>
      <c r="X60" s="26">
        <f t="shared" si="2"/>
      </c>
      <c r="Y60" s="30">
        <f t="shared" si="105"/>
      </c>
      <c r="Z60" s="30">
        <v>10</v>
      </c>
      <c r="AA60" s="30">
        <v>10</v>
      </c>
      <c r="AB60" s="31">
        <f>13514.16+1149.12</f>
      </c>
      <c r="AC60" s="31">
        <v>1195</v>
      </c>
      <c r="AD60" s="27">
        <f t="shared" si="188"/>
      </c>
      <c r="AE60" s="32" t="s">
        <v>41</v>
      </c>
      <c r="AF60" s="33" t="s">
        <v>42</v>
      </c>
      <c r="AG60" s="34">
        <v>8</v>
      </c>
      <c r="AH60" s="35">
        <v>101780</v>
      </c>
      <c r="AI60" s="35">
        <v>1376</v>
      </c>
      <c r="AJ60" s="35">
        <v>1531</v>
      </c>
      <c r="AK60" s="34">
        <v>216</v>
      </c>
      <c r="AL60" s="34">
        <v>254</v>
      </c>
    </row>
    <row r="61">
      <c r="A61" s="15"/>
      <c r="B61" s="38" t="s">
        <v>47</v>
      </c>
      <c r="C61" s="39">
        <v>5</v>
      </c>
      <c r="D61" s="40">
        <f>SUM(D56:D60)</f>
      </c>
      <c r="E61" s="40">
        <f>SUM(E56:E60)</f>
      </c>
      <c r="F61" s="40">
        <f>SUM(F56:F60)</f>
      </c>
      <c r="G61" s="40">
        <f>SUM(G56:G60)</f>
      </c>
      <c r="H61" s="40">
        <f>SUM(H56:H60)</f>
      </c>
      <c r="I61" s="40">
        <f>SUM(I56:I60)</f>
      </c>
      <c r="J61" s="40">
        <f>SUM(J56:J60)</f>
      </c>
      <c r="K61" s="40">
        <f>SUM(K56:K60)</f>
      </c>
      <c r="L61" s="40">
        <f>SUM(L56:L60)</f>
      </c>
      <c r="M61" s="41">
        <f t="shared" si="298"/>
      </c>
      <c r="N61" s="42">
        <f t="shared" si="317"/>
      </c>
      <c r="O61" s="42">
        <f t="shared" si="336"/>
      </c>
      <c r="P61" s="43">
        <f t="shared" si="21"/>
      </c>
      <c r="Q61" s="43">
        <f t="shared" si="40"/>
      </c>
      <c r="R61" s="43">
        <f t="shared" si="59"/>
      </c>
      <c r="S61" s="44">
        <f t="shared" si="78"/>
      </c>
      <c r="T61" s="44">
        <f t="shared" si="628"/>
      </c>
      <c r="U61" s="43">
        <f t="shared" si="666"/>
      </c>
      <c r="V61" s="44">
        <f t="shared" si="647"/>
      </c>
      <c r="W61" s="44">
        <f t="shared" si="685"/>
      </c>
      <c r="X61" s="43">
        <f t="shared" si="2"/>
      </c>
      <c r="Y61" s="40">
        <f>SUM(Y56:Y60)</f>
      </c>
      <c r="Z61" s="40">
        <f>SUM(Z56:Z60)</f>
      </c>
      <c r="AA61" s="40">
        <f>SUM(AA56:AA60)</f>
      </c>
      <c r="AB61" s="40">
        <f>SUM(AB56:AB60)</f>
      </c>
      <c r="AC61" s="40">
        <f>SUM(AC56:AC60)</f>
      </c>
      <c r="AD61" s="45">
        <f t="shared" si="188"/>
      </c>
      <c r="AE61" s="46"/>
      <c r="AF61" s="47"/>
      <c r="AG61" s="40">
        <f>SUM(AG56:AG60)</f>
      </c>
      <c r="AH61" s="40">
        <f>SUM(AH56:AH60)</f>
      </c>
      <c r="AI61" s="40">
        <f>SUM(AI56:AI60)</f>
      </c>
      <c r="AJ61" s="40">
        <f>SUM(AJ56:AJ60)</f>
      </c>
      <c r="AK61" s="40">
        <f>SUM(AK56:AK60)</f>
      </c>
      <c r="AL61" s="40">
        <f>SUM(AL56:AL60)</f>
      </c>
    </row>
    <row r="62">
      <c r="A62" s="15"/>
      <c r="B62" s="16" t="s">
        <v>48</v>
      </c>
      <c r="C62" s="17" t="s">
        <v>49</v>
      </c>
      <c r="D62" s="18">
        <f t="shared" ref="D62:D65" si="364">E62+F62+G62+H62</f>
      </c>
      <c r="E62" s="19">
        <v>913.12</v>
      </c>
      <c r="F62" s="20">
        <v>8429.51</v>
      </c>
      <c r="G62" s="20">
        <v>0</v>
      </c>
      <c r="H62" s="20">
        <v>0</v>
      </c>
      <c r="I62" s="20">
        <f t="shared" ref="I62:I65" si="455">AB62+AC62</f>
      </c>
      <c r="J62" s="21">
        <f>3048.84+462</f>
      </c>
      <c r="K62" s="22">
        <f t="shared" ref="K62:K65" si="546">I62-J62</f>
      </c>
      <c r="L62" s="22">
        <f t="shared" ref="L62:L65" si="216">(I62-AC62)/12+AC62</f>
      </c>
      <c r="M62" s="23">
        <f t="shared" si="298"/>
      </c>
      <c r="N62" s="24">
        <f t="shared" si="317"/>
      </c>
      <c r="O62" s="25">
        <f t="shared" si="336"/>
      </c>
      <c r="P62" s="26">
        <f t="shared" si="21"/>
      </c>
      <c r="Q62" s="26">
        <f t="shared" si="40"/>
      </c>
      <c r="R62" s="26">
        <f t="shared" si="59"/>
      </c>
      <c r="S62" s="27">
        <f t="shared" si="78"/>
      </c>
      <c r="T62" s="28">
        <f t="shared" si="628"/>
      </c>
      <c r="U62" s="26">
        <f t="shared" si="666"/>
      </c>
      <c r="V62" s="29">
        <f t="shared" si="647"/>
      </c>
      <c r="W62" s="29">
        <f t="shared" si="685"/>
      </c>
      <c r="X62" s="26">
        <f t="shared" si="2"/>
      </c>
      <c r="Y62" s="30">
        <f t="shared" ref="Y62:Y65" si="106">Z62+AA62</f>
      </c>
      <c r="Z62" s="30">
        <v>5</v>
      </c>
      <c r="AA62" s="30">
        <v>11</v>
      </c>
      <c r="AB62" s="31">
        <v>19381.440000000002</v>
      </c>
      <c r="AC62" s="31">
        <v>2271.000000000001</v>
      </c>
      <c r="AD62" s="27">
        <f t="shared" si="188"/>
      </c>
      <c r="AE62" s="32" t="s">
        <v>41</v>
      </c>
      <c r="AF62" s="33" t="s">
        <v>42</v>
      </c>
      <c r="AG62" s="34">
        <v>9</v>
      </c>
      <c r="AH62" s="35">
        <v>107001</v>
      </c>
      <c r="AI62" s="35">
        <v>1360</v>
      </c>
      <c r="AJ62" s="35">
        <v>1434</v>
      </c>
      <c r="AK62" s="34">
        <v>213</v>
      </c>
      <c r="AL62" s="34">
        <v>267</v>
      </c>
    </row>
    <row r="63">
      <c r="A63" s="15"/>
      <c r="B63" s="16" t="s">
        <v>48</v>
      </c>
      <c r="C63" s="17" t="s">
        <v>50</v>
      </c>
      <c r="D63" s="18">
        <f t="shared" si="364"/>
      </c>
      <c r="E63" s="17">
        <v>1215.51</v>
      </c>
      <c r="F63" s="20">
        <v>6854.34</v>
      </c>
      <c r="G63" s="20">
        <v>0</v>
      </c>
      <c r="H63" s="20">
        <v>0</v>
      </c>
      <c r="I63" s="20">
        <f t="shared" si="455"/>
      </c>
      <c r="J63" s="21">
        <v>1509.84</v>
      </c>
      <c r="K63" s="22">
        <f t="shared" si="546"/>
      </c>
      <c r="L63" s="22">
        <f t="shared" si="216"/>
      </c>
      <c r="M63" s="23">
        <f t="shared" si="298"/>
      </c>
      <c r="N63" s="24">
        <f t="shared" si="317"/>
      </c>
      <c r="O63" s="25">
        <f t="shared" si="336"/>
      </c>
      <c r="P63" s="26">
        <f t="shared" si="21"/>
      </c>
      <c r="Q63" s="26">
        <f t="shared" si="40"/>
      </c>
      <c r="R63" s="26">
        <f t="shared" si="59"/>
      </c>
      <c r="S63" s="27">
        <f t="shared" si="78"/>
      </c>
      <c r="T63" s="28">
        <f t="shared" si="628"/>
      </c>
      <c r="U63" s="26">
        <f t="shared" si="666"/>
      </c>
      <c r="V63" s="29">
        <f t="shared" si="647"/>
      </c>
      <c r="W63" s="29">
        <f t="shared" si="685"/>
      </c>
      <c r="X63" s="26">
        <f t="shared" si="2"/>
      </c>
      <c r="Y63" s="30">
        <f t="shared" si="106"/>
      </c>
      <c r="Z63" s="30">
        <v>6</v>
      </c>
      <c r="AA63" s="30">
        <v>7</v>
      </c>
      <c r="AB63" s="31">
        <v>8334.36</v>
      </c>
      <c r="AC63" s="31">
        <v>0</v>
      </c>
      <c r="AD63" s="27">
        <f t="shared" si="188"/>
      </c>
      <c r="AE63" s="32" t="s">
        <v>41</v>
      </c>
      <c r="AF63" s="33" t="s">
        <v>42</v>
      </c>
      <c r="AG63" s="34">
        <v>6</v>
      </c>
      <c r="AH63" s="35">
        <v>100340</v>
      </c>
      <c r="AI63" s="35">
        <v>1466</v>
      </c>
      <c r="AJ63" s="35">
        <v>1603</v>
      </c>
      <c r="AK63" s="36">
        <v>237</v>
      </c>
      <c r="AL63" s="36">
        <v>260</v>
      </c>
    </row>
    <row r="64">
      <c r="A64" s="15"/>
      <c r="B64" s="16" t="s">
        <v>48</v>
      </c>
      <c r="C64" s="17" t="s">
        <v>51</v>
      </c>
      <c r="D64" s="18">
        <f t="shared" si="364"/>
      </c>
      <c r="E64" s="17">
        <v>1112.29</v>
      </c>
      <c r="F64" s="17">
        <v>8951.13</v>
      </c>
      <c r="G64" s="20">
        <v>0</v>
      </c>
      <c r="H64" s="20">
        <v>0</v>
      </c>
      <c r="I64" s="20">
        <f t="shared" si="455"/>
      </c>
      <c r="J64" s="21">
        <v>1360.8</v>
      </c>
      <c r="K64" s="22">
        <f t="shared" si="546"/>
      </c>
      <c r="L64" s="22">
        <f t="shared" si="216"/>
      </c>
      <c r="M64" s="23">
        <f t="shared" si="298"/>
      </c>
      <c r="N64" s="24">
        <f t="shared" si="317"/>
      </c>
      <c r="O64" s="25">
        <f t="shared" si="336"/>
      </c>
      <c r="P64" s="26">
        <f t="shared" si="21"/>
      </c>
      <c r="Q64" s="26">
        <f t="shared" si="40"/>
      </c>
      <c r="R64" s="26">
        <f t="shared" si="59"/>
      </c>
      <c r="S64" s="27">
        <f t="shared" si="78"/>
      </c>
      <c r="T64" s="28">
        <f t="shared" si="628"/>
      </c>
      <c r="U64" s="26">
        <f t="shared" si="666"/>
      </c>
      <c r="V64" s="29">
        <f t="shared" si="647"/>
      </c>
      <c r="W64" s="29">
        <f t="shared" si="685"/>
      </c>
      <c r="X64" s="26">
        <f t="shared" si="2"/>
      </c>
      <c r="Y64" s="30">
        <f t="shared" si="106"/>
      </c>
      <c r="Z64" s="30">
        <v>4</v>
      </c>
      <c r="AA64" s="30">
        <v>12</v>
      </c>
      <c r="AB64" s="31">
        <v>18005.28</v>
      </c>
      <c r="AC64" s="31">
        <v>0</v>
      </c>
      <c r="AD64" s="27">
        <f t="shared" si="188"/>
      </c>
      <c r="AE64" s="32" t="s">
        <v>41</v>
      </c>
      <c r="AF64" s="33" t="s">
        <v>42</v>
      </c>
      <c r="AG64" s="36">
        <v>8</v>
      </c>
      <c r="AH64" s="35">
        <v>135839</v>
      </c>
      <c r="AI64" s="35">
        <v>1745</v>
      </c>
      <c r="AJ64" s="35">
        <v>1946</v>
      </c>
      <c r="AK64" s="36">
        <v>256</v>
      </c>
      <c r="AL64" s="36">
        <v>312</v>
      </c>
    </row>
    <row r="65">
      <c r="A65" s="15"/>
      <c r="B65" s="16" t="s">
        <v>48</v>
      </c>
      <c r="C65" s="17" t="s">
        <v>52</v>
      </c>
      <c r="D65" s="18">
        <f t="shared" si="364"/>
      </c>
      <c r="E65" s="17">
        <v>1281.04</v>
      </c>
      <c r="F65" s="20">
        <v>9001.93</v>
      </c>
      <c r="G65" s="20">
        <v>0</v>
      </c>
      <c r="H65" s="20">
        <v>0</v>
      </c>
      <c r="I65" s="20">
        <f t="shared" si="455"/>
      </c>
      <c r="J65" s="21">
        <f>546.48+1172.88+696.6+372.48+1109.16</f>
      </c>
      <c r="K65" s="22">
        <f t="shared" si="546"/>
      </c>
      <c r="L65" s="22">
        <f t="shared" si="216"/>
      </c>
      <c r="M65" s="23">
        <f t="shared" si="298"/>
      </c>
      <c r="N65" s="24">
        <f t="shared" si="317"/>
      </c>
      <c r="O65" s="25">
        <f t="shared" si="336"/>
      </c>
      <c r="P65" s="26">
        <f t="shared" si="21"/>
      </c>
      <c r="Q65" s="26">
        <f t="shared" si="40"/>
      </c>
      <c r="R65" s="26">
        <f t="shared" si="59"/>
      </c>
      <c r="S65" s="27">
        <f t="shared" si="78"/>
      </c>
      <c r="T65" s="28">
        <f t="shared" si="628"/>
      </c>
      <c r="U65" s="26">
        <f t="shared" si="666"/>
      </c>
      <c r="V65" s="29">
        <f t="shared" si="647"/>
      </c>
      <c r="W65" s="29">
        <f t="shared" si="685"/>
      </c>
      <c r="X65" s="26">
        <f t="shared" si="2"/>
      </c>
      <c r="Y65" s="30">
        <f t="shared" si="106"/>
      </c>
      <c r="Z65" s="30">
        <v>7</v>
      </c>
      <c r="AA65" s="30">
        <v>11</v>
      </c>
      <c r="AB65" s="21">
        <f>17493.72+443.88</f>
      </c>
      <c r="AC65" s="48">
        <v>0</v>
      </c>
      <c r="AD65" s="27">
        <f t="shared" si="188"/>
      </c>
      <c r="AE65" s="32" t="s">
        <v>41</v>
      </c>
      <c r="AF65" s="33" t="s">
        <v>42</v>
      </c>
      <c r="AG65" s="34">
        <v>9</v>
      </c>
      <c r="AH65" s="35">
        <v>133428</v>
      </c>
      <c r="AI65" s="35">
        <v>1693</v>
      </c>
      <c r="AJ65" s="35">
        <v>1933</v>
      </c>
      <c r="AK65" s="36">
        <v>271</v>
      </c>
      <c r="AL65" s="36">
        <v>312</v>
      </c>
    </row>
    <row r="66">
      <c r="A66" s="15"/>
      <c r="B66" s="38" t="s">
        <v>47</v>
      </c>
      <c r="C66" s="39">
        <v>4</v>
      </c>
      <c r="D66" s="40">
        <f>SUM(D62:D65)</f>
      </c>
      <c r="E66" s="40">
        <f>SUM(E62:E65)</f>
      </c>
      <c r="F66" s="40">
        <f>SUM(F62:F65)</f>
      </c>
      <c r="G66" s="40">
        <f>SUM(G62:G65)</f>
      </c>
      <c r="H66" s="40">
        <f>SUM(H62:H65)</f>
      </c>
      <c r="I66" s="40">
        <f>SUM(I62:I65)</f>
      </c>
      <c r="J66" s="40">
        <f>SUM(J62:J65)</f>
      </c>
      <c r="K66" s="40">
        <f>SUM(K62:K65)</f>
      </c>
      <c r="L66" s="40">
        <f>SUM(L62:L65)</f>
      </c>
      <c r="M66" s="41">
        <f t="shared" si="298"/>
      </c>
      <c r="N66" s="42">
        <f t="shared" si="317"/>
      </c>
      <c r="O66" s="42">
        <f t="shared" si="336"/>
      </c>
      <c r="P66" s="43">
        <f t="shared" si="21"/>
      </c>
      <c r="Q66" s="43">
        <f t="shared" si="40"/>
      </c>
      <c r="R66" s="43">
        <f t="shared" si="59"/>
      </c>
      <c r="S66" s="44">
        <f t="shared" si="78"/>
      </c>
      <c r="T66" s="44">
        <f t="shared" si="628"/>
      </c>
      <c r="U66" s="43">
        <f t="shared" si="666"/>
      </c>
      <c r="V66" s="44">
        <f t="shared" si="647"/>
      </c>
      <c r="W66" s="44">
        <f t="shared" si="685"/>
      </c>
      <c r="X66" s="43">
        <f t="shared" si="2"/>
      </c>
      <c r="Y66" s="40">
        <f>SUM(Y62:Y65)</f>
      </c>
      <c r="Z66" s="40">
        <f>SUM(Z62:Z65)</f>
      </c>
      <c r="AA66" s="40">
        <f>SUM(AA62:AA65)</f>
      </c>
      <c r="AB66" s="40">
        <f>SUM(AB62:AB65)</f>
      </c>
      <c r="AC66" s="40">
        <f>SUM(AC62:AC65)</f>
      </c>
      <c r="AD66" s="45">
        <f t="shared" si="188"/>
      </c>
      <c r="AE66" s="46"/>
      <c r="AF66" s="47"/>
      <c r="AG66" s="40">
        <f>SUM(AG62:AG65)</f>
      </c>
      <c r="AH66" s="40">
        <f>SUM(AH62:AH65)</f>
      </c>
      <c r="AI66" s="40">
        <f>SUM(AI62:AI65)</f>
      </c>
      <c r="AJ66" s="40">
        <f>SUM(AJ62:AJ65)</f>
      </c>
      <c r="AK66" s="40">
        <f>SUM(AK62:AK65)</f>
      </c>
      <c r="AL66" s="40">
        <f>SUM(AL62:AL65)</f>
      </c>
    </row>
    <row r="67">
      <c r="A67" s="15"/>
      <c r="B67" s="16" t="s">
        <v>69</v>
      </c>
      <c r="C67" s="17" t="s">
        <v>54</v>
      </c>
      <c r="D67" s="18">
        <f t="shared" ref="D67:D68" si="365">E67+F67+G67+H67</f>
      </c>
      <c r="E67" s="17">
        <v>1145.41</v>
      </c>
      <c r="F67" s="49">
        <v>9009.65</v>
      </c>
      <c r="G67" s="20">
        <v>0</v>
      </c>
      <c r="H67" s="20">
        <v>0</v>
      </c>
      <c r="I67" s="50">
        <f t="shared" ref="I67:I68" si="456">AB67+AC67</f>
      </c>
      <c r="J67" s="51">
        <v>1172.88</v>
      </c>
      <c r="K67" s="22">
        <f t="shared" ref="K67:K68" si="547">I67-J67</f>
      </c>
      <c r="L67" s="22">
        <f t="shared" ref="L67:L68" si="217">(I67-AC67)/12+AC67</f>
      </c>
      <c r="M67" s="23">
        <f t="shared" si="298"/>
      </c>
      <c r="N67" s="24">
        <f t="shared" si="317"/>
      </c>
      <c r="O67" s="25">
        <f t="shared" si="336"/>
      </c>
      <c r="P67" s="26">
        <f t="shared" si="21"/>
      </c>
      <c r="Q67" s="26">
        <f t="shared" si="40"/>
      </c>
      <c r="R67" s="26">
        <f t="shared" si="59"/>
      </c>
      <c r="S67" s="27">
        <f t="shared" si="78"/>
      </c>
      <c r="T67" s="28">
        <f t="shared" si="628"/>
      </c>
      <c r="U67" s="26">
        <f t="shared" si="666"/>
      </c>
      <c r="V67" s="29">
        <f t="shared" si="647"/>
      </c>
      <c r="W67" s="29">
        <f t="shared" si="685"/>
      </c>
      <c r="X67" s="26">
        <f t="shared" si="2"/>
      </c>
      <c r="Y67" s="30">
        <f t="shared" ref="Y67:Y68" si="107">Z67+AA67</f>
      </c>
      <c r="Z67" s="30">
        <v>4</v>
      </c>
      <c r="AA67" s="30">
        <v>3</v>
      </c>
      <c r="AB67" s="31">
        <v>7047.240000000005</v>
      </c>
      <c r="AC67" s="31">
        <v>0</v>
      </c>
      <c r="AD67" s="27">
        <f t="shared" si="188"/>
      </c>
      <c r="AE67" s="32" t="s">
        <v>41</v>
      </c>
      <c r="AF67" s="33" t="s">
        <v>42</v>
      </c>
      <c r="AG67" s="34">
        <v>4</v>
      </c>
      <c r="AH67" s="35">
        <v>135045</v>
      </c>
      <c r="AI67" s="35">
        <v>1618</v>
      </c>
      <c r="AJ67" s="35">
        <v>1756</v>
      </c>
      <c r="AK67" s="36">
        <v>292</v>
      </c>
      <c r="AL67" s="36">
        <v>326</v>
      </c>
    </row>
    <row r="68">
      <c r="A68" s="15"/>
      <c r="B68" s="16" t="s">
        <v>69</v>
      </c>
      <c r="C68" s="17" t="s">
        <v>55</v>
      </c>
      <c r="D68" s="18">
        <f t="shared" si="365"/>
      </c>
      <c r="E68" s="52">
        <v>1249.18</v>
      </c>
      <c r="F68" s="53">
        <v>6896.21</v>
      </c>
      <c r="G68" s="54">
        <v>0</v>
      </c>
      <c r="H68" s="20">
        <v>0</v>
      </c>
      <c r="I68" s="55">
        <f t="shared" si="456"/>
      </c>
      <c r="J68" s="51">
        <f>628.56+1172.88</f>
      </c>
      <c r="K68" s="22">
        <f t="shared" si="547"/>
      </c>
      <c r="L68" s="22">
        <f t="shared" si="217"/>
      </c>
      <c r="M68" s="23">
        <f t="shared" si="298"/>
      </c>
      <c r="N68" s="24">
        <f t="shared" si="317"/>
      </c>
      <c r="O68" s="25">
        <f t="shared" si="336"/>
      </c>
      <c r="P68" s="26">
        <f t="shared" si="21"/>
      </c>
      <c r="Q68" s="26">
        <f t="shared" si="40"/>
      </c>
      <c r="R68" s="26">
        <f t="shared" si="59"/>
      </c>
      <c r="S68" s="27">
        <f t="shared" si="78"/>
      </c>
      <c r="T68" s="28">
        <f t="shared" si="628"/>
      </c>
      <c r="U68" s="26">
        <f t="shared" si="666"/>
      </c>
      <c r="V68" s="29">
        <f t="shared" si="647"/>
      </c>
      <c r="W68" s="29">
        <f t="shared" si="685"/>
      </c>
      <c r="X68" s="26">
        <f t="shared" si="2"/>
      </c>
      <c r="Y68" s="56">
        <f t="shared" si="107"/>
      </c>
      <c r="Z68" s="30">
        <v>9</v>
      </c>
      <c r="AA68" s="30">
        <v>7</v>
      </c>
      <c r="AB68" s="57">
        <v>7491.599999999991</v>
      </c>
      <c r="AC68" s="31">
        <v>3341.999999999999</v>
      </c>
      <c r="AD68" s="27">
        <f t="shared" si="188"/>
      </c>
      <c r="AE68" s="32" t="s">
        <v>41</v>
      </c>
      <c r="AF68" s="33" t="s">
        <v>56</v>
      </c>
      <c r="AG68" s="36">
        <v>7</v>
      </c>
      <c r="AH68" s="35">
        <v>103863</v>
      </c>
      <c r="AI68" s="35">
        <v>1197</v>
      </c>
      <c r="AJ68" s="35">
        <v>1343</v>
      </c>
      <c r="AK68" s="36">
        <v>203</v>
      </c>
      <c r="AL68" s="36">
        <v>228</v>
      </c>
    </row>
    <row r="69">
      <c r="A69" s="15"/>
      <c r="B69" s="38" t="s">
        <v>47</v>
      </c>
      <c r="C69" s="39">
        <v>2</v>
      </c>
      <c r="D69" s="58">
        <f>SUM(D67:D68)</f>
      </c>
      <c r="E69" s="58">
        <f>SUM(E67:E68)</f>
      </c>
      <c r="F69" s="58">
        <f>SUM(F67:F68)</f>
      </c>
      <c r="G69" s="58">
        <f>SUM(G67:G68)</f>
      </c>
      <c r="H69" s="58">
        <f>SUM(H67:H68)</f>
      </c>
      <c r="I69" s="58">
        <f>SUM(I67:I68)</f>
      </c>
      <c r="J69" s="58">
        <f>SUM(J67:J68)</f>
      </c>
      <c r="K69" s="58">
        <f>SUM(K67:K68)</f>
      </c>
      <c r="L69" s="58">
        <f>SUM(L67:L68)</f>
      </c>
      <c r="M69" s="41">
        <f t="shared" si="298"/>
      </c>
      <c r="N69" s="42">
        <f t="shared" si="317"/>
      </c>
      <c r="O69" s="42">
        <f t="shared" si="336"/>
      </c>
      <c r="P69" s="43">
        <f t="shared" si="21"/>
      </c>
      <c r="Q69" s="43">
        <f t="shared" si="40"/>
      </c>
      <c r="R69" s="43">
        <f t="shared" si="59"/>
      </c>
      <c r="S69" s="44">
        <f t="shared" si="78"/>
      </c>
      <c r="T69" s="44">
        <f t="shared" si="628"/>
      </c>
      <c r="U69" s="43">
        <f t="shared" si="666"/>
      </c>
      <c r="V69" s="44">
        <f t="shared" si="647"/>
      </c>
      <c r="W69" s="44">
        <f t="shared" si="685"/>
      </c>
      <c r="X69" s="43">
        <f t="shared" si="2"/>
      </c>
      <c r="Y69" s="58">
        <f>SUM(Y67:Y68)</f>
      </c>
      <c r="Z69" s="58">
        <f>SUM(Z67:Z68)</f>
      </c>
      <c r="AA69" s="58">
        <f>SUM(AA67:AA68)</f>
      </c>
      <c r="AB69" s="58">
        <f>SUM(AB67:AB68)</f>
      </c>
      <c r="AC69" s="58">
        <f>SUM(AC67:AC68)</f>
      </c>
      <c r="AD69" s="45">
        <f t="shared" si="188"/>
      </c>
      <c r="AE69" s="46"/>
      <c r="AF69" s="47"/>
      <c r="AG69" s="58">
        <f>SUM(AG67:AG68)</f>
      </c>
      <c r="AH69" s="58">
        <f>SUM(AH67:AH68)</f>
      </c>
      <c r="AI69" s="58">
        <f>SUM(AI67:AI68)</f>
      </c>
      <c r="AJ69" s="58">
        <f>SUM(AJ67:AJ68)</f>
      </c>
      <c r="AK69" s="58">
        <f>SUM(AK67:AK68)</f>
      </c>
      <c r="AL69" s="58">
        <f>SUM(AL67:AL68)</f>
      </c>
    </row>
    <row r="70">
      <c r="A70" s="15"/>
      <c r="B70" s="16" t="s">
        <v>68</v>
      </c>
      <c r="C70" s="17" t="s">
        <v>58</v>
      </c>
      <c r="D70" s="18">
        <f t="shared" ref="D70:D74" si="366">E70+F70+G70+H70</f>
      </c>
      <c r="E70" s="17">
        <v>1633.93</v>
      </c>
      <c r="F70" s="49">
        <v>5033.21</v>
      </c>
      <c r="G70" s="20">
        <v>0</v>
      </c>
      <c r="H70" s="20">
        <v>0</v>
      </c>
      <c r="I70" s="50">
        <f t="shared" ref="I70:I74" si="457">AB70+AC70</f>
      </c>
      <c r="J70" s="51">
        <v>0</v>
      </c>
      <c r="K70" s="22">
        <f t="shared" ref="K70:K74" si="548">I70-J70</f>
      </c>
      <c r="L70" s="22">
        <f t="shared" ref="L70:L74" si="218">(I70-AC70)/12+AC70</f>
      </c>
      <c r="M70" s="23">
        <f t="shared" si="298"/>
      </c>
      <c r="N70" s="24">
        <f t="shared" si="317"/>
      </c>
      <c r="O70" s="25">
        <f t="shared" si="336"/>
      </c>
      <c r="P70" s="26">
        <f t="shared" si="21"/>
      </c>
      <c r="Q70" s="26">
        <f t="shared" si="40"/>
      </c>
      <c r="R70" s="26">
        <f t="shared" si="59"/>
      </c>
      <c r="S70" s="27">
        <f t="shared" si="78"/>
      </c>
      <c r="T70" s="28">
        <f t="shared" si="628"/>
      </c>
      <c r="U70" s="26">
        <f t="shared" si="666"/>
      </c>
      <c r="V70" s="29">
        <f t="shared" si="647"/>
      </c>
      <c r="W70" s="29">
        <f t="shared" si="685"/>
      </c>
      <c r="X70" s="26">
        <f t="shared" si="2"/>
      </c>
      <c r="Y70" s="30">
        <f t="shared" ref="Y70:Y74" si="108">Z70+AA70</f>
      </c>
      <c r="Z70" s="30">
        <v>5</v>
      </c>
      <c r="AA70" s="30">
        <v>2</v>
      </c>
      <c r="AB70" s="31">
        <v>5157</v>
      </c>
      <c r="AC70" s="31">
        <v>0</v>
      </c>
      <c r="AD70" s="27">
        <f t="shared" si="188"/>
      </c>
      <c r="AE70" s="32" t="s">
        <v>41</v>
      </c>
      <c r="AF70" s="33" t="s">
        <v>56</v>
      </c>
      <c r="AG70" s="34">
        <v>1</v>
      </c>
      <c r="AH70" s="35">
        <v>76103</v>
      </c>
      <c r="AI70" s="35">
        <v>1000</v>
      </c>
      <c r="AJ70" s="35">
        <v>1116</v>
      </c>
      <c r="AK70" s="36">
        <v>160</v>
      </c>
      <c r="AL70" s="36">
        <v>155</v>
      </c>
    </row>
    <row r="71">
      <c r="A71" s="15"/>
      <c r="B71" s="16" t="s">
        <v>68</v>
      </c>
      <c r="C71" s="17" t="s">
        <v>59</v>
      </c>
      <c r="D71" s="18">
        <f t="shared" si="366"/>
      </c>
      <c r="E71" s="17">
        <v>831.19</v>
      </c>
      <c r="F71" s="49">
        <v>2820.72</v>
      </c>
      <c r="G71" s="20">
        <v>0</v>
      </c>
      <c r="H71" s="20">
        <v>0</v>
      </c>
      <c r="I71" s="50">
        <f t="shared" si="457"/>
      </c>
      <c r="J71" s="51">
        <v>0</v>
      </c>
      <c r="K71" s="22">
        <f t="shared" si="548"/>
      </c>
      <c r="L71" s="22">
        <f t="shared" si="218"/>
      </c>
      <c r="M71" s="23">
        <f t="shared" si="298"/>
      </c>
      <c r="N71" s="24">
        <f t="shared" si="317"/>
      </c>
      <c r="O71" s="25">
        <f t="shared" si="336"/>
      </c>
      <c r="P71" s="26">
        <f t="shared" si="21"/>
      </c>
      <c r="Q71" s="26">
        <f t="shared" si="40"/>
      </c>
      <c r="R71" s="26">
        <f t="shared" si="59"/>
      </c>
      <c r="S71" s="27">
        <f t="shared" si="78"/>
      </c>
      <c r="T71" s="28">
        <f t="shared" si="628"/>
      </c>
      <c r="U71" s="26">
        <f t="shared" si="666"/>
      </c>
      <c r="V71" s="29">
        <f t="shared" si="647"/>
      </c>
      <c r="W71" s="29">
        <f t="shared" si="685"/>
      </c>
      <c r="X71" s="26">
        <f t="shared" si="2"/>
      </c>
      <c r="Y71" s="30">
        <f t="shared" si="108"/>
      </c>
      <c r="Z71" s="30">
        <v>5</v>
      </c>
      <c r="AA71" s="30">
        <v>2</v>
      </c>
      <c r="AB71" s="31">
        <v>1767.960000000021</v>
      </c>
      <c r="AC71" s="31">
        <v>0</v>
      </c>
      <c r="AD71" s="27">
        <f t="shared" si="188"/>
      </c>
      <c r="AE71" s="32" t="s">
        <v>41</v>
      </c>
      <c r="AF71" s="33" t="s">
        <v>56</v>
      </c>
      <c r="AG71" s="34">
        <v>2</v>
      </c>
      <c r="AH71" s="35">
        <v>42994</v>
      </c>
      <c r="AI71" s="35">
        <v>720</v>
      </c>
      <c r="AJ71" s="35">
        <v>796</v>
      </c>
      <c r="AK71" s="36">
        <v>96</v>
      </c>
      <c r="AL71" s="36">
        <v>112</v>
      </c>
    </row>
    <row r="72">
      <c r="A72" s="15"/>
      <c r="B72" s="16" t="s">
        <v>68</v>
      </c>
      <c r="C72" s="52" t="s">
        <v>60</v>
      </c>
      <c r="D72" s="18">
        <f t="shared" si="366"/>
      </c>
      <c r="E72" s="17">
        <v>1230.57</v>
      </c>
      <c r="F72" s="49">
        <v>4785.06</v>
      </c>
      <c r="G72" s="20">
        <v>0</v>
      </c>
      <c r="H72" s="20">
        <v>0</v>
      </c>
      <c r="I72" s="50">
        <f t="shared" si="457"/>
      </c>
      <c r="J72" s="51">
        <v>0</v>
      </c>
      <c r="K72" s="22">
        <f t="shared" si="548"/>
      </c>
      <c r="L72" s="22">
        <f t="shared" si="218"/>
      </c>
      <c r="M72" s="23">
        <f t="shared" si="298"/>
      </c>
      <c r="N72" s="24">
        <f t="shared" si="317"/>
      </c>
      <c r="O72" s="25">
        <f t="shared" si="336"/>
      </c>
      <c r="P72" s="26">
        <f t="shared" si="21"/>
      </c>
      <c r="Q72" s="26">
        <f t="shared" si="40"/>
      </c>
      <c r="R72" s="26">
        <f t="shared" si="59"/>
      </c>
      <c r="S72" s="27">
        <f t="shared" si="78"/>
      </c>
      <c r="T72" s="28">
        <f t="shared" si="628"/>
      </c>
      <c r="U72" s="26">
        <f t="shared" si="666"/>
      </c>
      <c r="V72" s="29">
        <f t="shared" si="647"/>
      </c>
      <c r="W72" s="29">
        <f t="shared" si="685"/>
      </c>
      <c r="X72" s="26">
        <f t="shared" si="2"/>
      </c>
      <c r="Y72" s="30">
        <f t="shared" si="108"/>
      </c>
      <c r="Z72" s="30">
        <v>9</v>
      </c>
      <c r="AA72" s="30">
        <v>3</v>
      </c>
      <c r="AB72" s="31">
        <v>2858.75999999998</v>
      </c>
      <c r="AC72" s="31">
        <v>0</v>
      </c>
      <c r="AD72" s="27">
        <f t="shared" si="188"/>
      </c>
      <c r="AE72" s="32" t="s">
        <v>41</v>
      </c>
      <c r="AF72" s="33" t="s">
        <v>56</v>
      </c>
      <c r="AG72" s="36">
        <v>3</v>
      </c>
      <c r="AH72" s="35">
        <v>65769</v>
      </c>
      <c r="AI72" s="35">
        <v>985</v>
      </c>
      <c r="AJ72" s="35">
        <v>1168</v>
      </c>
      <c r="AK72" s="36">
        <v>144</v>
      </c>
      <c r="AL72" s="36">
        <v>176</v>
      </c>
    </row>
    <row r="73">
      <c r="A73" s="15"/>
      <c r="B73" s="16" t="s">
        <v>68</v>
      </c>
      <c r="C73" s="52" t="s">
        <v>61</v>
      </c>
      <c r="D73" s="18">
        <f t="shared" si="366"/>
      </c>
      <c r="E73" s="17">
        <v>971.72</v>
      </c>
      <c r="F73" s="49">
        <v>6610.14</v>
      </c>
      <c r="G73" s="20">
        <v>0</v>
      </c>
      <c r="H73" s="20">
        <v>0</v>
      </c>
      <c r="I73" s="50">
        <f t="shared" si="457"/>
      </c>
      <c r="J73" s="51">
        <v>0</v>
      </c>
      <c r="K73" s="22">
        <f t="shared" si="548"/>
      </c>
      <c r="L73" s="22">
        <f t="shared" si="218"/>
      </c>
      <c r="M73" s="23">
        <f t="shared" si="298"/>
      </c>
      <c r="N73" s="24">
        <f t="shared" si="317"/>
      </c>
      <c r="O73" s="25">
        <f t="shared" si="336"/>
      </c>
      <c r="P73" s="26">
        <f t="shared" si="21"/>
      </c>
      <c r="Q73" s="26">
        <f t="shared" si="40"/>
      </c>
      <c r="R73" s="26">
        <f t="shared" si="59"/>
      </c>
      <c r="S73" s="27">
        <f t="shared" si="78"/>
      </c>
      <c r="T73" s="28">
        <f t="shared" si="628"/>
      </c>
      <c r="U73" s="26">
        <f t="shared" si="666"/>
      </c>
      <c r="V73" s="29">
        <f t="shared" si="647"/>
      </c>
      <c r="W73" s="29">
        <f t="shared" si="685"/>
      </c>
      <c r="X73" s="26">
        <f t="shared" si="2"/>
      </c>
      <c r="Y73" s="30">
        <f t="shared" si="108"/>
      </c>
      <c r="Z73" s="30">
        <v>2</v>
      </c>
      <c r="AA73" s="30">
        <v>9</v>
      </c>
      <c r="AB73" s="31">
        <v>10849.680000000022</v>
      </c>
      <c r="AC73" s="31">
        <v>0</v>
      </c>
      <c r="AD73" s="27">
        <f t="shared" si="188"/>
      </c>
      <c r="AE73" s="32" t="s">
        <v>41</v>
      </c>
      <c r="AF73" s="33" t="s">
        <v>56</v>
      </c>
      <c r="AG73" s="34">
        <v>8</v>
      </c>
      <c r="AH73" s="35">
        <v>94051</v>
      </c>
      <c r="AI73" s="35">
        <v>1308</v>
      </c>
      <c r="AJ73" s="35">
        <v>1532</v>
      </c>
      <c r="AK73" s="36">
        <v>202</v>
      </c>
      <c r="AL73" s="34">
        <v>221</v>
      </c>
    </row>
    <row customHeight="true" ht="16.666666666666668" r="74">
      <c r="A74" s="15"/>
      <c r="B74" s="16" t="s">
        <v>68</v>
      </c>
      <c r="C74" s="52" t="s">
        <v>63</v>
      </c>
      <c r="D74" s="18">
        <f t="shared" si="366"/>
      </c>
      <c r="E74" s="17">
        <v>1746.63</v>
      </c>
      <c r="F74" s="49">
        <v>9322.38</v>
      </c>
      <c r="G74" s="20">
        <v>0</v>
      </c>
      <c r="H74" s="20">
        <v>0</v>
      </c>
      <c r="I74" s="50">
        <f t="shared" si="457"/>
      </c>
      <c r="J74" s="51">
        <v>2464.56</v>
      </c>
      <c r="K74" s="22">
        <f t="shared" si="548"/>
      </c>
      <c r="L74" s="22">
        <f t="shared" si="218"/>
      </c>
      <c r="M74" s="23">
        <f t="shared" si="298"/>
      </c>
      <c r="N74" s="24">
        <f t="shared" si="317"/>
      </c>
      <c r="O74" s="25">
        <f t="shared" si="336"/>
      </c>
      <c r="P74" s="26">
        <f t="shared" si="21"/>
      </c>
      <c r="Q74" s="26">
        <f t="shared" si="40"/>
      </c>
      <c r="R74" s="26">
        <f t="shared" si="59"/>
      </c>
      <c r="S74" s="27">
        <f t="shared" si="78"/>
      </c>
      <c r="T74" s="28">
        <f t="shared" si="628"/>
      </c>
      <c r="U74" s="26">
        <f t="shared" si="666"/>
      </c>
      <c r="V74" s="29">
        <f t="shared" si="647"/>
      </c>
      <c r="W74" s="29">
        <f t="shared" si="685"/>
      </c>
      <c r="X74" s="26">
        <f t="shared" si="2"/>
      </c>
      <c r="Y74" s="30">
        <f t="shared" si="108"/>
      </c>
      <c r="Z74" s="30">
        <v>10</v>
      </c>
      <c r="AA74" s="30">
        <f>7+1+1</f>
      </c>
      <c r="AB74" s="31">
        <f>12032.28+630.72+2464.56</f>
      </c>
      <c r="AC74" s="31">
        <v>0</v>
      </c>
      <c r="AD74" s="27">
        <f t="shared" si="188"/>
      </c>
      <c r="AE74" s="32" t="s">
        <v>41</v>
      </c>
      <c r="AF74" s="33" t="s">
        <v>56</v>
      </c>
      <c r="AG74" s="34">
        <v>6</v>
      </c>
      <c r="AH74" s="35">
        <v>152886</v>
      </c>
      <c r="AI74" s="35">
        <v>1854</v>
      </c>
      <c r="AJ74" s="35">
        <v>2003</v>
      </c>
      <c r="AK74" s="36">
        <v>276</v>
      </c>
      <c r="AL74" s="34">
        <v>289</v>
      </c>
    </row>
    <row r="75">
      <c r="A75" s="15"/>
      <c r="B75" s="38" t="s">
        <v>47</v>
      </c>
      <c r="C75" s="39">
        <v>5</v>
      </c>
      <c r="D75" s="40">
        <f>SUM(D70:D74)</f>
      </c>
      <c r="E75" s="40">
        <f>SUM(E70:E74)</f>
      </c>
      <c r="F75" s="40">
        <f>SUM(F70:F74)</f>
      </c>
      <c r="G75" s="40">
        <f>SUM(G70:G74)</f>
      </c>
      <c r="H75" s="40">
        <f>SUM(H70:H74)</f>
      </c>
      <c r="I75" s="40">
        <f>SUM(I70:I74)</f>
      </c>
      <c r="J75" s="40">
        <f>SUM(J70:J74)</f>
      </c>
      <c r="K75" s="40">
        <f>SUM(K70:K74)</f>
      </c>
      <c r="L75" s="40">
        <f>SUM(L70:L74)</f>
      </c>
      <c r="M75" s="41">
        <f t="shared" si="298"/>
      </c>
      <c r="N75" s="42">
        <f t="shared" si="317"/>
      </c>
      <c r="O75" s="42">
        <f t="shared" si="336"/>
      </c>
      <c r="P75" s="43">
        <f t="shared" si="21"/>
      </c>
      <c r="Q75" s="43">
        <f t="shared" si="40"/>
      </c>
      <c r="R75" s="43">
        <f t="shared" si="59"/>
      </c>
      <c r="S75" s="44">
        <f t="shared" si="78"/>
      </c>
      <c r="T75" s="44">
        <f t="shared" si="628"/>
      </c>
      <c r="U75" s="43">
        <f t="shared" si="666"/>
      </c>
      <c r="V75" s="44">
        <f t="shared" si="647"/>
      </c>
      <c r="W75" s="44">
        <f t="shared" si="685"/>
      </c>
      <c r="X75" s="43">
        <f t="shared" si="2"/>
      </c>
      <c r="Y75" s="40">
        <f>SUM(Y70:Y74)</f>
      </c>
      <c r="Z75" s="40">
        <f>SUM(Z70:Z74)</f>
      </c>
      <c r="AA75" s="40">
        <f>SUM(AA70:AA74)</f>
      </c>
      <c r="AB75" s="40">
        <f>SUM(AB70:AB74)</f>
      </c>
      <c r="AC75" s="40">
        <f>SUM(AC70:AC74)</f>
      </c>
      <c r="AD75" s="45">
        <f t="shared" si="188"/>
      </c>
      <c r="AE75" s="46"/>
      <c r="AF75" s="47"/>
      <c r="AG75" s="40">
        <f>SUM(AG70:AG74)</f>
      </c>
      <c r="AH75" s="40">
        <f>SUM(AH70:AH74)</f>
      </c>
      <c r="AI75" s="40">
        <f>SUM(AI70:AI74)</f>
      </c>
      <c r="AJ75" s="40">
        <f>SUM(AJ70:AJ74)</f>
      </c>
      <c r="AK75" s="40">
        <f>SUM(AK70:AK74)</f>
      </c>
      <c r="AL75" s="40">
        <f>SUM(AL70:AL74)</f>
      </c>
    </row>
    <row r="76">
      <c r="A76" s="15"/>
      <c r="B76" s="16" t="s">
        <v>57</v>
      </c>
      <c r="C76" s="17" t="s">
        <v>64</v>
      </c>
      <c r="D76" s="18">
        <f t="shared" ref="D76:D79" si="367">E76+F76+G76+H76</f>
      </c>
      <c r="E76" s="17">
        <v>1144.54</v>
      </c>
      <c r="F76" s="20">
        <v>7655.08</v>
      </c>
      <c r="G76" s="20">
        <v>0</v>
      </c>
      <c r="H76" s="20">
        <v>0</v>
      </c>
      <c r="I76" s="20">
        <f t="shared" ref="I76:I79" si="458">AB76+AC76</f>
      </c>
      <c r="J76" s="21">
        <v>0</v>
      </c>
      <c r="K76" s="22">
        <f t="shared" ref="K76:K79" si="549">I76-J76</f>
      </c>
      <c r="L76" s="22">
        <f t="shared" ref="L76:L79" si="219">(I76-AC76)/12+AC76</f>
      </c>
      <c r="M76" s="23">
        <f t="shared" si="298"/>
      </c>
      <c r="N76" s="24">
        <f t="shared" si="317"/>
      </c>
      <c r="O76" s="25">
        <f t="shared" si="336"/>
      </c>
      <c r="P76" s="26">
        <f t="shared" si="21"/>
      </c>
      <c r="Q76" s="26">
        <f t="shared" si="40"/>
      </c>
      <c r="R76" s="26">
        <f t="shared" si="59"/>
      </c>
      <c r="S76" s="27">
        <f t="shared" si="78"/>
      </c>
      <c r="T76" s="28">
        <f t="shared" si="628"/>
      </c>
      <c r="U76" s="26">
        <f t="shared" si="666"/>
      </c>
      <c r="V76" s="29">
        <f t="shared" si="647"/>
      </c>
      <c r="W76" s="29">
        <f t="shared" si="685"/>
      </c>
      <c r="X76" s="26">
        <f t="shared" si="2"/>
      </c>
      <c r="Y76" s="30">
        <f t="shared" ref="Y76:Y79" si="109">Z76+AA76</f>
      </c>
      <c r="Z76" s="30">
        <v>6</v>
      </c>
      <c r="AA76" s="30">
        <v>12</v>
      </c>
      <c r="AB76" s="31">
        <v>22202.75999999998</v>
      </c>
      <c r="AC76" s="31">
        <v>0</v>
      </c>
      <c r="AD76" s="27">
        <f t="shared" si="188"/>
      </c>
      <c r="AE76" s="32" t="s">
        <v>41</v>
      </c>
      <c r="AF76" s="33" t="s">
        <v>56</v>
      </c>
      <c r="AG76" s="34">
        <v>11</v>
      </c>
      <c r="AH76" s="35">
        <v>130592</v>
      </c>
      <c r="AI76" s="35">
        <v>1942</v>
      </c>
      <c r="AJ76" s="35">
        <v>2129</v>
      </c>
      <c r="AK76" s="36">
        <v>264</v>
      </c>
      <c r="AL76" s="36">
        <v>256</v>
      </c>
    </row>
    <row r="77">
      <c r="A77" s="15"/>
      <c r="B77" s="16" t="s">
        <v>57</v>
      </c>
      <c r="C77" s="52" t="s">
        <v>65</v>
      </c>
      <c r="D77" s="18">
        <f t="shared" si="367"/>
      </c>
      <c r="E77" s="17">
        <v>920.44</v>
      </c>
      <c r="F77" s="17">
        <v>10334.58</v>
      </c>
      <c r="G77" s="20">
        <v>0</v>
      </c>
      <c r="H77" s="20">
        <v>0</v>
      </c>
      <c r="I77" s="20">
        <f t="shared" si="458"/>
      </c>
      <c r="J77" s="21">
        <v>0</v>
      </c>
      <c r="K77" s="22">
        <f t="shared" si="549"/>
      </c>
      <c r="L77" s="22">
        <f t="shared" si="219"/>
      </c>
      <c r="M77" s="23">
        <f t="shared" si="298"/>
      </c>
      <c r="N77" s="24">
        <f t="shared" si="317"/>
      </c>
      <c r="O77" s="25">
        <f t="shared" si="336"/>
      </c>
      <c r="P77" s="26">
        <f t="shared" si="21"/>
      </c>
      <c r="Q77" s="26">
        <f t="shared" si="40"/>
      </c>
      <c r="R77" s="26">
        <f t="shared" si="59"/>
      </c>
      <c r="S77" s="27">
        <f t="shared" si="78"/>
      </c>
      <c r="T77" s="28">
        <f t="shared" si="628"/>
      </c>
      <c r="U77" s="26">
        <f t="shared" si="666"/>
      </c>
      <c r="V77" s="29">
        <f t="shared" si="647"/>
      </c>
      <c r="W77" s="29">
        <f t="shared" si="685"/>
      </c>
      <c r="X77" s="26">
        <f t="shared" si="2"/>
      </c>
      <c r="Y77" s="30">
        <f t="shared" si="109"/>
      </c>
      <c r="Z77" s="30">
        <v>3</v>
      </c>
      <c r="AA77" s="30">
        <v>6</v>
      </c>
      <c r="AB77" s="31">
        <v>7839.720000000001</v>
      </c>
      <c r="AC77" s="31">
        <v>0</v>
      </c>
      <c r="AD77" s="27">
        <f t="shared" si="188"/>
      </c>
      <c r="AE77" s="32" t="s">
        <v>41</v>
      </c>
      <c r="AF77" s="33" t="s">
        <v>56</v>
      </c>
      <c r="AG77" s="36">
        <v>5</v>
      </c>
      <c r="AH77" s="35">
        <v>164586</v>
      </c>
      <c r="AI77" s="35">
        <v>2599</v>
      </c>
      <c r="AJ77" s="35">
        <v>2852</v>
      </c>
      <c r="AK77" s="36">
        <v>283</v>
      </c>
      <c r="AL77" s="36">
        <v>304</v>
      </c>
    </row>
    <row r="78">
      <c r="A78" s="15"/>
      <c r="B78" s="16" t="s">
        <v>57</v>
      </c>
      <c r="C78" s="17" t="s">
        <v>66</v>
      </c>
      <c r="D78" s="18">
        <f t="shared" si="367"/>
      </c>
      <c r="E78" s="17">
        <v>1076.6</v>
      </c>
      <c r="F78" s="20">
        <v>4505.31</v>
      </c>
      <c r="G78" s="20">
        <v>0</v>
      </c>
      <c r="H78" s="20">
        <v>0</v>
      </c>
      <c r="I78" s="37">
        <f t="shared" si="458"/>
      </c>
      <c r="J78" s="21">
        <v>0</v>
      </c>
      <c r="K78" s="22">
        <f t="shared" si="549"/>
      </c>
      <c r="L78" s="22">
        <f t="shared" si="219"/>
      </c>
      <c r="M78" s="23">
        <f t="shared" si="298"/>
      </c>
      <c r="N78" s="24">
        <f t="shared" si="317"/>
      </c>
      <c r="O78" s="25">
        <f t="shared" si="336"/>
      </c>
      <c r="P78" s="26">
        <f t="shared" si="21"/>
      </c>
      <c r="Q78" s="26">
        <f t="shared" si="40"/>
      </c>
      <c r="R78" s="26">
        <f t="shared" si="59"/>
      </c>
      <c r="S78" s="27">
        <f t="shared" si="78"/>
      </c>
      <c r="T78" s="28">
        <f t="shared" si="628"/>
      </c>
      <c r="U78" s="26">
        <f t="shared" si="666"/>
      </c>
      <c r="V78" s="29">
        <f t="shared" si="647"/>
      </c>
      <c r="W78" s="29">
        <f t="shared" si="685"/>
      </c>
      <c r="X78" s="26">
        <f t="shared" si="2"/>
      </c>
      <c r="Y78" s="30">
        <f t="shared" si="109"/>
      </c>
      <c r="Z78" s="30">
        <v>13</v>
      </c>
      <c r="AA78" s="30">
        <v>5</v>
      </c>
      <c r="AB78" s="31">
        <v>8638.88</v>
      </c>
      <c r="AC78" s="31">
        <v>626</v>
      </c>
      <c r="AD78" s="27">
        <f t="shared" si="188"/>
      </c>
      <c r="AE78" s="32" t="s">
        <v>41</v>
      </c>
      <c r="AF78" s="33" t="s">
        <v>56</v>
      </c>
      <c r="AG78" s="34">
        <v>4</v>
      </c>
      <c r="AH78" s="35">
        <v>90565</v>
      </c>
      <c r="AI78" s="35">
        <v>1881</v>
      </c>
      <c r="AJ78" s="35">
        <v>2154</v>
      </c>
      <c r="AK78" s="36">
        <v>186</v>
      </c>
      <c r="AL78" s="36">
        <v>209</v>
      </c>
    </row>
    <row r="79">
      <c r="A79" s="15"/>
      <c r="B79" s="16" t="s">
        <v>57</v>
      </c>
      <c r="C79" s="17" t="s">
        <v>67</v>
      </c>
      <c r="D79" s="18">
        <f t="shared" si="367"/>
      </c>
      <c r="E79" s="19">
        <v>294.33</v>
      </c>
      <c r="F79" s="20">
        <v>2277.03</v>
      </c>
      <c r="G79" s="20">
        <v>0</v>
      </c>
      <c r="H79" s="20">
        <v>0</v>
      </c>
      <c r="I79" s="20">
        <f t="shared" si="458"/>
      </c>
      <c r="J79" s="21">
        <v>453.6</v>
      </c>
      <c r="K79" s="22">
        <f t="shared" si="549"/>
      </c>
      <c r="L79" s="22">
        <f t="shared" si="219"/>
      </c>
      <c r="M79" s="23">
        <f t="shared" si="298"/>
      </c>
      <c r="N79" s="24">
        <f t="shared" si="317"/>
      </c>
      <c r="O79" s="25">
        <f t="shared" si="336"/>
      </c>
      <c r="P79" s="26">
        <f t="shared" si="21"/>
      </c>
      <c r="Q79" s="26">
        <f t="shared" si="40"/>
      </c>
      <c r="R79" s="26">
        <f t="shared" si="59"/>
      </c>
      <c r="S79" s="27">
        <f t="shared" si="78"/>
      </c>
      <c r="T79" s="28">
        <f t="shared" si="628"/>
      </c>
      <c r="U79" s="26">
        <f t="shared" si="666"/>
      </c>
      <c r="V79" s="29">
        <f t="shared" si="647"/>
      </c>
      <c r="W79" s="29">
        <f t="shared" si="685"/>
      </c>
      <c r="X79" s="26">
        <f t="shared" si="2"/>
      </c>
      <c r="Y79" s="30">
        <f t="shared" si="109"/>
      </c>
      <c r="Z79" s="30">
        <v>2</v>
      </c>
      <c r="AA79" s="30">
        <v>3</v>
      </c>
      <c r="AB79" s="31">
        <v>4095.880000000001</v>
      </c>
      <c r="AC79" s="31">
        <v>0</v>
      </c>
      <c r="AD79" s="27">
        <f t="shared" si="188"/>
      </c>
      <c r="AE79" s="32" t="s">
        <v>41</v>
      </c>
      <c r="AF79" s="33" t="s">
        <v>56</v>
      </c>
      <c r="AG79" s="34">
        <v>2</v>
      </c>
      <c r="AH79" s="35">
        <v>37196</v>
      </c>
      <c r="AI79" s="35">
        <v>846</v>
      </c>
      <c r="AJ79" s="35">
        <v>971</v>
      </c>
      <c r="AK79" s="34">
        <v>115</v>
      </c>
      <c r="AL79" s="34">
        <v>98</v>
      </c>
    </row>
    <row r="80">
      <c r="A80" s="15"/>
      <c r="B80" s="38" t="s">
        <v>47</v>
      </c>
      <c r="C80" s="39">
        <v>4</v>
      </c>
      <c r="D80" s="40">
        <f>SUM(D76:D79)</f>
      </c>
      <c r="E80" s="40">
        <f>SUM(E76:E79)</f>
      </c>
      <c r="F80" s="40">
        <f>SUM(F76:F79)</f>
      </c>
      <c r="G80" s="40">
        <f>SUM(G76:G79)</f>
      </c>
      <c r="H80" s="40">
        <f>SUM(H76:H79)</f>
      </c>
      <c r="I80" s="40">
        <f>SUM(I76:I79)</f>
      </c>
      <c r="J80" s="40">
        <f>SUM(J76:J79)</f>
      </c>
      <c r="K80" s="40">
        <f>SUM(K76:K79)</f>
      </c>
      <c r="L80" s="40">
        <f>SUM(L76:L79)</f>
      </c>
      <c r="M80" s="41">
        <f t="shared" si="298"/>
      </c>
      <c r="N80" s="42">
        <f t="shared" si="317"/>
      </c>
      <c r="O80" s="42">
        <f t="shared" si="336"/>
      </c>
      <c r="P80" s="43">
        <f t="shared" si="21"/>
      </c>
      <c r="Q80" s="43">
        <f t="shared" si="40"/>
      </c>
      <c r="R80" s="43">
        <f t="shared" si="59"/>
      </c>
      <c r="S80" s="44">
        <f t="shared" si="78"/>
      </c>
      <c r="T80" s="44">
        <f t="shared" si="628"/>
      </c>
      <c r="U80" s="43">
        <f t="shared" si="666"/>
      </c>
      <c r="V80" s="44">
        <f t="shared" si="647"/>
      </c>
      <c r="W80" s="44">
        <f t="shared" si="685"/>
      </c>
      <c r="X80" s="43">
        <f t="shared" si="2"/>
      </c>
      <c r="Y80" s="40">
        <f>SUM(Y76:Y79)</f>
      </c>
      <c r="Z80" s="40">
        <f>SUM(Z76:Z79)</f>
      </c>
      <c r="AA80" s="40">
        <f>SUM(AA76:AA79)</f>
      </c>
      <c r="AB80" s="40">
        <f>SUM(AB76:AB79)</f>
      </c>
      <c r="AC80" s="40">
        <f>SUM(AC76:AC79)</f>
      </c>
      <c r="AD80" s="59">
        <f t="shared" si="188"/>
      </c>
      <c r="AE80" s="46"/>
      <c r="AF80" s="47"/>
      <c r="AG80" s="40">
        <f>SUM(AG76:AG79)</f>
      </c>
      <c r="AH80" s="40">
        <f>SUM(AH76:AH79)</f>
      </c>
      <c r="AI80" s="40">
        <f>SUM(AI76:AI79)</f>
      </c>
      <c r="AJ80" s="40">
        <f>SUM(AJ76:AJ79)</f>
      </c>
      <c r="AK80" s="40">
        <f>SUM(AK76:AK79)</f>
      </c>
      <c r="AL80" s="40">
        <f>SUM(AL76:AL79)</f>
      </c>
    </row>
    <row r="81">
      <c r="A81" s="15"/>
      <c r="B81" s="60" t="s">
        <v>47</v>
      </c>
      <c r="C81" s="61">
        <f>C61+C66+C69+C75+C80</f>
      </c>
      <c r="D81" s="62">
        <f>D61+D66+D69+D75+D80</f>
      </c>
      <c r="E81" s="61">
        <f>E61+E66+E69+E75+E80</f>
      </c>
      <c r="F81" s="61">
        <f>F61+F66+F69+F75+F80</f>
      </c>
      <c r="G81" s="61">
        <f>G61+G66+G69+G75+G80</f>
      </c>
      <c r="H81" s="61">
        <f>H61+H66+H69+H75+H80</f>
      </c>
      <c r="I81" s="62">
        <f>I61+I66+I69+I75+I80</f>
      </c>
      <c r="J81" s="61">
        <f>J61+J66+J69+J75+J80</f>
      </c>
      <c r="K81" s="61">
        <f>K61+K66+K69+K75+K80</f>
      </c>
      <c r="L81" s="61">
        <f>L61+L66+L69+L75+L80</f>
      </c>
      <c r="M81" s="63">
        <f t="shared" si="298"/>
      </c>
      <c r="N81" s="63">
        <f t="shared" si="317"/>
      </c>
      <c r="O81" s="63">
        <f t="shared" si="336"/>
      </c>
      <c r="P81" s="63">
        <f t="shared" si="21"/>
      </c>
      <c r="Q81" s="63">
        <f t="shared" si="40"/>
      </c>
      <c r="R81" s="63">
        <f t="shared" si="59"/>
      </c>
      <c r="S81" s="64">
        <f t="shared" si="78"/>
      </c>
      <c r="T81" s="64">
        <f t="shared" si="628"/>
      </c>
      <c r="U81" s="63">
        <f t="shared" si="666"/>
      </c>
      <c r="V81" s="64">
        <f t="shared" si="647"/>
      </c>
      <c r="W81" s="64">
        <f t="shared" si="685"/>
      </c>
      <c r="X81" s="63">
        <f t="shared" si="2"/>
      </c>
      <c r="Y81" s="61">
        <f>Y61+Y66+Y69+Y75+Y80</f>
      </c>
      <c r="Z81" s="61">
        <f>Z61+Z66+Z69+Z75+Z80</f>
      </c>
      <c r="AA81" s="61">
        <f>AA61+AA66+AA69+AA75+AA80</f>
      </c>
      <c r="AB81" s="61">
        <f>AB61+AB66+AB69+AB75+AB80</f>
      </c>
      <c r="AC81" s="65">
        <f>AC61+AC66+AC69+AC75+AC80</f>
      </c>
      <c r="AD81" s="66">
        <f t="shared" si="188"/>
      </c>
      <c r="AE81" s="67"/>
      <c r="AF81" s="60"/>
      <c r="AG81" s="61">
        <f>AG61+AG66+AG69+AG75+AG80</f>
      </c>
      <c r="AH81" s="61">
        <f>AH61+AH66+AH69+AH75+AH80</f>
      </c>
      <c r="AI81" s="61">
        <f>AI61+AI66+AI69+AI75+AI80</f>
      </c>
      <c r="AJ81" s="61">
        <f>AJ61+AJ66+AJ69+AJ75+AJ80</f>
      </c>
      <c r="AK81" s="61">
        <f>AK61+AK66+AK69+AK75+AK80</f>
      </c>
      <c r="AL81" s="61">
        <f>AL61+AL66+AL69+AL75+AL80</f>
      </c>
    </row>
    <row r="82">
      <c r="A82" s="1" t="s">
        <v>1</v>
      </c>
      <c r="B82" s="2" t="s">
        <v>2</v>
      </c>
      <c r="C82" s="2" t="s">
        <v>3</v>
      </c>
      <c r="D82" s="3" t="s">
        <v>4</v>
      </c>
      <c r="E82" s="2" t="s">
        <v>5</v>
      </c>
      <c r="F82" s="2" t="s">
        <v>6</v>
      </c>
      <c r="G82" s="4" t="s">
        <v>7</v>
      </c>
      <c r="H82" s="4" t="s">
        <v>8</v>
      </c>
      <c r="I82" s="3" t="s">
        <v>9</v>
      </c>
      <c r="J82" s="5" t="s">
        <v>10</v>
      </c>
      <c r="K82" s="6" t="s">
        <v>11</v>
      </c>
      <c r="L82" s="6" t="s">
        <v>12</v>
      </c>
      <c r="M82" s="7" t="s">
        <v>13</v>
      </c>
      <c r="N82" s="6" t="s">
        <v>14</v>
      </c>
      <c r="O82" s="2" t="s">
        <v>15</v>
      </c>
      <c r="P82" s="7" t="s">
        <v>16</v>
      </c>
      <c r="Q82" s="8" t="s">
        <v>17</v>
      </c>
      <c r="R82" s="8" t="s">
        <v>18</v>
      </c>
      <c r="S82" s="3" t="s">
        <v>19</v>
      </c>
      <c r="T82" s="9" t="s">
        <v>20</v>
      </c>
      <c r="U82" s="7" t="s">
        <v>21</v>
      </c>
      <c r="V82" s="10" t="s">
        <v>22</v>
      </c>
      <c r="W82" s="11" t="s">
        <v>23</v>
      </c>
      <c r="X82" s="7" t="s">
        <v>24</v>
      </c>
      <c r="Y82" s="12" t="s">
        <v>25</v>
      </c>
      <c r="Z82" s="13" t="s">
        <v>26</v>
      </c>
      <c r="AA82" s="12" t="s">
        <v>27</v>
      </c>
      <c r="AB82" s="14" t="s">
        <v>28</v>
      </c>
      <c r="AC82" s="14" t="s">
        <v>29</v>
      </c>
      <c r="AD82" s="6" t="s">
        <v>30</v>
      </c>
      <c r="AE82" s="5" t="s">
        <v>31</v>
      </c>
      <c r="AF82" s="6" t="s">
        <v>32</v>
      </c>
      <c r="AG82" s="5" t="s">
        <v>33</v>
      </c>
      <c r="AH82" s="5" t="s">
        <v>34</v>
      </c>
      <c r="AI82" s="6" t="s">
        <v>35</v>
      </c>
      <c r="AJ82" s="5" t="s">
        <v>36</v>
      </c>
      <c r="AK82" s="6" t="s">
        <v>37</v>
      </c>
      <c r="AL82" s="5" t="s">
        <v>38</v>
      </c>
    </row>
    <row r="83">
      <c r="A83" s="15">
        <v>46299</v>
      </c>
      <c r="B83" s="16" t="s">
        <v>68</v>
      </c>
      <c r="C83" s="17" t="s">
        <v>40</v>
      </c>
      <c r="D83" s="18">
        <f t="shared" ref="D83:D87" si="368">E83+F83+G83+H83</f>
      </c>
      <c r="E83" s="19">
        <v>933.81</v>
      </c>
      <c r="F83" s="20">
        <v>7318.88</v>
      </c>
      <c r="G83" s="20">
        <v>0</v>
      </c>
      <c r="H83" s="20">
        <v>0</v>
      </c>
      <c r="I83" s="20">
        <f t="shared" ref="I83:I87" si="459">AB83+AC83</f>
      </c>
      <c r="J83" s="21">
        <v>1480.68</v>
      </c>
      <c r="K83" s="22">
        <f t="shared" ref="K83:K87" si="550">I83-J83</f>
      </c>
      <c r="L83" s="22">
        <f t="shared" ref="L83:L87" si="220">(I83-AC83)/12+AC83</f>
      </c>
      <c r="M83" s="23">
        <f t="shared" ref="M83:M108" si="299">I83/D83</f>
      </c>
      <c r="N83" s="24">
        <f t="shared" ref="N83:N108" si="318">(I83-J83)/D83</f>
      </c>
      <c r="O83" s="25">
        <f t="shared" ref="O83:O108" si="337">(AC83+AB83/12)/D83</f>
      </c>
      <c r="P83" s="26">
        <f t="shared" ref="P83:P108" si="22">I83/AA83</f>
      </c>
      <c r="Q83" s="26">
        <f t="shared" ref="Q83:Q108" si="41">D83/AA83</f>
      </c>
      <c r="R83" s="26">
        <f t="shared" ref="R83:R108" si="60">D83/AG83</f>
      </c>
      <c r="S83" s="27">
        <f t="shared" ref="S83:S108" si="79">AA83/Y83</f>
      </c>
      <c r="T83" s="28">
        <f t="shared" ref="T83:T108" si="629">AI83/AH83</f>
      </c>
      <c r="U83" s="26">
        <f t="shared" ref="U83:U108" si="667">D83/AJ83</f>
      </c>
      <c r="V83" s="29">
        <f t="shared" ref="V83:V108" si="648">AK83/AJ83</f>
      </c>
      <c r="W83" s="29">
        <f t="shared" ref="W83:W108" si="686">AL83/AJ83</f>
      </c>
      <c r="X83" s="26">
        <f t="shared" ref="X83:X108" si="3">D83/AL83</f>
      </c>
      <c r="Y83" s="30">
        <f t="shared" ref="Y83:Y87" si="110">Z83+AA83</f>
      </c>
      <c r="Z83" s="30">
        <v>4</v>
      </c>
      <c r="AA83" s="30">
        <v>4</v>
      </c>
      <c r="AB83" s="31">
        <v>5475.6</v>
      </c>
      <c r="AC83" s="31">
        <v>0</v>
      </c>
      <c r="AD83" s="27">
        <f t="shared" ref="AD83:AD108" si="189">AC83/I83</f>
      </c>
      <c r="AE83" s="32" t="s">
        <v>41</v>
      </c>
      <c r="AF83" s="33" t="s">
        <v>42</v>
      </c>
      <c r="AG83" s="34">
        <v>3</v>
      </c>
      <c r="AH83" s="34">
        <v>91783</v>
      </c>
      <c r="AI83" s="35">
        <v>2677</v>
      </c>
      <c r="AJ83" s="35">
        <v>2998</v>
      </c>
      <c r="AK83" s="34">
        <v>278</v>
      </c>
      <c r="AL83" s="36">
        <v>278</v>
      </c>
    </row>
    <row r="84">
      <c r="A84" s="15"/>
      <c r="B84" s="16" t="s">
        <v>68</v>
      </c>
      <c r="C84" s="17" t="s">
        <v>43</v>
      </c>
      <c r="D84" s="18">
        <f t="shared" si="368"/>
      </c>
      <c r="E84" s="17">
        <v>1205.45</v>
      </c>
      <c r="F84" s="20">
        <v>8000.35</v>
      </c>
      <c r="G84" s="20">
        <v>0</v>
      </c>
      <c r="H84" s="20">
        <v>0</v>
      </c>
      <c r="I84" s="20">
        <f t="shared" si="459"/>
      </c>
      <c r="J84" s="21">
        <v>3881.52</v>
      </c>
      <c r="K84" s="22">
        <f t="shared" si="550"/>
      </c>
      <c r="L84" s="22">
        <f t="shared" si="220"/>
      </c>
      <c r="M84" s="23">
        <f t="shared" si="299"/>
      </c>
      <c r="N84" s="24">
        <f t="shared" si="318"/>
      </c>
      <c r="O84" s="25">
        <f t="shared" si="337"/>
      </c>
      <c r="P84" s="26">
        <f t="shared" si="22"/>
      </c>
      <c r="Q84" s="26">
        <f t="shared" si="41"/>
      </c>
      <c r="R84" s="26">
        <f t="shared" si="60"/>
      </c>
      <c r="S84" s="27">
        <f t="shared" si="79"/>
      </c>
      <c r="T84" s="28">
        <f t="shared" si="629"/>
      </c>
      <c r="U84" s="26">
        <f t="shared" si="667"/>
      </c>
      <c r="V84" s="29">
        <f t="shared" si="648"/>
      </c>
      <c r="W84" s="29">
        <f t="shared" si="686"/>
      </c>
      <c r="X84" s="26">
        <f t="shared" si="3"/>
      </c>
      <c r="Y84" s="30">
        <f t="shared" si="110"/>
      </c>
      <c r="Z84" s="30">
        <v>8</v>
      </c>
      <c r="AA84" s="30">
        <v>12</v>
      </c>
      <c r="AB84" s="31">
        <v>17476.08</v>
      </c>
      <c r="AC84" s="31">
        <v>0</v>
      </c>
      <c r="AD84" s="27">
        <f t="shared" si="189"/>
      </c>
      <c r="AE84" s="32" t="s">
        <v>41</v>
      </c>
      <c r="AF84" s="33" t="s">
        <v>42</v>
      </c>
      <c r="AG84" s="34">
        <v>10</v>
      </c>
      <c r="AH84" s="35">
        <v>103407</v>
      </c>
      <c r="AI84" s="35">
        <v>2931</v>
      </c>
      <c r="AJ84" s="35">
        <v>3273</v>
      </c>
      <c r="AK84" s="36">
        <v>322</v>
      </c>
      <c r="AL84" s="36">
        <v>296</v>
      </c>
    </row>
    <row r="85">
      <c r="A85" s="15"/>
      <c r="B85" s="16" t="s">
        <v>68</v>
      </c>
      <c r="C85" s="17" t="s">
        <v>44</v>
      </c>
      <c r="D85" s="18">
        <f t="shared" si="368"/>
      </c>
      <c r="E85" s="17">
        <v>1121.84</v>
      </c>
      <c r="F85" s="20">
        <v>7334.43</v>
      </c>
      <c r="G85" s="20">
        <v>0</v>
      </c>
      <c r="H85" s="20">
        <v>0</v>
      </c>
      <c r="I85" s="20">
        <f t="shared" si="459"/>
      </c>
      <c r="J85" s="21">
        <f>502.2+2036.88+3110.4+2438.64+1434.24</f>
      </c>
      <c r="K85" s="22">
        <f t="shared" si="550"/>
      </c>
      <c r="L85" s="22">
        <f t="shared" si="220"/>
      </c>
      <c r="M85" s="23">
        <f t="shared" si="299"/>
      </c>
      <c r="N85" s="24">
        <f t="shared" si="318"/>
      </c>
      <c r="O85" s="25">
        <f t="shared" si="337"/>
      </c>
      <c r="P85" s="26">
        <f t="shared" si="22"/>
      </c>
      <c r="Q85" s="26">
        <f t="shared" si="41"/>
      </c>
      <c r="R85" s="26">
        <f t="shared" si="60"/>
      </c>
      <c r="S85" s="27">
        <f t="shared" si="79"/>
      </c>
      <c r="T85" s="28">
        <f t="shared" si="629"/>
      </c>
      <c r="U85" s="26">
        <f t="shared" si="667"/>
      </c>
      <c r="V85" s="29">
        <f t="shared" si="648"/>
      </c>
      <c r="W85" s="29">
        <f t="shared" si="686"/>
      </c>
      <c r="X85" s="26">
        <f t="shared" si="3"/>
      </c>
      <c r="Y85" s="30">
        <f t="shared" si="110"/>
      </c>
      <c r="Z85" s="30">
        <v>5</v>
      </c>
      <c r="AA85" s="30">
        <v>12</v>
      </c>
      <c r="AB85" s="31">
        <v>22327.199999999997</v>
      </c>
      <c r="AC85" s="31">
        <v>0</v>
      </c>
      <c r="AD85" s="27">
        <f t="shared" si="189"/>
      </c>
      <c r="AE85" s="32" t="s">
        <v>41</v>
      </c>
      <c r="AF85" s="33" t="s">
        <v>42</v>
      </c>
      <c r="AG85" s="36">
        <v>12</v>
      </c>
      <c r="AH85" s="35">
        <v>90823</v>
      </c>
      <c r="AI85" s="35">
        <v>1656</v>
      </c>
      <c r="AJ85" s="35">
        <v>1867</v>
      </c>
      <c r="AK85" s="36">
        <v>212</v>
      </c>
      <c r="AL85" s="36">
        <v>253</v>
      </c>
    </row>
    <row r="86">
      <c r="A86" s="15"/>
      <c r="B86" s="16" t="s">
        <v>68</v>
      </c>
      <c r="C86" s="17" t="s">
        <v>45</v>
      </c>
      <c r="D86" s="18">
        <f t="shared" si="368"/>
      </c>
      <c r="E86" s="17">
        <v>1226.48</v>
      </c>
      <c r="F86" s="20">
        <v>10011.16</v>
      </c>
      <c r="G86" s="20">
        <v>0</v>
      </c>
      <c r="H86" s="20">
        <v>0</v>
      </c>
      <c r="I86" s="37">
        <f t="shared" si="459"/>
      </c>
      <c r="J86" s="21">
        <v>0</v>
      </c>
      <c r="K86" s="22">
        <f t="shared" si="550"/>
      </c>
      <c r="L86" s="22">
        <f t="shared" si="220"/>
      </c>
      <c r="M86" s="23">
        <f t="shared" si="299"/>
      </c>
      <c r="N86" s="24">
        <f t="shared" si="318"/>
      </c>
      <c r="O86" s="25">
        <f t="shared" si="337"/>
      </c>
      <c r="P86" s="26">
        <f t="shared" si="22"/>
      </c>
      <c r="Q86" s="26">
        <f t="shared" si="41"/>
      </c>
      <c r="R86" s="26">
        <f t="shared" si="60"/>
      </c>
      <c r="S86" s="27">
        <f t="shared" si="79"/>
      </c>
      <c r="T86" s="28">
        <f t="shared" si="629"/>
      </c>
      <c r="U86" s="26">
        <f t="shared" si="667"/>
      </c>
      <c r="V86" s="29">
        <f t="shared" si="648"/>
      </c>
      <c r="W86" s="29">
        <f t="shared" si="686"/>
      </c>
      <c r="X86" s="26">
        <f t="shared" si="3"/>
      </c>
      <c r="Y86" s="30">
        <f t="shared" si="110"/>
      </c>
      <c r="Z86" s="30">
        <v>3</v>
      </c>
      <c r="AA86" s="30">
        <v>12</v>
      </c>
      <c r="AB86" s="31">
        <v>22157.280000000006</v>
      </c>
      <c r="AC86" s="31">
        <v>0</v>
      </c>
      <c r="AD86" s="27">
        <f t="shared" si="189"/>
      </c>
      <c r="AE86" s="32" t="s">
        <v>41</v>
      </c>
      <c r="AF86" s="33" t="s">
        <v>42</v>
      </c>
      <c r="AG86" s="34">
        <v>9</v>
      </c>
      <c r="AH86" s="35">
        <v>125529</v>
      </c>
      <c r="AI86" s="35">
        <v>1539</v>
      </c>
      <c r="AJ86" s="35">
        <v>1685</v>
      </c>
      <c r="AK86" s="36">
        <v>262</v>
      </c>
      <c r="AL86" s="36">
        <v>284</v>
      </c>
    </row>
    <row r="87">
      <c r="A87" s="15"/>
      <c r="B87" s="16" t="s">
        <v>68</v>
      </c>
      <c r="C87" s="17" t="s">
        <v>46</v>
      </c>
      <c r="D87" s="18">
        <f t="shared" si="368"/>
      </c>
      <c r="E87" s="17">
        <v>1098.86</v>
      </c>
      <c r="F87" s="20">
        <v>10731.93</v>
      </c>
      <c r="G87" s="20">
        <v>0</v>
      </c>
      <c r="H87" s="20">
        <v>0</v>
      </c>
      <c r="I87" s="20">
        <f t="shared" si="459"/>
      </c>
      <c r="J87" s="21">
        <f>716.04+696.6+1622.16</f>
      </c>
      <c r="K87" s="22">
        <f t="shared" si="550"/>
      </c>
      <c r="L87" s="22">
        <f t="shared" si="220"/>
      </c>
      <c r="M87" s="23">
        <f t="shared" si="299"/>
      </c>
      <c r="N87" s="24">
        <f t="shared" si="318"/>
      </c>
      <c r="O87" s="25">
        <f t="shared" si="337"/>
      </c>
      <c r="P87" s="26">
        <f t="shared" si="22"/>
      </c>
      <c r="Q87" s="26">
        <f t="shared" si="41"/>
      </c>
      <c r="R87" s="26">
        <f t="shared" si="60"/>
      </c>
      <c r="S87" s="27">
        <f t="shared" si="79"/>
      </c>
      <c r="T87" s="28">
        <f t="shared" si="629"/>
      </c>
      <c r="U87" s="26">
        <f t="shared" si="667"/>
      </c>
      <c r="V87" s="29">
        <f t="shared" si="648"/>
      </c>
      <c r="W87" s="29">
        <f t="shared" si="686"/>
      </c>
      <c r="X87" s="26">
        <f t="shared" si="3"/>
      </c>
      <c r="Y87" s="30">
        <f t="shared" si="110"/>
      </c>
      <c r="Z87" s="30">
        <v>3</v>
      </c>
      <c r="AA87" s="30">
        <v>10</v>
      </c>
      <c r="AB87" s="31">
        <f>10915.56+2036.88+3048.84+1622.16</f>
      </c>
      <c r="AC87" s="31">
        <v>506</v>
      </c>
      <c r="AD87" s="27">
        <f t="shared" si="189"/>
      </c>
      <c r="AE87" s="32" t="s">
        <v>41</v>
      </c>
      <c r="AF87" s="33" t="s">
        <v>42</v>
      </c>
      <c r="AG87" s="34">
        <v>7</v>
      </c>
      <c r="AH87" s="35">
        <v>165525</v>
      </c>
      <c r="AI87" s="35">
        <v>1652</v>
      </c>
      <c r="AJ87" s="35">
        <v>1780</v>
      </c>
      <c r="AK87" s="34">
        <v>258</v>
      </c>
      <c r="AL87" s="34">
        <v>309</v>
      </c>
    </row>
    <row r="88">
      <c r="A88" s="15"/>
      <c r="B88" s="38" t="s">
        <v>47</v>
      </c>
      <c r="C88" s="39">
        <v>5</v>
      </c>
      <c r="D88" s="40">
        <f>SUM(D83:D87)</f>
      </c>
      <c r="E88" s="40">
        <f>SUM(E83:E87)</f>
      </c>
      <c r="F88" s="40">
        <f>SUM(F83:F87)</f>
      </c>
      <c r="G88" s="40">
        <f>SUM(G83:G87)</f>
      </c>
      <c r="H88" s="40">
        <f>SUM(H83:H87)</f>
      </c>
      <c r="I88" s="40">
        <f>SUM(I83:I87)</f>
      </c>
      <c r="J88" s="40">
        <f>SUM(J83:J87)</f>
      </c>
      <c r="K88" s="40">
        <f>SUM(K83:K87)</f>
      </c>
      <c r="L88" s="40">
        <f>SUM(L83:L87)</f>
      </c>
      <c r="M88" s="41">
        <f t="shared" si="299"/>
      </c>
      <c r="N88" s="42">
        <f t="shared" si="318"/>
      </c>
      <c r="O88" s="42">
        <f t="shared" si="337"/>
      </c>
      <c r="P88" s="43">
        <f t="shared" si="22"/>
      </c>
      <c r="Q88" s="43">
        <f t="shared" si="41"/>
      </c>
      <c r="R88" s="43">
        <f t="shared" si="60"/>
      </c>
      <c r="S88" s="44">
        <f t="shared" si="79"/>
      </c>
      <c r="T88" s="44">
        <f t="shared" si="629"/>
      </c>
      <c r="U88" s="43">
        <f t="shared" si="667"/>
      </c>
      <c r="V88" s="44">
        <f t="shared" si="648"/>
      </c>
      <c r="W88" s="44">
        <f t="shared" si="686"/>
      </c>
      <c r="X88" s="43">
        <f t="shared" si="3"/>
      </c>
      <c r="Y88" s="40">
        <f>SUM(Y83:Y87)</f>
      </c>
      <c r="Z88" s="40">
        <f>SUM(Z83:Z87)</f>
      </c>
      <c r="AA88" s="40">
        <f>SUM(AA83:AA87)</f>
      </c>
      <c r="AB88" s="40">
        <f>SUM(AB83:AB87)</f>
      </c>
      <c r="AC88" s="40">
        <f>SUM(AC83:AC87)</f>
      </c>
      <c r="AD88" s="45">
        <f t="shared" si="189"/>
      </c>
      <c r="AE88" s="46"/>
      <c r="AF88" s="47"/>
      <c r="AG88" s="40">
        <f>SUM(AG83:AG87)</f>
      </c>
      <c r="AH88" s="40">
        <f>SUM(AH83:AH87)</f>
      </c>
      <c r="AI88" s="40">
        <f>SUM(AI83:AI87)</f>
      </c>
      <c r="AJ88" s="40">
        <f>SUM(AJ83:AJ87)</f>
      </c>
      <c r="AK88" s="40">
        <f>SUM(AK83:AK87)</f>
      </c>
      <c r="AL88" s="40">
        <f>SUM(AL83:AL87)</f>
      </c>
    </row>
    <row r="89">
      <c r="A89" s="15"/>
      <c r="B89" s="16" t="s">
        <v>39</v>
      </c>
      <c r="C89" s="17" t="s">
        <v>49</v>
      </c>
      <c r="D89" s="18">
        <f t="shared" ref="D89:D93" si="369">E89+F89+G89+H89</f>
      </c>
      <c r="E89" s="19">
        <v>1004.16</v>
      </c>
      <c r="F89" s="20">
        <v>8188.38</v>
      </c>
      <c r="G89" s="20">
        <v>0</v>
      </c>
      <c r="H89" s="20">
        <v>0</v>
      </c>
      <c r="I89" s="20">
        <f t="shared" ref="I89:I93" si="460">AB89+AC89</f>
      </c>
      <c r="J89" s="21">
        <f>4116.96+2603.88</f>
      </c>
      <c r="K89" s="22">
        <f t="shared" ref="K89:K93" si="551">I89-J89</f>
      </c>
      <c r="L89" s="22">
        <f t="shared" ref="L89:L93" si="221">(I89-AC89)/12+AC89</f>
      </c>
      <c r="M89" s="23">
        <f t="shared" si="299"/>
      </c>
      <c r="N89" s="24">
        <f t="shared" si="318"/>
      </c>
      <c r="O89" s="25">
        <f t="shared" si="337"/>
      </c>
      <c r="P89" s="26">
        <f t="shared" si="22"/>
      </c>
      <c r="Q89" s="26">
        <f t="shared" si="41"/>
      </c>
      <c r="R89" s="26">
        <f t="shared" si="60"/>
      </c>
      <c r="S89" s="27">
        <f t="shared" si="79"/>
      </c>
      <c r="T89" s="28">
        <f t="shared" si="629"/>
      </c>
      <c r="U89" s="26">
        <f t="shared" si="667"/>
      </c>
      <c r="V89" s="29">
        <f t="shared" si="648"/>
      </c>
      <c r="W89" s="29">
        <f t="shared" si="686"/>
      </c>
      <c r="X89" s="26">
        <f t="shared" si="3"/>
      </c>
      <c r="Y89" s="30">
        <f t="shared" ref="Y89:Y93" si="111">Z89+AA89</f>
      </c>
      <c r="Z89" s="30">
        <v>5</v>
      </c>
      <c r="AA89" s="30">
        <v>4</v>
      </c>
      <c r="AB89" s="31">
        <v>12241.800000000003</v>
      </c>
      <c r="AC89" s="31">
        <v>0</v>
      </c>
      <c r="AD89" s="27">
        <f t="shared" si="189"/>
      </c>
      <c r="AE89" s="32" t="s">
        <v>41</v>
      </c>
      <c r="AF89" s="33" t="s">
        <v>42</v>
      </c>
      <c r="AG89" s="34">
        <v>4</v>
      </c>
      <c r="AH89" s="35">
        <v>130015</v>
      </c>
      <c r="AI89" s="35">
        <v>1353</v>
      </c>
      <c r="AJ89" s="35">
        <v>1504</v>
      </c>
      <c r="AK89" s="34">
        <v>202</v>
      </c>
      <c r="AL89" s="34">
        <v>232</v>
      </c>
    </row>
    <row r="90">
      <c r="A90" s="15"/>
      <c r="B90" s="16" t="s">
        <v>39</v>
      </c>
      <c r="C90" s="17" t="s">
        <v>50</v>
      </c>
      <c r="D90" s="18">
        <f t="shared" si="369"/>
      </c>
      <c r="E90" s="17">
        <v>570.89</v>
      </c>
      <c r="F90" s="20">
        <v>4480.04</v>
      </c>
      <c r="G90" s="20">
        <v>0</v>
      </c>
      <c r="H90" s="20">
        <v>0</v>
      </c>
      <c r="I90" s="20">
        <f t="shared" si="460"/>
      </c>
      <c r="J90" s="21">
        <v>443.88</v>
      </c>
      <c r="K90" s="22">
        <f t="shared" si="551"/>
      </c>
      <c r="L90" s="22">
        <f t="shared" si="221"/>
      </c>
      <c r="M90" s="23">
        <f t="shared" si="299"/>
      </c>
      <c r="N90" s="24">
        <f t="shared" si="318"/>
      </c>
      <c r="O90" s="25">
        <f t="shared" si="337"/>
      </c>
      <c r="P90" s="26">
        <f t="shared" si="22"/>
      </c>
      <c r="Q90" s="26">
        <f t="shared" si="41"/>
      </c>
      <c r="R90" s="26">
        <f t="shared" si="60"/>
      </c>
      <c r="S90" s="27">
        <f t="shared" si="79"/>
      </c>
      <c r="T90" s="28">
        <f t="shared" si="629"/>
      </c>
      <c r="U90" s="26">
        <f t="shared" si="667"/>
      </c>
      <c r="V90" s="29">
        <f t="shared" si="648"/>
      </c>
      <c r="W90" s="29">
        <f t="shared" si="686"/>
      </c>
      <c r="X90" s="26">
        <f t="shared" si="3"/>
      </c>
      <c r="Y90" s="30">
        <f t="shared" si="111"/>
      </c>
      <c r="Z90" s="30">
        <v>5</v>
      </c>
      <c r="AA90" s="30">
        <v>5</v>
      </c>
      <c r="AB90" s="31">
        <v>9702</v>
      </c>
      <c r="AC90" s="31">
        <v>0</v>
      </c>
      <c r="AD90" s="27">
        <f t="shared" si="189"/>
      </c>
      <c r="AE90" s="32" t="s">
        <v>41</v>
      </c>
      <c r="AF90" s="33" t="s">
        <v>42</v>
      </c>
      <c r="AG90" s="34">
        <v>4</v>
      </c>
      <c r="AH90" s="35">
        <v>67445</v>
      </c>
      <c r="AI90" s="35">
        <v>971</v>
      </c>
      <c r="AJ90" s="35">
        <v>1063</v>
      </c>
      <c r="AK90" s="36">
        <v>159</v>
      </c>
      <c r="AL90" s="36">
        <v>192</v>
      </c>
    </row>
    <row r="91">
      <c r="A91" s="15"/>
      <c r="B91" s="16" t="s">
        <v>39</v>
      </c>
      <c r="C91" s="17" t="s">
        <v>51</v>
      </c>
      <c r="D91" s="18">
        <f t="shared" si="369"/>
      </c>
      <c r="E91" s="17">
        <v>1163.06</v>
      </c>
      <c r="F91" s="17">
        <v>3665.9</v>
      </c>
      <c r="G91" s="20">
        <v>0</v>
      </c>
      <c r="H91" s="20">
        <v>0</v>
      </c>
      <c r="I91" s="20">
        <f t="shared" si="460"/>
      </c>
      <c r="J91" s="21">
        <f>1360.8+608.04</f>
      </c>
      <c r="K91" s="22">
        <f t="shared" si="551"/>
      </c>
      <c r="L91" s="22">
        <f t="shared" si="221"/>
      </c>
      <c r="M91" s="23">
        <f t="shared" si="299"/>
      </c>
      <c r="N91" s="24">
        <f t="shared" si="318"/>
      </c>
      <c r="O91" s="25">
        <f t="shared" si="337"/>
      </c>
      <c r="P91" s="26">
        <f t="shared" si="22"/>
      </c>
      <c r="Q91" s="26">
        <f t="shared" si="41"/>
      </c>
      <c r="R91" s="26">
        <f t="shared" si="60"/>
      </c>
      <c r="S91" s="27">
        <f t="shared" si="79"/>
      </c>
      <c r="T91" s="28">
        <f t="shared" si="629"/>
      </c>
      <c r="U91" s="26">
        <f t="shared" si="667"/>
      </c>
      <c r="V91" s="29">
        <f t="shared" si="648"/>
      </c>
      <c r="W91" s="29">
        <f t="shared" si="686"/>
      </c>
      <c r="X91" s="26">
        <f t="shared" si="3"/>
      </c>
      <c r="Y91" s="30">
        <f t="shared" si="111"/>
      </c>
      <c r="Z91" s="30">
        <v>0</v>
      </c>
      <c r="AA91" s="30">
        <v>5</v>
      </c>
      <c r="AB91" s="31">
        <v>7828.919999999998</v>
      </c>
      <c r="AC91" s="69">
        <v>0</v>
      </c>
      <c r="AD91" s="27">
        <f t="shared" si="189"/>
      </c>
      <c r="AE91" s="32" t="s">
        <v>41</v>
      </c>
      <c r="AF91" s="33" t="s">
        <v>42</v>
      </c>
      <c r="AG91" s="36">
        <v>5</v>
      </c>
      <c r="AH91" s="35">
        <v>50154</v>
      </c>
      <c r="AI91" s="35">
        <v>847</v>
      </c>
      <c r="AJ91" s="35">
        <v>969</v>
      </c>
      <c r="AK91" s="36">
        <v>143</v>
      </c>
      <c r="AL91" s="36">
        <v>152</v>
      </c>
    </row>
    <row r="92">
      <c r="A92" s="15"/>
      <c r="B92" s="16" t="s">
        <v>39</v>
      </c>
      <c r="C92" s="17" t="s">
        <v>52</v>
      </c>
      <c r="D92" s="18">
        <f t="shared" si="369"/>
      </c>
      <c r="E92" s="17">
        <v>1283.48</v>
      </c>
      <c r="F92" s="20">
        <v>3382.16</v>
      </c>
      <c r="G92" s="20">
        <v>0</v>
      </c>
      <c r="H92" s="20">
        <v>0</v>
      </c>
      <c r="I92" s="20">
        <f t="shared" si="460"/>
      </c>
      <c r="J92" s="21">
        <v>0</v>
      </c>
      <c r="K92" s="22">
        <f t="shared" si="551"/>
      </c>
      <c r="L92" s="22">
        <f t="shared" si="221"/>
      </c>
      <c r="M92" s="23">
        <f t="shared" si="299"/>
      </c>
      <c r="N92" s="24">
        <f t="shared" si="318"/>
      </c>
      <c r="O92" s="25">
        <f t="shared" si="337"/>
      </c>
      <c r="P92" s="26">
        <f t="shared" si="22"/>
      </c>
      <c r="Q92" s="26">
        <f t="shared" si="41"/>
      </c>
      <c r="R92" s="26">
        <f t="shared" si="60"/>
      </c>
      <c r="S92" s="27">
        <f t="shared" si="79"/>
      </c>
      <c r="T92" s="28">
        <f t="shared" si="629"/>
      </c>
      <c r="U92" s="26">
        <f t="shared" si="667"/>
      </c>
      <c r="V92" s="29">
        <f t="shared" si="648"/>
      </c>
      <c r="W92" s="29">
        <f t="shared" si="686"/>
      </c>
      <c r="X92" s="26">
        <f t="shared" si="3"/>
      </c>
      <c r="Y92" s="30">
        <f t="shared" si="111"/>
      </c>
      <c r="Z92" s="30">
        <v>1</v>
      </c>
      <c r="AA92" s="30">
        <v>7</v>
      </c>
      <c r="AB92" s="70">
        <v>9357.840000000011</v>
      </c>
      <c r="AC92" s="71">
        <v>0</v>
      </c>
      <c r="AD92" s="72">
        <f t="shared" si="189"/>
      </c>
      <c r="AE92" s="32" t="s">
        <v>41</v>
      </c>
      <c r="AF92" s="33" t="s">
        <v>42</v>
      </c>
      <c r="AG92" s="34">
        <v>6</v>
      </c>
      <c r="AH92" s="35">
        <v>41923</v>
      </c>
      <c r="AI92" s="35">
        <v>832</v>
      </c>
      <c r="AJ92" s="35">
        <v>997</v>
      </c>
      <c r="AK92" s="36">
        <v>122</v>
      </c>
      <c r="AL92" s="36">
        <v>168</v>
      </c>
    </row>
    <row customHeight="true" ht="16.666666666666668" r="93">
      <c r="A93" s="15"/>
      <c r="B93" s="16" t="s">
        <v>39</v>
      </c>
      <c r="C93" s="17" t="s">
        <v>54</v>
      </c>
      <c r="D93" s="18">
        <f t="shared" si="369"/>
      </c>
      <c r="E93" s="17">
        <v>1533.67</v>
      </c>
      <c r="F93" s="20">
        <v>7984.92</v>
      </c>
      <c r="G93" s="20">
        <v>0</v>
      </c>
      <c r="H93" s="20">
        <v>0</v>
      </c>
      <c r="I93" s="20">
        <f t="shared" si="460"/>
      </c>
      <c r="J93" s="21">
        <f>1551.96+395.28+2819.88+646.92+3922.56+1159.92</f>
      </c>
      <c r="K93" s="22">
        <f t="shared" si="551"/>
      </c>
      <c r="L93" s="22">
        <f t="shared" si="221"/>
      </c>
      <c r="M93" s="23">
        <f t="shared" si="299"/>
      </c>
      <c r="N93" s="24">
        <f t="shared" si="318"/>
      </c>
      <c r="O93" s="25">
        <f t="shared" si="337"/>
      </c>
      <c r="P93" s="26">
        <f t="shared" si="22"/>
      </c>
      <c r="Q93" s="26">
        <f t="shared" si="41"/>
      </c>
      <c r="R93" s="26">
        <f t="shared" si="60"/>
      </c>
      <c r="S93" s="27">
        <f t="shared" si="79"/>
      </c>
      <c r="T93" s="28">
        <f t="shared" si="629"/>
      </c>
      <c r="U93" s="26">
        <f t="shared" si="667"/>
      </c>
      <c r="V93" s="29">
        <f t="shared" si="648"/>
      </c>
      <c r="W93" s="29">
        <f t="shared" si="686"/>
      </c>
      <c r="X93" s="26">
        <f t="shared" si="3"/>
      </c>
      <c r="Y93" s="30">
        <f t="shared" si="111"/>
      </c>
      <c r="Z93" s="30">
        <v>8</v>
      </c>
      <c r="AA93" s="30">
        <v>12</v>
      </c>
      <c r="AB93" s="70">
        <f>12424.32+517.32+646.92</f>
      </c>
      <c r="AC93" s="73">
        <v>2605</v>
      </c>
      <c r="AD93" s="72">
        <f t="shared" si="189"/>
      </c>
      <c r="AE93" s="32" t="s">
        <v>41</v>
      </c>
      <c r="AF93" s="33" t="s">
        <v>42</v>
      </c>
      <c r="AG93" s="34">
        <v>9</v>
      </c>
      <c r="AH93" s="35">
        <v>99145</v>
      </c>
      <c r="AI93" s="35">
        <v>1321</v>
      </c>
      <c r="AJ93" s="35">
        <v>1453</v>
      </c>
      <c r="AK93" s="36">
        <v>216</v>
      </c>
      <c r="AL93" s="36">
        <v>284</v>
      </c>
    </row>
    <row r="94">
      <c r="A94" s="15"/>
      <c r="B94" s="38" t="s">
        <v>47</v>
      </c>
      <c r="C94" s="39">
        <v>5</v>
      </c>
      <c r="D94" s="40">
        <f>SUM(D89:D93)</f>
      </c>
      <c r="E94" s="40">
        <f>SUM(E89:E93)</f>
      </c>
      <c r="F94" s="40">
        <f>SUM(F89:F93)</f>
      </c>
      <c r="G94" s="40">
        <f>SUM(G89:G93)</f>
      </c>
      <c r="H94" s="40">
        <f>SUM(H89:H93)</f>
      </c>
      <c r="I94" s="40">
        <f>SUM(I89:I93)</f>
      </c>
      <c r="J94" s="40">
        <f>SUM(J89:J93)</f>
      </c>
      <c r="K94" s="40">
        <f>SUM(K89:K93)</f>
      </c>
      <c r="L94" s="40">
        <f>SUM(L89:L93)</f>
      </c>
      <c r="M94" s="41">
        <f t="shared" si="299"/>
      </c>
      <c r="N94" s="42">
        <f t="shared" si="318"/>
      </c>
      <c r="O94" s="42">
        <f t="shared" si="337"/>
      </c>
      <c r="P94" s="43">
        <f t="shared" si="22"/>
      </c>
      <c r="Q94" s="43">
        <f t="shared" si="41"/>
      </c>
      <c r="R94" s="43">
        <f t="shared" si="60"/>
      </c>
      <c r="S94" s="44">
        <f t="shared" si="79"/>
      </c>
      <c r="T94" s="44">
        <f t="shared" si="629"/>
      </c>
      <c r="U94" s="43">
        <f t="shared" si="667"/>
      </c>
      <c r="V94" s="44">
        <f t="shared" si="648"/>
      </c>
      <c r="W94" s="44">
        <f t="shared" si="686"/>
      </c>
      <c r="X94" s="43">
        <f t="shared" si="3"/>
      </c>
      <c r="Y94" s="40">
        <f>SUM(Y89:Y93)</f>
      </c>
      <c r="Z94" s="40">
        <f>SUM(Z89:Z93)</f>
      </c>
      <c r="AA94" s="40">
        <f>SUM(AA89:AA93)</f>
      </c>
      <c r="AB94" s="40">
        <f>SUM(AB89:AB93)</f>
      </c>
      <c r="AC94" s="40">
        <f>SUM(AC89:AC93)</f>
      </c>
      <c r="AD94" s="45">
        <f t="shared" si="189"/>
      </c>
      <c r="AE94" s="46"/>
      <c r="AF94" s="47"/>
      <c r="AG94" s="40">
        <f>SUM(AG89:AG93)</f>
      </c>
      <c r="AH94" s="40">
        <f>SUM(AH89:AH93)</f>
      </c>
      <c r="AI94" s="40">
        <f>SUM(AI89:AI93)</f>
      </c>
      <c r="AJ94" s="40">
        <f>SUM(AJ89:AJ93)</f>
      </c>
      <c r="AK94" s="40">
        <f>SUM(AK89:AK93)</f>
      </c>
      <c r="AL94" s="40">
        <f>SUM(AL89:AL93)</f>
      </c>
    </row>
    <row r="95">
      <c r="A95" s="15"/>
      <c r="B95" s="16" t="s">
        <v>69</v>
      </c>
      <c r="C95" s="17" t="s">
        <v>55</v>
      </c>
      <c r="D95" s="18">
        <f t="shared" ref="D95:D96" si="370">E95+F95+G95+H95</f>
      </c>
      <c r="E95" s="17">
        <v>1480.51</v>
      </c>
      <c r="F95" s="49">
        <v>9391.19</v>
      </c>
      <c r="G95" s="20">
        <v>0</v>
      </c>
      <c r="H95" s="20">
        <v>0</v>
      </c>
      <c r="I95" s="50">
        <f t="shared" ref="I95:I96" si="461">AB95+AC95</f>
      </c>
      <c r="J95" s="51">
        <f>979.56+638.28</f>
      </c>
      <c r="K95" s="22">
        <f t="shared" ref="K95:K96" si="552">I95-J95</f>
      </c>
      <c r="L95" s="22">
        <f t="shared" ref="L95:L96" si="222">(I95-AC95)/12+AC95</f>
      </c>
      <c r="M95" s="23">
        <f t="shared" si="299"/>
      </c>
      <c r="N95" s="24">
        <f t="shared" si="318"/>
      </c>
      <c r="O95" s="25">
        <f t="shared" si="337"/>
      </c>
      <c r="P95" s="26">
        <f t="shared" si="22"/>
      </c>
      <c r="Q95" s="26">
        <f t="shared" si="41"/>
      </c>
      <c r="R95" s="26">
        <f t="shared" si="60"/>
      </c>
      <c r="S95" s="27">
        <f t="shared" si="79"/>
      </c>
      <c r="T95" s="28">
        <f t="shared" si="629"/>
      </c>
      <c r="U95" s="26">
        <f t="shared" si="667"/>
      </c>
      <c r="V95" s="29">
        <f t="shared" si="648"/>
      </c>
      <c r="W95" s="29">
        <f t="shared" si="686"/>
      </c>
      <c r="X95" s="26">
        <f t="shared" si="3"/>
      </c>
      <c r="Y95" s="30">
        <f t="shared" ref="Y95:Y96" si="112">Z95+AA95</f>
      </c>
      <c r="Z95" s="30">
        <v>12</v>
      </c>
      <c r="AA95" s="30">
        <v>11</v>
      </c>
      <c r="AB95" s="31">
        <v>11255.759999999951</v>
      </c>
      <c r="AC95" s="31">
        <v>4375</v>
      </c>
      <c r="AD95" s="27">
        <f t="shared" si="189"/>
      </c>
      <c r="AE95" s="32" t="s">
        <v>41</v>
      </c>
      <c r="AF95" s="33" t="s">
        <v>56</v>
      </c>
      <c r="AG95" s="34">
        <v>13</v>
      </c>
      <c r="AH95" s="35">
        <v>138363</v>
      </c>
      <c r="AI95" s="35">
        <v>1599</v>
      </c>
      <c r="AJ95" s="35">
        <v>1755</v>
      </c>
      <c r="AK95" s="36">
        <v>275</v>
      </c>
      <c r="AL95" s="36">
        <v>338</v>
      </c>
    </row>
    <row r="96">
      <c r="A96" s="15"/>
      <c r="B96" s="16" t="s">
        <v>69</v>
      </c>
      <c r="C96" s="17" t="s">
        <v>58</v>
      </c>
      <c r="D96" s="18">
        <f t="shared" si="370"/>
      </c>
      <c r="E96" s="52">
        <v>1649.21</v>
      </c>
      <c r="F96" s="53">
        <v>9289.45</v>
      </c>
      <c r="G96" s="54">
        <v>0</v>
      </c>
      <c r="H96" s="20">
        <v>0</v>
      </c>
      <c r="I96" s="55">
        <f t="shared" si="461"/>
      </c>
      <c r="J96" s="51">
        <v>0</v>
      </c>
      <c r="K96" s="22">
        <f t="shared" si="552"/>
      </c>
      <c r="L96" s="22">
        <f t="shared" si="222"/>
      </c>
      <c r="M96" s="23">
        <f t="shared" si="299"/>
      </c>
      <c r="N96" s="24">
        <f t="shared" si="318"/>
      </c>
      <c r="O96" s="25">
        <f t="shared" si="337"/>
      </c>
      <c r="P96" s="26">
        <f t="shared" si="22"/>
      </c>
      <c r="Q96" s="26">
        <f t="shared" si="41"/>
      </c>
      <c r="R96" s="26">
        <f t="shared" si="60"/>
      </c>
      <c r="S96" s="27">
        <f t="shared" si="79"/>
      </c>
      <c r="T96" s="28">
        <f t="shared" si="629"/>
      </c>
      <c r="U96" s="26">
        <f t="shared" si="667"/>
      </c>
      <c r="V96" s="29">
        <f t="shared" si="648"/>
      </c>
      <c r="W96" s="29">
        <f t="shared" si="686"/>
      </c>
      <c r="X96" s="26">
        <f t="shared" si="3"/>
      </c>
      <c r="Y96" s="56">
        <f t="shared" si="112"/>
      </c>
      <c r="Z96" s="30">
        <v>4</v>
      </c>
      <c r="AA96" s="30">
        <v>13</v>
      </c>
      <c r="AB96" s="57">
        <v>15179.400000000023</v>
      </c>
      <c r="AC96" s="31">
        <v>1608</v>
      </c>
      <c r="AD96" s="27">
        <f t="shared" si="189"/>
      </c>
      <c r="AE96" s="32" t="s">
        <v>41</v>
      </c>
      <c r="AF96" s="33" t="s">
        <v>56</v>
      </c>
      <c r="AG96" s="36">
        <v>11</v>
      </c>
      <c r="AH96" s="35">
        <v>163447</v>
      </c>
      <c r="AI96" s="35">
        <v>1795</v>
      </c>
      <c r="AJ96" s="35">
        <v>1966</v>
      </c>
      <c r="AK96" s="36">
        <v>271</v>
      </c>
      <c r="AL96" s="36">
        <v>317</v>
      </c>
    </row>
    <row r="97">
      <c r="A97" s="15"/>
      <c r="B97" s="38" t="s">
        <v>47</v>
      </c>
      <c r="C97" s="39">
        <v>2</v>
      </c>
      <c r="D97" s="58">
        <f>SUM(D95:D96)</f>
      </c>
      <c r="E97" s="58">
        <f>SUM(E95:E96)</f>
      </c>
      <c r="F97" s="58">
        <f>SUM(F95:F96)</f>
      </c>
      <c r="G97" s="58">
        <f>SUM(G95:G96)</f>
      </c>
      <c r="H97" s="58">
        <f>SUM(H95:H96)</f>
      </c>
      <c r="I97" s="58">
        <f>SUM(I95:I96)</f>
      </c>
      <c r="J97" s="58">
        <f>SUM(J95:J96)</f>
      </c>
      <c r="K97" s="58">
        <f>SUM(K95:K96)</f>
      </c>
      <c r="L97" s="58">
        <f>SUM(L95:L96)</f>
      </c>
      <c r="M97" s="41">
        <f t="shared" si="299"/>
      </c>
      <c r="N97" s="42">
        <f t="shared" si="318"/>
      </c>
      <c r="O97" s="42">
        <f t="shared" si="337"/>
      </c>
      <c r="P97" s="43">
        <f t="shared" si="22"/>
      </c>
      <c r="Q97" s="43">
        <f t="shared" si="41"/>
      </c>
      <c r="R97" s="43">
        <f t="shared" si="60"/>
      </c>
      <c r="S97" s="44">
        <f t="shared" si="79"/>
      </c>
      <c r="T97" s="44">
        <f t="shared" si="629"/>
      </c>
      <c r="U97" s="43">
        <f t="shared" si="667"/>
      </c>
      <c r="V97" s="44">
        <f t="shared" si="648"/>
      </c>
      <c r="W97" s="44">
        <f t="shared" si="686"/>
      </c>
      <c r="X97" s="43">
        <f t="shared" si="3"/>
      </c>
      <c r="Y97" s="58">
        <f>SUM(Y95:Y96)</f>
      </c>
      <c r="Z97" s="58">
        <f>SUM(Z95:Z96)</f>
      </c>
      <c r="AA97" s="58">
        <f>SUM(AA95:AA96)</f>
      </c>
      <c r="AB97" s="58">
        <f>SUM(AB95:AB96)</f>
      </c>
      <c r="AC97" s="58">
        <f>SUM(AC95:AC96)</f>
      </c>
      <c r="AD97" s="45">
        <f t="shared" si="189"/>
      </c>
      <c r="AE97" s="46"/>
      <c r="AF97" s="47"/>
      <c r="AG97" s="58">
        <f>SUM(AG95:AG96)</f>
      </c>
      <c r="AH97" s="58">
        <f>SUM(AH95:AH96)</f>
      </c>
      <c r="AI97" s="58">
        <f>SUM(AI95:AI96)</f>
      </c>
      <c r="AJ97" s="58">
        <f>SUM(AJ95:AJ96)</f>
      </c>
      <c r="AK97" s="58">
        <f>SUM(AK95:AK96)</f>
      </c>
      <c r="AL97" s="58">
        <f>SUM(AL95:AL96)</f>
      </c>
    </row>
    <row r="98">
      <c r="A98" s="15"/>
      <c r="B98" s="16" t="s">
        <v>57</v>
      </c>
      <c r="C98" s="17" t="s">
        <v>59</v>
      </c>
      <c r="D98" s="18">
        <f t="shared" ref="D98:D101" si="371">E98+F98+G98+H98</f>
      </c>
      <c r="E98" s="17">
        <v>2194.33</v>
      </c>
      <c r="F98" s="49">
        <v>7769.87</v>
      </c>
      <c r="G98" s="20">
        <v>0</v>
      </c>
      <c r="H98" s="20">
        <v>0</v>
      </c>
      <c r="I98" s="50">
        <f t="shared" ref="I98:I101" si="462">AB98+AC98</f>
      </c>
      <c r="J98" s="51">
        <v>0</v>
      </c>
      <c r="K98" s="22">
        <f t="shared" ref="K98:K101" si="553">I98-J98</f>
      </c>
      <c r="L98" s="22">
        <f t="shared" ref="L98:L101" si="223">(I98-AC98)/12+AC98</f>
      </c>
      <c r="M98" s="23">
        <f t="shared" si="299"/>
      </c>
      <c r="N98" s="24">
        <f t="shared" si="318"/>
      </c>
      <c r="O98" s="25">
        <f t="shared" si="337"/>
      </c>
      <c r="P98" s="26">
        <f t="shared" si="22"/>
      </c>
      <c r="Q98" s="26">
        <f t="shared" si="41"/>
      </c>
      <c r="R98" s="26">
        <f t="shared" si="60"/>
      </c>
      <c r="S98" s="27">
        <f t="shared" si="79"/>
      </c>
      <c r="T98" s="28">
        <f t="shared" si="629"/>
      </c>
      <c r="U98" s="26">
        <f t="shared" si="667"/>
      </c>
      <c r="V98" s="29">
        <f t="shared" si="648"/>
      </c>
      <c r="W98" s="29">
        <f t="shared" si="686"/>
      </c>
      <c r="X98" s="26">
        <f t="shared" si="3"/>
      </c>
      <c r="Y98" s="30">
        <f t="shared" ref="Y98:Y101" si="113">Z98+AA98</f>
      </c>
      <c r="Z98" s="30">
        <v>7</v>
      </c>
      <c r="AA98" s="30">
        <v>6</v>
      </c>
      <c r="AB98" s="31">
        <v>11213.51999999999</v>
      </c>
      <c r="AC98" s="31">
        <v>0</v>
      </c>
      <c r="AD98" s="27">
        <f t="shared" si="189"/>
      </c>
      <c r="AE98" s="32" t="s">
        <v>41</v>
      </c>
      <c r="AF98" s="33" t="s">
        <v>56</v>
      </c>
      <c r="AG98" s="34">
        <v>7</v>
      </c>
      <c r="AH98" s="35">
        <v>162515</v>
      </c>
      <c r="AI98" s="35">
        <v>2037</v>
      </c>
      <c r="AJ98" s="35">
        <v>2244</v>
      </c>
      <c r="AK98" s="36">
        <v>278</v>
      </c>
      <c r="AL98" s="36">
        <v>268</v>
      </c>
    </row>
    <row r="99">
      <c r="A99" s="15"/>
      <c r="B99" s="16" t="s">
        <v>57</v>
      </c>
      <c r="C99" s="52" t="s">
        <v>60</v>
      </c>
      <c r="D99" s="18">
        <f t="shared" si="371"/>
      </c>
      <c r="E99" s="17">
        <v>2817.42</v>
      </c>
      <c r="F99" s="49">
        <v>6409.71</v>
      </c>
      <c r="G99" s="20">
        <v>0</v>
      </c>
      <c r="H99" s="20">
        <v>0</v>
      </c>
      <c r="I99" s="50">
        <f t="shared" si="462"/>
      </c>
      <c r="J99" s="51">
        <v>0</v>
      </c>
      <c r="K99" s="22">
        <f t="shared" si="553"/>
      </c>
      <c r="L99" s="22">
        <f t="shared" si="223"/>
      </c>
      <c r="M99" s="23">
        <f t="shared" si="299"/>
      </c>
      <c r="N99" s="24">
        <f t="shared" si="318"/>
      </c>
      <c r="O99" s="25">
        <f t="shared" si="337"/>
      </c>
      <c r="P99" s="26">
        <f t="shared" si="22"/>
      </c>
      <c r="Q99" s="26">
        <f t="shared" si="41"/>
      </c>
      <c r="R99" s="26">
        <f t="shared" si="60"/>
      </c>
      <c r="S99" s="27">
        <f t="shared" si="79"/>
      </c>
      <c r="T99" s="28">
        <f t="shared" si="629"/>
      </c>
      <c r="U99" s="26">
        <f t="shared" si="667"/>
      </c>
      <c r="V99" s="29">
        <f t="shared" si="648"/>
      </c>
      <c r="W99" s="29">
        <f t="shared" si="686"/>
      </c>
      <c r="X99" s="26">
        <f t="shared" si="3"/>
      </c>
      <c r="Y99" s="30">
        <f t="shared" si="113"/>
      </c>
      <c r="Z99" s="30">
        <v>4</v>
      </c>
      <c r="AA99" s="30">
        <v>5</v>
      </c>
      <c r="AB99" s="31">
        <v>8905.320000000007</v>
      </c>
      <c r="AC99" s="31">
        <v>0</v>
      </c>
      <c r="AD99" s="27">
        <f t="shared" si="189"/>
      </c>
      <c r="AE99" s="32" t="s">
        <v>41</v>
      </c>
      <c r="AF99" s="33" t="s">
        <v>56</v>
      </c>
      <c r="AG99" s="36">
        <v>5</v>
      </c>
      <c r="AH99" s="35">
        <v>136750</v>
      </c>
      <c r="AI99" s="35">
        <v>2226</v>
      </c>
      <c r="AJ99" s="35">
        <v>2531</v>
      </c>
      <c r="AK99" s="36">
        <v>241</v>
      </c>
      <c r="AL99" s="36">
        <v>272</v>
      </c>
    </row>
    <row r="100">
      <c r="A100" s="15"/>
      <c r="B100" s="16" t="s">
        <v>57</v>
      </c>
      <c r="C100" s="52" t="s">
        <v>61</v>
      </c>
      <c r="D100" s="18">
        <f t="shared" si="371"/>
      </c>
      <c r="E100" s="17">
        <v>3424.3</v>
      </c>
      <c r="F100" s="49">
        <v>4951.77</v>
      </c>
      <c r="G100" s="20">
        <v>0</v>
      </c>
      <c r="H100" s="20">
        <v>0</v>
      </c>
      <c r="I100" s="50">
        <f t="shared" si="462"/>
      </c>
      <c r="J100" s="51">
        <v>676.08</v>
      </c>
      <c r="K100" s="22">
        <f t="shared" si="553"/>
      </c>
      <c r="L100" s="22">
        <f t="shared" si="223"/>
      </c>
      <c r="M100" s="23">
        <f t="shared" si="299"/>
      </c>
      <c r="N100" s="24">
        <f t="shared" si="318"/>
      </c>
      <c r="O100" s="25">
        <f t="shared" si="337"/>
      </c>
      <c r="P100" s="26">
        <f t="shared" si="22"/>
      </c>
      <c r="Q100" s="26">
        <f t="shared" si="41"/>
      </c>
      <c r="R100" s="26">
        <f t="shared" si="60"/>
      </c>
      <c r="S100" s="27">
        <f t="shared" si="79"/>
      </c>
      <c r="T100" s="28">
        <f t="shared" si="629"/>
      </c>
      <c r="U100" s="26">
        <f t="shared" si="667"/>
      </c>
      <c r="V100" s="29">
        <f t="shared" si="648"/>
      </c>
      <c r="W100" s="29">
        <f t="shared" si="686"/>
      </c>
      <c r="X100" s="26">
        <f t="shared" si="3"/>
      </c>
      <c r="Y100" s="30">
        <f t="shared" si="113"/>
      </c>
      <c r="Z100" s="30">
        <v>8</v>
      </c>
      <c r="AA100" s="30">
        <v>10</v>
      </c>
      <c r="AB100" s="31">
        <v>11781.720000000001</v>
      </c>
      <c r="AC100" s="31">
        <v>2355</v>
      </c>
      <c r="AD100" s="27">
        <f t="shared" si="189"/>
      </c>
      <c r="AE100" s="32" t="s">
        <v>41</v>
      </c>
      <c r="AF100" s="33" t="s">
        <v>56</v>
      </c>
      <c r="AG100" s="34">
        <v>6</v>
      </c>
      <c r="AH100" s="35">
        <v>100011</v>
      </c>
      <c r="AI100" s="35">
        <v>2597</v>
      </c>
      <c r="AJ100" s="35">
        <v>2886</v>
      </c>
      <c r="AK100" s="36">
        <v>274</v>
      </c>
      <c r="AL100" s="34">
        <v>276</v>
      </c>
    </row>
    <row r="101">
      <c r="A101" s="15"/>
      <c r="B101" s="16" t="s">
        <v>57</v>
      </c>
      <c r="C101" s="52" t="s">
        <v>63</v>
      </c>
      <c r="D101" s="18">
        <f t="shared" si="371"/>
      </c>
      <c r="E101" s="17">
        <v>3888.83</v>
      </c>
      <c r="F101" s="49">
        <v>5299.14</v>
      </c>
      <c r="G101" s="20">
        <v>0</v>
      </c>
      <c r="H101" s="20">
        <v>0</v>
      </c>
      <c r="I101" s="50">
        <f t="shared" si="462"/>
      </c>
      <c r="J101" s="51">
        <v>0</v>
      </c>
      <c r="K101" s="22">
        <f t="shared" si="553"/>
      </c>
      <c r="L101" s="22">
        <f t="shared" si="223"/>
      </c>
      <c r="M101" s="23">
        <f t="shared" si="299"/>
      </c>
      <c r="N101" s="24">
        <f t="shared" si="318"/>
      </c>
      <c r="O101" s="25">
        <f t="shared" si="337"/>
      </c>
      <c r="P101" s="26">
        <f t="shared" si="22"/>
      </c>
      <c r="Q101" s="26">
        <f t="shared" si="41"/>
      </c>
      <c r="R101" s="26">
        <f t="shared" si="60"/>
      </c>
      <c r="S101" s="27">
        <f t="shared" si="79"/>
      </c>
      <c r="T101" s="28">
        <f t="shared" si="629"/>
      </c>
      <c r="U101" s="26">
        <f t="shared" si="667"/>
      </c>
      <c r="V101" s="29">
        <f t="shared" si="648"/>
      </c>
      <c r="W101" s="29">
        <f t="shared" si="686"/>
      </c>
      <c r="X101" s="26">
        <f t="shared" si="3"/>
      </c>
      <c r="Y101" s="30">
        <f t="shared" si="113"/>
      </c>
      <c r="Z101" s="30">
        <v>5</v>
      </c>
      <c r="AA101" s="30">
        <f>7+1</f>
      </c>
      <c r="AB101" s="31">
        <f>10471.56+7110.24</f>
      </c>
      <c r="AC101" s="31">
        <v>0</v>
      </c>
      <c r="AD101" s="27">
        <f t="shared" si="189"/>
      </c>
      <c r="AE101" s="32" t="s">
        <v>41</v>
      </c>
      <c r="AF101" s="33" t="s">
        <v>56</v>
      </c>
      <c r="AG101" s="34">
        <v>6</v>
      </c>
      <c r="AH101" s="35">
        <v>112253</v>
      </c>
      <c r="AI101" s="35">
        <v>3235</v>
      </c>
      <c r="AJ101" s="35">
        <v>3695</v>
      </c>
      <c r="AK101" s="36">
        <v>341</v>
      </c>
      <c r="AL101" s="34">
        <v>257</v>
      </c>
    </row>
    <row r="102">
      <c r="A102" s="15"/>
      <c r="B102" s="38" t="s">
        <v>47</v>
      </c>
      <c r="C102" s="39">
        <v>4</v>
      </c>
      <c r="D102" s="40">
        <f>SUM(D98:D101)</f>
      </c>
      <c r="E102" s="40">
        <f>SUM(E98:E101)</f>
      </c>
      <c r="F102" s="40">
        <f>SUM(F98:F101)</f>
      </c>
      <c r="G102" s="40">
        <f>SUM(G98:G101)</f>
      </c>
      <c r="H102" s="40">
        <f>SUM(H98:H101)</f>
      </c>
      <c r="I102" s="40">
        <f>SUM(I98:I101)</f>
      </c>
      <c r="J102" s="40">
        <f>SUM(J98:J101)</f>
      </c>
      <c r="K102" s="40">
        <f>SUM(K98:K101)</f>
      </c>
      <c r="L102" s="40">
        <f>SUM(L98:L101)</f>
      </c>
      <c r="M102" s="41">
        <f t="shared" si="299"/>
      </c>
      <c r="N102" s="42">
        <f t="shared" si="318"/>
      </c>
      <c r="O102" s="42">
        <f t="shared" si="337"/>
      </c>
      <c r="P102" s="43">
        <f t="shared" si="22"/>
      </c>
      <c r="Q102" s="43">
        <f t="shared" si="41"/>
      </c>
      <c r="R102" s="43">
        <f t="shared" si="60"/>
      </c>
      <c r="S102" s="44">
        <f t="shared" si="79"/>
      </c>
      <c r="T102" s="44">
        <f t="shared" si="629"/>
      </c>
      <c r="U102" s="43">
        <f t="shared" si="667"/>
      </c>
      <c r="V102" s="44">
        <f t="shared" si="648"/>
      </c>
      <c r="W102" s="44">
        <f t="shared" si="686"/>
      </c>
      <c r="X102" s="43">
        <f t="shared" si="3"/>
      </c>
      <c r="Y102" s="40">
        <f>SUM(Y98:Y101)</f>
      </c>
      <c r="Z102" s="40">
        <f>SUM(Z98:Z101)</f>
      </c>
      <c r="AA102" s="40">
        <f>SUM(AA98:AA101)</f>
      </c>
      <c r="AB102" s="40">
        <f>SUM(AB98:AB101)</f>
      </c>
      <c r="AC102" s="40">
        <f>SUM(AC98:AC101)</f>
      </c>
      <c r="AD102" s="45">
        <f t="shared" si="189"/>
      </c>
      <c r="AE102" s="46"/>
      <c r="AF102" s="47"/>
      <c r="AG102" s="40">
        <f>SUM(AG98:AG101)</f>
      </c>
      <c r="AH102" s="40">
        <f>SUM(AH98:AH101)</f>
      </c>
      <c r="AI102" s="40">
        <f>SUM(AI98:AI101)</f>
      </c>
      <c r="AJ102" s="40">
        <f>SUM(AJ98:AJ101)</f>
      </c>
      <c r="AK102" s="40">
        <f>SUM(AK98:AK101)</f>
      </c>
      <c r="AL102" s="40">
        <f>SUM(AL98:AL101)</f>
      </c>
    </row>
    <row r="103">
      <c r="A103" s="15"/>
      <c r="B103" s="16" t="s">
        <v>48</v>
      </c>
      <c r="C103" s="17" t="s">
        <v>64</v>
      </c>
      <c r="D103" s="18">
        <f t="shared" ref="D103:D106" si="372">E103+F103+G103+H103</f>
      </c>
      <c r="E103" s="17">
        <v>3563.62</v>
      </c>
      <c r="F103" s="20">
        <v>7100.64</v>
      </c>
      <c r="G103" s="20">
        <v>0</v>
      </c>
      <c r="H103" s="20">
        <v>0</v>
      </c>
      <c r="I103" s="20">
        <f t="shared" ref="I103:I106" si="463">AB103+AC103</f>
      </c>
      <c r="J103" s="21">
        <v>0</v>
      </c>
      <c r="K103" s="22">
        <f t="shared" ref="K103:K106" si="554">I103-J103</f>
      </c>
      <c r="L103" s="22">
        <f t="shared" ref="L103:L106" si="224">(I103-AC103)/12+AC103</f>
      </c>
      <c r="M103" s="23">
        <f t="shared" si="299"/>
      </c>
      <c r="N103" s="24">
        <f t="shared" si="318"/>
      </c>
      <c r="O103" s="25">
        <f t="shared" si="337"/>
      </c>
      <c r="P103" s="26">
        <f t="shared" si="22"/>
      </c>
      <c r="Q103" s="26">
        <f t="shared" si="41"/>
      </c>
      <c r="R103" s="26">
        <f t="shared" si="60"/>
      </c>
      <c r="S103" s="27">
        <f t="shared" si="79"/>
      </c>
      <c r="T103" s="28">
        <f t="shared" si="629"/>
      </c>
      <c r="U103" s="26">
        <f t="shared" si="667"/>
      </c>
      <c r="V103" s="29">
        <f t="shared" si="648"/>
      </c>
      <c r="W103" s="29">
        <f t="shared" si="686"/>
      </c>
      <c r="X103" s="26">
        <f t="shared" si="3"/>
      </c>
      <c r="Y103" s="30">
        <f t="shared" ref="Y103:Y106" si="114">Z103+AA103</f>
      </c>
      <c r="Z103" s="30">
        <v>10</v>
      </c>
      <c r="AA103" s="30">
        <v>13</v>
      </c>
      <c r="AB103" s="31">
        <v>9075.23999999999</v>
      </c>
      <c r="AC103" s="31">
        <v>5420.700000000001</v>
      </c>
      <c r="AD103" s="27">
        <f t="shared" si="189"/>
      </c>
      <c r="AE103" s="32" t="s">
        <v>41</v>
      </c>
      <c r="AF103" s="33" t="s">
        <v>56</v>
      </c>
      <c r="AG103" s="34">
        <v>11</v>
      </c>
      <c r="AH103" s="35">
        <v>145866</v>
      </c>
      <c r="AI103" s="35">
        <v>3359</v>
      </c>
      <c r="AJ103" s="35">
        <v>3878</v>
      </c>
      <c r="AK103" s="36">
        <v>295</v>
      </c>
      <c r="AL103" s="36">
        <v>278</v>
      </c>
    </row>
    <row r="104">
      <c r="A104" s="15"/>
      <c r="B104" s="16" t="s">
        <v>48</v>
      </c>
      <c r="C104" s="52" t="s">
        <v>65</v>
      </c>
      <c r="D104" s="18">
        <f t="shared" si="372"/>
      </c>
      <c r="E104" s="17">
        <v>2634.78</v>
      </c>
      <c r="F104" s="17">
        <v>7300.13</v>
      </c>
      <c r="G104" s="20">
        <v>0</v>
      </c>
      <c r="H104" s="20">
        <v>0</v>
      </c>
      <c r="I104" s="20">
        <f t="shared" si="463"/>
      </c>
      <c r="J104" s="21">
        <v>663</v>
      </c>
      <c r="K104" s="22">
        <f t="shared" si="554"/>
      </c>
      <c r="L104" s="22">
        <f t="shared" si="224"/>
      </c>
      <c r="M104" s="23">
        <f t="shared" si="299"/>
      </c>
      <c r="N104" s="24">
        <f t="shared" si="318"/>
      </c>
      <c r="O104" s="25">
        <f t="shared" si="337"/>
      </c>
      <c r="P104" s="26">
        <f t="shared" si="22"/>
      </c>
      <c r="Q104" s="26">
        <f t="shared" si="41"/>
      </c>
      <c r="R104" s="26">
        <f t="shared" si="60"/>
      </c>
      <c r="S104" s="27">
        <f t="shared" si="79"/>
      </c>
      <c r="T104" s="28">
        <f t="shared" si="629"/>
      </c>
      <c r="U104" s="26">
        <f t="shared" si="667"/>
      </c>
      <c r="V104" s="29">
        <f t="shared" si="648"/>
      </c>
      <c r="W104" s="29">
        <f t="shared" si="686"/>
      </c>
      <c r="X104" s="26">
        <f t="shared" si="3"/>
      </c>
      <c r="Y104" s="30">
        <f t="shared" si="114"/>
      </c>
      <c r="Z104" s="30">
        <v>3</v>
      </c>
      <c r="AA104" s="30">
        <v>10</v>
      </c>
      <c r="AB104" s="31">
        <v>11691</v>
      </c>
      <c r="AC104" s="31">
        <v>1886</v>
      </c>
      <c r="AD104" s="27">
        <f t="shared" si="189"/>
      </c>
      <c r="AE104" s="32" t="s">
        <v>41</v>
      </c>
      <c r="AF104" s="33" t="s">
        <v>56</v>
      </c>
      <c r="AG104" s="36">
        <v>10</v>
      </c>
      <c r="AH104" s="35">
        <v>171663</v>
      </c>
      <c r="AI104" s="35">
        <v>4620</v>
      </c>
      <c r="AJ104" s="35">
        <v>5019</v>
      </c>
      <c r="AK104" s="36">
        <v>339</v>
      </c>
      <c r="AL104" s="36">
        <v>314</v>
      </c>
    </row>
    <row r="105">
      <c r="A105" s="15"/>
      <c r="B105" s="16" t="s">
        <v>48</v>
      </c>
      <c r="C105" s="17" t="s">
        <v>66</v>
      </c>
      <c r="D105" s="18">
        <f t="shared" si="372"/>
      </c>
      <c r="E105" s="17">
        <v>1153.44</v>
      </c>
      <c r="F105" s="20">
        <v>3516.49</v>
      </c>
      <c r="G105" s="20">
        <v>0</v>
      </c>
      <c r="H105" s="20">
        <v>0</v>
      </c>
      <c r="I105" s="37">
        <f t="shared" si="463"/>
      </c>
      <c r="J105" s="21">
        <v>0</v>
      </c>
      <c r="K105" s="22">
        <f t="shared" si="554"/>
      </c>
      <c r="L105" s="22">
        <f t="shared" si="224"/>
      </c>
      <c r="M105" s="23">
        <f t="shared" si="299"/>
      </c>
      <c r="N105" s="24">
        <f t="shared" si="318"/>
      </c>
      <c r="O105" s="25">
        <f t="shared" si="337"/>
      </c>
      <c r="P105" s="26">
        <f t="shared" si="22"/>
      </c>
      <c r="Q105" s="26">
        <f t="shared" si="41"/>
      </c>
      <c r="R105" s="26">
        <f t="shared" si="60"/>
      </c>
      <c r="S105" s="27">
        <f t="shared" si="79"/>
      </c>
      <c r="T105" s="28">
        <f t="shared" si="629"/>
      </c>
      <c r="U105" s="26">
        <f t="shared" si="667"/>
      </c>
      <c r="V105" s="29">
        <f t="shared" si="648"/>
      </c>
      <c r="W105" s="29">
        <f t="shared" si="686"/>
      </c>
      <c r="X105" s="26">
        <f t="shared" si="3"/>
      </c>
      <c r="Y105" s="30">
        <f t="shared" si="114"/>
      </c>
      <c r="Z105" s="30">
        <v>5</v>
      </c>
      <c r="AA105" s="30">
        <v>9</v>
      </c>
      <c r="AB105" s="31">
        <v>15310.08</v>
      </c>
      <c r="AC105" s="31">
        <v>581</v>
      </c>
      <c r="AD105" s="27">
        <f t="shared" si="189"/>
      </c>
      <c r="AE105" s="32" t="s">
        <v>41</v>
      </c>
      <c r="AF105" s="33" t="s">
        <v>56</v>
      </c>
      <c r="AG105" s="34">
        <v>5</v>
      </c>
      <c r="AH105" s="35">
        <v>87649</v>
      </c>
      <c r="AI105" s="35">
        <v>2442</v>
      </c>
      <c r="AJ105" s="35">
        <v>2765</v>
      </c>
      <c r="AK105" s="36">
        <v>190</v>
      </c>
      <c r="AL105" s="36">
        <v>181</v>
      </c>
    </row>
    <row r="106">
      <c r="A106" s="15"/>
      <c r="B106" s="16" t="s">
        <v>48</v>
      </c>
      <c r="C106" s="17" t="s">
        <v>67</v>
      </c>
      <c r="D106" s="18">
        <f t="shared" si="372"/>
      </c>
      <c r="E106" s="19">
        <v>514.28</v>
      </c>
      <c r="F106" s="20">
        <v>1726.53</v>
      </c>
      <c r="G106" s="20">
        <v>0</v>
      </c>
      <c r="H106" s="20">
        <v>0</v>
      </c>
      <c r="I106" s="20">
        <f t="shared" si="463"/>
      </c>
      <c r="J106" s="21">
        <v>0</v>
      </c>
      <c r="K106" s="22">
        <f t="shared" si="554"/>
      </c>
      <c r="L106" s="22">
        <f t="shared" si="224"/>
      </c>
      <c r="M106" s="23">
        <f t="shared" si="299"/>
      </c>
      <c r="N106" s="24">
        <f t="shared" si="318"/>
      </c>
      <c r="O106" s="25">
        <f t="shared" si="337"/>
      </c>
      <c r="P106" s="26">
        <f t="shared" si="22"/>
      </c>
      <c r="Q106" s="26">
        <f t="shared" si="41"/>
      </c>
      <c r="R106" s="26">
        <f t="shared" si="60"/>
      </c>
      <c r="S106" s="27">
        <f t="shared" si="79"/>
      </c>
      <c r="T106" s="28">
        <f t="shared" si="629"/>
      </c>
      <c r="U106" s="26">
        <f t="shared" si="667"/>
      </c>
      <c r="V106" s="29">
        <f t="shared" si="648"/>
      </c>
      <c r="W106" s="29">
        <f t="shared" si="686"/>
      </c>
      <c r="X106" s="26">
        <f t="shared" si="3"/>
      </c>
      <c r="Y106" s="30">
        <f t="shared" si="114"/>
      </c>
      <c r="Z106" s="30">
        <v>1</v>
      </c>
      <c r="AA106" s="30">
        <v>3</v>
      </c>
      <c r="AB106" s="31">
        <v>534.6000000000004</v>
      </c>
      <c r="AC106" s="31">
        <v>4321.35</v>
      </c>
      <c r="AD106" s="27">
        <f t="shared" si="189"/>
      </c>
      <c r="AE106" s="32" t="s">
        <v>41</v>
      </c>
      <c r="AF106" s="33" t="s">
        <v>56</v>
      </c>
      <c r="AG106" s="34">
        <v>2</v>
      </c>
      <c r="AH106" s="35">
        <v>32792</v>
      </c>
      <c r="AI106" s="35">
        <v>1285</v>
      </c>
      <c r="AJ106" s="35">
        <v>1439</v>
      </c>
      <c r="AK106" s="34">
        <v>105</v>
      </c>
      <c r="AL106" s="34">
        <v>100</v>
      </c>
    </row>
    <row r="107">
      <c r="A107" s="15"/>
      <c r="B107" s="38" t="s">
        <v>47</v>
      </c>
      <c r="C107" s="39">
        <v>4</v>
      </c>
      <c r="D107" s="40">
        <f>SUM(D103:D106)</f>
      </c>
      <c r="E107" s="40">
        <f>SUM(E103:E106)</f>
      </c>
      <c r="F107" s="40">
        <f>SUM(F103:F106)</f>
      </c>
      <c r="G107" s="40">
        <f>SUM(G103:G106)</f>
      </c>
      <c r="H107" s="40">
        <f>SUM(H103:H106)</f>
      </c>
      <c r="I107" s="40">
        <f>SUM(I103:I106)</f>
      </c>
      <c r="J107" s="40">
        <f>SUM(J103:J106)</f>
      </c>
      <c r="K107" s="40">
        <f>SUM(K103:K106)</f>
      </c>
      <c r="L107" s="40">
        <f>SUM(L103:L106)</f>
      </c>
      <c r="M107" s="41">
        <f t="shared" si="299"/>
      </c>
      <c r="N107" s="42">
        <f t="shared" si="318"/>
      </c>
      <c r="O107" s="42">
        <f t="shared" si="337"/>
      </c>
      <c r="P107" s="43">
        <f t="shared" si="22"/>
      </c>
      <c r="Q107" s="43">
        <f t="shared" si="41"/>
      </c>
      <c r="R107" s="43">
        <f t="shared" si="60"/>
      </c>
      <c r="S107" s="44">
        <f t="shared" si="79"/>
      </c>
      <c r="T107" s="44">
        <f t="shared" si="629"/>
      </c>
      <c r="U107" s="43">
        <f t="shared" si="667"/>
      </c>
      <c r="V107" s="44">
        <f t="shared" si="648"/>
      </c>
      <c r="W107" s="44">
        <f t="shared" si="686"/>
      </c>
      <c r="X107" s="43">
        <f t="shared" si="3"/>
      </c>
      <c r="Y107" s="40">
        <f>SUM(Y103:Y106)</f>
      </c>
      <c r="Z107" s="40">
        <f>SUM(Z103:Z106)</f>
      </c>
      <c r="AA107" s="40">
        <f>SUM(AA103:AA106)</f>
      </c>
      <c r="AB107" s="40">
        <f>SUM(AB103:AB106)</f>
      </c>
      <c r="AC107" s="40">
        <f>SUM(AC103:AC106)</f>
      </c>
      <c r="AD107" s="59">
        <f t="shared" si="189"/>
      </c>
      <c r="AE107" s="46"/>
      <c r="AF107" s="47"/>
      <c r="AG107" s="40">
        <f>SUM(AG103:AG106)</f>
      </c>
      <c r="AH107" s="40">
        <f>SUM(AH103:AH106)</f>
      </c>
      <c r="AI107" s="40">
        <f>SUM(AI103:AI106)</f>
      </c>
      <c r="AJ107" s="40">
        <f>SUM(AJ103:AJ106)</f>
      </c>
      <c r="AK107" s="40">
        <f>SUM(AK103:AK106)</f>
      </c>
      <c r="AL107" s="40">
        <f>SUM(AL103:AL106)</f>
      </c>
    </row>
    <row r="108">
      <c r="A108" s="15"/>
      <c r="B108" s="60" t="s">
        <v>47</v>
      </c>
      <c r="C108" s="61">
        <f>C88+C94+C97+C102+C107</f>
      </c>
      <c r="D108" s="62">
        <f>D88+D94+D97+D102+D107</f>
      </c>
      <c r="E108" s="61">
        <f>E88+E94+E97+E102+E107</f>
      </c>
      <c r="F108" s="61">
        <f>F88+F94+F97+F102+F107</f>
      </c>
      <c r="G108" s="61">
        <f>G88+G94+G97+G102+G107</f>
      </c>
      <c r="H108" s="61">
        <f>H88+H94+H97+H102+H107</f>
      </c>
      <c r="I108" s="62">
        <f>I88+I94+I97+I102+I107</f>
      </c>
      <c r="J108" s="61">
        <f>J88+J94+J97+J102+J107</f>
      </c>
      <c r="K108" s="61">
        <f>K88+K94+K97+K102+K107</f>
      </c>
      <c r="L108" s="61">
        <f>L88+L94+L97+L102+L107</f>
      </c>
      <c r="M108" s="63">
        <f t="shared" si="299"/>
      </c>
      <c r="N108" s="63">
        <f t="shared" si="318"/>
      </c>
      <c r="O108" s="63">
        <f t="shared" si="337"/>
      </c>
      <c r="P108" s="63">
        <f t="shared" si="22"/>
      </c>
      <c r="Q108" s="63">
        <f t="shared" si="41"/>
      </c>
      <c r="R108" s="63">
        <f t="shared" si="60"/>
      </c>
      <c r="S108" s="64">
        <f t="shared" si="79"/>
      </c>
      <c r="T108" s="64">
        <f t="shared" si="629"/>
      </c>
      <c r="U108" s="63">
        <f t="shared" si="667"/>
      </c>
      <c r="V108" s="64">
        <f t="shared" si="648"/>
      </c>
      <c r="W108" s="64">
        <f t="shared" si="686"/>
      </c>
      <c r="X108" s="63">
        <f t="shared" si="3"/>
      </c>
      <c r="Y108" s="61">
        <f>Y88+Y94+Y97+Y102+Y107</f>
      </c>
      <c r="Z108" s="61">
        <f>Z88+Z94+Z97+Z102+Z107</f>
      </c>
      <c r="AA108" s="61">
        <f>AA88+AA94+AA97+AA102+AA107</f>
      </c>
      <c r="AB108" s="61">
        <f>AB88+AB94+AB97+AB102+AB107</f>
      </c>
      <c r="AC108" s="65">
        <f>AC88+AC94+AC97+AC102+AC107</f>
      </c>
      <c r="AD108" s="66">
        <f t="shared" si="189"/>
      </c>
      <c r="AE108" s="67"/>
      <c r="AF108" s="60"/>
      <c r="AG108" s="61">
        <f>AG88+AG94+AG97+AG102+AG107</f>
      </c>
      <c r="AH108" s="61">
        <f>AH88+AH94+AH97+AH102+AH107</f>
      </c>
      <c r="AI108" s="61">
        <f>AI88+AI94+AI97+AI102+AI107</f>
      </c>
      <c r="AJ108" s="61">
        <f>AJ88+AJ94+AJ97+AJ102+AJ107</f>
      </c>
      <c r="AK108" s="61">
        <f>AK88+AK94+AK97+AK102+AK107</f>
      </c>
      <c r="AL108" s="61">
        <f>AL88+AL94+AL97+AL102+AL107</f>
      </c>
    </row>
    <row r="109">
      <c r="A109" s="1" t="s">
        <v>1</v>
      </c>
      <c r="B109" s="2" t="s">
        <v>2</v>
      </c>
      <c r="C109" s="2" t="s">
        <v>3</v>
      </c>
      <c r="D109" s="3" t="s">
        <v>4</v>
      </c>
      <c r="E109" s="2" t="s">
        <v>5</v>
      </c>
      <c r="F109" s="2" t="s">
        <v>6</v>
      </c>
      <c r="G109" s="4" t="s">
        <v>7</v>
      </c>
      <c r="H109" s="4" t="s">
        <v>8</v>
      </c>
      <c r="I109" s="3" t="s">
        <v>9</v>
      </c>
      <c r="J109" s="5" t="s">
        <v>10</v>
      </c>
      <c r="K109" s="6" t="s">
        <v>11</v>
      </c>
      <c r="L109" s="6" t="s">
        <v>12</v>
      </c>
      <c r="M109" s="7" t="s">
        <v>13</v>
      </c>
      <c r="N109" s="6" t="s">
        <v>14</v>
      </c>
      <c r="O109" s="2" t="s">
        <v>15</v>
      </c>
      <c r="P109" s="7" t="s">
        <v>16</v>
      </c>
      <c r="Q109" s="8" t="s">
        <v>17</v>
      </c>
      <c r="R109" s="8" t="s">
        <v>18</v>
      </c>
      <c r="S109" s="3" t="s">
        <v>19</v>
      </c>
      <c r="T109" s="9" t="s">
        <v>20</v>
      </c>
      <c r="U109" s="7" t="s">
        <v>21</v>
      </c>
      <c r="V109" s="10" t="s">
        <v>22</v>
      </c>
      <c r="W109" s="11" t="s">
        <v>23</v>
      </c>
      <c r="X109" s="7" t="s">
        <v>24</v>
      </c>
      <c r="Y109" s="12" t="s">
        <v>25</v>
      </c>
      <c r="Z109" s="13" t="s">
        <v>26</v>
      </c>
      <c r="AA109" s="12" t="s">
        <v>27</v>
      </c>
      <c r="AB109" s="14" t="s">
        <v>28</v>
      </c>
      <c r="AC109" s="14" t="s">
        <v>29</v>
      </c>
      <c r="AD109" s="6" t="s">
        <v>30</v>
      </c>
      <c r="AE109" s="5" t="s">
        <v>31</v>
      </c>
      <c r="AF109" s="6" t="s">
        <v>32</v>
      </c>
      <c r="AG109" s="5" t="s">
        <v>33</v>
      </c>
      <c r="AH109" s="5" t="s">
        <v>34</v>
      </c>
      <c r="AI109" s="6" t="s">
        <v>35</v>
      </c>
      <c r="AJ109" s="5" t="s">
        <v>36</v>
      </c>
      <c r="AK109" s="6" t="s">
        <v>37</v>
      </c>
      <c r="AL109" s="5" t="s">
        <v>38</v>
      </c>
    </row>
    <row r="110">
      <c r="A110" s="15">
        <v>46300</v>
      </c>
      <c r="B110" s="16" t="s">
        <v>68</v>
      </c>
      <c r="C110" s="17" t="s">
        <v>40</v>
      </c>
      <c r="D110" s="18">
        <f t="shared" ref="D110:D114" si="373">E110+F110+G110+H110</f>
      </c>
      <c r="E110" s="19">
        <v>1460.55</v>
      </c>
      <c r="F110" s="20">
        <v>5500.93</v>
      </c>
      <c r="G110" s="20">
        <v>0</v>
      </c>
      <c r="H110" s="20">
        <v>0</v>
      </c>
      <c r="I110" s="20">
        <f t="shared" ref="I110:I114" si="464">AB110+AC110</f>
      </c>
      <c r="J110" s="21">
        <v>970.92</v>
      </c>
      <c r="K110" s="22">
        <f t="shared" ref="K110:K114" si="555">I110-J110</f>
      </c>
      <c r="L110" s="22">
        <f t="shared" ref="L110:L114" si="225">(I110-AC110)/12+AC110</f>
      </c>
      <c r="M110" s="23">
        <f t="shared" ref="M110:M135" si="300">I110/D110</f>
      </c>
      <c r="N110" s="24">
        <f t="shared" ref="N110:N135" si="319">(I110-J110)/D110</f>
      </c>
      <c r="O110" s="25">
        <f t="shared" ref="O110:O135" si="338">(AC110+AB110/12)/D110</f>
      </c>
      <c r="P110" s="26">
        <f t="shared" ref="P110:P135" si="23">I110/AA110</f>
      </c>
      <c r="Q110" s="26">
        <f t="shared" ref="Q110:Q135" si="42">D110/AA110</f>
      </c>
      <c r="R110" s="26">
        <f t="shared" ref="R110:R135" si="61">D110/AG110</f>
      </c>
      <c r="S110" s="27">
        <f t="shared" ref="S110:S135" si="80">AA110/Y110</f>
      </c>
      <c r="T110" s="28">
        <f t="shared" ref="T110:T135" si="630">AI110/AH110</f>
      </c>
      <c r="U110" s="26">
        <f t="shared" ref="U110:U135" si="668">D110/AJ110</f>
      </c>
      <c r="V110" s="29">
        <f t="shared" ref="V110:V135" si="649">AK110/AJ110</f>
      </c>
      <c r="W110" s="29">
        <f t="shared" ref="W110:W135" si="687">AL110/AJ110</f>
      </c>
      <c r="X110" s="26">
        <f t="shared" ref="X110:X135" si="4">D110/AL110</f>
      </c>
      <c r="Y110" s="30">
        <f t="shared" ref="Y110:Y114" si="115">Z110+AA110</f>
      </c>
      <c r="Z110" s="30">
        <v>4</v>
      </c>
      <c r="AA110" s="30">
        <v>6</v>
      </c>
      <c r="AB110" s="31">
        <v>4708.799999999999</v>
      </c>
      <c r="AC110" s="31">
        <v>1520</v>
      </c>
      <c r="AD110" s="27">
        <f t="shared" ref="AD110:AD135" si="190">AC110/I110</f>
      </c>
      <c r="AE110" s="32" t="s">
        <v>41</v>
      </c>
      <c r="AF110" s="33" t="s">
        <v>42</v>
      </c>
      <c r="AG110" s="34">
        <v>6</v>
      </c>
      <c r="AH110" s="34">
        <v>68660</v>
      </c>
      <c r="AI110" s="35">
        <v>3441</v>
      </c>
      <c r="AJ110" s="35">
        <v>3771</v>
      </c>
      <c r="AK110" s="34">
        <v>243</v>
      </c>
      <c r="AL110" s="36">
        <v>207</v>
      </c>
    </row>
    <row r="111">
      <c r="A111" s="15"/>
      <c r="B111" s="16" t="s">
        <v>68</v>
      </c>
      <c r="C111" s="17" t="s">
        <v>43</v>
      </c>
      <c r="D111" s="18">
        <f t="shared" si="373"/>
      </c>
      <c r="E111" s="17">
        <v>1505.99</v>
      </c>
      <c r="F111" s="20">
        <v>12572.94</v>
      </c>
      <c r="G111" s="20">
        <v>0</v>
      </c>
      <c r="H111" s="20">
        <v>0</v>
      </c>
      <c r="I111" s="20">
        <f t="shared" si="464"/>
      </c>
      <c r="J111" s="21">
        <f>716.04+3881.52+1217.16+1024</f>
      </c>
      <c r="K111" s="22">
        <f t="shared" si="555"/>
      </c>
      <c r="L111" s="22">
        <f t="shared" si="225"/>
      </c>
      <c r="M111" s="23">
        <f t="shared" si="300"/>
      </c>
      <c r="N111" s="24">
        <f t="shared" si="319"/>
      </c>
      <c r="O111" s="25">
        <f t="shared" si="338"/>
      </c>
      <c r="P111" s="26">
        <f t="shared" si="23"/>
      </c>
      <c r="Q111" s="26">
        <f t="shared" si="42"/>
      </c>
      <c r="R111" s="26">
        <f t="shared" si="61"/>
      </c>
      <c r="S111" s="27">
        <f t="shared" si="80"/>
      </c>
      <c r="T111" s="28">
        <f t="shared" si="630"/>
      </c>
      <c r="U111" s="26">
        <f t="shared" si="668"/>
      </c>
      <c r="V111" s="29">
        <f t="shared" si="649"/>
      </c>
      <c r="W111" s="29">
        <f t="shared" si="687"/>
      </c>
      <c r="X111" s="26">
        <f t="shared" si="4"/>
      </c>
      <c r="Y111" s="30">
        <f t="shared" si="115"/>
      </c>
      <c r="Z111" s="30">
        <v>7</v>
      </c>
      <c r="AA111" s="30">
        <v>16</v>
      </c>
      <c r="AB111" s="31">
        <v>25335.719999999998</v>
      </c>
      <c r="AC111" s="31">
        <v>1024</v>
      </c>
      <c r="AD111" s="27">
        <f t="shared" si="190"/>
      </c>
      <c r="AE111" s="32" t="s">
        <v>41</v>
      </c>
      <c r="AF111" s="33" t="s">
        <v>42</v>
      </c>
      <c r="AG111" s="34">
        <v>12</v>
      </c>
      <c r="AH111" s="35">
        <v>143567</v>
      </c>
      <c r="AI111" s="35">
        <v>3764</v>
      </c>
      <c r="AJ111" s="35">
        <v>4224</v>
      </c>
      <c r="AK111" s="36">
        <v>424</v>
      </c>
      <c r="AL111" s="36">
        <v>399</v>
      </c>
    </row>
    <row r="112">
      <c r="A112" s="15"/>
      <c r="B112" s="16" t="s">
        <v>68</v>
      </c>
      <c r="C112" s="17" t="s">
        <v>44</v>
      </c>
      <c r="D112" s="18">
        <f t="shared" si="373"/>
      </c>
      <c r="E112" s="17">
        <v>1619.72</v>
      </c>
      <c r="F112" s="20">
        <v>9133.17</v>
      </c>
      <c r="G112" s="20">
        <v>0</v>
      </c>
      <c r="H112" s="20">
        <v>0</v>
      </c>
      <c r="I112" s="20">
        <f t="shared" si="464"/>
      </c>
      <c r="J112" s="21">
        <f>5454+1205.28+873.84+873.84+926.28+1591.92+1509.84</f>
      </c>
      <c r="K112" s="22">
        <f t="shared" si="555"/>
      </c>
      <c r="L112" s="22">
        <f t="shared" si="225"/>
      </c>
      <c r="M112" s="23">
        <f t="shared" si="300"/>
      </c>
      <c r="N112" s="24">
        <f t="shared" si="319"/>
      </c>
      <c r="O112" s="25">
        <f t="shared" si="338"/>
      </c>
      <c r="P112" s="26">
        <f t="shared" si="23"/>
      </c>
      <c r="Q112" s="26">
        <f t="shared" si="42"/>
      </c>
      <c r="R112" s="26">
        <f t="shared" si="61"/>
      </c>
      <c r="S112" s="27">
        <f t="shared" si="80"/>
      </c>
      <c r="T112" s="28">
        <f t="shared" si="630"/>
      </c>
      <c r="U112" s="26">
        <f t="shared" si="668"/>
      </c>
      <c r="V112" s="29">
        <f t="shared" si="649"/>
      </c>
      <c r="W112" s="29">
        <f t="shared" si="687"/>
      </c>
      <c r="X112" s="26">
        <f t="shared" si="4"/>
      </c>
      <c r="Y112" s="30">
        <f t="shared" si="115"/>
      </c>
      <c r="Z112" s="30">
        <v>5</v>
      </c>
      <c r="AA112" s="30">
        <v>13</v>
      </c>
      <c r="AB112" s="31">
        <v>29880.960000000006</v>
      </c>
      <c r="AC112" s="31">
        <v>0</v>
      </c>
      <c r="AD112" s="27">
        <f t="shared" si="190"/>
      </c>
      <c r="AE112" s="32" t="s">
        <v>41</v>
      </c>
      <c r="AF112" s="33" t="s">
        <v>42</v>
      </c>
      <c r="AG112" s="36">
        <v>11</v>
      </c>
      <c r="AH112" s="35">
        <v>116891</v>
      </c>
      <c r="AI112" s="35">
        <v>2462</v>
      </c>
      <c r="AJ112" s="35">
        <v>2884</v>
      </c>
      <c r="AK112" s="36">
        <v>348</v>
      </c>
      <c r="AL112" s="36">
        <v>338</v>
      </c>
    </row>
    <row r="113">
      <c r="A113" s="15"/>
      <c r="B113" s="16" t="s">
        <v>68</v>
      </c>
      <c r="C113" s="17" t="s">
        <v>45</v>
      </c>
      <c r="D113" s="18">
        <f t="shared" si="373"/>
      </c>
      <c r="E113" s="17">
        <v>1615.56</v>
      </c>
      <c r="F113" s="20">
        <v>9014.97</v>
      </c>
      <c r="G113" s="20">
        <v>0</v>
      </c>
      <c r="H113" s="20">
        <v>0</v>
      </c>
      <c r="I113" s="37">
        <f t="shared" si="464"/>
      </c>
      <c r="J113" s="21">
        <f>864+1253.88+2415+708.48</f>
      </c>
      <c r="K113" s="22">
        <f t="shared" si="555"/>
      </c>
      <c r="L113" s="22">
        <f t="shared" si="225"/>
      </c>
      <c r="M113" s="23">
        <f t="shared" si="300"/>
      </c>
      <c r="N113" s="24">
        <f t="shared" si="319"/>
      </c>
      <c r="O113" s="25">
        <f t="shared" si="338"/>
      </c>
      <c r="P113" s="26">
        <f t="shared" si="23"/>
      </c>
      <c r="Q113" s="26">
        <f t="shared" si="42"/>
      </c>
      <c r="R113" s="26">
        <f t="shared" si="61"/>
      </c>
      <c r="S113" s="27">
        <f t="shared" si="80"/>
      </c>
      <c r="T113" s="28">
        <f t="shared" si="630"/>
      </c>
      <c r="U113" s="26">
        <f t="shared" si="668"/>
      </c>
      <c r="V113" s="29">
        <f t="shared" si="649"/>
      </c>
      <c r="W113" s="29">
        <f t="shared" si="687"/>
      </c>
      <c r="X113" s="26">
        <f t="shared" si="4"/>
      </c>
      <c r="Y113" s="30">
        <f t="shared" si="115"/>
      </c>
      <c r="Z113" s="30">
        <v>6</v>
      </c>
      <c r="AA113" s="30">
        <v>13</v>
      </c>
      <c r="AB113" s="31">
        <v>11792.519999999997</v>
      </c>
      <c r="AC113" s="31">
        <v>2415</v>
      </c>
      <c r="AD113" s="27">
        <f t="shared" si="190"/>
      </c>
      <c r="AE113" s="32" t="s">
        <v>41</v>
      </c>
      <c r="AF113" s="33" t="s">
        <v>42</v>
      </c>
      <c r="AG113" s="34">
        <v>9</v>
      </c>
      <c r="AH113" s="35">
        <v>117976</v>
      </c>
      <c r="AI113" s="35">
        <v>1568</v>
      </c>
      <c r="AJ113" s="35">
        <v>1841</v>
      </c>
      <c r="AK113" s="36">
        <v>280</v>
      </c>
      <c r="AL113" s="36">
        <v>309</v>
      </c>
    </row>
    <row r="114">
      <c r="A114" s="15"/>
      <c r="B114" s="16" t="s">
        <v>68</v>
      </c>
      <c r="C114" s="17" t="s">
        <v>46</v>
      </c>
      <c r="D114" s="18">
        <f t="shared" si="373"/>
      </c>
      <c r="E114" s="17">
        <v>910.85</v>
      </c>
      <c r="F114" s="20">
        <v>9052.76</v>
      </c>
      <c r="G114" s="20">
        <v>0</v>
      </c>
      <c r="H114" s="20">
        <v>0</v>
      </c>
      <c r="I114" s="20">
        <f t="shared" si="464"/>
      </c>
      <c r="J114" s="21">
        <f>392.04+970.92</f>
      </c>
      <c r="K114" s="22">
        <f t="shared" si="555"/>
      </c>
      <c r="L114" s="22">
        <f t="shared" si="225"/>
      </c>
      <c r="M114" s="23">
        <f t="shared" si="300"/>
      </c>
      <c r="N114" s="24">
        <f t="shared" si="319"/>
      </c>
      <c r="O114" s="25">
        <f t="shared" si="338"/>
      </c>
      <c r="P114" s="26">
        <f t="shared" si="23"/>
      </c>
      <c r="Q114" s="26">
        <f t="shared" si="42"/>
      </c>
      <c r="R114" s="26">
        <f t="shared" si="61"/>
      </c>
      <c r="S114" s="27">
        <f t="shared" si="80"/>
      </c>
      <c r="T114" s="28">
        <f t="shared" si="630"/>
      </c>
      <c r="U114" s="26">
        <f t="shared" si="668"/>
      </c>
      <c r="V114" s="29">
        <f t="shared" si="649"/>
      </c>
      <c r="W114" s="29">
        <f t="shared" si="687"/>
      </c>
      <c r="X114" s="26">
        <f t="shared" si="4"/>
      </c>
      <c r="Y114" s="30">
        <f t="shared" si="115"/>
      </c>
      <c r="Z114" s="30">
        <v>8</v>
      </c>
      <c r="AA114" s="30">
        <v>15</v>
      </c>
      <c r="AB114" s="31">
        <f>24350.64+4950.36+1797.12</f>
      </c>
      <c r="AC114" s="31">
        <v>584</v>
      </c>
      <c r="AD114" s="27">
        <f t="shared" si="190"/>
      </c>
      <c r="AE114" s="32" t="s">
        <v>41</v>
      </c>
      <c r="AF114" s="33" t="s">
        <v>42</v>
      </c>
      <c r="AG114" s="34">
        <v>11</v>
      </c>
      <c r="AH114" s="35">
        <v>128063</v>
      </c>
      <c r="AI114" s="35">
        <v>1422</v>
      </c>
      <c r="AJ114" s="35">
        <v>1638</v>
      </c>
      <c r="AK114" s="34">
        <v>227</v>
      </c>
      <c r="AL114" s="34">
        <v>273</v>
      </c>
    </row>
    <row r="115">
      <c r="A115" s="15"/>
      <c r="B115" s="38" t="s">
        <v>47</v>
      </c>
      <c r="C115" s="39">
        <v>5</v>
      </c>
      <c r="D115" s="40">
        <f>SUM(D110:D114)</f>
      </c>
      <c r="E115" s="40">
        <f>SUM(E110:E114)</f>
      </c>
      <c r="F115" s="40">
        <f>SUM(F110:F114)</f>
      </c>
      <c r="G115" s="40">
        <f>SUM(G110:G114)</f>
      </c>
      <c r="H115" s="40">
        <f>SUM(H110:H114)</f>
      </c>
      <c r="I115" s="40">
        <f>SUM(I110:I114)</f>
      </c>
      <c r="J115" s="40">
        <f>SUM(J110:J114)</f>
      </c>
      <c r="K115" s="40">
        <f>SUM(K110:K114)</f>
      </c>
      <c r="L115" s="40">
        <f>SUM(L110:L114)</f>
      </c>
      <c r="M115" s="41">
        <f t="shared" si="300"/>
      </c>
      <c r="N115" s="42">
        <f t="shared" si="319"/>
      </c>
      <c r="O115" s="42">
        <f t="shared" si="338"/>
      </c>
      <c r="P115" s="43">
        <f t="shared" si="23"/>
      </c>
      <c r="Q115" s="43">
        <f t="shared" si="42"/>
      </c>
      <c r="R115" s="43">
        <f t="shared" si="61"/>
      </c>
      <c r="S115" s="44">
        <f t="shared" si="80"/>
      </c>
      <c r="T115" s="44">
        <f t="shared" si="630"/>
      </c>
      <c r="U115" s="43">
        <f t="shared" si="668"/>
      </c>
      <c r="V115" s="44">
        <f t="shared" si="649"/>
      </c>
      <c r="W115" s="44">
        <f t="shared" si="687"/>
      </c>
      <c r="X115" s="43">
        <f t="shared" si="4"/>
      </c>
      <c r="Y115" s="40">
        <f>SUM(Y110:Y114)</f>
      </c>
      <c r="Z115" s="40">
        <f>SUM(Z110:Z114)</f>
      </c>
      <c r="AA115" s="40">
        <f>SUM(AA110:AA114)</f>
      </c>
      <c r="AB115" s="40">
        <f>SUM(AB110:AB114)</f>
      </c>
      <c r="AC115" s="40">
        <f>SUM(AC110:AC114)</f>
      </c>
      <c r="AD115" s="45">
        <f t="shared" si="190"/>
      </c>
      <c r="AE115" s="46"/>
      <c r="AF115" s="47"/>
      <c r="AG115" s="40">
        <f>SUM(AG110:AG114)</f>
      </c>
      <c r="AH115" s="40">
        <f>SUM(AH110:AH114)</f>
      </c>
      <c r="AI115" s="40">
        <f>SUM(AI110:AI114)</f>
      </c>
      <c r="AJ115" s="40">
        <f>SUM(AJ110:AJ114)</f>
      </c>
      <c r="AK115" s="40">
        <f>SUM(AK110:AK114)</f>
      </c>
      <c r="AL115" s="40">
        <f>SUM(AL110:AL114)</f>
      </c>
    </row>
    <row r="116">
      <c r="A116" s="15"/>
      <c r="B116" s="16" t="s">
        <v>39</v>
      </c>
      <c r="C116" s="17" t="s">
        <v>49</v>
      </c>
      <c r="D116" s="18">
        <f t="shared" ref="D116:D120" si="374">E116+F116+G116+H116</f>
      </c>
      <c r="E116" s="19">
        <v>669.88</v>
      </c>
      <c r="F116" s="20">
        <v>8553.14</v>
      </c>
      <c r="G116" s="20">
        <v>0</v>
      </c>
      <c r="H116" s="20">
        <v>0</v>
      </c>
      <c r="I116" s="20">
        <f t="shared" ref="I116:I120" si="465">AB116+AC116</f>
      </c>
      <c r="J116" s="21">
        <v>1398</v>
      </c>
      <c r="K116" s="22">
        <f t="shared" ref="K116:K120" si="556">I116-J116</f>
      </c>
      <c r="L116" s="22">
        <f t="shared" ref="L116:L120" si="226">(I116-AC116)/12+AC116</f>
      </c>
      <c r="M116" s="23">
        <f t="shared" si="300"/>
      </c>
      <c r="N116" s="24">
        <f t="shared" si="319"/>
      </c>
      <c r="O116" s="25">
        <f t="shared" si="338"/>
      </c>
      <c r="P116" s="26">
        <f t="shared" si="23"/>
      </c>
      <c r="Q116" s="26">
        <f t="shared" si="42"/>
      </c>
      <c r="R116" s="26">
        <f t="shared" si="61"/>
      </c>
      <c r="S116" s="27">
        <f t="shared" si="80"/>
      </c>
      <c r="T116" s="28">
        <f t="shared" si="630"/>
      </c>
      <c r="U116" s="26">
        <f t="shared" si="668"/>
      </c>
      <c r="V116" s="29">
        <f t="shared" si="649"/>
      </c>
      <c r="W116" s="29">
        <f t="shared" si="687"/>
      </c>
      <c r="X116" s="26">
        <f t="shared" si="4"/>
      </c>
      <c r="Y116" s="30">
        <f t="shared" ref="Y116:Y120" si="116">Z116+AA116</f>
      </c>
      <c r="Z116" s="30">
        <v>8</v>
      </c>
      <c r="AA116" s="30">
        <v>4</v>
      </c>
      <c r="AB116" s="31">
        <v>8295.48000000001</v>
      </c>
      <c r="AC116" s="31">
        <v>1398</v>
      </c>
      <c r="AD116" s="27">
        <f t="shared" si="190"/>
      </c>
      <c r="AE116" s="32" t="s">
        <v>41</v>
      </c>
      <c r="AF116" s="33" t="s">
        <v>42</v>
      </c>
      <c r="AG116" s="34">
        <v>4</v>
      </c>
      <c r="AH116" s="35">
        <v>119536</v>
      </c>
      <c r="AI116" s="35">
        <v>1361</v>
      </c>
      <c r="AJ116" s="35">
        <v>1491</v>
      </c>
      <c r="AK116" s="34">
        <v>224</v>
      </c>
      <c r="AL116" s="34">
        <v>261</v>
      </c>
    </row>
    <row r="117">
      <c r="A117" s="15"/>
      <c r="B117" s="16" t="s">
        <v>39</v>
      </c>
      <c r="C117" s="17" t="s">
        <v>50</v>
      </c>
      <c r="D117" s="18">
        <f t="shared" si="374"/>
      </c>
      <c r="E117" s="17">
        <v>454.78</v>
      </c>
      <c r="F117" s="20">
        <v>7600.81</v>
      </c>
      <c r="G117" s="20">
        <v>0</v>
      </c>
      <c r="H117" s="20">
        <v>0</v>
      </c>
      <c r="I117" s="20">
        <f t="shared" si="465"/>
      </c>
      <c r="J117" s="21">
        <f>708.48+1591.92</f>
      </c>
      <c r="K117" s="22">
        <f t="shared" si="556"/>
      </c>
      <c r="L117" s="22">
        <f t="shared" si="226"/>
      </c>
      <c r="M117" s="23">
        <f t="shared" si="300"/>
      </c>
      <c r="N117" s="24">
        <f t="shared" si="319"/>
      </c>
      <c r="O117" s="25">
        <f t="shared" si="338"/>
      </c>
      <c r="P117" s="26">
        <f t="shared" si="23"/>
      </c>
      <c r="Q117" s="26">
        <f t="shared" si="42"/>
      </c>
      <c r="R117" s="26">
        <f t="shared" si="61"/>
      </c>
      <c r="S117" s="27">
        <f t="shared" si="80"/>
      </c>
      <c r="T117" s="28">
        <f t="shared" si="630"/>
      </c>
      <c r="U117" s="26">
        <f t="shared" si="668"/>
      </c>
      <c r="V117" s="29">
        <f t="shared" si="649"/>
      </c>
      <c r="W117" s="29">
        <f t="shared" si="687"/>
      </c>
      <c r="X117" s="26">
        <f t="shared" si="4"/>
      </c>
      <c r="Y117" s="30">
        <f t="shared" si="116"/>
      </c>
      <c r="Z117" s="30">
        <v>2</v>
      </c>
      <c r="AA117" s="30">
        <v>4</v>
      </c>
      <c r="AB117" s="31">
        <v>10066.559999999998</v>
      </c>
      <c r="AC117" s="31">
        <v>0</v>
      </c>
      <c r="AD117" s="27">
        <f t="shared" si="190"/>
      </c>
      <c r="AE117" s="32" t="s">
        <v>41</v>
      </c>
      <c r="AF117" s="33" t="s">
        <v>42</v>
      </c>
      <c r="AG117" s="34">
        <v>4</v>
      </c>
      <c r="AH117" s="35">
        <v>129464</v>
      </c>
      <c r="AI117" s="35">
        <v>1377</v>
      </c>
      <c r="AJ117" s="35">
        <v>1468</v>
      </c>
      <c r="AK117" s="36">
        <v>189</v>
      </c>
      <c r="AL117" s="36">
        <v>246</v>
      </c>
    </row>
    <row r="118">
      <c r="A118" s="15"/>
      <c r="B118" s="16" t="s">
        <v>39</v>
      </c>
      <c r="C118" s="17" t="s">
        <v>51</v>
      </c>
      <c r="D118" s="18">
        <f t="shared" si="374"/>
      </c>
      <c r="E118" s="17">
        <v>971.04</v>
      </c>
      <c r="F118" s="17">
        <v>6166.74</v>
      </c>
      <c r="G118" s="20">
        <v>0</v>
      </c>
      <c r="H118" s="20">
        <v>0</v>
      </c>
      <c r="I118" s="20">
        <f t="shared" si="465"/>
      </c>
      <c r="J118" s="21">
        <v>0</v>
      </c>
      <c r="K118" s="22">
        <f t="shared" si="556"/>
      </c>
      <c r="L118" s="22">
        <f t="shared" si="226"/>
      </c>
      <c r="M118" s="23">
        <f t="shared" si="300"/>
      </c>
      <c r="N118" s="24">
        <f t="shared" si="319"/>
      </c>
      <c r="O118" s="25">
        <f t="shared" si="338"/>
      </c>
      <c r="P118" s="26">
        <f t="shared" si="23"/>
      </c>
      <c r="Q118" s="26">
        <f t="shared" si="42"/>
      </c>
      <c r="R118" s="26">
        <f t="shared" si="61"/>
      </c>
      <c r="S118" s="27">
        <f t="shared" si="80"/>
      </c>
      <c r="T118" s="28">
        <f t="shared" si="630"/>
      </c>
      <c r="U118" s="26">
        <f t="shared" si="668"/>
      </c>
      <c r="V118" s="29">
        <f t="shared" si="649"/>
      </c>
      <c r="W118" s="29">
        <f t="shared" si="687"/>
      </c>
      <c r="X118" s="26">
        <f t="shared" si="4"/>
      </c>
      <c r="Y118" s="30">
        <f t="shared" si="116"/>
      </c>
      <c r="Z118" s="30">
        <v>6</v>
      </c>
      <c r="AA118" s="30">
        <v>5</v>
      </c>
      <c r="AB118" s="31">
        <v>12776.4</v>
      </c>
      <c r="AC118" s="69">
        <v>0</v>
      </c>
      <c r="AD118" s="27">
        <f t="shared" si="190"/>
      </c>
      <c r="AE118" s="32" t="s">
        <v>41</v>
      </c>
      <c r="AF118" s="33" t="s">
        <v>42</v>
      </c>
      <c r="AG118" s="36">
        <v>4</v>
      </c>
      <c r="AH118" s="35">
        <v>99570</v>
      </c>
      <c r="AI118" s="35">
        <v>1494</v>
      </c>
      <c r="AJ118" s="35">
        <v>1675</v>
      </c>
      <c r="AK118" s="36">
        <v>177</v>
      </c>
      <c r="AL118" s="36">
        <v>203</v>
      </c>
    </row>
    <row r="119">
      <c r="A119" s="15"/>
      <c r="B119" s="16" t="s">
        <v>39</v>
      </c>
      <c r="C119" s="17" t="s">
        <v>52</v>
      </c>
      <c r="D119" s="18">
        <f t="shared" si="374"/>
      </c>
      <c r="E119" s="17">
        <v>478.07</v>
      </c>
      <c r="F119" s="20">
        <v>5694.77</v>
      </c>
      <c r="G119" s="20">
        <v>0</v>
      </c>
      <c r="H119" s="20">
        <v>0</v>
      </c>
      <c r="I119" s="20">
        <f t="shared" si="465"/>
      </c>
      <c r="J119" s="21">
        <f>4691.52+708.48</f>
      </c>
      <c r="K119" s="22">
        <f t="shared" si="556"/>
      </c>
      <c r="L119" s="22">
        <f t="shared" si="226"/>
      </c>
      <c r="M119" s="23">
        <f t="shared" si="300"/>
      </c>
      <c r="N119" s="24">
        <f t="shared" si="319"/>
      </c>
      <c r="O119" s="25">
        <f t="shared" si="338"/>
      </c>
      <c r="P119" s="26">
        <f t="shared" si="23"/>
      </c>
      <c r="Q119" s="26">
        <f t="shared" si="42"/>
      </c>
      <c r="R119" s="26">
        <f t="shared" si="61"/>
      </c>
      <c r="S119" s="27">
        <f t="shared" si="80"/>
      </c>
      <c r="T119" s="28">
        <f t="shared" si="630"/>
      </c>
      <c r="U119" s="26">
        <f t="shared" si="668"/>
      </c>
      <c r="V119" s="29">
        <f t="shared" si="649"/>
      </c>
      <c r="W119" s="29">
        <f t="shared" si="687"/>
      </c>
      <c r="X119" s="26">
        <f t="shared" si="4"/>
      </c>
      <c r="Y119" s="30">
        <f t="shared" si="116"/>
      </c>
      <c r="Z119" s="30">
        <v>7</v>
      </c>
      <c r="AA119" s="30">
        <v>7</v>
      </c>
      <c r="AB119" s="70">
        <f>26576.64+708.48</f>
      </c>
      <c r="AC119" s="71">
        <v>0</v>
      </c>
      <c r="AD119" s="72">
        <f t="shared" si="190"/>
      </c>
      <c r="AE119" s="32" t="s">
        <v>41</v>
      </c>
      <c r="AF119" s="33" t="s">
        <v>42</v>
      </c>
      <c r="AG119" s="34">
        <v>6</v>
      </c>
      <c r="AH119" s="35">
        <v>84828</v>
      </c>
      <c r="AI119" s="35">
        <v>1137</v>
      </c>
      <c r="AJ119" s="35">
        <v>1349</v>
      </c>
      <c r="AK119" s="36">
        <v>191</v>
      </c>
      <c r="AL119" s="36">
        <v>208</v>
      </c>
    </row>
    <row r="120">
      <c r="A120" s="15"/>
      <c r="B120" s="16" t="s">
        <v>39</v>
      </c>
      <c r="C120" s="17" t="s">
        <v>54</v>
      </c>
      <c r="D120" s="18">
        <f t="shared" si="374"/>
      </c>
      <c r="E120" s="17">
        <v>849.99</v>
      </c>
      <c r="F120" s="20">
        <v>7453.8</v>
      </c>
      <c r="G120" s="20">
        <v>0</v>
      </c>
      <c r="H120" s="20">
        <v>0</v>
      </c>
      <c r="I120" s="20">
        <f t="shared" si="465"/>
      </c>
      <c r="J120" s="21">
        <v>0</v>
      </c>
      <c r="K120" s="22">
        <f t="shared" si="556"/>
      </c>
      <c r="L120" s="22">
        <f t="shared" si="226"/>
      </c>
      <c r="M120" s="23">
        <f t="shared" si="300"/>
      </c>
      <c r="N120" s="24">
        <f t="shared" si="319"/>
      </c>
      <c r="O120" s="25">
        <f t="shared" si="338"/>
      </c>
      <c r="P120" s="26">
        <f t="shared" si="23"/>
      </c>
      <c r="Q120" s="26">
        <f t="shared" si="42"/>
      </c>
      <c r="R120" s="26">
        <f t="shared" si="61"/>
      </c>
      <c r="S120" s="27">
        <f t="shared" si="80"/>
      </c>
      <c r="T120" s="28">
        <f t="shared" si="630"/>
      </c>
      <c r="U120" s="26">
        <f t="shared" si="668"/>
      </c>
      <c r="V120" s="29">
        <f t="shared" si="649"/>
      </c>
      <c r="W120" s="29">
        <f t="shared" si="687"/>
      </c>
      <c r="X120" s="26">
        <f t="shared" si="4"/>
      </c>
      <c r="Y120" s="30">
        <f t="shared" si="116"/>
      </c>
      <c r="Z120" s="30">
        <v>4</v>
      </c>
      <c r="AA120" s="30">
        <v>11</v>
      </c>
      <c r="AB120" s="70">
        <v>14950.560000000027</v>
      </c>
      <c r="AC120" s="73">
        <v>0</v>
      </c>
      <c r="AD120" s="72">
        <f t="shared" si="190"/>
      </c>
      <c r="AE120" s="32" t="s">
        <v>41</v>
      </c>
      <c r="AF120" s="33" t="s">
        <v>42</v>
      </c>
      <c r="AG120" s="34">
        <v>8</v>
      </c>
      <c r="AH120" s="35">
        <v>126533</v>
      </c>
      <c r="AI120" s="35">
        <v>1676</v>
      </c>
      <c r="AJ120" s="35">
        <v>1916</v>
      </c>
      <c r="AK120" s="36">
        <v>244</v>
      </c>
      <c r="AL120" s="36">
        <v>295</v>
      </c>
    </row>
    <row r="121">
      <c r="A121" s="15"/>
      <c r="B121" s="38" t="s">
        <v>47</v>
      </c>
      <c r="C121" s="39">
        <v>5</v>
      </c>
      <c r="D121" s="40">
        <f>SUM(D116:D120)</f>
      </c>
      <c r="E121" s="40">
        <f>SUM(E116:E120)</f>
      </c>
      <c r="F121" s="40">
        <f>SUM(F116:F120)</f>
      </c>
      <c r="G121" s="40">
        <f>SUM(G116:G120)</f>
      </c>
      <c r="H121" s="40">
        <f>SUM(H116:H120)</f>
      </c>
      <c r="I121" s="40">
        <f>SUM(I116:I120)</f>
      </c>
      <c r="J121" s="40">
        <f>SUM(J116:J120)</f>
      </c>
      <c r="K121" s="40">
        <f>SUM(K116:K120)</f>
      </c>
      <c r="L121" s="40">
        <f>SUM(L116:L120)</f>
      </c>
      <c r="M121" s="41">
        <f t="shared" si="300"/>
      </c>
      <c r="N121" s="42">
        <f t="shared" si="319"/>
      </c>
      <c r="O121" s="42">
        <f t="shared" si="338"/>
      </c>
      <c r="P121" s="43">
        <f t="shared" si="23"/>
      </c>
      <c r="Q121" s="43">
        <f t="shared" si="42"/>
      </c>
      <c r="R121" s="43">
        <f t="shared" si="61"/>
      </c>
      <c r="S121" s="44">
        <f t="shared" si="80"/>
      </c>
      <c r="T121" s="44">
        <f t="shared" si="630"/>
      </c>
      <c r="U121" s="43">
        <f t="shared" si="668"/>
      </c>
      <c r="V121" s="44">
        <f t="shared" si="649"/>
      </c>
      <c r="W121" s="44">
        <f t="shared" si="687"/>
      </c>
      <c r="X121" s="43">
        <f t="shared" si="4"/>
      </c>
      <c r="Y121" s="40">
        <f>SUM(Y116:Y120)</f>
      </c>
      <c r="Z121" s="40">
        <f>SUM(Z116:Z120)</f>
      </c>
      <c r="AA121" s="40">
        <f>SUM(AA116:AA120)</f>
      </c>
      <c r="AB121" s="40">
        <f>SUM(AB116:AB120)</f>
      </c>
      <c r="AC121" s="40">
        <f>SUM(AC116:AC120)</f>
      </c>
      <c r="AD121" s="45">
        <f t="shared" si="190"/>
      </c>
      <c r="AE121" s="46"/>
      <c r="AF121" s="47"/>
      <c r="AG121" s="40">
        <f>SUM(AG116:AG120)</f>
      </c>
      <c r="AH121" s="40">
        <f>SUM(AH116:AH120)</f>
      </c>
      <c r="AI121" s="40">
        <f>SUM(AI116:AI120)</f>
      </c>
      <c r="AJ121" s="40">
        <f>SUM(AJ116:AJ120)</f>
      </c>
      <c r="AK121" s="40">
        <f>SUM(AK116:AK120)</f>
      </c>
      <c r="AL121" s="40">
        <f>SUM(AL116:AL120)</f>
      </c>
    </row>
    <row r="122">
      <c r="A122" s="15"/>
      <c r="B122" s="16" t="s">
        <v>53</v>
      </c>
      <c r="C122" s="17" t="s">
        <v>55</v>
      </c>
      <c r="D122" s="18">
        <f t="shared" ref="D122:D123" si="375">E122+F122+G122+H122</f>
      </c>
      <c r="E122" s="17">
        <v>966.1</v>
      </c>
      <c r="F122" s="49">
        <v>7713.21</v>
      </c>
      <c r="G122" s="20">
        <v>0</v>
      </c>
      <c r="H122" s="20">
        <v>0</v>
      </c>
      <c r="I122" s="50">
        <f t="shared" ref="I122:I123" si="466">AB122+AC122</f>
      </c>
      <c r="J122" s="51">
        <f>3532.68+1494.72</f>
      </c>
      <c r="K122" s="22">
        <f t="shared" ref="K122:K123" si="557">I122-J122</f>
      </c>
      <c r="L122" s="22">
        <f t="shared" ref="L122:L123" si="227">(I122-AC122)/12+AC122</f>
      </c>
      <c r="M122" s="23">
        <f t="shared" si="300"/>
      </c>
      <c r="N122" s="24">
        <f t="shared" si="319"/>
      </c>
      <c r="O122" s="25">
        <f t="shared" si="338"/>
      </c>
      <c r="P122" s="26">
        <f t="shared" si="23"/>
      </c>
      <c r="Q122" s="26">
        <f t="shared" si="42"/>
      </c>
      <c r="R122" s="26">
        <f t="shared" si="61"/>
      </c>
      <c r="S122" s="27">
        <f t="shared" si="80"/>
      </c>
      <c r="T122" s="28">
        <f t="shared" si="630"/>
      </c>
      <c r="U122" s="26">
        <f t="shared" si="668"/>
      </c>
      <c r="V122" s="29">
        <f t="shared" si="649"/>
      </c>
      <c r="W122" s="29">
        <f t="shared" si="687"/>
      </c>
      <c r="X122" s="26">
        <f t="shared" si="4"/>
      </c>
      <c r="Y122" s="30">
        <f t="shared" ref="Y122:Y123" si="117">Z122+AA122</f>
      </c>
      <c r="Z122" s="30">
        <v>9</v>
      </c>
      <c r="AA122" s="30">
        <v>12</v>
      </c>
      <c r="AB122" s="31">
        <v>15006.959999999963</v>
      </c>
      <c r="AC122" s="31">
        <v>0</v>
      </c>
      <c r="AD122" s="27">
        <f t="shared" si="190"/>
      </c>
      <c r="AE122" s="32" t="s">
        <v>41</v>
      </c>
      <c r="AF122" s="33" t="s">
        <v>56</v>
      </c>
      <c r="AG122" s="34">
        <v>9</v>
      </c>
      <c r="AH122" s="35">
        <v>120990</v>
      </c>
      <c r="AI122" s="35">
        <v>2121</v>
      </c>
      <c r="AJ122" s="35">
        <v>2307</v>
      </c>
      <c r="AK122" s="36">
        <v>274</v>
      </c>
      <c r="AL122" s="36">
        <v>292</v>
      </c>
    </row>
    <row r="123">
      <c r="A123" s="15"/>
      <c r="B123" s="16" t="s">
        <v>53</v>
      </c>
      <c r="C123" s="17" t="s">
        <v>58</v>
      </c>
      <c r="D123" s="18">
        <f t="shared" si="375"/>
      </c>
      <c r="E123" s="52">
        <v>723.51</v>
      </c>
      <c r="F123" s="53">
        <v>8799.53</v>
      </c>
      <c r="G123" s="54">
        <v>0</v>
      </c>
      <c r="H123" s="20">
        <v>0</v>
      </c>
      <c r="I123" s="55">
        <f t="shared" si="466"/>
      </c>
      <c r="J123" s="51">
        <v>733.32</v>
      </c>
      <c r="K123" s="22">
        <f t="shared" si="557"/>
      </c>
      <c r="L123" s="22">
        <f t="shared" si="227"/>
      </c>
      <c r="M123" s="23">
        <f t="shared" si="300"/>
      </c>
      <c r="N123" s="24">
        <f t="shared" si="319"/>
      </c>
      <c r="O123" s="25">
        <f t="shared" si="338"/>
      </c>
      <c r="P123" s="26">
        <f t="shared" si="23"/>
      </c>
      <c r="Q123" s="26">
        <f t="shared" si="42"/>
      </c>
      <c r="R123" s="26">
        <f t="shared" si="61"/>
      </c>
      <c r="S123" s="27">
        <f t="shared" si="80"/>
      </c>
      <c r="T123" s="28">
        <f t="shared" si="630"/>
      </c>
      <c r="U123" s="26">
        <f t="shared" si="668"/>
      </c>
      <c r="V123" s="29">
        <f t="shared" si="649"/>
      </c>
      <c r="W123" s="29">
        <f t="shared" si="687"/>
      </c>
      <c r="X123" s="26">
        <f t="shared" si="4"/>
      </c>
      <c r="Y123" s="56">
        <f t="shared" si="117"/>
      </c>
      <c r="Z123" s="30">
        <v>8</v>
      </c>
      <c r="AA123" s="30">
        <v>14</v>
      </c>
      <c r="AB123" s="57">
        <v>18547.919999999984</v>
      </c>
      <c r="AC123" s="31">
        <v>2542.8500000000004</v>
      </c>
      <c r="AD123" s="27">
        <f t="shared" si="190"/>
      </c>
      <c r="AE123" s="32" t="s">
        <v>41</v>
      </c>
      <c r="AF123" s="33" t="s">
        <v>56</v>
      </c>
      <c r="AG123" s="36">
        <v>12</v>
      </c>
      <c r="AH123" s="35">
        <v>148839</v>
      </c>
      <c r="AI123" s="35">
        <v>2204</v>
      </c>
      <c r="AJ123" s="35">
        <v>2387</v>
      </c>
      <c r="AK123" s="36">
        <v>265</v>
      </c>
      <c r="AL123" s="36">
        <v>288</v>
      </c>
    </row>
    <row r="124">
      <c r="A124" s="15"/>
      <c r="B124" s="38" t="s">
        <v>47</v>
      </c>
      <c r="C124" s="39">
        <v>2</v>
      </c>
      <c r="D124" s="58">
        <f>SUM(D122:D123)</f>
      </c>
      <c r="E124" s="58">
        <f>SUM(E122:E123)</f>
      </c>
      <c r="F124" s="58">
        <f>SUM(F122:F123)</f>
      </c>
      <c r="G124" s="58">
        <f>SUM(G122:G123)</f>
      </c>
      <c r="H124" s="58">
        <f>SUM(H122:H123)</f>
      </c>
      <c r="I124" s="58">
        <f>SUM(I122:I123)</f>
      </c>
      <c r="J124" s="58">
        <f>SUM(J122:J123)</f>
      </c>
      <c r="K124" s="58">
        <f>SUM(K122:K123)</f>
      </c>
      <c r="L124" s="58">
        <f>SUM(L122:L123)</f>
      </c>
      <c r="M124" s="41">
        <f t="shared" si="300"/>
      </c>
      <c r="N124" s="42">
        <f t="shared" si="319"/>
      </c>
      <c r="O124" s="42">
        <f t="shared" si="338"/>
      </c>
      <c r="P124" s="43">
        <f t="shared" si="23"/>
      </c>
      <c r="Q124" s="43">
        <f t="shared" si="42"/>
      </c>
      <c r="R124" s="43">
        <f t="shared" si="61"/>
      </c>
      <c r="S124" s="44">
        <f t="shared" si="80"/>
      </c>
      <c r="T124" s="44">
        <f t="shared" si="630"/>
      </c>
      <c r="U124" s="43">
        <f t="shared" si="668"/>
      </c>
      <c r="V124" s="44">
        <f t="shared" si="649"/>
      </c>
      <c r="W124" s="44">
        <f t="shared" si="687"/>
      </c>
      <c r="X124" s="43">
        <f t="shared" si="4"/>
      </c>
      <c r="Y124" s="58">
        <f>SUM(Y122:Y123)</f>
      </c>
      <c r="Z124" s="58">
        <f>SUM(Z122:Z123)</f>
      </c>
      <c r="AA124" s="58">
        <f>SUM(AA122:AA123)</f>
      </c>
      <c r="AB124" s="58">
        <f>SUM(AB122:AB123)</f>
      </c>
      <c r="AC124" s="58">
        <f>SUM(AC122:AC123)</f>
      </c>
      <c r="AD124" s="45">
        <f t="shared" si="190"/>
      </c>
      <c r="AE124" s="46"/>
      <c r="AF124" s="47"/>
      <c r="AG124" s="58">
        <f>SUM(AG122:AG123)</f>
      </c>
      <c r="AH124" s="58">
        <f>SUM(AH122:AH123)</f>
      </c>
      <c r="AI124" s="58">
        <f>SUM(AI122:AI123)</f>
      </c>
      <c r="AJ124" s="58">
        <f>SUM(AJ122:AJ123)</f>
      </c>
      <c r="AK124" s="58">
        <f>SUM(AK122:AK123)</f>
      </c>
      <c r="AL124" s="58">
        <f>SUM(AL122:AL123)</f>
      </c>
    </row>
    <row r="125">
      <c r="A125" s="15"/>
      <c r="B125" s="16" t="s">
        <v>48</v>
      </c>
      <c r="C125" s="17" t="s">
        <v>59</v>
      </c>
      <c r="D125" s="18">
        <f t="shared" ref="D125:D128" si="376">E125+F125+G125+H125</f>
      </c>
      <c r="E125" s="17">
        <v>438.02</v>
      </c>
      <c r="F125" s="49">
        <v>11814.93</v>
      </c>
      <c r="G125" s="20">
        <v>0</v>
      </c>
      <c r="H125" s="20">
        <v>0</v>
      </c>
      <c r="I125" s="50">
        <f t="shared" ref="I125:I128" si="467">AB125+AC125</f>
      </c>
      <c r="J125" s="51">
        <v>475.2</v>
      </c>
      <c r="K125" s="22">
        <f t="shared" ref="K125:K128" si="558">I125-J125</f>
      </c>
      <c r="L125" s="22">
        <f t="shared" ref="L125:L128" si="228">(I125-AC125)/12+AC125</f>
      </c>
      <c r="M125" s="23">
        <f t="shared" si="300"/>
      </c>
      <c r="N125" s="24">
        <f t="shared" si="319"/>
      </c>
      <c r="O125" s="25">
        <f t="shared" si="338"/>
      </c>
      <c r="P125" s="26">
        <f t="shared" si="23"/>
      </c>
      <c r="Q125" s="26">
        <f t="shared" si="42"/>
      </c>
      <c r="R125" s="26">
        <f t="shared" si="61"/>
      </c>
      <c r="S125" s="27">
        <f t="shared" si="80"/>
      </c>
      <c r="T125" s="28">
        <f t="shared" si="630"/>
      </c>
      <c r="U125" s="26">
        <f t="shared" si="668"/>
      </c>
      <c r="V125" s="29">
        <f t="shared" si="649"/>
      </c>
      <c r="W125" s="29">
        <f t="shared" si="687"/>
      </c>
      <c r="X125" s="26">
        <f t="shared" si="4"/>
      </c>
      <c r="Y125" s="30">
        <f t="shared" ref="Y125:Y128" si="118">Z125+AA125</f>
      </c>
      <c r="Z125" s="30">
        <v>3</v>
      </c>
      <c r="AA125" s="30">
        <v>11</v>
      </c>
      <c r="AB125" s="31">
        <v>23619.600000000006</v>
      </c>
      <c r="AC125" s="31">
        <v>0</v>
      </c>
      <c r="AD125" s="27">
        <f t="shared" si="190"/>
      </c>
      <c r="AE125" s="32" t="s">
        <v>41</v>
      </c>
      <c r="AF125" s="33" t="s">
        <v>56</v>
      </c>
      <c r="AG125" s="34">
        <v>8</v>
      </c>
      <c r="AH125" s="35">
        <v>228436</v>
      </c>
      <c r="AI125" s="35">
        <v>2651</v>
      </c>
      <c r="AJ125" s="35">
        <v>2806</v>
      </c>
      <c r="AK125" s="36">
        <v>298</v>
      </c>
      <c r="AL125" s="36">
        <v>388</v>
      </c>
    </row>
    <row r="126">
      <c r="A126" s="15"/>
      <c r="B126" s="16" t="s">
        <v>48</v>
      </c>
      <c r="C126" s="52" t="s">
        <v>60</v>
      </c>
      <c r="D126" s="18">
        <f t="shared" si="376"/>
      </c>
      <c r="E126" s="17">
        <v>520.61</v>
      </c>
      <c r="F126" s="49">
        <v>10989.89</v>
      </c>
      <c r="G126" s="20">
        <v>0</v>
      </c>
      <c r="H126" s="20">
        <v>0</v>
      </c>
      <c r="I126" s="50">
        <f t="shared" si="467"/>
      </c>
      <c r="J126" s="51">
        <f>590.76+855.36</f>
      </c>
      <c r="K126" s="22">
        <f t="shared" si="558"/>
      </c>
      <c r="L126" s="22">
        <f t="shared" si="228"/>
      </c>
      <c r="M126" s="23">
        <f t="shared" si="300"/>
      </c>
      <c r="N126" s="24">
        <f t="shared" si="319"/>
      </c>
      <c r="O126" s="25">
        <f t="shared" si="338"/>
      </c>
      <c r="P126" s="26">
        <f t="shared" si="23"/>
      </c>
      <c r="Q126" s="26">
        <f t="shared" si="42"/>
      </c>
      <c r="R126" s="26">
        <f t="shared" si="61"/>
      </c>
      <c r="S126" s="27">
        <f t="shared" si="80"/>
      </c>
      <c r="T126" s="28">
        <f t="shared" si="630"/>
      </c>
      <c r="U126" s="26">
        <f t="shared" si="668"/>
      </c>
      <c r="V126" s="29">
        <f t="shared" si="649"/>
      </c>
      <c r="W126" s="29">
        <f t="shared" si="687"/>
      </c>
      <c r="X126" s="26">
        <f t="shared" si="4"/>
      </c>
      <c r="Y126" s="30">
        <f t="shared" si="118"/>
      </c>
      <c r="Z126" s="30">
        <v>7</v>
      </c>
      <c r="AA126" s="30">
        <v>11</v>
      </c>
      <c r="AB126" s="31">
        <v>14422.319999999978</v>
      </c>
      <c r="AC126" s="31">
        <v>1140</v>
      </c>
      <c r="AD126" s="27">
        <f t="shared" si="190"/>
      </c>
      <c r="AE126" s="32" t="s">
        <v>41</v>
      </c>
      <c r="AF126" s="33" t="s">
        <v>56</v>
      </c>
      <c r="AG126" s="36">
        <v>9</v>
      </c>
      <c r="AH126" s="35">
        <v>232882</v>
      </c>
      <c r="AI126" s="35">
        <v>3010</v>
      </c>
      <c r="AJ126" s="35">
        <v>3176</v>
      </c>
      <c r="AK126" s="36">
        <v>282</v>
      </c>
      <c r="AL126" s="36">
        <v>364</v>
      </c>
    </row>
    <row r="127">
      <c r="A127" s="15"/>
      <c r="B127" s="16" t="s">
        <v>48</v>
      </c>
      <c r="C127" s="52" t="s">
        <v>61</v>
      </c>
      <c r="D127" s="18">
        <f t="shared" si="376"/>
      </c>
      <c r="E127" s="17">
        <v>813.85</v>
      </c>
      <c r="F127" s="49">
        <v>13978.36</v>
      </c>
      <c r="G127" s="20">
        <v>0</v>
      </c>
      <c r="H127" s="20">
        <v>0</v>
      </c>
      <c r="I127" s="50">
        <f t="shared" si="467"/>
      </c>
      <c r="J127" s="51">
        <v>1670.76</v>
      </c>
      <c r="K127" s="22">
        <f t="shared" si="558"/>
      </c>
      <c r="L127" s="22">
        <f t="shared" si="228"/>
      </c>
      <c r="M127" s="23">
        <f t="shared" si="300"/>
      </c>
      <c r="N127" s="24">
        <f t="shared" si="319"/>
      </c>
      <c r="O127" s="25">
        <f t="shared" si="338"/>
      </c>
      <c r="P127" s="26">
        <f t="shared" si="23"/>
      </c>
      <c r="Q127" s="26">
        <f t="shared" si="42"/>
      </c>
      <c r="R127" s="26">
        <f t="shared" si="61"/>
      </c>
      <c r="S127" s="27">
        <f t="shared" si="80"/>
      </c>
      <c r="T127" s="28">
        <f t="shared" si="630"/>
      </c>
      <c r="U127" s="26">
        <f t="shared" si="668"/>
      </c>
      <c r="V127" s="29">
        <f t="shared" si="649"/>
      </c>
      <c r="W127" s="29">
        <f t="shared" si="687"/>
      </c>
      <c r="X127" s="26">
        <f t="shared" si="4"/>
      </c>
      <c r="Y127" s="30">
        <f t="shared" si="118"/>
      </c>
      <c r="Z127" s="30">
        <v>11</v>
      </c>
      <c r="AA127" s="30">
        <v>8</v>
      </c>
      <c r="AB127" s="31">
        <v>8700.840000000026</v>
      </c>
      <c r="AC127" s="31">
        <v>656</v>
      </c>
      <c r="AD127" s="27">
        <f t="shared" si="190"/>
      </c>
      <c r="AE127" s="32" t="s">
        <v>41</v>
      </c>
      <c r="AF127" s="33" t="s">
        <v>56</v>
      </c>
      <c r="AG127" s="34">
        <v>8</v>
      </c>
      <c r="AH127" s="35">
        <v>337425</v>
      </c>
      <c r="AI127" s="35">
        <v>3479</v>
      </c>
      <c r="AJ127" s="35">
        <v>3721</v>
      </c>
      <c r="AK127" s="36">
        <v>367</v>
      </c>
      <c r="AL127" s="34">
        <v>380</v>
      </c>
    </row>
    <row r="128">
      <c r="A128" s="15"/>
      <c r="B128" s="16" t="s">
        <v>48</v>
      </c>
      <c r="C128" s="52" t="s">
        <v>63</v>
      </c>
      <c r="D128" s="18">
        <f t="shared" si="376"/>
      </c>
      <c r="E128" s="17">
        <v>1187.62</v>
      </c>
      <c r="F128" s="49">
        <v>12923.73</v>
      </c>
      <c r="G128" s="20">
        <v>0</v>
      </c>
      <c r="H128" s="20">
        <v>0</v>
      </c>
      <c r="I128" s="50">
        <f t="shared" si="467"/>
      </c>
      <c r="J128" s="51">
        <v>1159.92</v>
      </c>
      <c r="K128" s="22">
        <f t="shared" si="558"/>
      </c>
      <c r="L128" s="22">
        <f t="shared" si="228"/>
      </c>
      <c r="M128" s="23">
        <f t="shared" si="300"/>
      </c>
      <c r="N128" s="24">
        <f t="shared" si="319"/>
      </c>
      <c r="O128" s="25">
        <f t="shared" si="338"/>
      </c>
      <c r="P128" s="26">
        <f t="shared" si="23"/>
      </c>
      <c r="Q128" s="26">
        <f t="shared" si="42"/>
      </c>
      <c r="R128" s="26">
        <f t="shared" si="61"/>
      </c>
      <c r="S128" s="27">
        <f t="shared" si="80"/>
      </c>
      <c r="T128" s="28">
        <f t="shared" si="630"/>
      </c>
      <c r="U128" s="26">
        <f t="shared" si="668"/>
      </c>
      <c r="V128" s="29">
        <f t="shared" si="649"/>
      </c>
      <c r="W128" s="29">
        <f t="shared" si="687"/>
      </c>
      <c r="X128" s="26">
        <f t="shared" si="4"/>
      </c>
      <c r="Y128" s="30">
        <f t="shared" si="118"/>
      </c>
      <c r="Z128" s="30">
        <v>11</v>
      </c>
      <c r="AA128" s="30">
        <v>11</v>
      </c>
      <c r="AB128" s="31">
        <v>19581.23999999999</v>
      </c>
      <c r="AC128" s="31">
        <v>0</v>
      </c>
      <c r="AD128" s="27">
        <f t="shared" si="190"/>
      </c>
      <c r="AE128" s="32" t="s">
        <v>41</v>
      </c>
      <c r="AF128" s="33" t="s">
        <v>56</v>
      </c>
      <c r="AG128" s="34">
        <v>11</v>
      </c>
      <c r="AH128" s="35">
        <v>269204</v>
      </c>
      <c r="AI128" s="35">
        <v>3657</v>
      </c>
      <c r="AJ128" s="35">
        <v>3977</v>
      </c>
      <c r="AK128" s="36">
        <v>358</v>
      </c>
      <c r="AL128" s="34">
        <v>413</v>
      </c>
    </row>
    <row r="129">
      <c r="A129" s="15"/>
      <c r="B129" s="38" t="s">
        <v>47</v>
      </c>
      <c r="C129" s="39">
        <v>4</v>
      </c>
      <c r="D129" s="40">
        <f>SUM(D125:D128)</f>
      </c>
      <c r="E129" s="40">
        <f>SUM(E125:E128)</f>
      </c>
      <c r="F129" s="40">
        <f>SUM(F125:F128)</f>
      </c>
      <c r="G129" s="40">
        <f>SUM(G125:G128)</f>
      </c>
      <c r="H129" s="40">
        <f>SUM(H125:H128)</f>
      </c>
      <c r="I129" s="40">
        <f>SUM(I125:I128)</f>
      </c>
      <c r="J129" s="40">
        <f>SUM(J125:J128)</f>
      </c>
      <c r="K129" s="40">
        <f>SUM(K125:K128)</f>
      </c>
      <c r="L129" s="40">
        <f>SUM(L125:L128)</f>
      </c>
      <c r="M129" s="41">
        <f t="shared" si="300"/>
      </c>
      <c r="N129" s="42">
        <f t="shared" si="319"/>
      </c>
      <c r="O129" s="42">
        <f t="shared" si="338"/>
      </c>
      <c r="P129" s="43">
        <f t="shared" si="23"/>
      </c>
      <c r="Q129" s="43">
        <f t="shared" si="42"/>
      </c>
      <c r="R129" s="43">
        <f t="shared" si="61"/>
      </c>
      <c r="S129" s="44">
        <f t="shared" si="80"/>
      </c>
      <c r="T129" s="44">
        <f t="shared" si="630"/>
      </c>
      <c r="U129" s="43">
        <f t="shared" si="668"/>
      </c>
      <c r="V129" s="44">
        <f t="shared" si="649"/>
      </c>
      <c r="W129" s="44">
        <f t="shared" si="687"/>
      </c>
      <c r="X129" s="43">
        <f t="shared" si="4"/>
      </c>
      <c r="Y129" s="40">
        <f>SUM(Y125:Y128)</f>
      </c>
      <c r="Z129" s="40">
        <f>SUM(Z125:Z128)</f>
      </c>
      <c r="AA129" s="40">
        <f>SUM(AA125:AA128)</f>
      </c>
      <c r="AB129" s="40">
        <f>SUM(AB125:AB128)</f>
      </c>
      <c r="AC129" s="40">
        <f>SUM(AC125:AC128)</f>
      </c>
      <c r="AD129" s="45">
        <f t="shared" si="190"/>
      </c>
      <c r="AE129" s="46"/>
      <c r="AF129" s="47"/>
      <c r="AG129" s="40">
        <f>SUM(AG125:AG128)</f>
      </c>
      <c r="AH129" s="40">
        <f>SUM(AH125:AH128)</f>
      </c>
      <c r="AI129" s="40">
        <f>SUM(AI125:AI128)</f>
      </c>
      <c r="AJ129" s="40">
        <f>SUM(AJ125:AJ128)</f>
      </c>
      <c r="AK129" s="40">
        <f>SUM(AK125:AK128)</f>
      </c>
      <c r="AL129" s="40">
        <f>SUM(AL125:AL128)</f>
      </c>
    </row>
    <row r="130">
      <c r="A130" s="15"/>
      <c r="B130" s="16" t="s">
        <v>57</v>
      </c>
      <c r="C130" s="17" t="s">
        <v>64</v>
      </c>
      <c r="D130" s="18">
        <f t="shared" ref="D130:D133" si="377">E130+F130+G130+H130</f>
      </c>
      <c r="E130" s="17">
        <v>1202.17</v>
      </c>
      <c r="F130" s="20">
        <v>10797.66</v>
      </c>
      <c r="G130" s="20">
        <v>0</v>
      </c>
      <c r="H130" s="20">
        <v>0</v>
      </c>
      <c r="I130" s="20">
        <f t="shared" ref="I130:I133" si="468">AB130+AC130</f>
      </c>
      <c r="J130" s="21">
        <v>0</v>
      </c>
      <c r="K130" s="22">
        <f t="shared" ref="K130:K133" si="559">I130-J130</f>
      </c>
      <c r="L130" s="22">
        <f t="shared" ref="L130:L133" si="229">(I130-AC130)/12+AC130</f>
      </c>
      <c r="M130" s="23">
        <f t="shared" si="300"/>
      </c>
      <c r="N130" s="24">
        <f t="shared" si="319"/>
      </c>
      <c r="O130" s="25">
        <f t="shared" si="338"/>
      </c>
      <c r="P130" s="26">
        <f t="shared" si="23"/>
      </c>
      <c r="Q130" s="26">
        <f t="shared" si="42"/>
      </c>
      <c r="R130" s="26">
        <f t="shared" si="61"/>
      </c>
      <c r="S130" s="27">
        <f t="shared" si="80"/>
      </c>
      <c r="T130" s="28">
        <f t="shared" si="630"/>
      </c>
      <c r="U130" s="26">
        <f t="shared" si="668"/>
      </c>
      <c r="V130" s="29">
        <f t="shared" si="649"/>
      </c>
      <c r="W130" s="29">
        <f t="shared" si="687"/>
      </c>
      <c r="X130" s="26">
        <f t="shared" si="4"/>
      </c>
      <c r="Y130" s="30">
        <f t="shared" ref="Y130:Y133" si="119">Z130+AA130</f>
      </c>
      <c r="Z130" s="30">
        <v>4</v>
      </c>
      <c r="AA130" s="30">
        <v>7</v>
      </c>
      <c r="AB130" s="31">
        <v>13688.640000000014</v>
      </c>
      <c r="AC130" s="31">
        <v>0</v>
      </c>
      <c r="AD130" s="27">
        <f t="shared" si="190"/>
      </c>
      <c r="AE130" s="32" t="s">
        <v>41</v>
      </c>
      <c r="AF130" s="33" t="s">
        <v>56</v>
      </c>
      <c r="AG130" s="34">
        <v>6</v>
      </c>
      <c r="AH130" s="35">
        <v>268570</v>
      </c>
      <c r="AI130" s="35">
        <v>3445</v>
      </c>
      <c r="AJ130" s="35">
        <v>3815</v>
      </c>
      <c r="AK130" s="36">
        <v>355</v>
      </c>
      <c r="AL130" s="36">
        <v>204</v>
      </c>
    </row>
    <row r="131">
      <c r="A131" s="15"/>
      <c r="B131" s="16" t="s">
        <v>57</v>
      </c>
      <c r="C131" s="52" t="s">
        <v>65</v>
      </c>
      <c r="D131" s="18">
        <f t="shared" si="377"/>
      </c>
      <c r="E131" s="17">
        <v>634.81</v>
      </c>
      <c r="F131" s="17">
        <v>5162.3</v>
      </c>
      <c r="G131" s="20">
        <v>0</v>
      </c>
      <c r="H131" s="20">
        <v>0</v>
      </c>
      <c r="I131" s="20">
        <f t="shared" si="468"/>
      </c>
      <c r="J131" s="21">
        <v>0</v>
      </c>
      <c r="K131" s="22">
        <f t="shared" si="559"/>
      </c>
      <c r="L131" s="22">
        <f t="shared" si="229"/>
      </c>
      <c r="M131" s="23">
        <f t="shared" si="300"/>
      </c>
      <c r="N131" s="24">
        <f t="shared" si="319"/>
      </c>
      <c r="O131" s="25">
        <f t="shared" si="338"/>
      </c>
      <c r="P131" s="26">
        <f t="shared" si="23"/>
      </c>
      <c r="Q131" s="26">
        <f t="shared" si="42"/>
      </c>
      <c r="R131" s="26">
        <f t="shared" si="61"/>
      </c>
      <c r="S131" s="27">
        <f t="shared" si="80"/>
      </c>
      <c r="T131" s="28">
        <f t="shared" si="630"/>
      </c>
      <c r="U131" s="26">
        <f t="shared" si="668"/>
      </c>
      <c r="V131" s="29">
        <f t="shared" si="649"/>
      </c>
      <c r="W131" s="29">
        <f t="shared" si="687"/>
      </c>
      <c r="X131" s="26">
        <f t="shared" si="4"/>
      </c>
      <c r="Y131" s="30">
        <f t="shared" si="119"/>
      </c>
      <c r="Z131" s="30">
        <v>10</v>
      </c>
      <c r="AA131" s="30">
        <v>7</v>
      </c>
      <c r="AB131" s="31">
        <v>14402.039999999979</v>
      </c>
      <c r="AC131" s="31">
        <v>0</v>
      </c>
      <c r="AD131" s="27">
        <f t="shared" si="190"/>
      </c>
      <c r="AE131" s="32" t="s">
        <v>41</v>
      </c>
      <c r="AF131" s="33" t="s">
        <v>56</v>
      </c>
      <c r="AG131" s="36">
        <v>5</v>
      </c>
      <c r="AH131" s="35">
        <v>121467</v>
      </c>
      <c r="AI131" s="35">
        <v>1814</v>
      </c>
      <c r="AJ131" s="35">
        <v>2185</v>
      </c>
      <c r="AK131" s="36">
        <v>182</v>
      </c>
      <c r="AL131" s="36">
        <v>234</v>
      </c>
    </row>
    <row r="132">
      <c r="A132" s="15"/>
      <c r="B132" s="16" t="s">
        <v>57</v>
      </c>
      <c r="C132" s="17" t="s">
        <v>66</v>
      </c>
      <c r="D132" s="18">
        <f t="shared" si="377"/>
      </c>
      <c r="E132" s="17">
        <v>661.9</v>
      </c>
      <c r="F132" s="20">
        <v>4065.77</v>
      </c>
      <c r="G132" s="20">
        <v>0</v>
      </c>
      <c r="H132" s="20">
        <v>0</v>
      </c>
      <c r="I132" s="37">
        <f t="shared" si="468"/>
      </c>
      <c r="J132" s="21">
        <v>0</v>
      </c>
      <c r="K132" s="22">
        <f t="shared" si="559"/>
      </c>
      <c r="L132" s="22">
        <f t="shared" si="229"/>
      </c>
      <c r="M132" s="23">
        <f t="shared" si="300"/>
      </c>
      <c r="N132" s="24">
        <f t="shared" si="319"/>
      </c>
      <c r="O132" s="25">
        <f t="shared" si="338"/>
      </c>
      <c r="P132" s="26">
        <f t="shared" si="23"/>
      </c>
      <c r="Q132" s="26">
        <f t="shared" si="42"/>
      </c>
      <c r="R132" s="26">
        <f t="shared" si="61"/>
      </c>
      <c r="S132" s="27">
        <f t="shared" si="80"/>
      </c>
      <c r="T132" s="28">
        <f t="shared" si="630"/>
      </c>
      <c r="U132" s="26">
        <f t="shared" si="668"/>
      </c>
      <c r="V132" s="29">
        <f t="shared" si="649"/>
      </c>
      <c r="W132" s="29">
        <f t="shared" si="687"/>
      </c>
      <c r="X132" s="26">
        <f t="shared" si="4"/>
      </c>
      <c r="Y132" s="30">
        <f t="shared" si="119"/>
      </c>
      <c r="Z132" s="30">
        <v>1</v>
      </c>
      <c r="AA132" s="30">
        <v>4</v>
      </c>
      <c r="AB132" s="31">
        <v>9826.32</v>
      </c>
      <c r="AC132" s="31">
        <v>0</v>
      </c>
      <c r="AD132" s="27">
        <f t="shared" si="190"/>
      </c>
      <c r="AE132" s="32" t="s">
        <v>41</v>
      </c>
      <c r="AF132" s="33" t="s">
        <v>56</v>
      </c>
      <c r="AG132" s="34">
        <v>3</v>
      </c>
      <c r="AH132" s="35">
        <v>68193</v>
      </c>
      <c r="AI132" s="35">
        <v>1897</v>
      </c>
      <c r="AJ132" s="35">
        <v>2239</v>
      </c>
      <c r="AK132" s="36">
        <v>162</v>
      </c>
      <c r="AL132" s="36">
        <v>252</v>
      </c>
    </row>
    <row r="133">
      <c r="A133" s="15"/>
      <c r="B133" s="16" t="s">
        <v>57</v>
      </c>
      <c r="C133" s="17" t="s">
        <v>67</v>
      </c>
      <c r="D133" s="18">
        <f t="shared" si="377"/>
      </c>
      <c r="E133" s="19">
        <v>344.03</v>
      </c>
      <c r="F133" s="20">
        <v>2065.05</v>
      </c>
      <c r="G133" s="20">
        <v>0</v>
      </c>
      <c r="H133" s="20">
        <v>0</v>
      </c>
      <c r="I133" s="20">
        <f t="shared" si="468"/>
      </c>
      <c r="J133" s="21">
        <v>0</v>
      </c>
      <c r="K133" s="22">
        <f t="shared" si="559"/>
      </c>
      <c r="L133" s="22">
        <f t="shared" si="229"/>
      </c>
      <c r="M133" s="23">
        <f t="shared" si="300"/>
      </c>
      <c r="N133" s="24">
        <f t="shared" si="319"/>
      </c>
      <c r="O133" s="25">
        <f t="shared" si="338"/>
      </c>
      <c r="P133" s="26">
        <f t="shared" si="23"/>
      </c>
      <c r="Q133" s="26">
        <f t="shared" si="42"/>
      </c>
      <c r="R133" s="26">
        <f t="shared" si="61"/>
      </c>
      <c r="S133" s="27">
        <f t="shared" si="80"/>
      </c>
      <c r="T133" s="28">
        <f t="shared" si="630"/>
      </c>
      <c r="U133" s="26">
        <f t="shared" si="668"/>
      </c>
      <c r="V133" s="29">
        <f t="shared" si="649"/>
      </c>
      <c r="W133" s="29">
        <f t="shared" si="687"/>
      </c>
      <c r="X133" s="26">
        <f t="shared" si="4"/>
      </c>
      <c r="Y133" s="30">
        <f t="shared" si="119"/>
      </c>
      <c r="Z133" s="30">
        <v>5</v>
      </c>
      <c r="AA133" s="30">
        <v>3</v>
      </c>
      <c r="AB133" s="31">
        <v>1953.7200000000012</v>
      </c>
      <c r="AC133" s="31">
        <v>3260.4</v>
      </c>
      <c r="AD133" s="27">
        <f t="shared" si="190"/>
      </c>
      <c r="AE133" s="32" t="s">
        <v>41</v>
      </c>
      <c r="AF133" s="33" t="s">
        <v>56</v>
      </c>
      <c r="AG133" s="34">
        <v>2</v>
      </c>
      <c r="AH133" s="35">
        <v>39716</v>
      </c>
      <c r="AI133" s="35">
        <v>1345</v>
      </c>
      <c r="AJ133" s="35">
        <v>1588</v>
      </c>
      <c r="AK133" s="34">
        <v>130</v>
      </c>
      <c r="AL133" s="34">
        <v>137</v>
      </c>
    </row>
    <row r="134">
      <c r="A134" s="15"/>
      <c r="B134" s="38" t="s">
        <v>47</v>
      </c>
      <c r="C134" s="39">
        <v>4</v>
      </c>
      <c r="D134" s="40">
        <f>SUM(D130:D133)</f>
      </c>
      <c r="E134" s="40">
        <f>SUM(E130:E133)</f>
      </c>
      <c r="F134" s="40">
        <f>SUM(F130:F133)</f>
      </c>
      <c r="G134" s="40">
        <f>SUM(G130:G133)</f>
      </c>
      <c r="H134" s="40">
        <f>SUM(H130:H133)</f>
      </c>
      <c r="I134" s="40">
        <f>SUM(I130:I133)</f>
      </c>
      <c r="J134" s="40">
        <f>SUM(J130:J133)</f>
      </c>
      <c r="K134" s="40">
        <f>SUM(K130:K133)</f>
      </c>
      <c r="L134" s="40">
        <f>SUM(L130:L133)</f>
      </c>
      <c r="M134" s="41">
        <f t="shared" si="300"/>
      </c>
      <c r="N134" s="42">
        <f t="shared" si="319"/>
      </c>
      <c r="O134" s="42">
        <f t="shared" si="338"/>
      </c>
      <c r="P134" s="43">
        <f t="shared" si="23"/>
      </c>
      <c r="Q134" s="43">
        <f t="shared" si="42"/>
      </c>
      <c r="R134" s="43">
        <f t="shared" si="61"/>
      </c>
      <c r="S134" s="44">
        <f t="shared" si="80"/>
      </c>
      <c r="T134" s="44">
        <f t="shared" si="630"/>
      </c>
      <c r="U134" s="43">
        <f t="shared" si="668"/>
      </c>
      <c r="V134" s="44">
        <f t="shared" si="649"/>
      </c>
      <c r="W134" s="44">
        <f t="shared" si="687"/>
      </c>
      <c r="X134" s="43">
        <f t="shared" si="4"/>
      </c>
      <c r="Y134" s="40">
        <f>SUM(Y130:Y133)</f>
      </c>
      <c r="Z134" s="40">
        <f>SUM(Z130:Z133)</f>
      </c>
      <c r="AA134" s="40">
        <f>SUM(AA130:AA133)</f>
      </c>
      <c r="AB134" s="40">
        <f>SUM(AB130:AB133)</f>
      </c>
      <c r="AC134" s="40">
        <f>SUM(AC130:AC133)</f>
      </c>
      <c r="AD134" s="59">
        <f t="shared" si="190"/>
      </c>
      <c r="AE134" s="46"/>
      <c r="AF134" s="47"/>
      <c r="AG134" s="40">
        <f>SUM(AG130:AG133)</f>
      </c>
      <c r="AH134" s="40">
        <f>SUM(AH130:AH133)</f>
      </c>
      <c r="AI134" s="40">
        <f>SUM(AI130:AI133)</f>
      </c>
      <c r="AJ134" s="40">
        <f>SUM(AJ130:AJ133)</f>
      </c>
      <c r="AK134" s="40">
        <f>SUM(AK130:AK133)</f>
      </c>
      <c r="AL134" s="40">
        <f>SUM(AL130:AL133)</f>
      </c>
    </row>
    <row r="135">
      <c r="A135" s="15"/>
      <c r="B135" s="60" t="s">
        <v>47</v>
      </c>
      <c r="C135" s="61">
        <f>C115+C121+C124+C129+C134</f>
      </c>
      <c r="D135" s="62">
        <f>D115+D121+D124+D129+D134</f>
      </c>
      <c r="E135" s="61">
        <f>E115+E121+E124+E129+E134</f>
      </c>
      <c r="F135" s="61">
        <f>F115+F121+F124+F129+F134</f>
      </c>
      <c r="G135" s="61">
        <f>G115+G121+G124+G129+G134</f>
      </c>
      <c r="H135" s="61">
        <f>H115+H121+H124+H129+H134</f>
      </c>
      <c r="I135" s="62">
        <f>I115+I121+I124+I129+I134</f>
      </c>
      <c r="J135" s="61">
        <f>J115+J121+J124+J129+J134</f>
      </c>
      <c r="K135" s="61">
        <f>K115+K121+K124+K129+K134</f>
      </c>
      <c r="L135" s="61">
        <f>L115+L121+L124+L129+L134</f>
      </c>
      <c r="M135" s="63">
        <f t="shared" si="300"/>
      </c>
      <c r="N135" s="63">
        <f t="shared" si="319"/>
      </c>
      <c r="O135" s="63">
        <f t="shared" si="338"/>
      </c>
      <c r="P135" s="63">
        <f t="shared" si="23"/>
      </c>
      <c r="Q135" s="63">
        <f t="shared" si="42"/>
      </c>
      <c r="R135" s="63">
        <f t="shared" si="61"/>
      </c>
      <c r="S135" s="64">
        <f t="shared" si="80"/>
      </c>
      <c r="T135" s="64">
        <f t="shared" si="630"/>
      </c>
      <c r="U135" s="63">
        <f t="shared" si="668"/>
      </c>
      <c r="V135" s="64">
        <f t="shared" si="649"/>
      </c>
      <c r="W135" s="64">
        <f t="shared" si="687"/>
      </c>
      <c r="X135" s="63">
        <f t="shared" si="4"/>
      </c>
      <c r="Y135" s="61">
        <f>Y115+Y121+Y124+Y129+Y134</f>
      </c>
      <c r="Z135" s="61">
        <f>Z115+Z121+Z124+Z129+Z134</f>
      </c>
      <c r="AA135" s="61">
        <f>AA115+AA121+AA124+AA129+AA134</f>
      </c>
      <c r="AB135" s="61">
        <f>AB115+AB121+AB124+AB129+AB134</f>
      </c>
      <c r="AC135" s="65">
        <f>AC115+AC121+AC124+AC129+AC134</f>
      </c>
      <c r="AD135" s="66">
        <f t="shared" si="190"/>
      </c>
      <c r="AE135" s="67"/>
      <c r="AF135" s="60"/>
      <c r="AG135" s="61">
        <f>AG115+AG121+AG124+AG129+AG134</f>
      </c>
      <c r="AH135" s="61">
        <f>AH115+AH121+AH124+AH129+AH134</f>
      </c>
      <c r="AI135" s="61">
        <f>AI115+AI121+AI124+AI129+AI134</f>
      </c>
      <c r="AJ135" s="61">
        <f>AJ115+AJ121+AJ124+AJ129+AJ134</f>
      </c>
      <c r="AK135" s="61">
        <f>AK115+AK121+AK124+AK129+AK134</f>
      </c>
      <c r="AL135" s="61">
        <f>AL115+AL121+AL124+AL129+AL134</f>
      </c>
    </row>
    <row r="136">
      <c r="A136" s="1" t="s">
        <v>1</v>
      </c>
      <c r="B136" s="2" t="s">
        <v>2</v>
      </c>
      <c r="C136" s="2" t="s">
        <v>3</v>
      </c>
      <c r="D136" s="3" t="s">
        <v>4</v>
      </c>
      <c r="E136" s="2" t="s">
        <v>5</v>
      </c>
      <c r="F136" s="2" t="s">
        <v>6</v>
      </c>
      <c r="G136" s="4" t="s">
        <v>7</v>
      </c>
      <c r="H136" s="4" t="s">
        <v>8</v>
      </c>
      <c r="I136" s="3" t="s">
        <v>9</v>
      </c>
      <c r="J136" s="5" t="s">
        <v>10</v>
      </c>
      <c r="K136" s="6" t="s">
        <v>11</v>
      </c>
      <c r="L136" s="6" t="s">
        <v>12</v>
      </c>
      <c r="M136" s="7" t="s">
        <v>13</v>
      </c>
      <c r="N136" s="6" t="s">
        <v>14</v>
      </c>
      <c r="O136" s="2" t="s">
        <v>15</v>
      </c>
      <c r="P136" s="7" t="s">
        <v>16</v>
      </c>
      <c r="Q136" s="8" t="s">
        <v>17</v>
      </c>
      <c r="R136" s="8" t="s">
        <v>18</v>
      </c>
      <c r="S136" s="3" t="s">
        <v>19</v>
      </c>
      <c r="T136" s="9" t="s">
        <v>20</v>
      </c>
      <c r="U136" s="7" t="s">
        <v>21</v>
      </c>
      <c r="V136" s="10" t="s">
        <v>22</v>
      </c>
      <c r="W136" s="11" t="s">
        <v>23</v>
      </c>
      <c r="X136" s="7" t="s">
        <v>24</v>
      </c>
      <c r="Y136" s="12" t="s">
        <v>25</v>
      </c>
      <c r="Z136" s="13" t="s">
        <v>26</v>
      </c>
      <c r="AA136" s="12" t="s">
        <v>27</v>
      </c>
      <c r="AB136" s="14" t="s">
        <v>28</v>
      </c>
      <c r="AC136" s="14" t="s">
        <v>29</v>
      </c>
      <c r="AD136" s="6" t="s">
        <v>30</v>
      </c>
      <c r="AE136" s="5" t="s">
        <v>31</v>
      </c>
      <c r="AF136" s="6" t="s">
        <v>32</v>
      </c>
      <c r="AG136" s="5" t="s">
        <v>33</v>
      </c>
      <c r="AH136" s="5" t="s">
        <v>34</v>
      </c>
      <c r="AI136" s="6" t="s">
        <v>35</v>
      </c>
      <c r="AJ136" s="5" t="s">
        <v>36</v>
      </c>
      <c r="AK136" s="6" t="s">
        <v>37</v>
      </c>
      <c r="AL136" s="5" t="s">
        <v>38</v>
      </c>
    </row>
    <row r="137">
      <c r="A137" s="15">
        <v>46301</v>
      </c>
      <c r="B137" s="16" t="s">
        <v>68</v>
      </c>
      <c r="C137" s="17" t="s">
        <v>40</v>
      </c>
      <c r="D137" s="18">
        <f t="shared" ref="D137:D141" si="378">E137+F137+G137+H137</f>
      </c>
      <c r="E137" s="19">
        <v>1161.99</v>
      </c>
      <c r="F137" s="20">
        <v>5236.66</v>
      </c>
      <c r="G137" s="20">
        <v>0</v>
      </c>
      <c r="H137" s="20">
        <v>0</v>
      </c>
      <c r="I137" s="20">
        <f t="shared" ref="I137:I141" si="469">AB137+AC137</f>
      </c>
      <c r="J137" s="21">
        <v>0</v>
      </c>
      <c r="K137" s="22">
        <f t="shared" ref="K137:K141" si="560">I137-J137</f>
      </c>
      <c r="L137" s="22">
        <f t="shared" ref="L137:L141" si="230">(I137-AC137)/12+AC137</f>
      </c>
      <c r="M137" s="23">
        <f t="shared" ref="M137:M162" si="301">I137/D137</f>
      </c>
      <c r="N137" s="24">
        <f t="shared" ref="N137:N162" si="320">(I137-J137)/D137</f>
      </c>
      <c r="O137" s="25">
        <f t="shared" ref="O137:O162" si="339">(AC137+AB137/12)/D137</f>
      </c>
      <c r="P137" s="26">
        <f t="shared" ref="P137:P162" si="24">I137/AA137</f>
      </c>
      <c r="Q137" s="26">
        <f t="shared" ref="Q137:Q162" si="43">D137/AA137</f>
      </c>
      <c r="R137" s="26">
        <f t="shared" ref="R137:R162" si="62">D137/AG137</f>
      </c>
      <c r="S137" s="27">
        <f t="shared" ref="S137:S162" si="81">AA137/Y137</f>
      </c>
      <c r="T137" s="28">
        <f t="shared" ref="T137:T162" si="631">AI137/AH137</f>
      </c>
      <c r="U137" s="26">
        <f t="shared" ref="U137:U162" si="669">D137/AJ137</f>
      </c>
      <c r="V137" s="29">
        <f t="shared" ref="V137:V162" si="650">AK137/AJ137</f>
      </c>
      <c r="W137" s="29">
        <f t="shared" ref="W137:W162" si="688">AL137/AJ137</f>
      </c>
      <c r="X137" s="26">
        <f t="shared" ref="X137:X162" si="5">D137/AL137</f>
      </c>
      <c r="Y137" s="30">
        <f t="shared" ref="Y137:Y141" si="120">Z137+AA137</f>
      </c>
      <c r="Z137" s="30">
        <v>0</v>
      </c>
      <c r="AA137" s="30">
        <v>4</v>
      </c>
      <c r="AB137" s="31">
        <v>4377.24</v>
      </c>
      <c r="AC137" s="31">
        <v>0</v>
      </c>
      <c r="AD137" s="27">
        <f t="shared" ref="AD137:AD162" si="191">AC137/I137</f>
      </c>
      <c r="AE137" s="32" t="s">
        <v>41</v>
      </c>
      <c r="AF137" s="33" t="s">
        <v>70</v>
      </c>
      <c r="AG137" s="34">
        <v>4</v>
      </c>
      <c r="AH137" s="34">
        <v>83775</v>
      </c>
      <c r="AI137" s="35">
        <v>2868</v>
      </c>
      <c r="AJ137" s="35">
        <v>3413</v>
      </c>
      <c r="AK137" s="34">
        <v>267</v>
      </c>
      <c r="AL137" s="36">
        <v>226</v>
      </c>
    </row>
    <row r="138">
      <c r="A138" s="15"/>
      <c r="B138" s="16" t="s">
        <v>68</v>
      </c>
      <c r="C138" s="17" t="s">
        <v>43</v>
      </c>
      <c r="D138" s="18">
        <f t="shared" si="378"/>
      </c>
      <c r="E138" s="17">
        <v>1628.25</v>
      </c>
      <c r="F138" s="20">
        <v>7024.28</v>
      </c>
      <c r="G138" s="20">
        <v>0</v>
      </c>
      <c r="H138" s="20">
        <v>0</v>
      </c>
      <c r="I138" s="20">
        <f t="shared" si="469"/>
      </c>
      <c r="J138" s="21">
        <v>2621.28</v>
      </c>
      <c r="K138" s="22">
        <f t="shared" si="560"/>
      </c>
      <c r="L138" s="22">
        <f t="shared" si="230"/>
      </c>
      <c r="M138" s="23">
        <f t="shared" si="301"/>
      </c>
      <c r="N138" s="24">
        <f t="shared" si="320"/>
      </c>
      <c r="O138" s="25">
        <f t="shared" si="339"/>
      </c>
      <c r="P138" s="26">
        <f t="shared" si="24"/>
      </c>
      <c r="Q138" s="26">
        <f t="shared" si="43"/>
      </c>
      <c r="R138" s="26">
        <f t="shared" si="62"/>
      </c>
      <c r="S138" s="27">
        <f t="shared" si="81"/>
      </c>
      <c r="T138" s="28">
        <f t="shared" si="631"/>
      </c>
      <c r="U138" s="26">
        <f t="shared" si="669"/>
      </c>
      <c r="V138" s="29">
        <f t="shared" si="650"/>
      </c>
      <c r="W138" s="29">
        <f t="shared" si="688"/>
      </c>
      <c r="X138" s="26">
        <f t="shared" si="5"/>
      </c>
      <c r="Y138" s="30">
        <f t="shared" si="120"/>
      </c>
      <c r="Z138" s="30">
        <v>5</v>
      </c>
      <c r="AA138" s="30">
        <v>2</v>
      </c>
      <c r="AB138" s="31">
        <v>3939.960000000001</v>
      </c>
      <c r="AC138" s="31">
        <v>0</v>
      </c>
      <c r="AD138" s="27">
        <f t="shared" si="191"/>
      </c>
      <c r="AE138" s="32" t="s">
        <v>41</v>
      </c>
      <c r="AF138" s="33" t="s">
        <v>70</v>
      </c>
      <c r="AG138" s="34">
        <v>2</v>
      </c>
      <c r="AH138" s="35">
        <v>148884</v>
      </c>
      <c r="AI138" s="35">
        <v>2594</v>
      </c>
      <c r="AJ138" s="35">
        <v>2911</v>
      </c>
      <c r="AK138" s="36">
        <v>313</v>
      </c>
      <c r="AL138" s="36">
        <v>311</v>
      </c>
    </row>
    <row r="139">
      <c r="A139" s="15"/>
      <c r="B139" s="16" t="s">
        <v>68</v>
      </c>
      <c r="C139" s="17" t="s">
        <v>44</v>
      </c>
      <c r="D139" s="18">
        <f t="shared" si="378"/>
      </c>
      <c r="E139" s="17">
        <v>999.18</v>
      </c>
      <c r="F139" s="20">
        <v>3870.14</v>
      </c>
      <c r="G139" s="20">
        <v>0</v>
      </c>
      <c r="H139" s="20">
        <v>0</v>
      </c>
      <c r="I139" s="20">
        <f t="shared" si="469"/>
      </c>
      <c r="J139" s="21">
        <v>0</v>
      </c>
      <c r="K139" s="22">
        <f t="shared" si="560"/>
      </c>
      <c r="L139" s="22">
        <f t="shared" si="230"/>
      </c>
      <c r="M139" s="23">
        <f t="shared" si="301"/>
      </c>
      <c r="N139" s="24">
        <f t="shared" si="320"/>
      </c>
      <c r="O139" s="25">
        <f t="shared" si="339"/>
      </c>
      <c r="P139" s="26">
        <f t="shared" si="24"/>
      </c>
      <c r="Q139" s="26">
        <f t="shared" si="43"/>
      </c>
      <c r="R139" s="26">
        <f t="shared" si="62"/>
      </c>
      <c r="S139" s="27">
        <f t="shared" si="81"/>
      </c>
      <c r="T139" s="28">
        <f t="shared" si="631"/>
      </c>
      <c r="U139" s="26">
        <f t="shared" si="669"/>
      </c>
      <c r="V139" s="29">
        <f t="shared" si="650"/>
      </c>
      <c r="W139" s="29">
        <f t="shared" si="688"/>
      </c>
      <c r="X139" s="26">
        <f t="shared" si="5"/>
      </c>
      <c r="Y139" s="30">
        <f t="shared" si="120"/>
      </c>
      <c r="Z139" s="30">
        <v>4</v>
      </c>
      <c r="AA139" s="30">
        <v>1</v>
      </c>
      <c r="AB139" s="31">
        <v>1278.7199999999975</v>
      </c>
      <c r="AC139" s="31">
        <v>0</v>
      </c>
      <c r="AD139" s="27">
        <f t="shared" si="191"/>
      </c>
      <c r="AE139" s="32" t="s">
        <v>41</v>
      </c>
      <c r="AF139" s="33" t="s">
        <v>70</v>
      </c>
      <c r="AG139" s="36">
        <v>1</v>
      </c>
      <c r="AH139" s="35">
        <v>64388</v>
      </c>
      <c r="AI139" s="35">
        <v>1249</v>
      </c>
      <c r="AJ139" s="35">
        <v>1478</v>
      </c>
      <c r="AK139" s="36">
        <v>167</v>
      </c>
      <c r="AL139" s="36">
        <v>145</v>
      </c>
    </row>
    <row r="140">
      <c r="A140" s="15"/>
      <c r="B140" s="16" t="s">
        <v>68</v>
      </c>
      <c r="C140" s="17" t="s">
        <v>45</v>
      </c>
      <c r="D140" s="18">
        <f t="shared" si="378"/>
      </c>
      <c r="E140" s="17">
        <v>853.77</v>
      </c>
      <c r="F140" s="20">
        <v>5200.8</v>
      </c>
      <c r="G140" s="20">
        <v>0</v>
      </c>
      <c r="H140" s="20">
        <v>0</v>
      </c>
      <c r="I140" s="37">
        <f t="shared" si="469"/>
      </c>
      <c r="J140" s="21">
        <f>379+1253.88</f>
      </c>
      <c r="K140" s="22">
        <f t="shared" si="560"/>
      </c>
      <c r="L140" s="22">
        <f t="shared" si="230"/>
      </c>
      <c r="M140" s="23">
        <f t="shared" si="301"/>
      </c>
      <c r="N140" s="24">
        <f t="shared" si="320"/>
      </c>
      <c r="O140" s="25">
        <f t="shared" si="339"/>
      </c>
      <c r="P140" s="26">
        <f t="shared" si="24"/>
      </c>
      <c r="Q140" s="26">
        <f t="shared" si="43"/>
      </c>
      <c r="R140" s="26">
        <f t="shared" si="62"/>
      </c>
      <c r="S140" s="27">
        <f t="shared" si="81"/>
      </c>
      <c r="T140" s="28">
        <f t="shared" si="631"/>
      </c>
      <c r="U140" s="26">
        <f t="shared" si="669"/>
      </c>
      <c r="V140" s="29">
        <f t="shared" si="650"/>
      </c>
      <c r="W140" s="29">
        <f t="shared" si="688"/>
      </c>
      <c r="X140" s="26">
        <f t="shared" si="5"/>
      </c>
      <c r="Y140" s="30">
        <f t="shared" si="120"/>
      </c>
      <c r="Z140" s="30">
        <v>0</v>
      </c>
      <c r="AA140" s="30">
        <v>3</v>
      </c>
      <c r="AB140" s="31">
        <v>4221.720000000001</v>
      </c>
      <c r="AC140" s="31">
        <v>0</v>
      </c>
      <c r="AD140" s="27">
        <f t="shared" si="191"/>
      </c>
      <c r="AE140" s="32" t="s">
        <v>41</v>
      </c>
      <c r="AF140" s="33" t="s">
        <v>70</v>
      </c>
      <c r="AG140" s="34">
        <v>2</v>
      </c>
      <c r="AH140" s="35">
        <v>72967</v>
      </c>
      <c r="AI140" s="35">
        <v>1137</v>
      </c>
      <c r="AJ140" s="35">
        <v>1338</v>
      </c>
      <c r="AK140" s="36">
        <v>181</v>
      </c>
      <c r="AL140" s="36">
        <v>189</v>
      </c>
    </row>
    <row r="141">
      <c r="A141" s="15"/>
      <c r="B141" s="16" t="s">
        <v>68</v>
      </c>
      <c r="C141" s="17" t="s">
        <v>46</v>
      </c>
      <c r="D141" s="18">
        <f t="shared" si="378"/>
      </c>
      <c r="E141" s="17">
        <v>695.34</v>
      </c>
      <c r="F141" s="20">
        <v>3203.61</v>
      </c>
      <c r="G141" s="20">
        <v>0</v>
      </c>
      <c r="H141" s="20">
        <v>0</v>
      </c>
      <c r="I141" s="20">
        <f t="shared" si="469"/>
      </c>
      <c r="J141" s="21">
        <v>11585.16</v>
      </c>
      <c r="K141" s="22">
        <f t="shared" si="560"/>
      </c>
      <c r="L141" s="22">
        <f t="shared" si="230"/>
      </c>
      <c r="M141" s="23">
        <f t="shared" si="301"/>
      </c>
      <c r="N141" s="24">
        <f t="shared" si="320"/>
      </c>
      <c r="O141" s="25">
        <f t="shared" si="339"/>
      </c>
      <c r="P141" s="26">
        <f t="shared" si="24"/>
      </c>
      <c r="Q141" s="26">
        <f t="shared" si="43"/>
      </c>
      <c r="R141" s="26">
        <f t="shared" si="62"/>
      </c>
      <c r="S141" s="27">
        <f t="shared" si="81"/>
      </c>
      <c r="T141" s="28">
        <f t="shared" si="631"/>
      </c>
      <c r="U141" s="26">
        <f t="shared" si="669"/>
      </c>
      <c r="V141" s="29">
        <f t="shared" si="650"/>
      </c>
      <c r="W141" s="29">
        <f t="shared" si="688"/>
      </c>
      <c r="X141" s="26">
        <f t="shared" si="5"/>
      </c>
      <c r="Y141" s="30">
        <f t="shared" si="120"/>
      </c>
      <c r="Z141" s="30">
        <v>3</v>
      </c>
      <c r="AA141" s="30">
        <v>6</v>
      </c>
      <c r="AB141" s="31">
        <v>15745.32</v>
      </c>
      <c r="AC141" s="31">
        <v>379</v>
      </c>
      <c r="AD141" s="27">
        <f t="shared" si="191"/>
      </c>
      <c r="AE141" s="32" t="s">
        <v>41</v>
      </c>
      <c r="AF141" s="33" t="s">
        <v>70</v>
      </c>
      <c r="AG141" s="34">
        <v>5</v>
      </c>
      <c r="AH141" s="35">
        <v>42118</v>
      </c>
      <c r="AI141" s="35">
        <v>887</v>
      </c>
      <c r="AJ141" s="35">
        <v>1053</v>
      </c>
      <c r="AK141" s="34">
        <v>116</v>
      </c>
      <c r="AL141" s="34">
        <v>126</v>
      </c>
    </row>
    <row r="142">
      <c r="A142" s="15"/>
      <c r="B142" s="38" t="s">
        <v>47</v>
      </c>
      <c r="C142" s="39">
        <v>5</v>
      </c>
      <c r="D142" s="40">
        <f>SUM(D137:D141)</f>
      </c>
      <c r="E142" s="40">
        <f>SUM(E137:E141)</f>
      </c>
      <c r="F142" s="40">
        <f>SUM(F137:F141)</f>
      </c>
      <c r="G142" s="40">
        <f>SUM(G137:G141)</f>
      </c>
      <c r="H142" s="40">
        <f>SUM(H137:H141)</f>
      </c>
      <c r="I142" s="40">
        <f>SUM(I137:I141)</f>
      </c>
      <c r="J142" s="40">
        <f>SUM(J137:J141)</f>
      </c>
      <c r="K142" s="40">
        <f>SUM(K137:K141)</f>
      </c>
      <c r="L142" s="40">
        <f>SUM(L137:L141)</f>
      </c>
      <c r="M142" s="41">
        <f t="shared" si="301"/>
      </c>
      <c r="N142" s="42">
        <f t="shared" si="320"/>
      </c>
      <c r="O142" s="42">
        <f t="shared" si="339"/>
      </c>
      <c r="P142" s="43">
        <f t="shared" si="24"/>
      </c>
      <c r="Q142" s="43">
        <f t="shared" si="43"/>
      </c>
      <c r="R142" s="43">
        <f t="shared" si="62"/>
      </c>
      <c r="S142" s="44">
        <f t="shared" si="81"/>
      </c>
      <c r="T142" s="44">
        <f t="shared" si="631"/>
      </c>
      <c r="U142" s="43">
        <f t="shared" si="669"/>
      </c>
      <c r="V142" s="44">
        <f t="shared" si="650"/>
      </c>
      <c r="W142" s="44">
        <f t="shared" si="688"/>
      </c>
      <c r="X142" s="43">
        <f t="shared" si="5"/>
      </c>
      <c r="Y142" s="40">
        <f>SUM(Y137:Y141)</f>
      </c>
      <c r="Z142" s="40">
        <f>SUM(Z137:Z141)</f>
      </c>
      <c r="AA142" s="40">
        <f>SUM(AA137:AA141)</f>
      </c>
      <c r="AB142" s="40">
        <f>SUM(AB137:AB141)</f>
      </c>
      <c r="AC142" s="40">
        <f>SUM(AC137:AC141)</f>
      </c>
      <c r="AD142" s="45">
        <f t="shared" si="191"/>
      </c>
      <c r="AE142" s="46"/>
      <c r="AF142" s="47"/>
      <c r="AG142" s="40">
        <f>SUM(AG137:AG141)</f>
      </c>
      <c r="AH142" s="40">
        <f>SUM(AH137:AH141)</f>
      </c>
      <c r="AI142" s="40">
        <f>SUM(AI137:AI141)</f>
      </c>
      <c r="AJ142" s="40">
        <f>SUM(AJ137:AJ141)</f>
      </c>
      <c r="AK142" s="40">
        <f>SUM(AK137:AK141)</f>
      </c>
      <c r="AL142" s="40">
        <f>SUM(AL137:AL141)</f>
      </c>
    </row>
    <row r="143">
      <c r="A143" s="15"/>
      <c r="B143" s="16" t="s">
        <v>39</v>
      </c>
      <c r="C143" s="17" t="s">
        <v>49</v>
      </c>
      <c r="D143" s="18">
        <f t="shared" ref="D143:D147" si="379">E143+F143+G143+H143</f>
      </c>
      <c r="E143" s="19">
        <v>1043.28</v>
      </c>
      <c r="F143" s="20">
        <v>3438.02</v>
      </c>
      <c r="G143" s="20">
        <v>0</v>
      </c>
      <c r="H143" s="20">
        <v>0</v>
      </c>
      <c r="I143" s="20">
        <f t="shared" ref="I143:I147" si="470">AB143+AC143</f>
      </c>
      <c r="J143" s="21">
        <v>5130</v>
      </c>
      <c r="K143" s="22">
        <f t="shared" ref="K143:K147" si="561">I143-J143</f>
      </c>
      <c r="L143" s="22">
        <f t="shared" ref="L143:L147" si="231">(I143-AC143)/12+AC143</f>
      </c>
      <c r="M143" s="23">
        <f t="shared" si="301"/>
      </c>
      <c r="N143" s="24">
        <f t="shared" si="320"/>
      </c>
      <c r="O143" s="25">
        <f t="shared" si="339"/>
      </c>
      <c r="P143" s="26">
        <f t="shared" si="24"/>
      </c>
      <c r="Q143" s="26">
        <f t="shared" si="43"/>
      </c>
      <c r="R143" s="26">
        <f t="shared" si="62"/>
      </c>
      <c r="S143" s="27">
        <f t="shared" si="81"/>
      </c>
      <c r="T143" s="28">
        <f t="shared" si="631"/>
      </c>
      <c r="U143" s="26">
        <f t="shared" si="669"/>
      </c>
      <c r="V143" s="29">
        <f t="shared" si="650"/>
      </c>
      <c r="W143" s="29">
        <f t="shared" si="688"/>
      </c>
      <c r="X143" s="26">
        <f t="shared" si="5"/>
      </c>
      <c r="Y143" s="30">
        <f t="shared" ref="Y143:Y147" si="121">Z143+AA143</f>
      </c>
      <c r="Z143" s="30">
        <v>7</v>
      </c>
      <c r="AA143" s="30">
        <v>4</v>
      </c>
      <c r="AB143" s="31">
        <v>8073.360000000001</v>
      </c>
      <c r="AC143" s="31">
        <v>0</v>
      </c>
      <c r="AD143" s="27">
        <f t="shared" si="191"/>
      </c>
      <c r="AE143" s="32" t="s">
        <v>41</v>
      </c>
      <c r="AF143" s="33" t="s">
        <v>70</v>
      </c>
      <c r="AG143" s="34">
        <v>2</v>
      </c>
      <c r="AH143" s="35">
        <v>48792</v>
      </c>
      <c r="AI143" s="35">
        <v>1169</v>
      </c>
      <c r="AJ143" s="35">
        <v>1316</v>
      </c>
      <c r="AK143" s="34">
        <v>139</v>
      </c>
      <c r="AL143" s="34">
        <v>152</v>
      </c>
    </row>
    <row r="144">
      <c r="A144" s="15"/>
      <c r="B144" s="16" t="s">
        <v>39</v>
      </c>
      <c r="C144" s="17" t="s">
        <v>50</v>
      </c>
      <c r="D144" s="18">
        <f t="shared" si="379"/>
      </c>
      <c r="E144" s="17">
        <v>716.56</v>
      </c>
      <c r="F144" s="20">
        <v>3321.84</v>
      </c>
      <c r="G144" s="20">
        <v>0</v>
      </c>
      <c r="H144" s="20">
        <v>0</v>
      </c>
      <c r="I144" s="20">
        <f t="shared" si="470"/>
      </c>
      <c r="J144" s="21">
        <v>0</v>
      </c>
      <c r="K144" s="22">
        <f t="shared" si="561"/>
      </c>
      <c r="L144" s="22">
        <f t="shared" si="231"/>
      </c>
      <c r="M144" s="23">
        <f t="shared" si="301"/>
      </c>
      <c r="N144" s="24">
        <f t="shared" si="320"/>
      </c>
      <c r="O144" s="25">
        <f t="shared" si="339"/>
      </c>
      <c r="P144" s="26">
        <f t="shared" si="24"/>
      </c>
      <c r="Q144" s="26">
        <f t="shared" si="43"/>
      </c>
      <c r="R144" s="26">
        <f t="shared" si="62"/>
      </c>
      <c r="S144" s="27">
        <f t="shared" si="81"/>
      </c>
      <c r="T144" s="28">
        <f t="shared" si="631"/>
      </c>
      <c r="U144" s="26">
        <f t="shared" si="669"/>
      </c>
      <c r="V144" s="29">
        <f t="shared" si="650"/>
      </c>
      <c r="W144" s="29">
        <f t="shared" si="688"/>
      </c>
      <c r="X144" s="26">
        <f t="shared" si="5"/>
      </c>
      <c r="Y144" s="30">
        <f t="shared" si="121"/>
      </c>
      <c r="Z144" s="30">
        <v>2</v>
      </c>
      <c r="AA144" s="30">
        <v>8</v>
      </c>
      <c r="AB144" s="31">
        <v>13736.04</v>
      </c>
      <c r="AC144" s="31">
        <v>0</v>
      </c>
      <c r="AD144" s="27">
        <f t="shared" si="191"/>
      </c>
      <c r="AE144" s="32" t="s">
        <v>41</v>
      </c>
      <c r="AF144" s="33" t="s">
        <v>70</v>
      </c>
      <c r="AG144" s="34">
        <v>5</v>
      </c>
      <c r="AH144" s="35">
        <v>57332</v>
      </c>
      <c r="AI144" s="35">
        <v>1025</v>
      </c>
      <c r="AJ144" s="35">
        <v>1125</v>
      </c>
      <c r="AK144" s="36">
        <v>124</v>
      </c>
      <c r="AL144" s="36">
        <v>129</v>
      </c>
    </row>
    <row r="145">
      <c r="A145" s="15"/>
      <c r="B145" s="16" t="s">
        <v>39</v>
      </c>
      <c r="C145" s="17" t="s">
        <v>51</v>
      </c>
      <c r="D145" s="18">
        <f t="shared" si="379"/>
      </c>
      <c r="E145" s="17">
        <v>871.6</v>
      </c>
      <c r="F145" s="17">
        <v>3901.08</v>
      </c>
      <c r="G145" s="20">
        <v>0</v>
      </c>
      <c r="H145" s="20">
        <v>0</v>
      </c>
      <c r="I145" s="20">
        <f t="shared" si="470"/>
      </c>
      <c r="J145" s="21">
        <v>0</v>
      </c>
      <c r="K145" s="22">
        <f t="shared" si="561"/>
      </c>
      <c r="L145" s="22">
        <f t="shared" si="231"/>
      </c>
      <c r="M145" s="23">
        <f t="shared" si="301"/>
      </c>
      <c r="N145" s="24">
        <f t="shared" si="320"/>
      </c>
      <c r="O145" s="25">
        <f t="shared" si="339"/>
      </c>
      <c r="P145" s="26">
        <f t="shared" si="24"/>
      </c>
      <c r="Q145" s="26">
        <f t="shared" si="43"/>
      </c>
      <c r="R145" s="26">
        <f t="shared" si="62"/>
      </c>
      <c r="S145" s="27">
        <f t="shared" si="81"/>
      </c>
      <c r="T145" s="28">
        <f t="shared" si="631"/>
      </c>
      <c r="U145" s="26">
        <f t="shared" si="669"/>
      </c>
      <c r="V145" s="29">
        <f t="shared" si="650"/>
      </c>
      <c r="W145" s="29">
        <f t="shared" si="688"/>
      </c>
      <c r="X145" s="26">
        <f t="shared" si="5"/>
      </c>
      <c r="Y145" s="30">
        <f t="shared" si="121"/>
      </c>
      <c r="Z145" s="30">
        <v>4</v>
      </c>
      <c r="AA145" s="30">
        <v>5</v>
      </c>
      <c r="AB145" s="31">
        <v>7957.439999999995</v>
      </c>
      <c r="AC145" s="69">
        <v>0</v>
      </c>
      <c r="AD145" s="27">
        <f t="shared" si="191"/>
      </c>
      <c r="AE145" s="32" t="s">
        <v>41</v>
      </c>
      <c r="AF145" s="33" t="s">
        <v>70</v>
      </c>
      <c r="AG145" s="36">
        <v>5</v>
      </c>
      <c r="AH145" s="35">
        <v>60019</v>
      </c>
      <c r="AI145" s="35">
        <v>1051</v>
      </c>
      <c r="AJ145" s="35">
        <v>1144</v>
      </c>
      <c r="AK145" s="36">
        <v>141</v>
      </c>
      <c r="AL145" s="36">
        <v>165</v>
      </c>
    </row>
    <row r="146">
      <c r="A146" s="15"/>
      <c r="B146" s="16" t="s">
        <v>39</v>
      </c>
      <c r="C146" s="17" t="s">
        <v>52</v>
      </c>
      <c r="D146" s="18">
        <f t="shared" si="379"/>
      </c>
      <c r="E146" s="17">
        <v>1151.49</v>
      </c>
      <c r="F146" s="20">
        <v>4398.45</v>
      </c>
      <c r="G146" s="20">
        <v>0</v>
      </c>
      <c r="H146" s="20">
        <v>0</v>
      </c>
      <c r="I146" s="20">
        <f t="shared" si="470"/>
      </c>
      <c r="J146" s="21">
        <v>3218.399999999998</v>
      </c>
      <c r="K146" s="22">
        <f t="shared" si="561"/>
      </c>
      <c r="L146" s="22">
        <f t="shared" si="231"/>
      </c>
      <c r="M146" s="23">
        <f t="shared" si="301"/>
      </c>
      <c r="N146" s="24">
        <f t="shared" si="320"/>
      </c>
      <c r="O146" s="25">
        <f t="shared" si="339"/>
      </c>
      <c r="P146" s="26">
        <f t="shared" si="24"/>
      </c>
      <c r="Q146" s="26">
        <f t="shared" si="43"/>
      </c>
      <c r="R146" s="26">
        <f t="shared" si="62"/>
      </c>
      <c r="S146" s="27">
        <f t="shared" si="81"/>
      </c>
      <c r="T146" s="28">
        <f t="shared" si="631"/>
      </c>
      <c r="U146" s="26">
        <f t="shared" si="669"/>
      </c>
      <c r="V146" s="29">
        <f t="shared" si="650"/>
      </c>
      <c r="W146" s="29">
        <f t="shared" si="688"/>
      </c>
      <c r="X146" s="26">
        <f t="shared" si="5"/>
      </c>
      <c r="Y146" s="30">
        <f t="shared" si="121"/>
      </c>
      <c r="Z146" s="30">
        <v>3</v>
      </c>
      <c r="AA146" s="30">
        <v>5</v>
      </c>
      <c r="AB146" s="70">
        <v>15632.04</v>
      </c>
      <c r="AC146" s="71">
        <v>2502.9999999999995</v>
      </c>
      <c r="AD146" s="72">
        <f t="shared" si="191"/>
      </c>
      <c r="AE146" s="32" t="s">
        <v>41</v>
      </c>
      <c r="AF146" s="33" t="s">
        <v>70</v>
      </c>
      <c r="AG146" s="34">
        <v>4</v>
      </c>
      <c r="AH146" s="35">
        <v>78243</v>
      </c>
      <c r="AI146" s="35">
        <v>1127</v>
      </c>
      <c r="AJ146" s="35">
        <v>1277</v>
      </c>
      <c r="AK146" s="36">
        <v>149</v>
      </c>
      <c r="AL146" s="36">
        <v>195</v>
      </c>
    </row>
    <row r="147">
      <c r="A147" s="15"/>
      <c r="B147" s="16" t="s">
        <v>39</v>
      </c>
      <c r="C147" s="17" t="s">
        <v>54</v>
      </c>
      <c r="D147" s="18">
        <f t="shared" si="379"/>
      </c>
      <c r="E147" s="17">
        <v>982.07</v>
      </c>
      <c r="F147" s="20">
        <v>4114.81</v>
      </c>
      <c r="G147" s="20">
        <v>0</v>
      </c>
      <c r="H147" s="20">
        <v>0</v>
      </c>
      <c r="I147" s="20">
        <f t="shared" si="470"/>
      </c>
      <c r="J147" s="21">
        <f>2603.88+696.6+1091.76</f>
      </c>
      <c r="K147" s="22">
        <f t="shared" si="561"/>
      </c>
      <c r="L147" s="22">
        <f t="shared" si="231"/>
      </c>
      <c r="M147" s="23">
        <f t="shared" si="301"/>
      </c>
      <c r="N147" s="24">
        <f t="shared" si="320"/>
      </c>
      <c r="O147" s="25">
        <f t="shared" si="339"/>
      </c>
      <c r="P147" s="26">
        <f t="shared" si="24"/>
      </c>
      <c r="Q147" s="26">
        <f t="shared" si="43"/>
      </c>
      <c r="R147" s="26">
        <f t="shared" si="62"/>
      </c>
      <c r="S147" s="27">
        <f t="shared" si="81"/>
      </c>
      <c r="T147" s="28">
        <f t="shared" si="631"/>
      </c>
      <c r="U147" s="26">
        <f t="shared" si="669"/>
      </c>
      <c r="V147" s="29">
        <f t="shared" si="650"/>
      </c>
      <c r="W147" s="29">
        <f t="shared" si="688"/>
      </c>
      <c r="X147" s="26">
        <f t="shared" si="5"/>
      </c>
      <c r="Y147" s="30">
        <f t="shared" si="121"/>
      </c>
      <c r="Z147" s="30">
        <v>6</v>
      </c>
      <c r="AA147" s="30">
        <v>10</v>
      </c>
      <c r="AB147" s="70">
        <v>13147.799999999988</v>
      </c>
      <c r="AC147" s="73">
        <v>3918.0000000000005</v>
      </c>
      <c r="AD147" s="72">
        <f t="shared" si="191"/>
      </c>
      <c r="AE147" s="32" t="s">
        <v>41</v>
      </c>
      <c r="AF147" s="33" t="s">
        <v>71</v>
      </c>
      <c r="AG147" s="34">
        <v>4</v>
      </c>
      <c r="AH147" s="35">
        <v>65816</v>
      </c>
      <c r="AI147" s="35">
        <v>998</v>
      </c>
      <c r="AJ147" s="35">
        <v>1168</v>
      </c>
      <c r="AK147" s="36">
        <v>163</v>
      </c>
      <c r="AL147" s="36">
        <v>170</v>
      </c>
    </row>
    <row r="148">
      <c r="A148" s="15"/>
      <c r="B148" s="38" t="s">
        <v>47</v>
      </c>
      <c r="C148" s="39">
        <v>5</v>
      </c>
      <c r="D148" s="40">
        <f>SUM(D143:D147)</f>
      </c>
      <c r="E148" s="40">
        <f>SUM(E143:E147)</f>
      </c>
      <c r="F148" s="40">
        <f>SUM(F143:F147)</f>
      </c>
      <c r="G148" s="40">
        <f>SUM(G143:G147)</f>
      </c>
      <c r="H148" s="40">
        <f>SUM(H143:H147)</f>
      </c>
      <c r="I148" s="40">
        <f>SUM(I143:I147)</f>
      </c>
      <c r="J148" s="40">
        <f>SUM(J143:J147)</f>
      </c>
      <c r="K148" s="40">
        <f>SUM(K143:K147)</f>
      </c>
      <c r="L148" s="40">
        <f>SUM(L143:L147)</f>
      </c>
      <c r="M148" s="41">
        <f t="shared" si="301"/>
      </c>
      <c r="N148" s="42">
        <f t="shared" si="320"/>
      </c>
      <c r="O148" s="42">
        <f t="shared" si="339"/>
      </c>
      <c r="P148" s="43">
        <f t="shared" si="24"/>
      </c>
      <c r="Q148" s="43">
        <f t="shared" si="43"/>
      </c>
      <c r="R148" s="43">
        <f t="shared" si="62"/>
      </c>
      <c r="S148" s="44">
        <f t="shared" si="81"/>
      </c>
      <c r="T148" s="44">
        <f t="shared" si="631"/>
      </c>
      <c r="U148" s="43">
        <f t="shared" si="669"/>
      </c>
      <c r="V148" s="44">
        <f t="shared" si="650"/>
      </c>
      <c r="W148" s="44">
        <f t="shared" si="688"/>
      </c>
      <c r="X148" s="43">
        <f t="shared" si="5"/>
      </c>
      <c r="Y148" s="40">
        <f>SUM(Y143:Y147)</f>
      </c>
      <c r="Z148" s="40">
        <f>SUM(Z143:Z147)</f>
      </c>
      <c r="AA148" s="40">
        <f>SUM(AA143:AA147)</f>
      </c>
      <c r="AB148" s="40">
        <f>SUM(AB143:AB147)</f>
      </c>
      <c r="AC148" s="40">
        <f>SUM(AC143:AC147)</f>
      </c>
      <c r="AD148" s="45">
        <f t="shared" si="191"/>
      </c>
      <c r="AE148" s="46"/>
      <c r="AF148" s="47"/>
      <c r="AG148" s="40">
        <f>SUM(AG143:AG147)</f>
      </c>
      <c r="AH148" s="40">
        <f>SUM(AH143:AH147)</f>
      </c>
      <c r="AI148" s="40">
        <f>SUM(AI143:AI147)</f>
      </c>
      <c r="AJ148" s="40">
        <f>SUM(AJ143:AJ147)</f>
      </c>
      <c r="AK148" s="40">
        <f>SUM(AK143:AK147)</f>
      </c>
      <c r="AL148" s="40">
        <f>SUM(AL143:AL147)</f>
      </c>
    </row>
    <row r="149">
      <c r="A149" s="15"/>
      <c r="B149" s="16" t="s">
        <v>53</v>
      </c>
      <c r="C149" s="17" t="s">
        <v>55</v>
      </c>
      <c r="D149" s="18">
        <f t="shared" ref="D149:D150" si="380">E149+F149+G149+H149</f>
      </c>
      <c r="E149" s="17">
        <v>1098.78</v>
      </c>
      <c r="F149" s="49">
        <v>5033.64</v>
      </c>
      <c r="G149" s="20">
        <v>0</v>
      </c>
      <c r="H149" s="20">
        <v>0</v>
      </c>
      <c r="I149" s="50">
        <f t="shared" ref="I149:I150" si="471">AB149+AC149</f>
      </c>
      <c r="J149" s="51">
        <f>708.48+1863</f>
      </c>
      <c r="K149" s="22">
        <f t="shared" ref="K149:K150" si="562">I149-J149</f>
      </c>
      <c r="L149" s="22">
        <f t="shared" ref="L149:L150" si="232">(I149-AC149)/12+AC149</f>
      </c>
      <c r="M149" s="23">
        <f t="shared" si="301"/>
      </c>
      <c r="N149" s="24">
        <f t="shared" si="320"/>
      </c>
      <c r="O149" s="25">
        <f t="shared" si="339"/>
      </c>
      <c r="P149" s="26">
        <f t="shared" si="24"/>
      </c>
      <c r="Q149" s="26">
        <f t="shared" si="43"/>
      </c>
      <c r="R149" s="26">
        <f t="shared" si="62"/>
      </c>
      <c r="S149" s="27">
        <f t="shared" si="81"/>
      </c>
      <c r="T149" s="28">
        <f t="shared" si="631"/>
      </c>
      <c r="U149" s="26">
        <f t="shared" si="669"/>
      </c>
      <c r="V149" s="29">
        <f t="shared" si="650"/>
      </c>
      <c r="W149" s="29">
        <f t="shared" si="688"/>
      </c>
      <c r="X149" s="26">
        <f t="shared" si="5"/>
      </c>
      <c r="Y149" s="30">
        <f t="shared" ref="Y149:Y150" si="122">Z149+AA149</f>
      </c>
      <c r="Z149" s="30">
        <v>4</v>
      </c>
      <c r="AA149" s="30">
        <v>8</v>
      </c>
      <c r="AB149" s="31">
        <v>19860.72</v>
      </c>
      <c r="AC149" s="31">
        <v>0</v>
      </c>
      <c r="AD149" s="27">
        <f t="shared" si="191"/>
      </c>
      <c r="AE149" s="32" t="s">
        <v>41</v>
      </c>
      <c r="AF149" s="33" t="s">
        <v>56</v>
      </c>
      <c r="AG149" s="34">
        <v>7</v>
      </c>
      <c r="AH149" s="35">
        <v>95448</v>
      </c>
      <c r="AI149" s="35">
        <v>1136</v>
      </c>
      <c r="AJ149" s="35">
        <v>1267</v>
      </c>
      <c r="AK149" s="36">
        <v>168</v>
      </c>
      <c r="AL149" s="36">
        <v>214</v>
      </c>
    </row>
    <row r="150">
      <c r="A150" s="15"/>
      <c r="B150" s="16" t="s">
        <v>53</v>
      </c>
      <c r="C150" s="17" t="s">
        <v>58</v>
      </c>
      <c r="D150" s="18">
        <f t="shared" si="380"/>
      </c>
      <c r="E150" s="52">
        <v>671.68</v>
      </c>
      <c r="F150" s="53">
        <v>10537.81</v>
      </c>
      <c r="G150" s="20">
        <v>0</v>
      </c>
      <c r="H150" s="20">
        <v>0</v>
      </c>
      <c r="I150" s="55">
        <f t="shared" si="471"/>
      </c>
      <c r="J150" s="51">
        <f>864+3218.4+4240.08+4116.96</f>
      </c>
      <c r="K150" s="22">
        <f t="shared" si="562"/>
      </c>
      <c r="L150" s="22">
        <f t="shared" si="232"/>
      </c>
      <c r="M150" s="23">
        <f t="shared" si="301"/>
      </c>
      <c r="N150" s="24">
        <f t="shared" si="320"/>
      </c>
      <c r="O150" s="25">
        <f t="shared" si="339"/>
      </c>
      <c r="P150" s="26">
        <f t="shared" si="24"/>
      </c>
      <c r="Q150" s="26">
        <f t="shared" si="43"/>
      </c>
      <c r="R150" s="26">
        <f t="shared" si="62"/>
      </c>
      <c r="S150" s="27">
        <f t="shared" si="81"/>
      </c>
      <c r="T150" s="28">
        <f t="shared" si="631"/>
      </c>
      <c r="U150" s="26">
        <f t="shared" si="669"/>
      </c>
      <c r="V150" s="29">
        <f t="shared" si="650"/>
      </c>
      <c r="W150" s="29">
        <f t="shared" si="688"/>
      </c>
      <c r="X150" s="26">
        <f t="shared" si="5"/>
      </c>
      <c r="Y150" s="56">
        <f t="shared" si="122"/>
      </c>
      <c r="Z150" s="30">
        <v>6</v>
      </c>
      <c r="AA150" s="30">
        <v>15</v>
      </c>
      <c r="AB150" s="57">
        <f>20394.72+1029.24+4240.08</f>
      </c>
      <c r="AC150" s="31">
        <v>0</v>
      </c>
      <c r="AD150" s="27">
        <f t="shared" si="191"/>
      </c>
      <c r="AE150" s="32" t="s">
        <v>41</v>
      </c>
      <c r="AF150" s="33" t="s">
        <v>56</v>
      </c>
      <c r="AG150" s="36">
        <v>12</v>
      </c>
      <c r="AH150" s="35">
        <v>229244</v>
      </c>
      <c r="AI150" s="35">
        <v>1771</v>
      </c>
      <c r="AJ150" s="35">
        <v>1890</v>
      </c>
      <c r="AK150" s="36">
        <v>228</v>
      </c>
      <c r="AL150" s="36">
        <v>328</v>
      </c>
    </row>
    <row r="151">
      <c r="A151" s="15"/>
      <c r="B151" s="38" t="s">
        <v>47</v>
      </c>
      <c r="C151" s="39">
        <v>2</v>
      </c>
      <c r="D151" s="58">
        <f>SUM(D149:D150)</f>
      </c>
      <c r="E151" s="58">
        <f>SUM(E149:E150)</f>
      </c>
      <c r="F151" s="58">
        <f>SUM(F149:F150)</f>
      </c>
      <c r="G151" s="58">
        <f>SUM(G149:G150)</f>
      </c>
      <c r="H151" s="58">
        <f>SUM(H149:H150)</f>
      </c>
      <c r="I151" s="58">
        <f>SUM(I149:I150)</f>
      </c>
      <c r="J151" s="58">
        <f>SUM(J149:J150)</f>
      </c>
      <c r="K151" s="58">
        <f>SUM(K149:K150)</f>
      </c>
      <c r="L151" s="58">
        <f>SUM(L149:L150)</f>
      </c>
      <c r="M151" s="41">
        <f t="shared" si="301"/>
      </c>
      <c r="N151" s="42">
        <f t="shared" si="320"/>
      </c>
      <c r="O151" s="42">
        <f t="shared" si="339"/>
      </c>
      <c r="P151" s="43">
        <f t="shared" si="24"/>
      </c>
      <c r="Q151" s="43">
        <f t="shared" si="43"/>
      </c>
      <c r="R151" s="43">
        <f t="shared" si="62"/>
      </c>
      <c r="S151" s="44">
        <f t="shared" si="81"/>
      </c>
      <c r="T151" s="44">
        <f t="shared" si="631"/>
      </c>
      <c r="U151" s="43">
        <f t="shared" si="669"/>
      </c>
      <c r="V151" s="44">
        <f t="shared" si="650"/>
      </c>
      <c r="W151" s="44">
        <f t="shared" si="688"/>
      </c>
      <c r="X151" s="43">
        <f t="shared" si="5"/>
      </c>
      <c r="Y151" s="58">
        <f>SUM(Y149:Y150)</f>
      </c>
      <c r="Z151" s="58">
        <f>SUM(Z149:Z150)</f>
      </c>
      <c r="AA151" s="58">
        <f>SUM(AA149:AA150)</f>
      </c>
      <c r="AB151" s="58">
        <f>SUM(AB149:AB150)</f>
      </c>
      <c r="AC151" s="58">
        <f>SUM(AC149:AC150)</f>
      </c>
      <c r="AD151" s="45">
        <f t="shared" si="191"/>
      </c>
      <c r="AE151" s="46"/>
      <c r="AF151" s="47"/>
      <c r="AG151" s="58">
        <f>SUM(AG149:AG150)</f>
      </c>
      <c r="AH151" s="58">
        <f>SUM(AH149:AH150)</f>
      </c>
      <c r="AI151" s="58">
        <f>SUM(AI149:AI150)</f>
      </c>
      <c r="AJ151" s="58">
        <f>SUM(AJ149:AJ150)</f>
      </c>
      <c r="AK151" s="58">
        <f>SUM(AK149:AK150)</f>
      </c>
      <c r="AL151" s="58">
        <f>SUM(AL149:AL150)</f>
      </c>
    </row>
    <row r="152">
      <c r="A152" s="15"/>
      <c r="B152" s="16" t="s">
        <v>57</v>
      </c>
      <c r="C152" s="17" t="s">
        <v>59</v>
      </c>
      <c r="D152" s="18">
        <f t="shared" ref="D152:D155" si="381">E152+F152+G152+H152</f>
      </c>
      <c r="E152" s="17">
        <v>651.4</v>
      </c>
      <c r="F152" s="49">
        <v>6935.26</v>
      </c>
      <c r="G152" s="20">
        <v>0</v>
      </c>
      <c r="H152" s="20">
        <v>0</v>
      </c>
      <c r="I152" s="50">
        <f t="shared" ref="I152:I155" si="472">AB152+AC152</f>
      </c>
      <c r="J152" s="51">
        <f>1546.2</f>
      </c>
      <c r="K152" s="22">
        <f t="shared" ref="K152:K155" si="563">I152-J152</f>
      </c>
      <c r="L152" s="22">
        <f t="shared" ref="L152:L155" si="233">(I152-AC152)/12+AC152</f>
      </c>
      <c r="M152" s="23">
        <f t="shared" si="301"/>
      </c>
      <c r="N152" s="24">
        <f t="shared" si="320"/>
      </c>
      <c r="O152" s="25">
        <f t="shared" si="339"/>
      </c>
      <c r="P152" s="26">
        <f t="shared" si="24"/>
      </c>
      <c r="Q152" s="26">
        <f t="shared" si="43"/>
      </c>
      <c r="R152" s="26">
        <f t="shared" si="62"/>
      </c>
      <c r="S152" s="27">
        <f t="shared" si="81"/>
      </c>
      <c r="T152" s="28">
        <f t="shared" si="631"/>
      </c>
      <c r="U152" s="26">
        <f t="shared" si="669"/>
      </c>
      <c r="V152" s="29">
        <f t="shared" si="650"/>
      </c>
      <c r="W152" s="29">
        <f t="shared" si="688"/>
      </c>
      <c r="X152" s="26">
        <f t="shared" si="5"/>
      </c>
      <c r="Y152" s="30">
        <f t="shared" ref="Y152:Y155" si="123">Z152+AA152</f>
      </c>
      <c r="Z152" s="30">
        <v>6</v>
      </c>
      <c r="AA152" s="30">
        <v>7</v>
      </c>
      <c r="AB152" s="31">
        <v>6326.279999999999</v>
      </c>
      <c r="AC152" s="31">
        <v>718</v>
      </c>
      <c r="AD152" s="27">
        <f t="shared" si="191"/>
      </c>
      <c r="AE152" s="32" t="s">
        <v>41</v>
      </c>
      <c r="AF152" s="33" t="s">
        <v>56</v>
      </c>
      <c r="AG152" s="34">
        <v>4</v>
      </c>
      <c r="AH152" s="35">
        <v>147251</v>
      </c>
      <c r="AI152" s="35">
        <v>1396</v>
      </c>
      <c r="AJ152" s="35">
        <v>1570</v>
      </c>
      <c r="AK152" s="36">
        <v>193</v>
      </c>
      <c r="AL152" s="36">
        <v>257</v>
      </c>
    </row>
    <row r="153">
      <c r="A153" s="15"/>
      <c r="B153" s="16" t="s">
        <v>57</v>
      </c>
      <c r="C153" s="52" t="s">
        <v>60</v>
      </c>
      <c r="D153" s="18">
        <f t="shared" si="381"/>
      </c>
      <c r="E153" s="17">
        <v>858.8</v>
      </c>
      <c r="F153" s="49">
        <v>5515.16</v>
      </c>
      <c r="G153" s="20">
        <v>0</v>
      </c>
      <c r="H153" s="20">
        <v>0</v>
      </c>
      <c r="I153" s="50">
        <f t="shared" si="472"/>
      </c>
      <c r="J153" s="51">
        <v>0</v>
      </c>
      <c r="K153" s="22">
        <f t="shared" si="563"/>
      </c>
      <c r="L153" s="22">
        <f t="shared" si="233"/>
      </c>
      <c r="M153" s="23">
        <f t="shared" si="301"/>
      </c>
      <c r="N153" s="24">
        <f t="shared" si="320"/>
      </c>
      <c r="O153" s="25">
        <f t="shared" si="339"/>
      </c>
      <c r="P153" s="26">
        <f t="shared" si="24"/>
      </c>
      <c r="Q153" s="26">
        <f t="shared" si="43"/>
      </c>
      <c r="R153" s="26">
        <f t="shared" si="62"/>
      </c>
      <c r="S153" s="27">
        <f t="shared" si="81"/>
      </c>
      <c r="T153" s="28">
        <f t="shared" si="631"/>
      </c>
      <c r="U153" s="26">
        <f t="shared" si="669"/>
      </c>
      <c r="V153" s="29">
        <f t="shared" si="650"/>
      </c>
      <c r="W153" s="29">
        <f t="shared" si="688"/>
      </c>
      <c r="X153" s="26">
        <f t="shared" si="5"/>
      </c>
      <c r="Y153" s="30">
        <f t="shared" si="123"/>
      </c>
      <c r="Z153" s="30">
        <v>4</v>
      </c>
      <c r="AA153" s="30">
        <v>3</v>
      </c>
      <c r="AB153" s="31">
        <v>2263.920000000013</v>
      </c>
      <c r="AC153" s="31">
        <v>0</v>
      </c>
      <c r="AD153" s="27">
        <f t="shared" si="191"/>
      </c>
      <c r="AE153" s="32" t="s">
        <v>41</v>
      </c>
      <c r="AF153" s="33" t="s">
        <v>56</v>
      </c>
      <c r="AG153" s="36">
        <v>3</v>
      </c>
      <c r="AH153" s="35">
        <v>131991</v>
      </c>
      <c r="AI153" s="35">
        <v>1401</v>
      </c>
      <c r="AJ153" s="35">
        <v>1529</v>
      </c>
      <c r="AK153" s="36">
        <v>158</v>
      </c>
      <c r="AL153" s="36">
        <v>187</v>
      </c>
    </row>
    <row r="154">
      <c r="A154" s="15"/>
      <c r="B154" s="16" t="s">
        <v>57</v>
      </c>
      <c r="C154" s="52" t="s">
        <v>61</v>
      </c>
      <c r="D154" s="18">
        <f t="shared" si="381"/>
      </c>
      <c r="E154" s="17">
        <v>1198.17</v>
      </c>
      <c r="F154" s="49">
        <v>6811.45</v>
      </c>
      <c r="G154" s="20">
        <v>0</v>
      </c>
      <c r="H154" s="20">
        <v>0</v>
      </c>
      <c r="I154" s="50">
        <f t="shared" si="472"/>
      </c>
      <c r="J154" s="51">
        <f>405+1126.44+1622.16</f>
      </c>
      <c r="K154" s="22">
        <f t="shared" si="563"/>
      </c>
      <c r="L154" s="22">
        <f t="shared" si="233"/>
      </c>
      <c r="M154" s="23">
        <f t="shared" si="301"/>
      </c>
      <c r="N154" s="24">
        <f t="shared" si="320"/>
      </c>
      <c r="O154" s="25">
        <f t="shared" si="339"/>
      </c>
      <c r="P154" s="26">
        <f t="shared" si="24"/>
      </c>
      <c r="Q154" s="26">
        <f t="shared" si="43"/>
      </c>
      <c r="R154" s="26">
        <f t="shared" si="62"/>
      </c>
      <c r="S154" s="27">
        <f t="shared" si="81"/>
      </c>
      <c r="T154" s="28">
        <f t="shared" si="631"/>
      </c>
      <c r="U154" s="26">
        <f t="shared" si="669"/>
      </c>
      <c r="V154" s="29">
        <f t="shared" si="650"/>
      </c>
      <c r="W154" s="29">
        <f t="shared" si="688"/>
      </c>
      <c r="X154" s="26">
        <f t="shared" si="5"/>
      </c>
      <c r="Y154" s="30">
        <f t="shared" si="123"/>
      </c>
      <c r="Z154" s="30">
        <v>5</v>
      </c>
      <c r="AA154" s="30">
        <v>7</v>
      </c>
      <c r="AB154" s="31">
        <v>5904.359999999986</v>
      </c>
      <c r="AC154" s="31">
        <v>0</v>
      </c>
      <c r="AD154" s="27">
        <f t="shared" si="191"/>
      </c>
      <c r="AE154" s="32" t="s">
        <v>41</v>
      </c>
      <c r="AF154" s="33" t="s">
        <v>56</v>
      </c>
      <c r="AG154" s="34">
        <v>6</v>
      </c>
      <c r="AH154" s="35">
        <v>150915</v>
      </c>
      <c r="AI154" s="35">
        <v>1834</v>
      </c>
      <c r="AJ154" s="35">
        <v>1983</v>
      </c>
      <c r="AK154" s="36">
        <v>187</v>
      </c>
      <c r="AL154" s="34">
        <v>219</v>
      </c>
    </row>
    <row r="155">
      <c r="A155" s="15"/>
      <c r="B155" s="16" t="s">
        <v>57</v>
      </c>
      <c r="C155" s="52" t="s">
        <v>63</v>
      </c>
      <c r="D155" s="18">
        <f t="shared" si="381"/>
      </c>
      <c r="E155" s="17">
        <v>701.18</v>
      </c>
      <c r="F155" s="49">
        <v>11338.04</v>
      </c>
      <c r="G155" s="20">
        <v>0</v>
      </c>
      <c r="H155" s="20">
        <v>0</v>
      </c>
      <c r="I155" s="50">
        <f t="shared" si="472"/>
      </c>
      <c r="J155" s="51">
        <v>395.28</v>
      </c>
      <c r="K155" s="22">
        <f t="shared" si="563"/>
      </c>
      <c r="L155" s="22">
        <f t="shared" si="233"/>
      </c>
      <c r="M155" s="23">
        <f t="shared" si="301"/>
      </c>
      <c r="N155" s="24">
        <f t="shared" si="320"/>
      </c>
      <c r="O155" s="25">
        <f t="shared" si="339"/>
      </c>
      <c r="P155" s="26">
        <f t="shared" si="24"/>
      </c>
      <c r="Q155" s="26">
        <f t="shared" si="43"/>
      </c>
      <c r="R155" s="26">
        <f t="shared" si="62"/>
      </c>
      <c r="S155" s="27">
        <f t="shared" si="81"/>
      </c>
      <c r="T155" s="28">
        <f t="shared" si="631"/>
      </c>
      <c r="U155" s="26">
        <f t="shared" si="669"/>
      </c>
      <c r="V155" s="29">
        <f t="shared" si="650"/>
      </c>
      <c r="W155" s="29">
        <f t="shared" si="688"/>
      </c>
      <c r="X155" s="26">
        <f t="shared" si="5"/>
      </c>
      <c r="Y155" s="30">
        <f t="shared" si="123"/>
      </c>
      <c r="Z155" s="30">
        <v>7</v>
      </c>
      <c r="AA155" s="30">
        <v>15</v>
      </c>
      <c r="AB155" s="31">
        <f>13897.8+405+3697.92</f>
      </c>
      <c r="AC155" s="31">
        <v>4300.200000000001</v>
      </c>
      <c r="AD155" s="27">
        <f t="shared" si="191"/>
      </c>
      <c r="AE155" s="32" t="s">
        <v>41</v>
      </c>
      <c r="AF155" s="33" t="s">
        <v>56</v>
      </c>
      <c r="AG155" s="34">
        <v>9</v>
      </c>
      <c r="AH155" s="35">
        <v>282070</v>
      </c>
      <c r="AI155" s="35">
        <v>2850</v>
      </c>
      <c r="AJ155" s="35">
        <v>2975</v>
      </c>
      <c r="AK155" s="36">
        <v>315</v>
      </c>
      <c r="AL155" s="34">
        <v>350</v>
      </c>
    </row>
    <row r="156">
      <c r="A156" s="15"/>
      <c r="B156" s="38" t="s">
        <v>47</v>
      </c>
      <c r="C156" s="39">
        <v>4</v>
      </c>
      <c r="D156" s="40">
        <f>SUM(D152:D155)</f>
      </c>
      <c r="E156" s="40">
        <f>SUM(E152:E155)</f>
      </c>
      <c r="F156" s="40">
        <f>SUM(F152:F155)</f>
      </c>
      <c r="G156" s="40">
        <f>SUM(G152:G155)</f>
      </c>
      <c r="H156" s="40">
        <f>SUM(H152:H155)</f>
      </c>
      <c r="I156" s="40">
        <f>SUM(I152:I155)</f>
      </c>
      <c r="J156" s="40">
        <f>SUM(J152:J155)</f>
      </c>
      <c r="K156" s="40">
        <f>SUM(K152:K155)</f>
      </c>
      <c r="L156" s="40">
        <f>SUM(L152:L155)</f>
      </c>
      <c r="M156" s="41">
        <f t="shared" si="301"/>
      </c>
      <c r="N156" s="42">
        <f t="shared" si="320"/>
      </c>
      <c r="O156" s="42">
        <f t="shared" si="339"/>
      </c>
      <c r="P156" s="43">
        <f t="shared" si="24"/>
      </c>
      <c r="Q156" s="43">
        <f t="shared" si="43"/>
      </c>
      <c r="R156" s="43">
        <f t="shared" si="62"/>
      </c>
      <c r="S156" s="44">
        <f t="shared" si="81"/>
      </c>
      <c r="T156" s="44">
        <f t="shared" si="631"/>
      </c>
      <c r="U156" s="43">
        <f t="shared" si="669"/>
      </c>
      <c r="V156" s="44">
        <f t="shared" si="650"/>
      </c>
      <c r="W156" s="44">
        <f t="shared" si="688"/>
      </c>
      <c r="X156" s="43">
        <f t="shared" si="5"/>
      </c>
      <c r="Y156" s="40">
        <f>SUM(Y152:Y155)</f>
      </c>
      <c r="Z156" s="40">
        <f>SUM(Z152:Z155)</f>
      </c>
      <c r="AA156" s="40">
        <f>SUM(AA152:AA155)</f>
      </c>
      <c r="AB156" s="40">
        <f>SUM(AB152:AB155)</f>
      </c>
      <c r="AC156" s="40">
        <f>SUM(AC152:AC155)</f>
      </c>
      <c r="AD156" s="45">
        <f t="shared" si="191"/>
      </c>
      <c r="AE156" s="46"/>
      <c r="AF156" s="47"/>
      <c r="AG156" s="40">
        <f>SUM(AG152:AG155)</f>
      </c>
      <c r="AH156" s="40">
        <f>SUM(AH152:AH155)</f>
      </c>
      <c r="AI156" s="40">
        <f>SUM(AI152:AI155)</f>
      </c>
      <c r="AJ156" s="40">
        <f>SUM(AJ152:AJ155)</f>
      </c>
      <c r="AK156" s="40">
        <f>SUM(AK152:AK155)</f>
      </c>
      <c r="AL156" s="40">
        <f>SUM(AL152:AL155)</f>
      </c>
    </row>
    <row r="157">
      <c r="A157" s="15"/>
      <c r="B157" s="16" t="s">
        <v>62</v>
      </c>
      <c r="C157" s="17" t="s">
        <v>64</v>
      </c>
      <c r="D157" s="18">
        <f t="shared" ref="D157:D160" si="382">E157+F157+G157+H157</f>
      </c>
      <c r="E157" s="17">
        <v>1259.75</v>
      </c>
      <c r="F157" s="20">
        <v>10424.65</v>
      </c>
      <c r="G157" s="20">
        <v>0</v>
      </c>
      <c r="H157" s="20">
        <v>0</v>
      </c>
      <c r="I157" s="20">
        <f t="shared" ref="I157:I160" si="473">AB157+AC157</f>
      </c>
      <c r="J157" s="21">
        <v>0</v>
      </c>
      <c r="K157" s="22">
        <f t="shared" ref="K157:K160" si="564">I157-J157</f>
      </c>
      <c r="L157" s="22">
        <f t="shared" ref="L157:L160" si="234">(I157-AC157)/12+AC157</f>
      </c>
      <c r="M157" s="23">
        <f t="shared" si="301"/>
      </c>
      <c r="N157" s="24">
        <f t="shared" si="320"/>
      </c>
      <c r="O157" s="25">
        <f t="shared" si="339"/>
      </c>
      <c r="P157" s="26">
        <f t="shared" si="24"/>
      </c>
      <c r="Q157" s="26">
        <f t="shared" si="43"/>
      </c>
      <c r="R157" s="26">
        <f t="shared" si="62"/>
      </c>
      <c r="S157" s="27">
        <f t="shared" si="81"/>
      </c>
      <c r="T157" s="28">
        <f t="shared" si="631"/>
      </c>
      <c r="U157" s="26">
        <f t="shared" si="669"/>
      </c>
      <c r="V157" s="29">
        <f t="shared" si="650"/>
      </c>
      <c r="W157" s="29">
        <f t="shared" si="688"/>
      </c>
      <c r="X157" s="26">
        <f t="shared" si="5"/>
      </c>
      <c r="Y157" s="30">
        <f t="shared" ref="Y157:Y160" si="124">Z157+AA157</f>
      </c>
      <c r="Z157" s="30">
        <v>8</v>
      </c>
      <c r="AA157" s="30">
        <v>8</v>
      </c>
      <c r="AB157" s="31">
        <v>9358.200000000012</v>
      </c>
      <c r="AC157" s="31">
        <v>1116</v>
      </c>
      <c r="AD157" s="27">
        <f t="shared" si="191"/>
      </c>
      <c r="AE157" s="32" t="s">
        <v>41</v>
      </c>
      <c r="AF157" s="33" t="s">
        <v>56</v>
      </c>
      <c r="AG157" s="34">
        <v>7</v>
      </c>
      <c r="AH157" s="35">
        <v>286350</v>
      </c>
      <c r="AI157" s="35">
        <v>3504</v>
      </c>
      <c r="AJ157" s="35">
        <v>3770</v>
      </c>
      <c r="AK157" s="36">
        <v>328</v>
      </c>
      <c r="AL157" s="36">
        <v>343</v>
      </c>
    </row>
    <row r="158">
      <c r="A158" s="15"/>
      <c r="B158" s="16" t="s">
        <v>62</v>
      </c>
      <c r="C158" s="52" t="s">
        <v>65</v>
      </c>
      <c r="D158" s="18">
        <f t="shared" si="382"/>
      </c>
      <c r="E158" s="17">
        <v>878.28</v>
      </c>
      <c r="F158" s="17">
        <v>5111.05</v>
      </c>
      <c r="G158" s="20">
        <v>0</v>
      </c>
      <c r="H158" s="20">
        <v>0</v>
      </c>
      <c r="I158" s="20">
        <f t="shared" si="473"/>
      </c>
      <c r="J158" s="21">
        <v>0</v>
      </c>
      <c r="K158" s="22">
        <f t="shared" si="564"/>
      </c>
      <c r="L158" s="22">
        <f t="shared" si="234"/>
      </c>
      <c r="M158" s="23">
        <f t="shared" si="301"/>
      </c>
      <c r="N158" s="24">
        <f t="shared" si="320"/>
      </c>
      <c r="O158" s="25">
        <f t="shared" si="339"/>
      </c>
      <c r="P158" s="26">
        <f t="shared" si="24"/>
      </c>
      <c r="Q158" s="26">
        <f t="shared" si="43"/>
      </c>
      <c r="R158" s="26">
        <f t="shared" si="62"/>
      </c>
      <c r="S158" s="27">
        <f t="shared" si="81"/>
      </c>
      <c r="T158" s="28">
        <f t="shared" si="631"/>
      </c>
      <c r="U158" s="26">
        <f t="shared" si="669"/>
      </c>
      <c r="V158" s="29">
        <f t="shared" si="650"/>
      </c>
      <c r="W158" s="29">
        <f t="shared" si="688"/>
      </c>
      <c r="X158" s="26">
        <f t="shared" si="5"/>
      </c>
      <c r="Y158" s="30">
        <f t="shared" si="124"/>
      </c>
      <c r="Z158" s="30">
        <v>4</v>
      </c>
      <c r="AA158" s="30">
        <v>8</v>
      </c>
      <c r="AB158" s="31">
        <v>13517.639999999985</v>
      </c>
      <c r="AC158" s="31">
        <v>0</v>
      </c>
      <c r="AD158" s="27">
        <f t="shared" si="191"/>
      </c>
      <c r="AE158" s="32" t="s">
        <v>41</v>
      </c>
      <c r="AF158" s="33" t="s">
        <v>56</v>
      </c>
      <c r="AG158" s="36">
        <v>8</v>
      </c>
      <c r="AH158" s="35">
        <v>166848</v>
      </c>
      <c r="AI158" s="35">
        <v>2559</v>
      </c>
      <c r="AJ158" s="35">
        <v>2845</v>
      </c>
      <c r="AK158" s="36">
        <v>194</v>
      </c>
      <c r="AL158" s="36">
        <v>171</v>
      </c>
    </row>
    <row r="159">
      <c r="A159" s="15"/>
      <c r="B159" s="16" t="s">
        <v>62</v>
      </c>
      <c r="C159" s="17" t="s">
        <v>66</v>
      </c>
      <c r="D159" s="18">
        <f t="shared" si="382"/>
      </c>
      <c r="E159" s="17">
        <v>1109.43</v>
      </c>
      <c r="F159" s="20">
        <v>3566.83</v>
      </c>
      <c r="G159" s="20">
        <v>0</v>
      </c>
      <c r="H159" s="20">
        <v>0</v>
      </c>
      <c r="I159" s="37">
        <f t="shared" si="473"/>
      </c>
      <c r="J159" s="21">
        <v>0</v>
      </c>
      <c r="K159" s="22">
        <f t="shared" si="564"/>
      </c>
      <c r="L159" s="22">
        <f t="shared" si="234"/>
      </c>
      <c r="M159" s="23">
        <f t="shared" si="301"/>
      </c>
      <c r="N159" s="24">
        <f t="shared" si="320"/>
      </c>
      <c r="O159" s="25">
        <f t="shared" si="339"/>
      </c>
      <c r="P159" s="26">
        <f t="shared" si="24"/>
      </c>
      <c r="Q159" s="26">
        <f t="shared" si="43"/>
      </c>
      <c r="R159" s="26">
        <f t="shared" si="62"/>
      </c>
      <c r="S159" s="27">
        <f t="shared" si="81"/>
      </c>
      <c r="T159" s="28">
        <f t="shared" si="631"/>
      </c>
      <c r="U159" s="26">
        <f t="shared" si="669"/>
      </c>
      <c r="V159" s="29">
        <f t="shared" si="650"/>
      </c>
      <c r="W159" s="29">
        <f t="shared" si="688"/>
      </c>
      <c r="X159" s="26">
        <f t="shared" si="5"/>
      </c>
      <c r="Y159" s="30">
        <f t="shared" si="124"/>
      </c>
      <c r="Z159" s="30">
        <v>6</v>
      </c>
      <c r="AA159" s="30">
        <v>5</v>
      </c>
      <c r="AB159" s="31">
        <v>11872.44</v>
      </c>
      <c r="AC159" s="31">
        <v>0</v>
      </c>
      <c r="AD159" s="27">
        <f t="shared" si="191"/>
      </c>
      <c r="AE159" s="32" t="s">
        <v>41</v>
      </c>
      <c r="AF159" s="33" t="s">
        <v>56</v>
      </c>
      <c r="AG159" s="34">
        <v>4</v>
      </c>
      <c r="AH159" s="35">
        <v>66337</v>
      </c>
      <c r="AI159" s="35">
        <v>2616</v>
      </c>
      <c r="AJ159" s="35">
        <v>2905</v>
      </c>
      <c r="AK159" s="36">
        <v>151</v>
      </c>
      <c r="AL159" s="36">
        <v>115</v>
      </c>
    </row>
    <row r="160">
      <c r="A160" s="15"/>
      <c r="B160" s="16" t="s">
        <v>62</v>
      </c>
      <c r="C160" s="17" t="s">
        <v>67</v>
      </c>
      <c r="D160" s="18">
        <f t="shared" si="382"/>
      </c>
      <c r="E160" s="19">
        <v>310.18</v>
      </c>
      <c r="F160" s="20">
        <f>1396.34+4.6</f>
      </c>
      <c r="G160" s="20">
        <v>0</v>
      </c>
      <c r="H160" s="20">
        <v>0</v>
      </c>
      <c r="I160" s="20">
        <f t="shared" si="473"/>
      </c>
      <c r="J160" s="21">
        <v>0</v>
      </c>
      <c r="K160" s="22">
        <f t="shared" si="564"/>
      </c>
      <c r="L160" s="22">
        <f t="shared" si="234"/>
      </c>
      <c r="M160" s="23">
        <f t="shared" si="301"/>
      </c>
      <c r="N160" s="24">
        <f t="shared" si="320"/>
      </c>
      <c r="O160" s="25">
        <f t="shared" si="339"/>
      </c>
      <c r="P160" s="26">
        <f t="shared" si="24"/>
      </c>
      <c r="Q160" s="26">
        <f t="shared" si="43"/>
      </c>
      <c r="R160" s="26">
        <f t="shared" si="62"/>
      </c>
      <c r="S160" s="27">
        <f t="shared" si="81"/>
      </c>
      <c r="T160" s="28">
        <f t="shared" si="631"/>
      </c>
      <c r="U160" s="26">
        <f t="shared" si="669"/>
      </c>
      <c r="V160" s="29">
        <f t="shared" si="650"/>
      </c>
      <c r="W160" s="29">
        <f t="shared" si="688"/>
      </c>
      <c r="X160" s="26">
        <f t="shared" si="5"/>
      </c>
      <c r="Y160" s="30">
        <f t="shared" si="124"/>
      </c>
      <c r="Z160" s="30">
        <v>4</v>
      </c>
      <c r="AA160" s="30">
        <v>4</v>
      </c>
      <c r="AB160" s="31">
        <v>2674.08</v>
      </c>
      <c r="AC160" s="31">
        <v>0</v>
      </c>
      <c r="AD160" s="27">
        <f t="shared" si="191"/>
      </c>
      <c r="AE160" s="32" t="s">
        <v>41</v>
      </c>
      <c r="AF160" s="33" t="s">
        <v>56</v>
      </c>
      <c r="AG160" s="34">
        <v>2</v>
      </c>
      <c r="AH160" s="35">
        <v>26057</v>
      </c>
      <c r="AI160" s="35">
        <v>1376</v>
      </c>
      <c r="AJ160" s="35">
        <v>1649</v>
      </c>
      <c r="AK160" s="34">
        <v>75</v>
      </c>
      <c r="AL160" s="34">
        <v>55</v>
      </c>
    </row>
    <row r="161">
      <c r="A161" s="15"/>
      <c r="B161" s="38" t="s">
        <v>47</v>
      </c>
      <c r="C161" s="39">
        <v>4</v>
      </c>
      <c r="D161" s="40">
        <f>SUM(D157:D160)</f>
      </c>
      <c r="E161" s="40">
        <f>SUM(E157:E160)</f>
      </c>
      <c r="F161" s="40">
        <f>SUM(F157:F160)</f>
      </c>
      <c r="G161" s="40">
        <f>SUM(G157:G160)</f>
      </c>
      <c r="H161" s="40">
        <f>SUM(H157:H160)</f>
      </c>
      <c r="I161" s="40">
        <f>SUM(I157:I160)</f>
      </c>
      <c r="J161" s="40">
        <f>SUM(J157:J160)</f>
      </c>
      <c r="K161" s="40">
        <f>SUM(K157:K160)</f>
      </c>
      <c r="L161" s="40">
        <f>SUM(L157:L160)</f>
      </c>
      <c r="M161" s="41">
        <f t="shared" si="301"/>
      </c>
      <c r="N161" s="42">
        <f t="shared" si="320"/>
      </c>
      <c r="O161" s="42">
        <f t="shared" si="339"/>
      </c>
      <c r="P161" s="43">
        <f t="shared" si="24"/>
      </c>
      <c r="Q161" s="43">
        <f t="shared" si="43"/>
      </c>
      <c r="R161" s="43">
        <f t="shared" si="62"/>
      </c>
      <c r="S161" s="44">
        <f t="shared" si="81"/>
      </c>
      <c r="T161" s="44">
        <f t="shared" si="631"/>
      </c>
      <c r="U161" s="43">
        <f t="shared" si="669"/>
      </c>
      <c r="V161" s="44">
        <f t="shared" si="650"/>
      </c>
      <c r="W161" s="44">
        <f t="shared" si="688"/>
      </c>
      <c r="X161" s="43">
        <f t="shared" si="5"/>
      </c>
      <c r="Y161" s="40">
        <f>SUM(Y157:Y160)</f>
      </c>
      <c r="Z161" s="40">
        <f>SUM(Z157:Z160)</f>
      </c>
      <c r="AA161" s="40">
        <f>SUM(AA157:AA160)</f>
      </c>
      <c r="AB161" s="40">
        <f>SUM(AB157:AB160)</f>
      </c>
      <c r="AC161" s="40">
        <f>SUM(AC157:AC160)</f>
      </c>
      <c r="AD161" s="59">
        <f t="shared" si="191"/>
      </c>
      <c r="AE161" s="46"/>
      <c r="AF161" s="47"/>
      <c r="AG161" s="40">
        <f>SUM(AG157:AG160)</f>
      </c>
      <c r="AH161" s="40">
        <f>SUM(AH157:AH160)</f>
      </c>
      <c r="AI161" s="40">
        <f>SUM(AI157:AI160)</f>
      </c>
      <c r="AJ161" s="40">
        <f>SUM(AJ157:AJ160)</f>
      </c>
      <c r="AK161" s="40">
        <f>SUM(AK157:AK160)</f>
      </c>
      <c r="AL161" s="40">
        <f>SUM(AL157:AL160)</f>
      </c>
    </row>
    <row r="162">
      <c r="A162" s="15"/>
      <c r="B162" s="60" t="s">
        <v>47</v>
      </c>
      <c r="C162" s="61">
        <f>C142+C148+C151+C156+C161</f>
      </c>
      <c r="D162" s="62">
        <f>D142+D148+D151+D156+D161</f>
      </c>
      <c r="E162" s="61">
        <f>E142+E148+E151+E156+E161</f>
      </c>
      <c r="F162" s="61">
        <f>F142+F148+F151+F156+F161</f>
      </c>
      <c r="G162" s="61">
        <f>G142+G148+G151+G156+G161</f>
      </c>
      <c r="H162" s="61">
        <f>H142+H148+H151+H156+H161</f>
      </c>
      <c r="I162" s="62">
        <f>I142+I148+I151+I156+I161</f>
      </c>
      <c r="J162" s="61">
        <f>J142+J148+J151+J156+J161</f>
      </c>
      <c r="K162" s="61">
        <f>K142+K148+K151+K156+K161</f>
      </c>
      <c r="L162" s="61">
        <f>L142+L148+L151+L156+L161</f>
      </c>
      <c r="M162" s="63">
        <f t="shared" si="301"/>
      </c>
      <c r="N162" s="63">
        <f t="shared" si="320"/>
      </c>
      <c r="O162" s="63">
        <f t="shared" si="339"/>
      </c>
      <c r="P162" s="63">
        <f t="shared" si="24"/>
      </c>
      <c r="Q162" s="63">
        <f t="shared" si="43"/>
      </c>
      <c r="R162" s="63">
        <f t="shared" si="62"/>
      </c>
      <c r="S162" s="64">
        <f t="shared" si="81"/>
      </c>
      <c r="T162" s="64">
        <f t="shared" si="631"/>
      </c>
      <c r="U162" s="63">
        <f t="shared" si="669"/>
      </c>
      <c r="V162" s="64">
        <f t="shared" si="650"/>
      </c>
      <c r="W162" s="64">
        <f t="shared" si="688"/>
      </c>
      <c r="X162" s="63">
        <f t="shared" si="5"/>
      </c>
      <c r="Y162" s="61">
        <f>Y142+Y148+Y151+Y156+Y161</f>
      </c>
      <c r="Z162" s="61">
        <f>Z142+Z148+Z151+Z156+Z161</f>
      </c>
      <c r="AA162" s="61">
        <f>AA142+AA148+AA151+AA156+AA161</f>
      </c>
      <c r="AB162" s="61">
        <f>AB142+AB148+AB151+AB156+AB161</f>
      </c>
      <c r="AC162" s="65">
        <f>AC142+AC148+AC151+AC156+AC161</f>
      </c>
      <c r="AD162" s="66">
        <f t="shared" si="191"/>
      </c>
      <c r="AE162" s="67"/>
      <c r="AF162" s="60"/>
      <c r="AG162" s="61">
        <f>AG142+AG148+AG151+AG156+AG161</f>
      </c>
      <c r="AH162" s="61">
        <f>AH142+AH148+AH151+AH156+AH161</f>
      </c>
      <c r="AI162" s="61">
        <f>AI142+AI148+AI151+AI156+AI161</f>
      </c>
      <c r="AJ162" s="61">
        <f>AJ142+AJ148+AJ151+AJ156+AJ161</f>
      </c>
      <c r="AK162" s="61">
        <f>AK142+AK148+AK151+AK156+AK161</f>
      </c>
      <c r="AL162" s="61">
        <f>AL142+AL148+AL151+AL156+AL161</f>
      </c>
    </row>
    <row r="163">
      <c r="A163" s="1" t="s">
        <v>1</v>
      </c>
      <c r="B163" s="2" t="s">
        <v>2</v>
      </c>
      <c r="C163" s="2" t="s">
        <v>3</v>
      </c>
      <c r="D163" s="3" t="s">
        <v>4</v>
      </c>
      <c r="E163" s="2" t="s">
        <v>5</v>
      </c>
      <c r="F163" s="2" t="s">
        <v>6</v>
      </c>
      <c r="G163" s="4" t="s">
        <v>7</v>
      </c>
      <c r="H163" s="4" t="s">
        <v>8</v>
      </c>
      <c r="I163" s="3" t="s">
        <v>9</v>
      </c>
      <c r="J163" s="5" t="s">
        <v>10</v>
      </c>
      <c r="K163" s="6" t="s">
        <v>11</v>
      </c>
      <c r="L163" s="6" t="s">
        <v>12</v>
      </c>
      <c r="M163" s="7" t="s">
        <v>13</v>
      </c>
      <c r="N163" s="6" t="s">
        <v>14</v>
      </c>
      <c r="O163" s="2" t="s">
        <v>15</v>
      </c>
      <c r="P163" s="7" t="s">
        <v>16</v>
      </c>
      <c r="Q163" s="8" t="s">
        <v>17</v>
      </c>
      <c r="R163" s="8" t="s">
        <v>18</v>
      </c>
      <c r="S163" s="3" t="s">
        <v>19</v>
      </c>
      <c r="T163" s="9" t="s">
        <v>20</v>
      </c>
      <c r="U163" s="7" t="s">
        <v>21</v>
      </c>
      <c r="V163" s="10" t="s">
        <v>22</v>
      </c>
      <c r="W163" s="11" t="s">
        <v>23</v>
      </c>
      <c r="X163" s="7" t="s">
        <v>24</v>
      </c>
      <c r="Y163" s="12" t="s">
        <v>25</v>
      </c>
      <c r="Z163" s="13" t="s">
        <v>26</v>
      </c>
      <c r="AA163" s="12" t="s">
        <v>27</v>
      </c>
      <c r="AB163" s="14" t="s">
        <v>28</v>
      </c>
      <c r="AC163" s="14" t="s">
        <v>29</v>
      </c>
      <c r="AD163" s="6" t="s">
        <v>30</v>
      </c>
      <c r="AE163" s="5" t="s">
        <v>31</v>
      </c>
      <c r="AF163" s="6" t="s">
        <v>32</v>
      </c>
      <c r="AG163" s="5" t="s">
        <v>33</v>
      </c>
      <c r="AH163" s="5" t="s">
        <v>34</v>
      </c>
      <c r="AI163" s="6" t="s">
        <v>35</v>
      </c>
      <c r="AJ163" s="5" t="s">
        <v>36</v>
      </c>
      <c r="AK163" s="6" t="s">
        <v>37</v>
      </c>
      <c r="AL163" s="5" t="s">
        <v>38</v>
      </c>
    </row>
    <row r="164">
      <c r="A164" s="15">
        <v>46302</v>
      </c>
      <c r="B164" s="16" t="s">
        <v>39</v>
      </c>
      <c r="C164" s="17" t="s">
        <v>40</v>
      </c>
      <c r="D164" s="18">
        <f t="shared" ref="D164:D168" si="383">E164+F164+G164+H164</f>
      </c>
      <c r="E164" s="19">
        <v>1176.98</v>
      </c>
      <c r="F164" s="20">
        <v>9383.93</v>
      </c>
      <c r="G164" s="20">
        <v>0</v>
      </c>
      <c r="H164" s="20">
        <v>0</v>
      </c>
      <c r="I164" s="20">
        <f t="shared" ref="I164:I168" si="474">AB164+AC164</f>
      </c>
      <c r="J164" s="21">
        <f>1278.72+2603.88</f>
      </c>
      <c r="K164" s="22">
        <f t="shared" ref="K164:K168" si="565">I164-J164</f>
      </c>
      <c r="L164" s="22">
        <f t="shared" ref="L164:L168" si="235">(I164-AC164)/12+AC164</f>
      </c>
      <c r="M164" s="23">
        <f t="shared" ref="M164:M189" si="302">I164/D164</f>
      </c>
      <c r="N164" s="24">
        <f t="shared" ref="N164:N189" si="321">(I164-J164)/D164</f>
      </c>
      <c r="O164" s="25">
        <f t="shared" ref="O164:O189" si="340">(AC164+AB164/12)/D164</f>
      </c>
      <c r="P164" s="26">
        <f t="shared" ref="P164:P189" si="25">I164/AA164</f>
      </c>
      <c r="Q164" s="26">
        <f t="shared" ref="Q164:Q189" si="44">D164/AA164</f>
      </c>
      <c r="R164" s="26">
        <f t="shared" ref="R164:R189" si="63">D164/AG164</f>
      </c>
      <c r="S164" s="27">
        <f t="shared" ref="S164:S189" si="82">AA164/Y164</f>
      </c>
      <c r="T164" s="28">
        <f t="shared" ref="T164:T189" si="632">AI164/AH164</f>
      </c>
      <c r="U164" s="26">
        <f t="shared" ref="U164:U189" si="670">D164/AJ164</f>
      </c>
      <c r="V164" s="29">
        <f t="shared" ref="V164:V189" si="651">AK164/AJ164</f>
      </c>
      <c r="W164" s="29">
        <f t="shared" ref="W164:W189" si="689">AL164/AJ164</f>
      </c>
      <c r="X164" s="26">
        <f t="shared" ref="X164:X189" si="6">D164/AL164</f>
      </c>
      <c r="Y164" s="30">
        <f t="shared" ref="Y164:Y168" si="125">Z164+AA164</f>
      </c>
      <c r="Z164" s="30">
        <v>6</v>
      </c>
      <c r="AA164" s="30">
        <v>6</v>
      </c>
      <c r="AB164" s="31">
        <v>9389.52</v>
      </c>
      <c r="AC164" s="31">
        <v>0</v>
      </c>
      <c r="AD164" s="27">
        <f t="shared" ref="AD164:AD189" si="192">AC164/I164</f>
      </c>
      <c r="AE164" s="32" t="s">
        <v>41</v>
      </c>
      <c r="AF164" s="33" t="s">
        <v>70</v>
      </c>
      <c r="AG164" s="34">
        <v>5</v>
      </c>
      <c r="AH164" s="34">
        <v>169170</v>
      </c>
      <c r="AI164" s="35">
        <v>4564</v>
      </c>
      <c r="AJ164" s="35">
        <v>4996</v>
      </c>
      <c r="AK164" s="34">
        <v>322</v>
      </c>
      <c r="AL164" s="36">
        <v>303</v>
      </c>
    </row>
    <row r="165">
      <c r="A165" s="15"/>
      <c r="B165" s="16" t="s">
        <v>39</v>
      </c>
      <c r="C165" s="17" t="s">
        <v>43</v>
      </c>
      <c r="D165" s="18">
        <f t="shared" si="383"/>
      </c>
      <c r="E165" s="17">
        <v>1454.57</v>
      </c>
      <c r="F165" s="20">
        <v>9380.88</v>
      </c>
      <c r="G165" s="20">
        <v>0</v>
      </c>
      <c r="H165" s="20">
        <v>0</v>
      </c>
      <c r="I165" s="20">
        <f t="shared" si="474"/>
      </c>
      <c r="J165" s="21">
        <f>2367.36+1337.04+546.48+3218.4</f>
      </c>
      <c r="K165" s="22">
        <f t="shared" si="565"/>
      </c>
      <c r="L165" s="22">
        <f t="shared" si="235"/>
      </c>
      <c r="M165" s="23">
        <f t="shared" si="302"/>
      </c>
      <c r="N165" s="24">
        <f t="shared" si="321"/>
      </c>
      <c r="O165" s="25">
        <f t="shared" si="340"/>
      </c>
      <c r="P165" s="26">
        <f t="shared" si="25"/>
      </c>
      <c r="Q165" s="26">
        <f t="shared" si="44"/>
      </c>
      <c r="R165" s="26">
        <f t="shared" si="63"/>
      </c>
      <c r="S165" s="27">
        <f t="shared" si="82"/>
      </c>
      <c r="T165" s="28">
        <f t="shared" si="632"/>
      </c>
      <c r="U165" s="26">
        <f t="shared" si="670"/>
      </c>
      <c r="V165" s="29">
        <f t="shared" si="651"/>
      </c>
      <c r="W165" s="29">
        <f t="shared" si="689"/>
      </c>
      <c r="X165" s="26">
        <f t="shared" si="6"/>
      </c>
      <c r="Y165" s="30">
        <f t="shared" si="125"/>
      </c>
      <c r="Z165" s="30">
        <v>10</v>
      </c>
      <c r="AA165" s="30">
        <v>12</v>
      </c>
      <c r="AB165" s="31">
        <v>19556.64</v>
      </c>
      <c r="AC165" s="31">
        <v>1664</v>
      </c>
      <c r="AD165" s="27">
        <f t="shared" si="192"/>
      </c>
      <c r="AE165" s="32" t="s">
        <v>41</v>
      </c>
      <c r="AF165" s="33" t="s">
        <v>70</v>
      </c>
      <c r="AG165" s="34">
        <v>12</v>
      </c>
      <c r="AH165" s="35">
        <v>158249</v>
      </c>
      <c r="AI165" s="35">
        <v>4645</v>
      </c>
      <c r="AJ165" s="35">
        <v>5088</v>
      </c>
      <c r="AK165" s="36">
        <v>426</v>
      </c>
      <c r="AL165" s="36">
        <v>361</v>
      </c>
    </row>
    <row r="166">
      <c r="A166" s="15"/>
      <c r="B166" s="16" t="s">
        <v>39</v>
      </c>
      <c r="C166" s="17" t="s">
        <v>44</v>
      </c>
      <c r="D166" s="18">
        <f t="shared" si="383"/>
      </c>
      <c r="E166" s="17">
        <v>1136.61</v>
      </c>
      <c r="F166" s="20">
        <v>9411.64</v>
      </c>
      <c r="G166" s="20">
        <v>0</v>
      </c>
      <c r="H166" s="20">
        <v>0</v>
      </c>
      <c r="I166" s="20">
        <f t="shared" si="474"/>
      </c>
      <c r="J166" s="21">
        <f>4728.84+1149.12</f>
      </c>
      <c r="K166" s="22">
        <f t="shared" si="565"/>
      </c>
      <c r="L166" s="22">
        <f t="shared" si="235"/>
      </c>
      <c r="M166" s="23">
        <f t="shared" si="302"/>
      </c>
      <c r="N166" s="24">
        <f t="shared" si="321"/>
      </c>
      <c r="O166" s="25">
        <f t="shared" si="340"/>
      </c>
      <c r="P166" s="26">
        <f t="shared" si="25"/>
      </c>
      <c r="Q166" s="26">
        <f t="shared" si="44"/>
      </c>
      <c r="R166" s="26">
        <f t="shared" si="63"/>
      </c>
      <c r="S166" s="27">
        <f t="shared" si="82"/>
      </c>
      <c r="T166" s="28">
        <f t="shared" si="632"/>
      </c>
      <c r="U166" s="26">
        <f t="shared" si="670"/>
      </c>
      <c r="V166" s="29">
        <f t="shared" si="651"/>
      </c>
      <c r="W166" s="29">
        <f t="shared" si="689"/>
      </c>
      <c r="X166" s="26">
        <f t="shared" si="6"/>
      </c>
      <c r="Y166" s="30">
        <f t="shared" si="125"/>
      </c>
      <c r="Z166" s="30">
        <v>5</v>
      </c>
      <c r="AA166" s="30">
        <v>5</v>
      </c>
      <c r="AB166" s="31">
        <v>11806.2</v>
      </c>
      <c r="AC166" s="31">
        <v>0</v>
      </c>
      <c r="AD166" s="27">
        <f t="shared" si="192"/>
      </c>
      <c r="AE166" s="32" t="s">
        <v>41</v>
      </c>
      <c r="AF166" s="33" t="s">
        <v>70</v>
      </c>
      <c r="AG166" s="36">
        <v>4</v>
      </c>
      <c r="AH166" s="35">
        <v>175338</v>
      </c>
      <c r="AI166" s="35">
        <v>2933</v>
      </c>
      <c r="AJ166" s="35">
        <v>3421</v>
      </c>
      <c r="AK166" s="36">
        <v>350</v>
      </c>
      <c r="AL166" s="36">
        <v>313</v>
      </c>
    </row>
    <row r="167">
      <c r="A167" s="15"/>
      <c r="B167" s="16" t="s">
        <v>39</v>
      </c>
      <c r="C167" s="17" t="s">
        <v>45</v>
      </c>
      <c r="D167" s="18">
        <f t="shared" si="383"/>
      </c>
      <c r="E167" s="17">
        <v>719.47</v>
      </c>
      <c r="F167" s="20">
        <v>9879.37</v>
      </c>
      <c r="G167" s="20">
        <v>0</v>
      </c>
      <c r="H167" s="20">
        <v>0</v>
      </c>
      <c r="I167" s="37">
        <f t="shared" si="474"/>
      </c>
      <c r="J167" s="21">
        <v>1205.28</v>
      </c>
      <c r="K167" s="22">
        <f t="shared" si="565"/>
      </c>
      <c r="L167" s="22">
        <f t="shared" si="235"/>
      </c>
      <c r="M167" s="23">
        <f t="shared" si="302"/>
      </c>
      <c r="N167" s="24">
        <f t="shared" si="321"/>
      </c>
      <c r="O167" s="25">
        <f t="shared" si="340"/>
      </c>
      <c r="P167" s="26">
        <f t="shared" si="25"/>
      </c>
      <c r="Q167" s="26">
        <f t="shared" si="44"/>
      </c>
      <c r="R167" s="26">
        <f t="shared" si="63"/>
      </c>
      <c r="S167" s="27">
        <f t="shared" si="82"/>
      </c>
      <c r="T167" s="28">
        <f t="shared" si="632"/>
      </c>
      <c r="U167" s="26">
        <f t="shared" si="670"/>
      </c>
      <c r="V167" s="29">
        <f t="shared" si="651"/>
      </c>
      <c r="W167" s="29">
        <f t="shared" si="689"/>
      </c>
      <c r="X167" s="26">
        <f t="shared" si="6"/>
      </c>
      <c r="Y167" s="30">
        <f t="shared" si="125"/>
      </c>
      <c r="Z167" s="30">
        <v>9</v>
      </c>
      <c r="AA167" s="30">
        <v>7</v>
      </c>
      <c r="AB167" s="31">
        <v>4741.199999999997</v>
      </c>
      <c r="AC167" s="31">
        <v>2411</v>
      </c>
      <c r="AD167" s="27">
        <f t="shared" si="192"/>
      </c>
      <c r="AE167" s="32" t="s">
        <v>41</v>
      </c>
      <c r="AF167" s="33" t="s">
        <v>70</v>
      </c>
      <c r="AG167" s="34">
        <v>5</v>
      </c>
      <c r="AH167" s="35">
        <v>157639</v>
      </c>
      <c r="AI167" s="35">
        <v>1926</v>
      </c>
      <c r="AJ167" s="35">
        <v>2186</v>
      </c>
      <c r="AK167" s="36">
        <v>281</v>
      </c>
      <c r="AL167" s="36">
        <v>321</v>
      </c>
    </row>
    <row r="168">
      <c r="A168" s="15"/>
      <c r="B168" s="16" t="s">
        <v>39</v>
      </c>
      <c r="C168" s="17" t="s">
        <v>46</v>
      </c>
      <c r="D168" s="18">
        <f t="shared" si="383"/>
      </c>
      <c r="E168" s="17">
        <v>990.47</v>
      </c>
      <c r="F168" s="20">
        <v>5982.22</v>
      </c>
      <c r="G168" s="20">
        <v>0</v>
      </c>
      <c r="H168" s="20">
        <v>0</v>
      </c>
      <c r="I168" s="20">
        <f t="shared" si="474"/>
      </c>
      <c r="J168" s="21">
        <v>2999.28</v>
      </c>
      <c r="K168" s="22">
        <f t="shared" si="565"/>
      </c>
      <c r="L168" s="22">
        <f t="shared" si="235"/>
      </c>
      <c r="M168" s="23">
        <f t="shared" si="302"/>
      </c>
      <c r="N168" s="24">
        <f t="shared" si="321"/>
      </c>
      <c r="O168" s="25">
        <f t="shared" si="340"/>
      </c>
      <c r="P168" s="26">
        <f t="shared" si="25"/>
      </c>
      <c r="Q168" s="26">
        <f t="shared" si="44"/>
      </c>
      <c r="R168" s="26">
        <f t="shared" si="63"/>
      </c>
      <c r="S168" s="27">
        <f t="shared" si="82"/>
      </c>
      <c r="T168" s="28">
        <f t="shared" si="632"/>
      </c>
      <c r="U168" s="26">
        <f t="shared" si="670"/>
      </c>
      <c r="V168" s="29">
        <f t="shared" si="651"/>
      </c>
      <c r="W168" s="29">
        <f t="shared" si="689"/>
      </c>
      <c r="X168" s="26">
        <f t="shared" si="6"/>
      </c>
      <c r="Y168" s="30">
        <f t="shared" si="125"/>
      </c>
      <c r="Z168" s="30">
        <v>4</v>
      </c>
      <c r="AA168" s="30">
        <v>8</v>
      </c>
      <c r="AB168" s="31">
        <v>7793.28</v>
      </c>
      <c r="AC168" s="31">
        <v>0</v>
      </c>
      <c r="AD168" s="27">
        <f t="shared" si="192"/>
      </c>
      <c r="AE168" s="32" t="s">
        <v>41</v>
      </c>
      <c r="AF168" s="33" t="s">
        <v>70</v>
      </c>
      <c r="AG168" s="34">
        <v>6</v>
      </c>
      <c r="AH168" s="35">
        <v>108756</v>
      </c>
      <c r="AI168" s="35">
        <v>1189</v>
      </c>
      <c r="AJ168" s="35">
        <v>1398</v>
      </c>
      <c r="AK168" s="34">
        <v>207</v>
      </c>
      <c r="AL168" s="34">
        <v>236</v>
      </c>
    </row>
    <row r="169">
      <c r="A169" s="15"/>
      <c r="B169" s="38" t="s">
        <v>47</v>
      </c>
      <c r="C169" s="39">
        <v>5</v>
      </c>
      <c r="D169" s="40">
        <f>SUM(D164:D168)</f>
      </c>
      <c r="E169" s="40">
        <f>SUM(E164:E168)</f>
      </c>
      <c r="F169" s="40">
        <f>SUM(F164:F168)</f>
      </c>
      <c r="G169" s="40">
        <f>SUM(G164:G168)</f>
      </c>
      <c r="H169" s="40">
        <f>SUM(H164:H168)</f>
      </c>
      <c r="I169" s="40">
        <f>SUM(I164:I168)</f>
      </c>
      <c r="J169" s="40">
        <f>SUM(J164:J168)</f>
      </c>
      <c r="K169" s="40">
        <f>SUM(K164:K168)</f>
      </c>
      <c r="L169" s="40">
        <f>SUM(L164:L168)</f>
      </c>
      <c r="M169" s="41">
        <f t="shared" si="302"/>
      </c>
      <c r="N169" s="42">
        <f t="shared" si="321"/>
      </c>
      <c r="O169" s="42">
        <f t="shared" si="340"/>
      </c>
      <c r="P169" s="43">
        <f t="shared" si="25"/>
      </c>
      <c r="Q169" s="43">
        <f t="shared" si="44"/>
      </c>
      <c r="R169" s="43">
        <f t="shared" si="63"/>
      </c>
      <c r="S169" s="44">
        <f t="shared" si="82"/>
      </c>
      <c r="T169" s="44">
        <f t="shared" si="632"/>
      </c>
      <c r="U169" s="43">
        <f t="shared" si="670"/>
      </c>
      <c r="V169" s="44">
        <f t="shared" si="651"/>
      </c>
      <c r="W169" s="44">
        <f t="shared" si="689"/>
      </c>
      <c r="X169" s="43">
        <f t="shared" si="6"/>
      </c>
      <c r="Y169" s="40">
        <f>SUM(Y164:Y168)</f>
      </c>
      <c r="Z169" s="40">
        <f>SUM(Z164:Z168)</f>
      </c>
      <c r="AA169" s="40">
        <f>SUM(AA164:AA168)</f>
      </c>
      <c r="AB169" s="40">
        <f>SUM(AB164:AB168)</f>
      </c>
      <c r="AC169" s="40">
        <f>SUM(AC164:AC168)</f>
      </c>
      <c r="AD169" s="45">
        <f t="shared" si="192"/>
      </c>
      <c r="AE169" s="46"/>
      <c r="AF169" s="47"/>
      <c r="AG169" s="40">
        <f>SUM(AG164:AG168)</f>
      </c>
      <c r="AH169" s="40">
        <f>SUM(AH164:AH168)</f>
      </c>
      <c r="AI169" s="40">
        <f>SUM(AI164:AI168)</f>
      </c>
      <c r="AJ169" s="40">
        <f>SUM(AJ164:AJ168)</f>
      </c>
      <c r="AK169" s="40">
        <f>SUM(AK164:AK168)</f>
      </c>
      <c r="AL169" s="40">
        <f>SUM(AL164:AL168)</f>
      </c>
    </row>
    <row r="170">
      <c r="A170" s="15"/>
      <c r="B170" s="16" t="s">
        <v>48</v>
      </c>
      <c r="C170" s="17" t="s">
        <v>49</v>
      </c>
      <c r="D170" s="18">
        <f t="shared" ref="D170:D173" si="384">E170+F170+G170+H170</f>
      </c>
      <c r="E170" s="19">
        <v>1071.22</v>
      </c>
      <c r="F170" s="20">
        <v>5689.97</v>
      </c>
      <c r="G170" s="20">
        <v>0</v>
      </c>
      <c r="H170" s="20">
        <v>0</v>
      </c>
      <c r="I170" s="20">
        <f t="shared" ref="I170:I173" si="475">AB170+AC170</f>
      </c>
      <c r="J170" s="21">
        <v>0</v>
      </c>
      <c r="K170" s="22">
        <f t="shared" ref="K170:K173" si="566">I170-J170</f>
      </c>
      <c r="L170" s="22">
        <f t="shared" ref="L170:L173" si="236">(I170-AC170)/12+AC170</f>
      </c>
      <c r="M170" s="23">
        <f t="shared" si="302"/>
      </c>
      <c r="N170" s="24">
        <f t="shared" si="321"/>
      </c>
      <c r="O170" s="25">
        <f t="shared" si="340"/>
      </c>
      <c r="P170" s="26">
        <f t="shared" si="25"/>
      </c>
      <c r="Q170" s="26">
        <f t="shared" si="44"/>
      </c>
      <c r="R170" s="26">
        <f t="shared" si="63"/>
      </c>
      <c r="S170" s="27">
        <f t="shared" si="82"/>
      </c>
      <c r="T170" s="28">
        <f t="shared" si="632"/>
      </c>
      <c r="U170" s="26">
        <f t="shared" si="670"/>
      </c>
      <c r="V170" s="29">
        <f t="shared" si="651"/>
      </c>
      <c r="W170" s="29">
        <f t="shared" si="689"/>
      </c>
      <c r="X170" s="26">
        <f t="shared" si="6"/>
      </c>
      <c r="Y170" s="30">
        <f t="shared" ref="Y170:Y173" si="126">Z170+AA170</f>
      </c>
      <c r="Z170" s="30">
        <v>4</v>
      </c>
      <c r="AA170" s="30">
        <v>9</v>
      </c>
      <c r="AB170" s="31">
        <v>7993.080000000002</v>
      </c>
      <c r="AC170" s="31">
        <v>635</v>
      </c>
      <c r="AD170" s="27">
        <f t="shared" si="192"/>
      </c>
      <c r="AE170" s="32" t="s">
        <v>41</v>
      </c>
      <c r="AF170" s="33" t="s">
        <v>70</v>
      </c>
      <c r="AG170" s="34">
        <v>7</v>
      </c>
      <c r="AH170" s="35">
        <v>83893</v>
      </c>
      <c r="AI170" s="35">
        <v>1142</v>
      </c>
      <c r="AJ170" s="35">
        <v>1349</v>
      </c>
      <c r="AK170" s="34">
        <v>207</v>
      </c>
      <c r="AL170" s="34">
        <v>204</v>
      </c>
    </row>
    <row r="171">
      <c r="A171" s="15"/>
      <c r="B171" s="16" t="s">
        <v>48</v>
      </c>
      <c r="C171" s="17" t="s">
        <v>50</v>
      </c>
      <c r="D171" s="18">
        <f t="shared" si="384"/>
      </c>
      <c r="E171" s="17">
        <v>1520.3</v>
      </c>
      <c r="F171" s="20">
        <v>6287.15</v>
      </c>
      <c r="G171" s="20">
        <v>0</v>
      </c>
      <c r="H171" s="20">
        <v>0</v>
      </c>
      <c r="I171" s="20">
        <f t="shared" si="475"/>
      </c>
      <c r="J171" s="21">
        <f>4167.72+2917.08+943.92</f>
      </c>
      <c r="K171" s="22">
        <f t="shared" si="566"/>
      </c>
      <c r="L171" s="22">
        <f t="shared" si="236"/>
      </c>
      <c r="M171" s="23">
        <f t="shared" si="302"/>
      </c>
      <c r="N171" s="24">
        <f t="shared" si="321"/>
      </c>
      <c r="O171" s="25">
        <f t="shared" si="340"/>
      </c>
      <c r="P171" s="26">
        <f t="shared" si="25"/>
      </c>
      <c r="Q171" s="26">
        <f t="shared" si="44"/>
      </c>
      <c r="R171" s="26">
        <f t="shared" si="63"/>
      </c>
      <c r="S171" s="27">
        <f t="shared" si="82"/>
      </c>
      <c r="T171" s="28">
        <f t="shared" si="632"/>
      </c>
      <c r="U171" s="26">
        <f t="shared" si="670"/>
      </c>
      <c r="V171" s="29">
        <f t="shared" si="651"/>
      </c>
      <c r="W171" s="29">
        <f t="shared" si="689"/>
      </c>
      <c r="X171" s="26">
        <f t="shared" si="6"/>
      </c>
      <c r="Y171" s="30">
        <f t="shared" si="126"/>
      </c>
      <c r="Z171" s="30">
        <v>7</v>
      </c>
      <c r="AA171" s="30">
        <v>10</v>
      </c>
      <c r="AB171" s="31">
        <v>17283.23999999999</v>
      </c>
      <c r="AC171" s="31">
        <v>1886</v>
      </c>
      <c r="AD171" s="27">
        <f t="shared" si="192"/>
      </c>
      <c r="AE171" s="32" t="s">
        <v>41</v>
      </c>
      <c r="AF171" s="33" t="s">
        <v>70</v>
      </c>
      <c r="AG171" s="34">
        <v>10</v>
      </c>
      <c r="AH171" s="35">
        <v>119807</v>
      </c>
      <c r="AI171" s="35">
        <v>1818</v>
      </c>
      <c r="AJ171" s="35">
        <v>2124</v>
      </c>
      <c r="AK171" s="36">
        <v>250</v>
      </c>
      <c r="AL171" s="36">
        <v>272</v>
      </c>
    </row>
    <row r="172">
      <c r="A172" s="15"/>
      <c r="B172" s="16" t="s">
        <v>48</v>
      </c>
      <c r="C172" s="17" t="s">
        <v>51</v>
      </c>
      <c r="D172" s="18">
        <f t="shared" si="384"/>
      </c>
      <c r="E172" s="17">
        <v>730.95</v>
      </c>
      <c r="F172" s="17">
        <v>4669.03</v>
      </c>
      <c r="G172" s="20">
        <v>0</v>
      </c>
      <c r="H172" s="20">
        <v>0</v>
      </c>
      <c r="I172" s="20">
        <f t="shared" si="475"/>
      </c>
      <c r="J172" s="21">
        <v>2315.5200000000004</v>
      </c>
      <c r="K172" s="22">
        <f t="shared" si="566"/>
      </c>
      <c r="L172" s="22">
        <f t="shared" si="236"/>
      </c>
      <c r="M172" s="23">
        <f t="shared" si="302"/>
      </c>
      <c r="N172" s="24">
        <f t="shared" si="321"/>
      </c>
      <c r="O172" s="25">
        <f t="shared" si="340"/>
      </c>
      <c r="P172" s="26">
        <f t="shared" si="25"/>
      </c>
      <c r="Q172" s="26">
        <f t="shared" si="44"/>
      </c>
      <c r="R172" s="26">
        <f t="shared" si="63"/>
      </c>
      <c r="S172" s="27">
        <f t="shared" si="82"/>
      </c>
      <c r="T172" s="28">
        <f t="shared" si="632"/>
      </c>
      <c r="U172" s="26">
        <f t="shared" si="670"/>
      </c>
      <c r="V172" s="29">
        <f t="shared" si="651"/>
      </c>
      <c r="W172" s="29">
        <f t="shared" si="689"/>
      </c>
      <c r="X172" s="26">
        <f t="shared" si="6"/>
      </c>
      <c r="Y172" s="30">
        <f t="shared" si="126"/>
      </c>
      <c r="Z172" s="30">
        <v>3</v>
      </c>
      <c r="AA172" s="30">
        <v>6</v>
      </c>
      <c r="AB172" s="31">
        <v>9034.200000000012</v>
      </c>
      <c r="AC172" s="69">
        <v>0</v>
      </c>
      <c r="AD172" s="27">
        <f t="shared" si="192"/>
      </c>
      <c r="AE172" s="32" t="s">
        <v>41</v>
      </c>
      <c r="AF172" s="33" t="s">
        <v>70</v>
      </c>
      <c r="AG172" s="36">
        <v>4</v>
      </c>
      <c r="AH172" s="35">
        <v>86831</v>
      </c>
      <c r="AI172" s="35">
        <v>1213</v>
      </c>
      <c r="AJ172" s="35">
        <v>1455</v>
      </c>
      <c r="AK172" s="36">
        <v>192</v>
      </c>
      <c r="AL172" s="36">
        <v>187</v>
      </c>
    </row>
    <row r="173">
      <c r="A173" s="15"/>
      <c r="B173" s="16" t="s">
        <v>48</v>
      </c>
      <c r="C173" s="17" t="s">
        <v>52</v>
      </c>
      <c r="D173" s="18">
        <f t="shared" si="384"/>
      </c>
      <c r="E173" s="17">
        <v>538.71</v>
      </c>
      <c r="F173" s="20">
        <v>5312.38</v>
      </c>
      <c r="G173" s="20">
        <v>0</v>
      </c>
      <c r="H173" s="20">
        <v>0</v>
      </c>
      <c r="I173" s="20">
        <f t="shared" si="475"/>
      </c>
      <c r="J173" s="21">
        <v>498.96</v>
      </c>
      <c r="K173" s="22">
        <f t="shared" si="566"/>
      </c>
      <c r="L173" s="22">
        <f t="shared" si="236"/>
      </c>
      <c r="M173" s="23">
        <f t="shared" si="302"/>
      </c>
      <c r="N173" s="24">
        <f t="shared" si="321"/>
      </c>
      <c r="O173" s="25">
        <f t="shared" si="340"/>
      </c>
      <c r="P173" s="26">
        <f t="shared" si="25"/>
      </c>
      <c r="Q173" s="26">
        <f t="shared" si="44"/>
      </c>
      <c r="R173" s="26">
        <f t="shared" si="63"/>
      </c>
      <c r="S173" s="27">
        <f t="shared" si="82"/>
      </c>
      <c r="T173" s="28">
        <f t="shared" si="632"/>
      </c>
      <c r="U173" s="26">
        <f t="shared" si="670"/>
      </c>
      <c r="V173" s="29">
        <f t="shared" si="651"/>
      </c>
      <c r="W173" s="29">
        <f t="shared" si="689"/>
      </c>
      <c r="X173" s="26">
        <f t="shared" si="6"/>
      </c>
      <c r="Y173" s="30">
        <f t="shared" si="126"/>
      </c>
      <c r="Z173" s="30">
        <v>5</v>
      </c>
      <c r="AA173" s="30">
        <v>2</v>
      </c>
      <c r="AB173" s="70">
        <v>1045.44</v>
      </c>
      <c r="AC173" s="74">
        <v>0</v>
      </c>
      <c r="AD173" s="72">
        <f t="shared" si="192"/>
      </c>
      <c r="AE173" s="32" t="s">
        <v>41</v>
      </c>
      <c r="AF173" s="33" t="s">
        <v>70</v>
      </c>
      <c r="AG173" s="34">
        <v>1</v>
      </c>
      <c r="AH173" s="35">
        <v>65919</v>
      </c>
      <c r="AI173" s="35">
        <v>954</v>
      </c>
      <c r="AJ173" s="35">
        <v>1117</v>
      </c>
      <c r="AK173" s="36">
        <v>146</v>
      </c>
      <c r="AL173" s="36">
        <v>174</v>
      </c>
    </row>
    <row r="174">
      <c r="A174" s="15"/>
      <c r="B174" s="38" t="s">
        <v>47</v>
      </c>
      <c r="C174" s="39">
        <v>4</v>
      </c>
      <c r="D174" s="40">
        <f>SUM(D170:D173)</f>
      </c>
      <c r="E174" s="40">
        <f>SUM(E170:E173)</f>
      </c>
      <c r="F174" s="40">
        <f>SUM(F170:F173)</f>
      </c>
      <c r="G174" s="40">
        <f>SUM(G170:G173)</f>
      </c>
      <c r="H174" s="40">
        <f>SUM(H170:H173)</f>
      </c>
      <c r="I174" s="40">
        <f>SUM(I170:I173)</f>
      </c>
      <c r="J174" s="40">
        <f>SUM(J170:J173)</f>
      </c>
      <c r="K174" s="40">
        <f>SUM(K170:K173)</f>
      </c>
      <c r="L174" s="40">
        <f>SUM(L170:L173)</f>
      </c>
      <c r="M174" s="41">
        <f t="shared" si="302"/>
      </c>
      <c r="N174" s="42">
        <f t="shared" si="321"/>
      </c>
      <c r="O174" s="42">
        <f t="shared" si="340"/>
      </c>
      <c r="P174" s="43">
        <f t="shared" si="25"/>
      </c>
      <c r="Q174" s="43">
        <f t="shared" si="44"/>
      </c>
      <c r="R174" s="43">
        <f t="shared" si="63"/>
      </c>
      <c r="S174" s="44">
        <f t="shared" si="82"/>
      </c>
      <c r="T174" s="44">
        <f t="shared" si="632"/>
      </c>
      <c r="U174" s="43">
        <f t="shared" si="670"/>
      </c>
      <c r="V174" s="44">
        <f t="shared" si="651"/>
      </c>
      <c r="W174" s="44">
        <f t="shared" si="689"/>
      </c>
      <c r="X174" s="43">
        <f t="shared" si="6"/>
      </c>
      <c r="Y174" s="40">
        <f>SUM(Y170:Y173)</f>
      </c>
      <c r="Z174" s="40">
        <f>SUM(Z170:Z173)</f>
      </c>
      <c r="AA174" s="40">
        <f>SUM(AA170:AA173)</f>
      </c>
      <c r="AB174" s="40">
        <f>SUM(AB170:AB173)</f>
      </c>
      <c r="AC174" s="40">
        <f>SUM(AC170:AC173)</f>
      </c>
      <c r="AD174" s="45">
        <f t="shared" si="192"/>
      </c>
      <c r="AE174" s="46"/>
      <c r="AF174" s="47"/>
      <c r="AG174" s="40">
        <f>SUM(AG170:AG173)</f>
      </c>
      <c r="AH174" s="40">
        <f>SUM(AH170:AH173)</f>
      </c>
      <c r="AI174" s="40">
        <f>SUM(AI170:AI173)</f>
      </c>
      <c r="AJ174" s="40">
        <f>SUM(AJ170:AJ173)</f>
      </c>
      <c r="AK174" s="40">
        <f>SUM(AK170:AK173)</f>
      </c>
      <c r="AL174" s="40">
        <f>SUM(AL170:AL173)</f>
      </c>
    </row>
    <row r="175">
      <c r="A175" s="15"/>
      <c r="B175" s="16" t="s">
        <v>69</v>
      </c>
      <c r="C175" s="17" t="s">
        <v>54</v>
      </c>
      <c r="D175" s="18">
        <f t="shared" ref="D175:D176" si="385">E175+F175+G175+H175</f>
      </c>
      <c r="E175" s="17">
        <v>459.43</v>
      </c>
      <c r="F175" s="49">
        <v>4265.33</v>
      </c>
      <c r="G175" s="20">
        <v>0</v>
      </c>
      <c r="H175" s="20">
        <v>0</v>
      </c>
      <c r="I175" s="50">
        <f t="shared" ref="I175:I176" si="476">AB175+AC175</f>
      </c>
      <c r="J175" s="51">
        <f>2464.56+2823</f>
      </c>
      <c r="K175" s="22">
        <f t="shared" ref="K175:K176" si="567">I175-J175</f>
      </c>
      <c r="L175" s="22">
        <f t="shared" ref="L175:L176" si="237">(I175-AC175)/12+AC175</f>
      </c>
      <c r="M175" s="23">
        <f t="shared" si="302"/>
      </c>
      <c r="N175" s="24">
        <f t="shared" si="321"/>
      </c>
      <c r="O175" s="25">
        <f t="shared" si="340"/>
      </c>
      <c r="P175" s="26">
        <f t="shared" si="25"/>
      </c>
      <c r="Q175" s="26">
        <f t="shared" si="44"/>
      </c>
      <c r="R175" s="26">
        <f t="shared" si="63"/>
      </c>
      <c r="S175" s="27">
        <f t="shared" si="82"/>
      </c>
      <c r="T175" s="28">
        <f t="shared" si="632"/>
      </c>
      <c r="U175" s="26">
        <f t="shared" si="670"/>
      </c>
      <c r="V175" s="29">
        <f t="shared" si="651"/>
      </c>
      <c r="W175" s="29">
        <f t="shared" si="689"/>
      </c>
      <c r="X175" s="26">
        <f t="shared" si="6"/>
      </c>
      <c r="Y175" s="30">
        <f t="shared" ref="Y175:Y176" si="127">Z175+AA175</f>
      </c>
      <c r="Z175" s="30">
        <v>1</v>
      </c>
      <c r="AA175" s="30">
        <v>5</v>
      </c>
      <c r="AB175" s="31">
        <v>11097.599999999991</v>
      </c>
      <c r="AC175" s="31">
        <v>2823</v>
      </c>
      <c r="AD175" s="27">
        <f t="shared" si="192"/>
      </c>
      <c r="AE175" s="32" t="s">
        <v>41</v>
      </c>
      <c r="AF175" s="33" t="s">
        <v>70</v>
      </c>
      <c r="AG175" s="34">
        <v>5</v>
      </c>
      <c r="AH175" s="35">
        <v>48090</v>
      </c>
      <c r="AI175" s="35">
        <v>766</v>
      </c>
      <c r="AJ175" s="35">
        <v>909</v>
      </c>
      <c r="AK175" s="36">
        <v>133</v>
      </c>
      <c r="AL175" s="36">
        <v>160</v>
      </c>
    </row>
    <row r="176">
      <c r="A176" s="15"/>
      <c r="B176" s="16" t="s">
        <v>69</v>
      </c>
      <c r="C176" s="17" t="s">
        <v>55</v>
      </c>
      <c r="D176" s="18">
        <f t="shared" si="385"/>
      </c>
      <c r="E176" s="52">
        <v>576.2</v>
      </c>
      <c r="F176" s="53">
        <v>4399.49</v>
      </c>
      <c r="G176" s="20">
        <v>0</v>
      </c>
      <c r="H176" s="20">
        <v>0</v>
      </c>
      <c r="I176" s="55">
        <f t="shared" si="476"/>
      </c>
      <c r="J176" s="51">
        <v>0</v>
      </c>
      <c r="K176" s="22">
        <f t="shared" si="567"/>
      </c>
      <c r="L176" s="22">
        <f t="shared" si="237"/>
      </c>
      <c r="M176" s="23">
        <f t="shared" si="302"/>
      </c>
      <c r="N176" s="24">
        <f t="shared" si="321"/>
      </c>
      <c r="O176" s="25">
        <f t="shared" si="340"/>
      </c>
      <c r="P176" s="26">
        <f t="shared" si="25"/>
      </c>
      <c r="Q176" s="26">
        <f t="shared" si="44"/>
      </c>
      <c r="R176" s="26">
        <f t="shared" si="63"/>
      </c>
      <c r="S176" s="27">
        <f t="shared" si="82"/>
      </c>
      <c r="T176" s="28">
        <f t="shared" si="632"/>
      </c>
      <c r="U176" s="26">
        <f t="shared" si="670"/>
      </c>
      <c r="V176" s="29">
        <f t="shared" si="651"/>
      </c>
      <c r="W176" s="29">
        <f t="shared" si="689"/>
      </c>
      <c r="X176" s="26">
        <f t="shared" si="6"/>
      </c>
      <c r="Y176" s="56">
        <f t="shared" si="127"/>
      </c>
      <c r="Z176" s="30">
        <v>3</v>
      </c>
      <c r="AA176" s="30">
        <v>4</v>
      </c>
      <c r="AB176" s="57">
        <v>4770.960000000006</v>
      </c>
      <c r="AC176" s="31">
        <v>1153</v>
      </c>
      <c r="AD176" s="27">
        <f t="shared" si="192"/>
      </c>
      <c r="AE176" s="32" t="s">
        <v>41</v>
      </c>
      <c r="AF176" s="33" t="s">
        <v>56</v>
      </c>
      <c r="AG176" s="36">
        <v>4</v>
      </c>
      <c r="AH176" s="35">
        <v>53112</v>
      </c>
      <c r="AI176" s="35">
        <v>832</v>
      </c>
      <c r="AJ176" s="35">
        <v>923</v>
      </c>
      <c r="AK176" s="36">
        <v>144</v>
      </c>
      <c r="AL176" s="36">
        <v>175</v>
      </c>
    </row>
    <row r="177">
      <c r="A177" s="15"/>
      <c r="B177" s="38" t="s">
        <v>47</v>
      </c>
      <c r="C177" s="39">
        <v>2</v>
      </c>
      <c r="D177" s="58">
        <f>SUM(D175:D176)</f>
      </c>
      <c r="E177" s="58">
        <f>SUM(E175:E176)</f>
      </c>
      <c r="F177" s="58">
        <f>SUM(F175:F176)</f>
      </c>
      <c r="G177" s="58">
        <f>SUM(G175:G176)</f>
      </c>
      <c r="H177" s="58">
        <f>SUM(H175:H176)</f>
      </c>
      <c r="I177" s="58">
        <f>SUM(I175:I176)</f>
      </c>
      <c r="J177" s="58">
        <f>SUM(J175:J176)</f>
      </c>
      <c r="K177" s="58">
        <f>SUM(K175:K176)</f>
      </c>
      <c r="L177" s="58">
        <f>SUM(L175:L176)</f>
      </c>
      <c r="M177" s="41">
        <f t="shared" si="302"/>
      </c>
      <c r="N177" s="42">
        <f t="shared" si="321"/>
      </c>
      <c r="O177" s="42">
        <f t="shared" si="340"/>
      </c>
      <c r="P177" s="43">
        <f t="shared" si="25"/>
      </c>
      <c r="Q177" s="43">
        <f t="shared" si="44"/>
      </c>
      <c r="R177" s="43">
        <f t="shared" si="63"/>
      </c>
      <c r="S177" s="44">
        <f t="shared" si="82"/>
      </c>
      <c r="T177" s="44">
        <f t="shared" si="632"/>
      </c>
      <c r="U177" s="43">
        <f t="shared" si="670"/>
      </c>
      <c r="V177" s="44">
        <f t="shared" si="651"/>
      </c>
      <c r="W177" s="44">
        <f t="shared" si="689"/>
      </c>
      <c r="X177" s="43">
        <f t="shared" si="6"/>
      </c>
      <c r="Y177" s="58">
        <f>SUM(Y175:Y176)</f>
      </c>
      <c r="Z177" s="58">
        <f>SUM(Z175:Z176)</f>
      </c>
      <c r="AA177" s="58">
        <f>SUM(AA175:AA176)</f>
      </c>
      <c r="AB177" s="58">
        <f>SUM(AB175:AB176)</f>
      </c>
      <c r="AC177" s="58">
        <f>SUM(AC175:AC176)</f>
      </c>
      <c r="AD177" s="45">
        <f t="shared" si="192"/>
      </c>
      <c r="AE177" s="46"/>
      <c r="AF177" s="47"/>
      <c r="AG177" s="58">
        <f>SUM(AG175:AG176)</f>
      </c>
      <c r="AH177" s="58">
        <f>SUM(AH175:AH176)</f>
      </c>
      <c r="AI177" s="58">
        <f>SUM(AI175:AI176)</f>
      </c>
      <c r="AJ177" s="58">
        <f>SUM(AJ175:AJ176)</f>
      </c>
      <c r="AK177" s="58">
        <f>SUM(AK175:AK176)</f>
      </c>
      <c r="AL177" s="58">
        <f>SUM(AL175:AL176)</f>
      </c>
    </row>
    <row r="178">
      <c r="A178" s="15"/>
      <c r="B178" s="16" t="s">
        <v>57</v>
      </c>
      <c r="C178" s="17" t="s">
        <v>58</v>
      </c>
      <c r="D178" s="18">
        <f t="shared" ref="D178:D181" si="386">E178+F178+G178+H178</f>
      </c>
      <c r="E178" s="17">
        <v>663.67</v>
      </c>
      <c r="F178" s="49">
        <v>3873.47</v>
      </c>
      <c r="G178" s="20">
        <v>0</v>
      </c>
      <c r="H178" s="20">
        <v>0</v>
      </c>
      <c r="I178" s="50">
        <f t="shared" ref="I178:I181" si="477">AB178+AC178</f>
      </c>
      <c r="J178" s="51">
        <v>2075.76</v>
      </c>
      <c r="K178" s="22">
        <f t="shared" ref="K178:K181" si="568">I178-J178</f>
      </c>
      <c r="L178" s="22">
        <f t="shared" ref="L178:L181" si="238">(I178-AC178)/12+AC178</f>
      </c>
      <c r="M178" s="23">
        <f t="shared" si="302"/>
      </c>
      <c r="N178" s="24">
        <f t="shared" si="321"/>
      </c>
      <c r="O178" s="25">
        <f t="shared" si="340"/>
      </c>
      <c r="P178" s="26">
        <f t="shared" si="25"/>
      </c>
      <c r="Q178" s="26">
        <f t="shared" si="44"/>
      </c>
      <c r="R178" s="26">
        <f t="shared" si="63"/>
      </c>
      <c r="S178" s="27">
        <f t="shared" si="82"/>
      </c>
      <c r="T178" s="28">
        <f t="shared" si="632"/>
      </c>
      <c r="U178" s="26">
        <f t="shared" si="670"/>
      </c>
      <c r="V178" s="29">
        <f t="shared" si="651"/>
      </c>
      <c r="W178" s="29">
        <f t="shared" si="689"/>
      </c>
      <c r="X178" s="26">
        <f t="shared" si="6"/>
      </c>
      <c r="Y178" s="30">
        <f t="shared" ref="Y178:Y181" si="128">Z178+AA178</f>
      </c>
      <c r="Z178" s="30">
        <v>3</v>
      </c>
      <c r="AA178" s="30">
        <v>2</v>
      </c>
      <c r="AB178" s="31">
        <v>2075.7599999999948</v>
      </c>
      <c r="AC178" s="31">
        <v>2328</v>
      </c>
      <c r="AD178" s="27">
        <f t="shared" si="192"/>
      </c>
      <c r="AE178" s="32" t="s">
        <v>41</v>
      </c>
      <c r="AF178" s="33" t="s">
        <v>56</v>
      </c>
      <c r="AG178" s="34">
        <v>2</v>
      </c>
      <c r="AH178" s="35">
        <v>54907</v>
      </c>
      <c r="AI178" s="35">
        <v>859</v>
      </c>
      <c r="AJ178" s="35">
        <v>1003</v>
      </c>
      <c r="AK178" s="36">
        <v>130</v>
      </c>
      <c r="AL178" s="36">
        <v>129</v>
      </c>
    </row>
    <row r="179">
      <c r="A179" s="15"/>
      <c r="B179" s="16" t="s">
        <v>57</v>
      </c>
      <c r="C179" s="52" t="s">
        <v>59</v>
      </c>
      <c r="D179" s="18">
        <f t="shared" si="386"/>
      </c>
      <c r="E179" s="17">
        <v>475.06</v>
      </c>
      <c r="F179" s="49">
        <v>4838.62</v>
      </c>
      <c r="G179" s="20">
        <v>0</v>
      </c>
      <c r="H179" s="20">
        <v>0</v>
      </c>
      <c r="I179" s="50">
        <f t="shared" si="477"/>
      </c>
      <c r="J179" s="51">
        <v>0</v>
      </c>
      <c r="K179" s="22">
        <f t="shared" si="568"/>
      </c>
      <c r="L179" s="22">
        <f t="shared" si="238"/>
      </c>
      <c r="M179" s="23">
        <f t="shared" si="302"/>
      </c>
      <c r="N179" s="24">
        <f t="shared" si="321"/>
      </c>
      <c r="O179" s="25">
        <f t="shared" si="340"/>
      </c>
      <c r="P179" s="26">
        <f t="shared" si="25"/>
      </c>
      <c r="Q179" s="26">
        <f t="shared" si="44"/>
      </c>
      <c r="R179" s="26">
        <f t="shared" si="63"/>
      </c>
      <c r="S179" s="27">
        <f t="shared" si="82"/>
      </c>
      <c r="T179" s="28">
        <f t="shared" si="632"/>
      </c>
      <c r="U179" s="26">
        <f t="shared" si="670"/>
      </c>
      <c r="V179" s="29">
        <f t="shared" si="651"/>
      </c>
      <c r="W179" s="29">
        <f t="shared" si="689"/>
      </c>
      <c r="X179" s="26">
        <f t="shared" si="6"/>
      </c>
      <c r="Y179" s="30">
        <f t="shared" si="128"/>
      </c>
      <c r="Z179" s="30">
        <v>10</v>
      </c>
      <c r="AA179" s="30">
        <v>1</v>
      </c>
      <c r="AB179" s="31">
        <v>1797.1199999999953</v>
      </c>
      <c r="AC179" s="31">
        <v>0</v>
      </c>
      <c r="AD179" s="27">
        <f t="shared" si="192"/>
      </c>
      <c r="AE179" s="32" t="s">
        <v>41</v>
      </c>
      <c r="AF179" s="33" t="s">
        <v>56</v>
      </c>
      <c r="AG179" s="36">
        <v>1</v>
      </c>
      <c r="AH179" s="35">
        <v>82750</v>
      </c>
      <c r="AI179" s="35">
        <v>1128</v>
      </c>
      <c r="AJ179" s="35">
        <v>1268</v>
      </c>
      <c r="AK179" s="36">
        <v>127</v>
      </c>
      <c r="AL179" s="36">
        <v>162</v>
      </c>
    </row>
    <row r="180">
      <c r="A180" s="15"/>
      <c r="B180" s="16" t="s">
        <v>57</v>
      </c>
      <c r="C180" s="52" t="s">
        <v>60</v>
      </c>
      <c r="D180" s="18">
        <f t="shared" si="386"/>
      </c>
      <c r="E180" s="17">
        <v>1059.07</v>
      </c>
      <c r="F180" s="49">
        <v>4281.93</v>
      </c>
      <c r="G180" s="20">
        <v>0</v>
      </c>
      <c r="H180" s="20">
        <v>0</v>
      </c>
      <c r="I180" s="50">
        <f t="shared" si="477"/>
      </c>
      <c r="J180" s="51">
        <v>0</v>
      </c>
      <c r="K180" s="22">
        <f t="shared" si="568"/>
      </c>
      <c r="L180" s="22">
        <f t="shared" si="238"/>
      </c>
      <c r="M180" s="23">
        <f t="shared" si="302"/>
      </c>
      <c r="N180" s="24">
        <f t="shared" si="321"/>
      </c>
      <c r="O180" s="25">
        <f t="shared" si="340"/>
      </c>
      <c r="P180" s="26">
        <f t="shared" si="25"/>
      </c>
      <c r="Q180" s="26">
        <f t="shared" si="44"/>
      </c>
      <c r="R180" s="26">
        <f t="shared" si="63"/>
      </c>
      <c r="S180" s="27">
        <f t="shared" si="82"/>
      </c>
      <c r="T180" s="28">
        <f t="shared" si="632"/>
      </c>
      <c r="U180" s="26">
        <f t="shared" si="670"/>
      </c>
      <c r="V180" s="29">
        <f t="shared" si="651"/>
      </c>
      <c r="W180" s="29">
        <f t="shared" si="689"/>
      </c>
      <c r="X180" s="26">
        <f t="shared" si="6"/>
      </c>
      <c r="Y180" s="30">
        <f t="shared" si="128"/>
      </c>
      <c r="Z180" s="30">
        <v>2</v>
      </c>
      <c r="AA180" s="30">
        <v>3</v>
      </c>
      <c r="AB180" s="31">
        <v>3406.320000000007</v>
      </c>
      <c r="AC180" s="31">
        <v>2181</v>
      </c>
      <c r="AD180" s="27">
        <f t="shared" si="192"/>
      </c>
      <c r="AE180" s="32" t="s">
        <v>41</v>
      </c>
      <c r="AF180" s="33" t="s">
        <v>56</v>
      </c>
      <c r="AG180" s="34">
        <v>3</v>
      </c>
      <c r="AH180" s="35">
        <v>64123</v>
      </c>
      <c r="AI180" s="35">
        <v>1336</v>
      </c>
      <c r="AJ180" s="35">
        <v>1555</v>
      </c>
      <c r="AK180" s="36">
        <v>106</v>
      </c>
      <c r="AL180" s="34">
        <v>154</v>
      </c>
    </row>
    <row r="181">
      <c r="A181" s="15"/>
      <c r="B181" s="16" t="s">
        <v>57</v>
      </c>
      <c r="C181" s="52" t="s">
        <v>61</v>
      </c>
      <c r="D181" s="18">
        <f t="shared" si="386"/>
      </c>
      <c r="E181" s="17">
        <v>1095.79</v>
      </c>
      <c r="F181" s="49">
        <v>5154.36</v>
      </c>
      <c r="G181" s="20">
        <v>0</v>
      </c>
      <c r="H181" s="20">
        <v>0</v>
      </c>
      <c r="I181" s="50">
        <f t="shared" si="477"/>
      </c>
      <c r="J181" s="51">
        <v>0</v>
      </c>
      <c r="K181" s="22">
        <f t="shared" si="568"/>
      </c>
      <c r="L181" s="22">
        <f t="shared" si="238"/>
      </c>
      <c r="M181" s="23">
        <f t="shared" si="302"/>
      </c>
      <c r="N181" s="24">
        <f t="shared" si="321"/>
      </c>
      <c r="O181" s="25">
        <f t="shared" si="340"/>
      </c>
      <c r="P181" s="26">
        <f t="shared" si="25"/>
      </c>
      <c r="Q181" s="26">
        <f t="shared" si="44"/>
      </c>
      <c r="R181" s="26">
        <f t="shared" si="63"/>
      </c>
      <c r="S181" s="27">
        <f t="shared" si="82"/>
      </c>
      <c r="T181" s="28">
        <f t="shared" si="632"/>
      </c>
      <c r="U181" s="26">
        <f t="shared" si="670"/>
      </c>
      <c r="V181" s="29">
        <f t="shared" si="651"/>
      </c>
      <c r="W181" s="29">
        <f t="shared" si="689"/>
      </c>
      <c r="X181" s="26">
        <f t="shared" si="6"/>
      </c>
      <c r="Y181" s="30">
        <f t="shared" si="128"/>
      </c>
      <c r="Z181" s="30">
        <v>5</v>
      </c>
      <c r="AA181" s="30">
        <v>6</v>
      </c>
      <c r="AB181" s="31">
        <f>9300.96+538.92</f>
      </c>
      <c r="AC181" s="31">
        <v>0</v>
      </c>
      <c r="AD181" s="27">
        <f t="shared" si="192"/>
      </c>
      <c r="AE181" s="32" t="s">
        <v>41</v>
      </c>
      <c r="AF181" s="33" t="s">
        <v>56</v>
      </c>
      <c r="AG181" s="34">
        <v>5</v>
      </c>
      <c r="AH181" s="35">
        <v>76338</v>
      </c>
      <c r="AI181" s="35">
        <v>1536</v>
      </c>
      <c r="AJ181" s="35">
        <v>1739</v>
      </c>
      <c r="AK181" s="36">
        <v>192</v>
      </c>
      <c r="AL181" s="34">
        <v>223</v>
      </c>
    </row>
    <row r="182">
      <c r="A182" s="15"/>
      <c r="B182" s="38" t="s">
        <v>47</v>
      </c>
      <c r="C182" s="39">
        <v>4</v>
      </c>
      <c r="D182" s="40">
        <f>SUM(D178:D181)</f>
      </c>
      <c r="E182" s="40">
        <f>SUM(E178:E181)</f>
      </c>
      <c r="F182" s="40">
        <f>SUM(F178:F181)</f>
      </c>
      <c r="G182" s="40">
        <f>SUM(G178:G181)</f>
      </c>
      <c r="H182" s="40">
        <f>SUM(H178:H181)</f>
      </c>
      <c r="I182" s="40">
        <f>SUM(I178:I181)</f>
      </c>
      <c r="J182" s="40">
        <f>SUM(J178:J181)</f>
      </c>
      <c r="K182" s="40">
        <f>SUM(K178:K181)</f>
      </c>
      <c r="L182" s="40">
        <f>SUM(L178:L181)</f>
      </c>
      <c r="M182" s="41">
        <f t="shared" si="302"/>
      </c>
      <c r="N182" s="42">
        <f t="shared" si="321"/>
      </c>
      <c r="O182" s="42">
        <f t="shared" si="340"/>
      </c>
      <c r="P182" s="43">
        <f t="shared" si="25"/>
      </c>
      <c r="Q182" s="43">
        <f t="shared" si="44"/>
      </c>
      <c r="R182" s="43">
        <f t="shared" si="63"/>
      </c>
      <c r="S182" s="44">
        <f t="shared" si="82"/>
      </c>
      <c r="T182" s="44">
        <f t="shared" si="632"/>
      </c>
      <c r="U182" s="43">
        <f t="shared" si="670"/>
      </c>
      <c r="V182" s="44">
        <f t="shared" si="651"/>
      </c>
      <c r="W182" s="44">
        <f t="shared" si="689"/>
      </c>
      <c r="X182" s="43">
        <f t="shared" si="6"/>
      </c>
      <c r="Y182" s="40">
        <f>SUM(Y178:Y181)</f>
      </c>
      <c r="Z182" s="40">
        <f>SUM(Z178:Z181)</f>
      </c>
      <c r="AA182" s="40">
        <f>SUM(AA178:AA181)</f>
      </c>
      <c r="AB182" s="40">
        <f>SUM(AB178:AB181)</f>
      </c>
      <c r="AC182" s="40">
        <f>SUM(AC178:AC181)</f>
      </c>
      <c r="AD182" s="45">
        <f t="shared" si="192"/>
      </c>
      <c r="AE182" s="46"/>
      <c r="AF182" s="47"/>
      <c r="AG182" s="40">
        <f>SUM(AG178:AG181)</f>
      </c>
      <c r="AH182" s="40">
        <f>SUM(AH178:AH181)</f>
      </c>
      <c r="AI182" s="40">
        <f>SUM(AI178:AI181)</f>
      </c>
      <c r="AJ182" s="40">
        <f>SUM(AJ178:AJ181)</f>
      </c>
      <c r="AK182" s="40">
        <f>SUM(AK178:AK181)</f>
      </c>
      <c r="AL182" s="40">
        <f>SUM(AL178:AL181)</f>
      </c>
    </row>
    <row r="183">
      <c r="A183" s="15"/>
      <c r="B183" s="16" t="s">
        <v>62</v>
      </c>
      <c r="C183" s="17" t="s">
        <v>63</v>
      </c>
      <c r="D183" s="18">
        <f t="shared" ref="D183:D187" si="387">E183+F183+G183+H183</f>
      </c>
      <c r="E183" s="17">
        <v>1216.54</v>
      </c>
      <c r="F183" s="20">
        <v>7215.19</v>
      </c>
      <c r="G183" s="20">
        <v>0</v>
      </c>
      <c r="H183" s="20">
        <v>0</v>
      </c>
      <c r="I183" s="20">
        <f t="shared" ref="I183:I187" si="478">AB183+AC183</f>
      </c>
      <c r="J183" s="21">
        <v>0</v>
      </c>
      <c r="K183" s="22">
        <f t="shared" ref="K183:K187" si="569">I183-J183</f>
      </c>
      <c r="L183" s="22">
        <f t="shared" ref="L183:L187" si="239">(I183-AC183)/12+AC183</f>
      </c>
      <c r="M183" s="23">
        <f t="shared" si="302"/>
      </c>
      <c r="N183" s="24">
        <f t="shared" si="321"/>
      </c>
      <c r="O183" s="25">
        <f t="shared" si="340"/>
      </c>
      <c r="P183" s="26">
        <f t="shared" si="25"/>
      </c>
      <c r="Q183" s="26">
        <f t="shared" si="44"/>
      </c>
      <c r="R183" s="26">
        <f t="shared" si="63"/>
      </c>
      <c r="S183" s="27">
        <f t="shared" si="82"/>
      </c>
      <c r="T183" s="28">
        <f t="shared" si="632"/>
      </c>
      <c r="U183" s="26">
        <f t="shared" si="670"/>
      </c>
      <c r="V183" s="29">
        <f t="shared" si="651"/>
      </c>
      <c r="W183" s="29">
        <f t="shared" si="689"/>
      </c>
      <c r="X183" s="26">
        <f t="shared" si="6"/>
      </c>
      <c r="Y183" s="30">
        <f t="shared" ref="Y183:Y187" si="129">Z183+AA183</f>
      </c>
      <c r="Z183" s="30">
        <v>5</v>
      </c>
      <c r="AA183" s="30">
        <v>3</v>
      </c>
      <c r="AB183" s="31">
        <v>4018.6800000000076</v>
      </c>
      <c r="AC183" s="31">
        <v>0</v>
      </c>
      <c r="AD183" s="27">
        <f t="shared" si="192"/>
      </c>
      <c r="AE183" s="32" t="s">
        <v>41</v>
      </c>
      <c r="AF183" s="33" t="s">
        <v>56</v>
      </c>
      <c r="AG183" s="34">
        <v>3</v>
      </c>
      <c r="AH183" s="35">
        <v>121654</v>
      </c>
      <c r="AI183" s="35">
        <v>1961</v>
      </c>
      <c r="AJ183" s="35">
        <v>2130</v>
      </c>
      <c r="AK183" s="36">
        <v>228</v>
      </c>
      <c r="AL183" s="36">
        <v>279</v>
      </c>
    </row>
    <row r="184">
      <c r="A184" s="15"/>
      <c r="B184" s="16" t="s">
        <v>62</v>
      </c>
      <c r="C184" s="52" t="s">
        <v>64</v>
      </c>
      <c r="D184" s="18">
        <f t="shared" si="387"/>
      </c>
      <c r="E184" s="17">
        <v>1373.07</v>
      </c>
      <c r="F184" s="17">
        <v>4760.45</v>
      </c>
      <c r="G184" s="20">
        <v>0</v>
      </c>
      <c r="H184" s="20">
        <v>0</v>
      </c>
      <c r="I184" s="20">
        <f t="shared" si="478"/>
      </c>
      <c r="J184" s="21">
        <v>1622.16</v>
      </c>
      <c r="K184" s="22">
        <f t="shared" si="569"/>
      </c>
      <c r="L184" s="22">
        <f t="shared" si="239"/>
      </c>
      <c r="M184" s="23">
        <f t="shared" si="302"/>
      </c>
      <c r="N184" s="24">
        <f t="shared" si="321"/>
      </c>
      <c r="O184" s="25">
        <f t="shared" si="340"/>
      </c>
      <c r="P184" s="26">
        <f t="shared" si="25"/>
      </c>
      <c r="Q184" s="26">
        <f t="shared" si="44"/>
      </c>
      <c r="R184" s="26">
        <f t="shared" si="63"/>
      </c>
      <c r="S184" s="27">
        <f t="shared" si="82"/>
      </c>
      <c r="T184" s="28">
        <f t="shared" si="632"/>
      </c>
      <c r="U184" s="26">
        <f t="shared" si="670"/>
      </c>
      <c r="V184" s="29">
        <f t="shared" si="651"/>
      </c>
      <c r="W184" s="29">
        <f t="shared" si="689"/>
      </c>
      <c r="X184" s="26">
        <f t="shared" si="6"/>
      </c>
      <c r="Y184" s="30">
        <f t="shared" si="129"/>
      </c>
      <c r="Z184" s="30">
        <v>9</v>
      </c>
      <c r="AA184" s="30">
        <v>10</v>
      </c>
      <c r="AB184" s="31">
        <v>18582.84000000001</v>
      </c>
      <c r="AC184" s="31">
        <v>0</v>
      </c>
      <c r="AD184" s="27">
        <f t="shared" si="192"/>
      </c>
      <c r="AE184" s="32" t="s">
        <v>41</v>
      </c>
      <c r="AF184" s="33" t="s">
        <v>56</v>
      </c>
      <c r="AG184" s="36">
        <v>9</v>
      </c>
      <c r="AH184" s="35">
        <v>90577</v>
      </c>
      <c r="AI184" s="35">
        <v>1688</v>
      </c>
      <c r="AJ184" s="35">
        <v>1936</v>
      </c>
      <c r="AK184" s="36">
        <v>215</v>
      </c>
      <c r="AL184" s="36">
        <v>251</v>
      </c>
    </row>
    <row customHeight="true" ht="16.666666666666668" r="185">
      <c r="A185" s="15"/>
      <c r="B185" s="16" t="s">
        <v>62</v>
      </c>
      <c r="C185" s="52" t="s">
        <v>65</v>
      </c>
      <c r="D185" s="18">
        <f t="shared" si="387"/>
      </c>
      <c r="E185" s="17">
        <v>1377.74</v>
      </c>
      <c r="F185" s="17">
        <v>4274.07</v>
      </c>
      <c r="G185" s="20">
        <v>0</v>
      </c>
      <c r="H185" s="20">
        <v>0</v>
      </c>
      <c r="I185" s="20">
        <f t="shared" si="478"/>
      </c>
      <c r="J185" s="21">
        <v>0</v>
      </c>
      <c r="K185" s="22">
        <f t="shared" si="569"/>
      </c>
      <c r="L185" s="22">
        <f t="shared" si="239"/>
      </c>
      <c r="M185" s="23">
        <f t="shared" si="302"/>
      </c>
      <c r="N185" s="24">
        <f t="shared" si="321"/>
      </c>
      <c r="O185" s="25">
        <f t="shared" si="340"/>
      </c>
      <c r="P185" s="26">
        <f t="shared" si="25"/>
      </c>
      <c r="Q185" s="26">
        <f t="shared" si="44"/>
      </c>
      <c r="R185" s="26">
        <f t="shared" si="63"/>
      </c>
      <c r="S185" s="27">
        <f t="shared" si="82"/>
      </c>
      <c r="T185" s="28">
        <f t="shared" si="632"/>
      </c>
      <c r="U185" s="26">
        <f t="shared" si="670"/>
      </c>
      <c r="V185" s="29">
        <f t="shared" si="651"/>
      </c>
      <c r="W185" s="29">
        <f t="shared" si="689"/>
      </c>
      <c r="X185" s="26">
        <f t="shared" si="6"/>
      </c>
      <c r="Y185" s="30">
        <f t="shared" si="129"/>
      </c>
      <c r="Z185" s="30">
        <v>0</v>
      </c>
      <c r="AA185" s="30">
        <v>4</v>
      </c>
      <c r="AB185" s="31">
        <v>5996.1600000000035</v>
      </c>
      <c r="AC185" s="31">
        <v>0</v>
      </c>
      <c r="AD185" s="27">
        <f t="shared" si="192"/>
      </c>
      <c r="AE185" s="32" t="s">
        <v>41</v>
      </c>
      <c r="AF185" s="33" t="s">
        <v>56</v>
      </c>
      <c r="AG185" s="36">
        <v>4</v>
      </c>
      <c r="AH185" s="35">
        <v>94391</v>
      </c>
      <c r="AI185" s="35">
        <v>1523</v>
      </c>
      <c r="AJ185" s="35">
        <v>1770</v>
      </c>
      <c r="AK185" s="36">
        <v>149</v>
      </c>
      <c r="AL185" s="36">
        <v>179</v>
      </c>
    </row>
    <row r="186">
      <c r="A186" s="15"/>
      <c r="B186" s="16" t="s">
        <v>62</v>
      </c>
      <c r="C186" s="17" t="s">
        <v>66</v>
      </c>
      <c r="D186" s="18">
        <f t="shared" si="387"/>
      </c>
      <c r="E186" s="17">
        <v>937.9</v>
      </c>
      <c r="F186" s="20">
        <v>3892.66</v>
      </c>
      <c r="G186" s="20">
        <v>0</v>
      </c>
      <c r="H186" s="20">
        <v>0</v>
      </c>
      <c r="I186" s="37">
        <f t="shared" si="478"/>
      </c>
      <c r="J186" s="21">
        <v>0</v>
      </c>
      <c r="K186" s="22">
        <f t="shared" si="569"/>
      </c>
      <c r="L186" s="22">
        <f t="shared" si="239"/>
      </c>
      <c r="M186" s="23">
        <f t="shared" si="302"/>
      </c>
      <c r="N186" s="24">
        <f t="shared" si="321"/>
      </c>
      <c r="O186" s="25">
        <f t="shared" si="340"/>
      </c>
      <c r="P186" s="26">
        <f t="shared" si="25"/>
      </c>
      <c r="Q186" s="26">
        <f t="shared" si="44"/>
      </c>
      <c r="R186" s="26">
        <f t="shared" si="63"/>
      </c>
      <c r="S186" s="27">
        <f t="shared" si="82"/>
      </c>
      <c r="T186" s="28">
        <f t="shared" si="632"/>
      </c>
      <c r="U186" s="26">
        <f t="shared" si="670"/>
      </c>
      <c r="V186" s="29">
        <f t="shared" si="651"/>
      </c>
      <c r="W186" s="29">
        <f t="shared" si="689"/>
      </c>
      <c r="X186" s="26">
        <f t="shared" si="6"/>
      </c>
      <c r="Y186" s="30">
        <f t="shared" si="129"/>
      </c>
      <c r="Z186" s="30">
        <v>3</v>
      </c>
      <c r="AA186" s="30">
        <v>5</v>
      </c>
      <c r="AB186" s="31">
        <v>4296.24</v>
      </c>
      <c r="AC186" s="31">
        <v>0</v>
      </c>
      <c r="AD186" s="27">
        <f t="shared" si="192"/>
      </c>
      <c r="AE186" s="32" t="s">
        <v>41</v>
      </c>
      <c r="AF186" s="33" t="s">
        <v>56</v>
      </c>
      <c r="AG186" s="34">
        <v>5</v>
      </c>
      <c r="AH186" s="35">
        <v>87961</v>
      </c>
      <c r="AI186" s="35">
        <v>1471</v>
      </c>
      <c r="AJ186" s="35">
        <v>1732</v>
      </c>
      <c r="AK186" s="36">
        <v>187</v>
      </c>
      <c r="AL186" s="36">
        <v>183</v>
      </c>
    </row>
    <row r="187">
      <c r="A187" s="15"/>
      <c r="B187" s="16" t="s">
        <v>62</v>
      </c>
      <c r="C187" s="17" t="s">
        <v>67</v>
      </c>
      <c r="D187" s="18">
        <f t="shared" si="387"/>
      </c>
      <c r="E187" s="19">
        <v>287.5</v>
      </c>
      <c r="F187" s="20">
        <v>1389.79</v>
      </c>
      <c r="G187" s="20">
        <v>0</v>
      </c>
      <c r="H187" s="20">
        <v>0</v>
      </c>
      <c r="I187" s="20">
        <f t="shared" si="478"/>
      </c>
      <c r="J187" s="21">
        <v>0</v>
      </c>
      <c r="K187" s="22">
        <f t="shared" si="569"/>
      </c>
      <c r="L187" s="22">
        <f t="shared" si="239"/>
      </c>
      <c r="M187" s="23">
        <f t="shared" si="302"/>
      </c>
      <c r="N187" s="24">
        <f t="shared" si="321"/>
      </c>
      <c r="O187" s="25">
        <f t="shared" si="340"/>
      </c>
      <c r="P187" s="26">
        <f t="shared" si="25"/>
      </c>
      <c r="Q187" s="26">
        <f t="shared" si="44"/>
      </c>
      <c r="R187" s="26">
        <f t="shared" si="63"/>
      </c>
      <c r="S187" s="27">
        <f t="shared" si="82"/>
      </c>
      <c r="T187" s="28">
        <f t="shared" si="632"/>
      </c>
      <c r="U187" s="26">
        <f t="shared" si="670"/>
      </c>
      <c r="V187" s="29">
        <f t="shared" si="651"/>
      </c>
      <c r="W187" s="29">
        <f t="shared" si="689"/>
      </c>
      <c r="X187" s="26">
        <f t="shared" si="6"/>
      </c>
      <c r="Y187" s="30">
        <f t="shared" si="129"/>
      </c>
      <c r="Z187" s="30">
        <v>2</v>
      </c>
      <c r="AA187" s="30">
        <v>3</v>
      </c>
      <c r="AB187" s="31">
        <v>2131.92</v>
      </c>
      <c r="AC187" s="31">
        <v>0</v>
      </c>
      <c r="AD187" s="27">
        <f t="shared" si="192"/>
      </c>
      <c r="AE187" s="32" t="s">
        <v>41</v>
      </c>
      <c r="AF187" s="33" t="s">
        <v>56</v>
      </c>
      <c r="AG187" s="34">
        <v>3</v>
      </c>
      <c r="AH187" s="35">
        <v>27056</v>
      </c>
      <c r="AI187" s="35">
        <v>718</v>
      </c>
      <c r="AJ187" s="35">
        <v>869</v>
      </c>
      <c r="AK187" s="34">
        <v>96</v>
      </c>
      <c r="AL187" s="34">
        <v>75</v>
      </c>
    </row>
    <row r="188">
      <c r="A188" s="15"/>
      <c r="B188" s="38" t="s">
        <v>47</v>
      </c>
      <c r="C188" s="39">
        <v>5</v>
      </c>
      <c r="D188" s="40">
        <f>SUM(D183:D187)</f>
      </c>
      <c r="E188" s="40">
        <f>SUM(E183:E187)</f>
      </c>
      <c r="F188" s="40">
        <f>SUM(F183:F187)</f>
      </c>
      <c r="G188" s="40">
        <f>SUM(G183:G187)</f>
      </c>
      <c r="H188" s="40">
        <f>SUM(H183:H187)</f>
      </c>
      <c r="I188" s="40">
        <f>SUM(I183:I187)</f>
      </c>
      <c r="J188" s="40">
        <f>SUM(J183:J187)</f>
      </c>
      <c r="K188" s="40">
        <f>SUM(K183:K187)</f>
      </c>
      <c r="L188" s="40">
        <f>SUM(L183:L187)</f>
      </c>
      <c r="M188" s="41">
        <f t="shared" si="302"/>
      </c>
      <c r="N188" s="42">
        <f t="shared" si="321"/>
      </c>
      <c r="O188" s="42">
        <f t="shared" si="340"/>
      </c>
      <c r="P188" s="43">
        <f t="shared" si="25"/>
      </c>
      <c r="Q188" s="43">
        <f t="shared" si="44"/>
      </c>
      <c r="R188" s="43">
        <f t="shared" si="63"/>
      </c>
      <c r="S188" s="44">
        <f t="shared" si="82"/>
      </c>
      <c r="T188" s="44">
        <f t="shared" si="632"/>
      </c>
      <c r="U188" s="43">
        <f t="shared" si="670"/>
      </c>
      <c r="V188" s="44">
        <f t="shared" si="651"/>
      </c>
      <c r="W188" s="44">
        <f t="shared" si="689"/>
      </c>
      <c r="X188" s="43">
        <f t="shared" si="6"/>
      </c>
      <c r="Y188" s="40">
        <f>SUM(Y183:Y187)</f>
      </c>
      <c r="Z188" s="40">
        <f>SUM(Z183:Z187)</f>
      </c>
      <c r="AA188" s="40">
        <f>SUM(AA183:AA187)</f>
      </c>
      <c r="AB188" s="40">
        <f>SUM(AB183:AB187)</f>
      </c>
      <c r="AC188" s="40">
        <f>SUM(AC183:AC187)</f>
      </c>
      <c r="AD188" s="59">
        <f t="shared" si="192"/>
      </c>
      <c r="AE188" s="46"/>
      <c r="AF188" s="47"/>
      <c r="AG188" s="40">
        <f>SUM(AG183:AG187)</f>
      </c>
      <c r="AH188" s="40">
        <f>SUM(AH183:AH187)</f>
      </c>
      <c r="AI188" s="40">
        <f>SUM(AI183:AI187)</f>
      </c>
      <c r="AJ188" s="40">
        <f>SUM(AJ183:AJ187)</f>
      </c>
      <c r="AK188" s="40">
        <f>SUM(AK183:AK187)</f>
      </c>
      <c r="AL188" s="40">
        <f>SUM(AL183:AL187)</f>
      </c>
    </row>
    <row r="189">
      <c r="A189" s="15"/>
      <c r="B189" s="60" t="s">
        <v>47</v>
      </c>
      <c r="C189" s="61">
        <f>C169+C174+C177+C182+C188</f>
      </c>
      <c r="D189" s="62">
        <f>D169+D174+D177+D182+D188</f>
      </c>
      <c r="E189" s="61">
        <f>E169+E174+E177+E182+E188</f>
      </c>
      <c r="F189" s="61">
        <f>F169+F174+F177+F182+F188</f>
      </c>
      <c r="G189" s="61">
        <f>G169+G174+G177+G182+G188</f>
      </c>
      <c r="H189" s="61">
        <f>H169+H174+H177+H182+H188</f>
      </c>
      <c r="I189" s="62">
        <f>I169+I174+I177+I182+I188</f>
      </c>
      <c r="J189" s="61">
        <f>J169+J174+J177+J182+J188</f>
      </c>
      <c r="K189" s="61">
        <f>K169+K174+K177+K182+K188</f>
      </c>
      <c r="L189" s="61">
        <f>L169+L174+L177+L182+L188</f>
      </c>
      <c r="M189" s="63">
        <f t="shared" si="302"/>
      </c>
      <c r="N189" s="63">
        <f t="shared" si="321"/>
      </c>
      <c r="O189" s="63">
        <f t="shared" si="340"/>
      </c>
      <c r="P189" s="63">
        <f t="shared" si="25"/>
      </c>
      <c r="Q189" s="63">
        <f t="shared" si="44"/>
      </c>
      <c r="R189" s="63">
        <f t="shared" si="63"/>
      </c>
      <c r="S189" s="64">
        <f t="shared" si="82"/>
      </c>
      <c r="T189" s="64">
        <f t="shared" si="632"/>
      </c>
      <c r="U189" s="63">
        <f t="shared" si="670"/>
      </c>
      <c r="V189" s="64">
        <f t="shared" si="651"/>
      </c>
      <c r="W189" s="64">
        <f t="shared" si="689"/>
      </c>
      <c r="X189" s="63">
        <f t="shared" si="6"/>
      </c>
      <c r="Y189" s="61">
        <f>Y169+Y174+Y177+Y182+Y188</f>
      </c>
      <c r="Z189" s="61">
        <f>Z169+Z174+Z177+Z182+Z188</f>
      </c>
      <c r="AA189" s="61">
        <f>AA169+AA174+AA177+AA182+AA188</f>
      </c>
      <c r="AB189" s="61">
        <f>AB169+AB174+AB177+AB182+AB188</f>
      </c>
      <c r="AC189" s="65">
        <f>AC169+AC174+AC177+AC182+AC188</f>
      </c>
      <c r="AD189" s="66">
        <f t="shared" si="192"/>
      </c>
      <c r="AE189" s="67"/>
      <c r="AF189" s="60"/>
      <c r="AG189" s="61">
        <f>AG169+AG174+AG177+AG182+AG188</f>
      </c>
      <c r="AH189" s="61">
        <f>AH169+AH174+AH177+AH182+AH188</f>
      </c>
      <c r="AI189" s="61">
        <f>AI169+AI174+AI177+AI182+AI188</f>
      </c>
      <c r="AJ189" s="61">
        <f>AJ169+AJ174+AJ177+AJ182+AJ188</f>
      </c>
      <c r="AK189" s="61">
        <f>AK169+AK174+AK177+AK182+AK188</f>
      </c>
      <c r="AL189" s="61">
        <f>AL169+AL174+AL177+AL182+AL188</f>
      </c>
    </row>
    <row r="190">
      <c r="A190" s="1" t="s">
        <v>1</v>
      </c>
      <c r="B190" s="2" t="s">
        <v>2</v>
      </c>
      <c r="C190" s="2" t="s">
        <v>3</v>
      </c>
      <c r="D190" s="3" t="s">
        <v>4</v>
      </c>
      <c r="E190" s="2" t="s">
        <v>5</v>
      </c>
      <c r="F190" s="2" t="s">
        <v>6</v>
      </c>
      <c r="G190" s="4" t="s">
        <v>7</v>
      </c>
      <c r="H190" s="4" t="s">
        <v>8</v>
      </c>
      <c r="I190" s="3" t="s">
        <v>9</v>
      </c>
      <c r="J190" s="5" t="s">
        <v>10</v>
      </c>
      <c r="K190" s="6" t="s">
        <v>11</v>
      </c>
      <c r="L190" s="6" t="s">
        <v>12</v>
      </c>
      <c r="M190" s="7" t="s">
        <v>13</v>
      </c>
      <c r="N190" s="6" t="s">
        <v>14</v>
      </c>
      <c r="O190" s="2" t="s">
        <v>15</v>
      </c>
      <c r="P190" s="7" t="s">
        <v>16</v>
      </c>
      <c r="Q190" s="8" t="s">
        <v>17</v>
      </c>
      <c r="R190" s="8" t="s">
        <v>18</v>
      </c>
      <c r="S190" s="3" t="s">
        <v>19</v>
      </c>
      <c r="T190" s="9" t="s">
        <v>20</v>
      </c>
      <c r="U190" s="7" t="s">
        <v>21</v>
      </c>
      <c r="V190" s="10" t="s">
        <v>22</v>
      </c>
      <c r="W190" s="11" t="s">
        <v>23</v>
      </c>
      <c r="X190" s="7" t="s">
        <v>24</v>
      </c>
      <c r="Y190" s="12" t="s">
        <v>25</v>
      </c>
      <c r="Z190" s="13" t="s">
        <v>26</v>
      </c>
      <c r="AA190" s="12" t="s">
        <v>27</v>
      </c>
      <c r="AB190" s="14" t="s">
        <v>28</v>
      </c>
      <c r="AC190" s="14" t="s">
        <v>29</v>
      </c>
      <c r="AD190" s="6" t="s">
        <v>30</v>
      </c>
      <c r="AE190" s="5" t="s">
        <v>31</v>
      </c>
      <c r="AF190" s="6" t="s">
        <v>32</v>
      </c>
      <c r="AG190" s="5" t="s">
        <v>33</v>
      </c>
      <c r="AH190" s="5" t="s">
        <v>34</v>
      </c>
      <c r="AI190" s="6" t="s">
        <v>35</v>
      </c>
      <c r="AJ190" s="5" t="s">
        <v>36</v>
      </c>
      <c r="AK190" s="6" t="s">
        <v>37</v>
      </c>
      <c r="AL190" s="5" t="s">
        <v>38</v>
      </c>
    </row>
    <row r="191">
      <c r="A191" s="15">
        <v>46303</v>
      </c>
      <c r="B191" s="16" t="s">
        <v>68</v>
      </c>
      <c r="C191" s="17" t="s">
        <v>40</v>
      </c>
      <c r="D191" s="18">
        <f t="shared" ref="D191:D195" si="388">E191+F191+G191+H191</f>
      </c>
      <c r="E191" s="19">
        <v>997.07</v>
      </c>
      <c r="F191" s="20">
        <v>6327.53</v>
      </c>
      <c r="G191" s="20">
        <v>0</v>
      </c>
      <c r="H191" s="20">
        <v>0</v>
      </c>
      <c r="I191" s="20">
        <f t="shared" ref="I191:I195" si="479">AB191+AC191</f>
      </c>
      <c r="J191" s="21">
        <v>542.16</v>
      </c>
      <c r="K191" s="22">
        <f t="shared" ref="K191:K195" si="570">I191-J191</f>
      </c>
      <c r="L191" s="22">
        <f t="shared" ref="L191:L195" si="240">(I191-AC191)/12+AC191</f>
      </c>
      <c r="M191" s="23">
        <f t="shared" ref="M191:M216" si="303">I191/D191</f>
      </c>
      <c r="N191" s="24">
        <f t="shared" ref="N191:N216" si="322">(I191-J191)/D191</f>
      </c>
      <c r="O191" s="25">
        <f t="shared" ref="O191:O216" si="341">(AC191+AB191/12)/D191</f>
      </c>
      <c r="P191" s="26">
        <f t="shared" ref="P191:P216" si="26">I191/AA191</f>
      </c>
      <c r="Q191" s="26">
        <f t="shared" ref="Q191:Q216" si="45">D191/AA191</f>
      </c>
      <c r="R191" s="26">
        <f t="shared" ref="R191:R216" si="64">D191/AG191</f>
      </c>
      <c r="S191" s="27">
        <f t="shared" ref="S191:S216" si="83">AA191/Y191</f>
      </c>
      <c r="T191" s="28">
        <f t="shared" ref="T191:T216" si="633">AI191/AH191</f>
      </c>
      <c r="U191" s="26">
        <f t="shared" ref="U191:U216" si="671">D191/AJ191</f>
      </c>
      <c r="V191" s="29">
        <f t="shared" ref="V191:V216" si="652">AK191/AJ191</f>
      </c>
      <c r="W191" s="29">
        <f t="shared" ref="W191:W216" si="690">AL191/AJ191</f>
      </c>
      <c r="X191" s="26">
        <f t="shared" ref="X191:X216" si="7">D191/AL191</f>
      </c>
      <c r="Y191" s="30">
        <f t="shared" ref="Y191:Y195" si="130">Z191+AA191</f>
      </c>
      <c r="Z191" s="30">
        <v>8</v>
      </c>
      <c r="AA191" s="30">
        <v>4</v>
      </c>
      <c r="AB191" s="31">
        <v>3356.6399999999994</v>
      </c>
      <c r="AC191" s="31">
        <v>0</v>
      </c>
      <c r="AD191" s="27">
        <f t="shared" ref="AD191:AD216" si="193">AC191/I191</f>
      </c>
      <c r="AE191" s="32" t="s">
        <v>41</v>
      </c>
      <c r="AF191" s="33" t="s">
        <v>70</v>
      </c>
      <c r="AG191" s="34">
        <v>3</v>
      </c>
      <c r="AH191" s="34">
        <v>89497</v>
      </c>
      <c r="AI191" s="35">
        <v>2247</v>
      </c>
      <c r="AJ191" s="35">
        <v>2575</v>
      </c>
      <c r="AK191" s="34">
        <v>234</v>
      </c>
      <c r="AL191" s="36">
        <v>238</v>
      </c>
    </row>
    <row r="192">
      <c r="A192" s="15"/>
      <c r="B192" s="16" t="s">
        <v>68</v>
      </c>
      <c r="C192" s="17" t="s">
        <v>43</v>
      </c>
      <c r="D192" s="18">
        <f t="shared" si="388"/>
      </c>
      <c r="E192" s="17">
        <v>895.46</v>
      </c>
      <c r="F192" s="20">
        <v>4066.58</v>
      </c>
      <c r="G192" s="20">
        <v>0</v>
      </c>
      <c r="H192" s="20">
        <v>0</v>
      </c>
      <c r="I192" s="20">
        <f t="shared" si="479"/>
      </c>
      <c r="J192" s="21">
        <v>0</v>
      </c>
      <c r="K192" s="22">
        <f t="shared" si="570"/>
      </c>
      <c r="L192" s="22">
        <f t="shared" si="240"/>
      </c>
      <c r="M192" s="23">
        <f t="shared" si="303"/>
      </c>
      <c r="N192" s="24">
        <f t="shared" si="322"/>
      </c>
      <c r="O192" s="25">
        <f t="shared" si="341"/>
      </c>
      <c r="P192" s="26">
        <f t="shared" si="26"/>
      </c>
      <c r="Q192" s="26">
        <f t="shared" si="45"/>
      </c>
      <c r="R192" s="26">
        <f t="shared" si="64"/>
      </c>
      <c r="S192" s="27">
        <f t="shared" si="83"/>
      </c>
      <c r="T192" s="28">
        <f t="shared" si="633"/>
      </c>
      <c r="U192" s="26">
        <f t="shared" si="671"/>
      </c>
      <c r="V192" s="29">
        <f t="shared" si="652"/>
      </c>
      <c r="W192" s="29">
        <f t="shared" si="690"/>
      </c>
      <c r="X192" s="26">
        <f t="shared" si="7"/>
      </c>
      <c r="Y192" s="30">
        <f t="shared" si="130"/>
      </c>
      <c r="Z192" s="30">
        <v>2</v>
      </c>
      <c r="AA192" s="30">
        <v>8</v>
      </c>
      <c r="AB192" s="31">
        <v>8427.240000000002</v>
      </c>
      <c r="AC192" s="31">
        <v>1223</v>
      </c>
      <c r="AD192" s="27">
        <f t="shared" si="193"/>
      </c>
      <c r="AE192" s="32" t="s">
        <v>41</v>
      </c>
      <c r="AF192" s="33" t="s">
        <v>70</v>
      </c>
      <c r="AG192" s="34">
        <v>5</v>
      </c>
      <c r="AH192" s="35">
        <v>79918</v>
      </c>
      <c r="AI192" s="35">
        <v>1348</v>
      </c>
      <c r="AJ192" s="35">
        <v>1652</v>
      </c>
      <c r="AK192" s="36">
        <v>206</v>
      </c>
      <c r="AL192" s="36">
        <v>210</v>
      </c>
    </row>
    <row r="193">
      <c r="A193" s="15"/>
      <c r="B193" s="16" t="s">
        <v>68</v>
      </c>
      <c r="C193" s="17" t="s">
        <v>44</v>
      </c>
      <c r="D193" s="18">
        <f t="shared" si="388"/>
      </c>
      <c r="E193" s="17">
        <v>766.36</v>
      </c>
      <c r="F193" s="20">
        <v>6115.79</v>
      </c>
      <c r="G193" s="20">
        <v>0</v>
      </c>
      <c r="H193" s="20">
        <v>0</v>
      </c>
      <c r="I193" s="20">
        <f t="shared" si="479"/>
      </c>
      <c r="J193" s="21">
        <v>985.92</v>
      </c>
      <c r="K193" s="22">
        <f t="shared" si="570"/>
      </c>
      <c r="L193" s="22">
        <f t="shared" si="240"/>
      </c>
      <c r="M193" s="23">
        <f t="shared" si="303"/>
      </c>
      <c r="N193" s="24">
        <f t="shared" si="322"/>
      </c>
      <c r="O193" s="25">
        <f t="shared" si="341"/>
      </c>
      <c r="P193" s="26">
        <f t="shared" si="26"/>
      </c>
      <c r="Q193" s="26">
        <f t="shared" si="45"/>
      </c>
      <c r="R193" s="26">
        <f t="shared" si="64"/>
      </c>
      <c r="S193" s="27">
        <f t="shared" si="83"/>
      </c>
      <c r="T193" s="28">
        <f t="shared" si="633"/>
      </c>
      <c r="U193" s="26">
        <f t="shared" si="671"/>
      </c>
      <c r="V193" s="29">
        <f t="shared" si="652"/>
      </c>
      <c r="W193" s="29">
        <f t="shared" si="690"/>
      </c>
      <c r="X193" s="26">
        <f t="shared" si="7"/>
      </c>
      <c r="Y193" s="30">
        <f t="shared" si="130"/>
      </c>
      <c r="Z193" s="30">
        <v>6</v>
      </c>
      <c r="AA193" s="30">
        <v>6</v>
      </c>
      <c r="AB193" s="31">
        <v>13188.119999999999</v>
      </c>
      <c r="AC193" s="31">
        <v>4129.7</v>
      </c>
      <c r="AD193" s="27">
        <f t="shared" si="193"/>
      </c>
      <c r="AE193" s="32" t="s">
        <v>41</v>
      </c>
      <c r="AF193" s="33" t="s">
        <v>70</v>
      </c>
      <c r="AG193" s="36">
        <v>6</v>
      </c>
      <c r="AH193" s="35">
        <v>70413</v>
      </c>
      <c r="AI193" s="35">
        <v>1002</v>
      </c>
      <c r="AJ193" s="35">
        <v>1085</v>
      </c>
      <c r="AK193" s="36">
        <v>185</v>
      </c>
      <c r="AL193" s="36">
        <v>217</v>
      </c>
    </row>
    <row r="194">
      <c r="A194" s="15"/>
      <c r="B194" s="16" t="s">
        <v>68</v>
      </c>
      <c r="C194" s="17" t="s">
        <v>45</v>
      </c>
      <c r="D194" s="18">
        <f t="shared" si="388"/>
      </c>
      <c r="E194" s="17">
        <v>1084.26</v>
      </c>
      <c r="F194" s="20">
        <v>5423</v>
      </c>
      <c r="G194" s="20">
        <v>0</v>
      </c>
      <c r="H194" s="20">
        <v>0</v>
      </c>
      <c r="I194" s="37">
        <f t="shared" si="479"/>
      </c>
      <c r="J194" s="21">
        <v>1953.72</v>
      </c>
      <c r="K194" s="22">
        <f t="shared" si="570"/>
      </c>
      <c r="L194" s="22">
        <f t="shared" si="240"/>
      </c>
      <c r="M194" s="23">
        <f t="shared" si="303"/>
      </c>
      <c r="N194" s="24">
        <f t="shared" si="322"/>
      </c>
      <c r="O194" s="25">
        <f t="shared" si="341"/>
      </c>
      <c r="P194" s="26">
        <f t="shared" si="26"/>
      </c>
      <c r="Q194" s="26">
        <f t="shared" si="45"/>
      </c>
      <c r="R194" s="26">
        <f t="shared" si="64"/>
      </c>
      <c r="S194" s="27">
        <f t="shared" si="83"/>
      </c>
      <c r="T194" s="28">
        <f t="shared" si="633"/>
      </c>
      <c r="U194" s="26">
        <f t="shared" si="671"/>
      </c>
      <c r="V194" s="29">
        <f t="shared" si="652"/>
      </c>
      <c r="W194" s="29">
        <f t="shared" si="690"/>
      </c>
      <c r="X194" s="26">
        <f t="shared" si="7"/>
      </c>
      <c r="Y194" s="30">
        <f t="shared" si="130"/>
      </c>
      <c r="Z194" s="30">
        <v>11</v>
      </c>
      <c r="AA194" s="30">
        <v>7</v>
      </c>
      <c r="AB194" s="31">
        <v>7826.759999999995</v>
      </c>
      <c r="AC194" s="31">
        <v>0</v>
      </c>
      <c r="AD194" s="27">
        <f t="shared" si="193"/>
      </c>
      <c r="AE194" s="32" t="s">
        <v>41</v>
      </c>
      <c r="AF194" s="33" t="s">
        <v>70</v>
      </c>
      <c r="AG194" s="34">
        <v>7</v>
      </c>
      <c r="AH194" s="35">
        <v>75999</v>
      </c>
      <c r="AI194" s="35">
        <v>946</v>
      </c>
      <c r="AJ194" s="35">
        <v>1048</v>
      </c>
      <c r="AK194" s="36">
        <v>181</v>
      </c>
      <c r="AL194" s="36">
        <v>235</v>
      </c>
    </row>
    <row r="195">
      <c r="A195" s="15"/>
      <c r="B195" s="16" t="s">
        <v>68</v>
      </c>
      <c r="C195" s="17" t="s">
        <v>46</v>
      </c>
      <c r="D195" s="18">
        <f t="shared" si="388"/>
      </c>
      <c r="E195" s="17">
        <v>831.1</v>
      </c>
      <c r="F195" s="20">
        <v>5333.93</v>
      </c>
      <c r="G195" s="20">
        <v>0</v>
      </c>
      <c r="H195" s="20">
        <v>0</v>
      </c>
      <c r="I195" s="20">
        <f t="shared" si="479"/>
      </c>
      <c r="J195" s="21">
        <f>696.6+1159.92</f>
      </c>
      <c r="K195" s="22">
        <f t="shared" si="570"/>
      </c>
      <c r="L195" s="22">
        <f t="shared" si="240"/>
      </c>
      <c r="M195" s="23">
        <f t="shared" si="303"/>
      </c>
      <c r="N195" s="24">
        <f t="shared" si="322"/>
      </c>
      <c r="O195" s="25">
        <f t="shared" si="341"/>
      </c>
      <c r="P195" s="26">
        <f t="shared" si="26"/>
      </c>
      <c r="Q195" s="26">
        <f t="shared" si="45"/>
      </c>
      <c r="R195" s="26">
        <f t="shared" si="64"/>
      </c>
      <c r="S195" s="27">
        <f t="shared" si="83"/>
      </c>
      <c r="T195" s="28">
        <f t="shared" si="633"/>
      </c>
      <c r="U195" s="26">
        <f t="shared" si="671"/>
      </c>
      <c r="V195" s="29">
        <f t="shared" si="652"/>
      </c>
      <c r="W195" s="29">
        <f t="shared" si="690"/>
      </c>
      <c r="X195" s="26">
        <f t="shared" si="7"/>
      </c>
      <c r="Y195" s="30">
        <f t="shared" si="130"/>
      </c>
      <c r="Z195" s="30">
        <v>4</v>
      </c>
      <c r="AA195" s="30">
        <v>5</v>
      </c>
      <c r="AB195" s="31">
        <v>6357.240000000005</v>
      </c>
      <c r="AC195" s="31">
        <v>0</v>
      </c>
      <c r="AD195" s="27">
        <f t="shared" si="193"/>
      </c>
      <c r="AE195" s="32" t="s">
        <v>41</v>
      </c>
      <c r="AF195" s="33" t="s">
        <v>70</v>
      </c>
      <c r="AG195" s="34">
        <v>5</v>
      </c>
      <c r="AH195" s="35">
        <v>63310</v>
      </c>
      <c r="AI195" s="35">
        <v>849</v>
      </c>
      <c r="AJ195" s="35">
        <v>952</v>
      </c>
      <c r="AK195" s="34">
        <v>141</v>
      </c>
      <c r="AL195" s="34">
        <v>157</v>
      </c>
    </row>
    <row r="196">
      <c r="A196" s="15"/>
      <c r="B196" s="38" t="s">
        <v>47</v>
      </c>
      <c r="C196" s="39">
        <v>5</v>
      </c>
      <c r="D196" s="40">
        <f>SUM(D191:D195)</f>
      </c>
      <c r="E196" s="40">
        <f>SUM(E191:E195)</f>
      </c>
      <c r="F196" s="40">
        <f>SUM(F191:F195)</f>
      </c>
      <c r="G196" s="40">
        <f>SUM(G191:G195)</f>
      </c>
      <c r="H196" s="40">
        <f>SUM(H191:H195)</f>
      </c>
      <c r="I196" s="40">
        <f>SUM(I191:I195)</f>
      </c>
      <c r="J196" s="40">
        <f>SUM(J191:J195)</f>
      </c>
      <c r="K196" s="40">
        <f>SUM(K191:K195)</f>
      </c>
      <c r="L196" s="40">
        <f>SUM(L191:L195)</f>
      </c>
      <c r="M196" s="41">
        <f t="shared" si="303"/>
      </c>
      <c r="N196" s="42">
        <f t="shared" si="322"/>
      </c>
      <c r="O196" s="42">
        <f t="shared" si="341"/>
      </c>
      <c r="P196" s="43">
        <f t="shared" si="26"/>
      </c>
      <c r="Q196" s="43">
        <f t="shared" si="45"/>
      </c>
      <c r="R196" s="43">
        <f t="shared" si="64"/>
      </c>
      <c r="S196" s="44">
        <f t="shared" si="83"/>
      </c>
      <c r="T196" s="44">
        <f t="shared" si="633"/>
      </c>
      <c r="U196" s="43">
        <f t="shared" si="671"/>
      </c>
      <c r="V196" s="44">
        <f t="shared" si="652"/>
      </c>
      <c r="W196" s="44">
        <f t="shared" si="690"/>
      </c>
      <c r="X196" s="43">
        <f t="shared" si="7"/>
      </c>
      <c r="Y196" s="40">
        <f>SUM(Y191:Y195)</f>
      </c>
      <c r="Z196" s="40">
        <f>SUM(Z191:Z195)</f>
      </c>
      <c r="AA196" s="40">
        <f>SUM(AA191:AA195)</f>
      </c>
      <c r="AB196" s="40">
        <f>SUM(AB191:AB195)</f>
      </c>
      <c r="AC196" s="40">
        <f>SUM(AC191:AC195)</f>
      </c>
      <c r="AD196" s="45">
        <f t="shared" si="193"/>
      </c>
      <c r="AE196" s="46"/>
      <c r="AF196" s="47"/>
      <c r="AG196" s="40">
        <f>SUM(AG191:AG195)</f>
      </c>
      <c r="AH196" s="40">
        <f>SUM(AH191:AH195)</f>
      </c>
      <c r="AI196" s="40">
        <f>SUM(AI191:AI195)</f>
      </c>
      <c r="AJ196" s="40">
        <f>SUM(AJ191:AJ195)</f>
      </c>
      <c r="AK196" s="40">
        <f>SUM(AK191:AK195)</f>
      </c>
      <c r="AL196" s="40">
        <f>SUM(AL191:AL195)</f>
      </c>
    </row>
    <row r="197">
      <c r="A197" s="15"/>
      <c r="B197" s="16" t="s">
        <v>62</v>
      </c>
      <c r="C197" s="17" t="s">
        <v>49</v>
      </c>
      <c r="D197" s="18">
        <f t="shared" ref="D197:D200" si="389">E197+F197+G197+H197</f>
      </c>
      <c r="E197" s="19">
        <v>1168.86</v>
      </c>
      <c r="F197" s="20">
        <v>7384.74</v>
      </c>
      <c r="G197" s="20">
        <v>0</v>
      </c>
      <c r="H197" s="20">
        <v>0</v>
      </c>
      <c r="I197" s="20">
        <f t="shared" ref="I197:I200" si="480">AB197+AC197</f>
      </c>
      <c r="J197" s="21">
        <v>1670.76</v>
      </c>
      <c r="K197" s="22">
        <f t="shared" ref="K197:K200" si="571">I197-J197</f>
      </c>
      <c r="L197" s="22">
        <f t="shared" ref="L197:L200" si="241">(I197-AC197)/12+AC197</f>
      </c>
      <c r="M197" s="23">
        <f t="shared" si="303"/>
      </c>
      <c r="N197" s="24">
        <f t="shared" si="322"/>
      </c>
      <c r="O197" s="25">
        <f t="shared" si="341"/>
      </c>
      <c r="P197" s="26">
        <f t="shared" si="26"/>
      </c>
      <c r="Q197" s="26">
        <f t="shared" si="45"/>
      </c>
      <c r="R197" s="26">
        <f t="shared" si="64"/>
      </c>
      <c r="S197" s="27">
        <f t="shared" si="83"/>
      </c>
      <c r="T197" s="28">
        <f t="shared" si="633"/>
      </c>
      <c r="U197" s="26">
        <f t="shared" si="671"/>
      </c>
      <c r="V197" s="29">
        <f t="shared" si="652"/>
      </c>
      <c r="W197" s="29">
        <f t="shared" si="690"/>
      </c>
      <c r="X197" s="26">
        <f t="shared" si="7"/>
      </c>
      <c r="Y197" s="30">
        <f t="shared" ref="Y197:Y200" si="131">Z197+AA197</f>
      </c>
      <c r="Z197" s="30">
        <v>4</v>
      </c>
      <c r="AA197" s="30">
        <v>8</v>
      </c>
      <c r="AB197" s="31">
        <v>10062.36</v>
      </c>
      <c r="AC197" s="31">
        <v>1027</v>
      </c>
      <c r="AD197" s="27">
        <f t="shared" si="193"/>
      </c>
      <c r="AE197" s="32" t="s">
        <v>41</v>
      </c>
      <c r="AF197" s="33" t="s">
        <v>70</v>
      </c>
      <c r="AG197" s="34">
        <v>8</v>
      </c>
      <c r="AH197" s="35">
        <v>113121</v>
      </c>
      <c r="AI197" s="35">
        <v>1309</v>
      </c>
      <c r="AJ197" s="35">
        <v>1445</v>
      </c>
      <c r="AK197" s="34">
        <v>239</v>
      </c>
      <c r="AL197" s="34">
        <v>259</v>
      </c>
    </row>
    <row r="198">
      <c r="A198" s="15"/>
      <c r="B198" s="16" t="s">
        <v>62</v>
      </c>
      <c r="C198" s="17" t="s">
        <v>50</v>
      </c>
      <c r="D198" s="18">
        <f t="shared" si="389"/>
      </c>
      <c r="E198" s="17">
        <v>1839.62</v>
      </c>
      <c r="F198" s="20">
        <v>5447.92</v>
      </c>
      <c r="G198" s="20">
        <v>0</v>
      </c>
      <c r="H198" s="20">
        <v>0</v>
      </c>
      <c r="I198" s="20">
        <f t="shared" si="480"/>
      </c>
      <c r="J198" s="21">
        <v>465.48</v>
      </c>
      <c r="K198" s="22">
        <f t="shared" si="571"/>
      </c>
      <c r="L198" s="22">
        <f t="shared" si="241"/>
      </c>
      <c r="M198" s="23">
        <f t="shared" si="303"/>
      </c>
      <c r="N198" s="24">
        <f t="shared" si="322"/>
      </c>
      <c r="O198" s="25">
        <f t="shared" si="341"/>
      </c>
      <c r="P198" s="26">
        <f t="shared" si="26"/>
      </c>
      <c r="Q198" s="26">
        <f t="shared" si="45"/>
      </c>
      <c r="R198" s="26">
        <f t="shared" si="64"/>
      </c>
      <c r="S198" s="27">
        <f t="shared" si="83"/>
      </c>
      <c r="T198" s="28">
        <f t="shared" si="633"/>
      </c>
      <c r="U198" s="26">
        <f t="shared" si="671"/>
      </c>
      <c r="V198" s="29">
        <f t="shared" si="652"/>
      </c>
      <c r="W198" s="29">
        <f t="shared" si="690"/>
      </c>
      <c r="X198" s="26">
        <f t="shared" si="7"/>
      </c>
      <c r="Y198" s="30">
        <f t="shared" si="131"/>
      </c>
      <c r="Z198" s="30">
        <v>2</v>
      </c>
      <c r="AA198" s="30">
        <v>3</v>
      </c>
      <c r="AB198" s="31">
        <v>3949.5599999999977</v>
      </c>
      <c r="AC198" s="31">
        <v>0</v>
      </c>
      <c r="AD198" s="27">
        <f t="shared" si="193"/>
      </c>
      <c r="AE198" s="32" t="s">
        <v>41</v>
      </c>
      <c r="AF198" s="33" t="s">
        <v>70</v>
      </c>
      <c r="AG198" s="34">
        <v>3</v>
      </c>
      <c r="AH198" s="35">
        <v>105016</v>
      </c>
      <c r="AI198" s="35">
        <v>1578</v>
      </c>
      <c r="AJ198" s="35">
        <v>1727</v>
      </c>
      <c r="AK198" s="36">
        <v>201</v>
      </c>
      <c r="AL198" s="36">
        <v>211</v>
      </c>
    </row>
    <row r="199">
      <c r="A199" s="15"/>
      <c r="B199" s="16" t="s">
        <v>62</v>
      </c>
      <c r="C199" s="17" t="s">
        <v>51</v>
      </c>
      <c r="D199" s="18">
        <f t="shared" si="389"/>
      </c>
      <c r="E199" s="17">
        <v>966.29</v>
      </c>
      <c r="F199" s="17">
        <v>7957.51</v>
      </c>
      <c r="G199" s="20">
        <v>0</v>
      </c>
      <c r="H199" s="20">
        <v>0</v>
      </c>
      <c r="I199" s="20">
        <f t="shared" si="480"/>
      </c>
      <c r="J199" s="21">
        <v>2639.52</v>
      </c>
      <c r="K199" s="22">
        <f t="shared" si="571"/>
      </c>
      <c r="L199" s="22">
        <f t="shared" si="241"/>
      </c>
      <c r="M199" s="23">
        <f t="shared" si="303"/>
      </c>
      <c r="N199" s="24">
        <f t="shared" si="322"/>
      </c>
      <c r="O199" s="25">
        <f t="shared" si="341"/>
      </c>
      <c r="P199" s="26">
        <f t="shared" si="26"/>
      </c>
      <c r="Q199" s="26">
        <f t="shared" si="45"/>
      </c>
      <c r="R199" s="26">
        <f t="shared" si="64"/>
      </c>
      <c r="S199" s="27">
        <f t="shared" si="83"/>
      </c>
      <c r="T199" s="28">
        <f t="shared" si="633"/>
      </c>
      <c r="U199" s="26">
        <f t="shared" si="671"/>
      </c>
      <c r="V199" s="29">
        <f t="shared" si="652"/>
      </c>
      <c r="W199" s="29">
        <f t="shared" si="690"/>
      </c>
      <c r="X199" s="26">
        <f t="shared" si="7"/>
      </c>
      <c r="Y199" s="30">
        <f t="shared" si="131"/>
      </c>
      <c r="Z199" s="30">
        <v>7</v>
      </c>
      <c r="AA199" s="30">
        <v>10</v>
      </c>
      <c r="AB199" s="31">
        <v>12861.720000000001</v>
      </c>
      <c r="AC199" s="69">
        <v>591</v>
      </c>
      <c r="AD199" s="27">
        <f t="shared" si="193"/>
      </c>
      <c r="AE199" s="32" t="s">
        <v>41</v>
      </c>
      <c r="AF199" s="33" t="s">
        <v>70</v>
      </c>
      <c r="AG199" s="36">
        <v>9</v>
      </c>
      <c r="AH199" s="35">
        <v>126830</v>
      </c>
      <c r="AI199" s="35">
        <v>1638</v>
      </c>
      <c r="AJ199" s="35">
        <v>1790</v>
      </c>
      <c r="AK199" s="36">
        <v>263</v>
      </c>
      <c r="AL199" s="36">
        <v>308</v>
      </c>
    </row>
    <row r="200">
      <c r="A200" s="15"/>
      <c r="B200" s="16" t="s">
        <v>62</v>
      </c>
      <c r="C200" s="17" t="s">
        <v>52</v>
      </c>
      <c r="D200" s="18">
        <f t="shared" si="389"/>
      </c>
      <c r="E200" s="17">
        <v>1139.32</v>
      </c>
      <c r="F200" s="20">
        <v>8288.23</v>
      </c>
      <c r="G200" s="20">
        <v>0</v>
      </c>
      <c r="H200" s="20">
        <v>0</v>
      </c>
      <c r="I200" s="20">
        <f t="shared" si="480"/>
      </c>
      <c r="J200" s="21">
        <f>11526+1456.92+2336.4+716.04</f>
      </c>
      <c r="K200" s="22">
        <f t="shared" si="571"/>
      </c>
      <c r="L200" s="22">
        <f t="shared" si="241"/>
      </c>
      <c r="M200" s="23">
        <f t="shared" si="303"/>
      </c>
      <c r="N200" s="24">
        <f t="shared" si="322"/>
      </c>
      <c r="O200" s="25">
        <f t="shared" si="341"/>
      </c>
      <c r="P200" s="26">
        <f t="shared" si="26"/>
      </c>
      <c r="Q200" s="26">
        <f t="shared" si="45"/>
      </c>
      <c r="R200" s="26">
        <f t="shared" si="64"/>
      </c>
      <c r="S200" s="27">
        <f t="shared" si="83"/>
      </c>
      <c r="T200" s="28">
        <f t="shared" si="633"/>
      </c>
      <c r="U200" s="26">
        <f t="shared" si="671"/>
      </c>
      <c r="V200" s="29">
        <f t="shared" si="652"/>
      </c>
      <c r="W200" s="29">
        <f t="shared" si="690"/>
      </c>
      <c r="X200" s="26">
        <f t="shared" si="7"/>
      </c>
      <c r="Y200" s="30">
        <f t="shared" si="131"/>
      </c>
      <c r="Z200" s="30">
        <v>10</v>
      </c>
      <c r="AA200" s="30">
        <v>12</v>
      </c>
      <c r="AB200" s="70">
        <v>21142.08</v>
      </c>
      <c r="AC200" s="74">
        <v>1043</v>
      </c>
      <c r="AD200" s="72">
        <f t="shared" si="193"/>
      </c>
      <c r="AE200" s="32" t="s">
        <v>41</v>
      </c>
      <c r="AF200" s="33" t="s">
        <v>70</v>
      </c>
      <c r="AG200" s="34">
        <v>10</v>
      </c>
      <c r="AH200" s="35">
        <v>144498</v>
      </c>
      <c r="AI200" s="35">
        <v>1566</v>
      </c>
      <c r="AJ200" s="35">
        <v>1765</v>
      </c>
      <c r="AK200" s="36">
        <v>230</v>
      </c>
      <c r="AL200" s="36">
        <v>280</v>
      </c>
    </row>
    <row r="201">
      <c r="A201" s="15"/>
      <c r="B201" s="38" t="s">
        <v>47</v>
      </c>
      <c r="C201" s="39">
        <v>4</v>
      </c>
      <c r="D201" s="40">
        <f>SUM(D197:D200)</f>
      </c>
      <c r="E201" s="40">
        <f>SUM(E197:E200)</f>
      </c>
      <c r="F201" s="40">
        <f>SUM(F197:F200)</f>
      </c>
      <c r="G201" s="40">
        <f>SUM(G197:G200)</f>
      </c>
      <c r="H201" s="40">
        <f>SUM(H197:H200)</f>
      </c>
      <c r="I201" s="40">
        <f>SUM(I197:I200)</f>
      </c>
      <c r="J201" s="40">
        <f>SUM(J197:J200)</f>
      </c>
      <c r="K201" s="40">
        <f>SUM(K197:K200)</f>
      </c>
      <c r="L201" s="40">
        <f>SUM(L197:L200)</f>
      </c>
      <c r="M201" s="41">
        <f t="shared" si="303"/>
      </c>
      <c r="N201" s="42">
        <f t="shared" si="322"/>
      </c>
      <c r="O201" s="42">
        <f t="shared" si="341"/>
      </c>
      <c r="P201" s="43">
        <f t="shared" si="26"/>
      </c>
      <c r="Q201" s="43">
        <f t="shared" si="45"/>
      </c>
      <c r="R201" s="43">
        <f t="shared" si="64"/>
      </c>
      <c r="S201" s="44">
        <f t="shared" si="83"/>
      </c>
      <c r="T201" s="44">
        <f t="shared" si="633"/>
      </c>
      <c r="U201" s="43">
        <f t="shared" si="671"/>
      </c>
      <c r="V201" s="44">
        <f t="shared" si="652"/>
      </c>
      <c r="W201" s="44">
        <f t="shared" si="690"/>
      </c>
      <c r="X201" s="43">
        <f t="shared" si="7"/>
      </c>
      <c r="Y201" s="40">
        <f>SUM(Y197:Y200)</f>
      </c>
      <c r="Z201" s="40">
        <f>SUM(Z197:Z200)</f>
      </c>
      <c r="AA201" s="40">
        <f>SUM(AA197:AA200)</f>
      </c>
      <c r="AB201" s="40">
        <f>SUM(AB197:AB200)</f>
      </c>
      <c r="AC201" s="40">
        <f>SUM(AC197:AC200)</f>
      </c>
      <c r="AD201" s="45">
        <f t="shared" si="193"/>
      </c>
      <c r="AE201" s="46"/>
      <c r="AF201" s="47"/>
      <c r="AG201" s="40">
        <f>SUM(AG197:AG200)</f>
      </c>
      <c r="AH201" s="40">
        <f>SUM(AH197:AH200)</f>
      </c>
      <c r="AI201" s="40">
        <f>SUM(AI197:AI200)</f>
      </c>
      <c r="AJ201" s="40">
        <f>SUM(AJ197:AJ200)</f>
      </c>
      <c r="AK201" s="40">
        <f>SUM(AK197:AK200)</f>
      </c>
      <c r="AL201" s="40">
        <f>SUM(AL197:AL200)</f>
      </c>
    </row>
    <row r="202">
      <c r="A202" s="15"/>
      <c r="B202" s="16" t="s">
        <v>53</v>
      </c>
      <c r="C202" s="17" t="s">
        <v>54</v>
      </c>
      <c r="D202" s="18">
        <f t="shared" ref="D202:D203" si="390">E202+F202+G202+H202</f>
      </c>
      <c r="E202" s="17">
        <v>2200.75</v>
      </c>
      <c r="F202" s="49">
        <v>4680.88</v>
      </c>
      <c r="G202" s="20">
        <v>0</v>
      </c>
      <c r="H202" s="20">
        <v>0</v>
      </c>
      <c r="I202" s="50">
        <f t="shared" ref="I202:I203" si="481">AB202+AC202</f>
      </c>
      <c r="J202" s="51">
        <v>534.6</v>
      </c>
      <c r="K202" s="22">
        <f t="shared" ref="K202:K203" si="572">I202-J202</f>
      </c>
      <c r="L202" s="22">
        <f t="shared" ref="L202:L203" si="242">(I202-AC202)/12+AC202</f>
      </c>
      <c r="M202" s="23">
        <f t="shared" si="303"/>
      </c>
      <c r="N202" s="24">
        <f t="shared" si="322"/>
      </c>
      <c r="O202" s="25">
        <f t="shared" si="341"/>
      </c>
      <c r="P202" s="26">
        <f t="shared" si="26"/>
      </c>
      <c r="Q202" s="26">
        <f t="shared" si="45"/>
      </c>
      <c r="R202" s="26">
        <f t="shared" si="64"/>
      </c>
      <c r="S202" s="27">
        <f t="shared" si="83"/>
      </c>
      <c r="T202" s="28">
        <f t="shared" si="633"/>
      </c>
      <c r="U202" s="26">
        <f t="shared" si="671"/>
      </c>
      <c r="V202" s="29">
        <f t="shared" si="652"/>
      </c>
      <c r="W202" s="29">
        <f t="shared" si="690"/>
      </c>
      <c r="X202" s="26">
        <f t="shared" si="7"/>
      </c>
      <c r="Y202" s="30">
        <f t="shared" ref="Y202:Y203" si="132">Z202+AA202</f>
      </c>
      <c r="Z202" s="30">
        <v>5</v>
      </c>
      <c r="AA202" s="30">
        <v>2</v>
      </c>
      <c r="AB202" s="31">
        <v>1788.479999999996</v>
      </c>
      <c r="AC202" s="31">
        <v>0</v>
      </c>
      <c r="AD202" s="27">
        <f t="shared" si="193"/>
      </c>
      <c r="AE202" s="32" t="s">
        <v>41</v>
      </c>
      <c r="AF202" s="33" t="s">
        <v>70</v>
      </c>
      <c r="AG202" s="34">
        <v>1</v>
      </c>
      <c r="AH202" s="35">
        <v>106422</v>
      </c>
      <c r="AI202" s="35">
        <v>1879</v>
      </c>
      <c r="AJ202" s="35">
        <v>2174</v>
      </c>
      <c r="AK202" s="36">
        <v>212</v>
      </c>
      <c r="AL202" s="36">
        <v>232</v>
      </c>
    </row>
    <row r="203">
      <c r="A203" s="15"/>
      <c r="B203" s="16" t="s">
        <v>53</v>
      </c>
      <c r="C203" s="17" t="s">
        <v>55</v>
      </c>
      <c r="D203" s="18">
        <f t="shared" si="390"/>
      </c>
      <c r="E203" s="52">
        <v>1285.16</v>
      </c>
      <c r="F203" s="53">
        <v>4562.01</v>
      </c>
      <c r="G203" s="20">
        <v>0</v>
      </c>
      <c r="H203" s="20">
        <v>0</v>
      </c>
      <c r="I203" s="55">
        <f t="shared" si="481"/>
      </c>
      <c r="J203" s="51">
        <f>1652.4+1149.12</f>
      </c>
      <c r="K203" s="22">
        <f t="shared" si="572"/>
      </c>
      <c r="L203" s="22">
        <f t="shared" si="242"/>
      </c>
      <c r="M203" s="23">
        <f t="shared" si="303"/>
      </c>
      <c r="N203" s="24">
        <f t="shared" si="322"/>
      </c>
      <c r="O203" s="25">
        <f t="shared" si="341"/>
      </c>
      <c r="P203" s="26">
        <f t="shared" si="26"/>
      </c>
      <c r="Q203" s="26">
        <f t="shared" si="45"/>
      </c>
      <c r="R203" s="26">
        <f t="shared" si="64"/>
      </c>
      <c r="S203" s="27">
        <f t="shared" si="83"/>
      </c>
      <c r="T203" s="28">
        <f t="shared" si="633"/>
      </c>
      <c r="U203" s="26">
        <f t="shared" si="671"/>
      </c>
      <c r="V203" s="29">
        <f t="shared" si="652"/>
      </c>
      <c r="W203" s="29">
        <f t="shared" si="690"/>
      </c>
      <c r="X203" s="26">
        <f t="shared" si="7"/>
      </c>
      <c r="Y203" s="56">
        <f t="shared" si="132"/>
      </c>
      <c r="Z203" s="30">
        <v>4</v>
      </c>
      <c r="AA203" s="30">
        <v>5</v>
      </c>
      <c r="AB203" s="57">
        <v>6899.039999999994</v>
      </c>
      <c r="AC203" s="31">
        <v>0</v>
      </c>
      <c r="AD203" s="27">
        <f t="shared" si="193"/>
      </c>
      <c r="AE203" s="32" t="s">
        <v>41</v>
      </c>
      <c r="AF203" s="33" t="s">
        <v>56</v>
      </c>
      <c r="AG203" s="36">
        <v>3</v>
      </c>
      <c r="AH203" s="35">
        <v>101910</v>
      </c>
      <c r="AI203" s="35">
        <v>1297</v>
      </c>
      <c r="AJ203" s="35">
        <v>1437</v>
      </c>
      <c r="AK203" s="36">
        <v>167</v>
      </c>
      <c r="AL203" s="36">
        <v>191</v>
      </c>
    </row>
    <row r="204">
      <c r="A204" s="15"/>
      <c r="B204" s="38" t="s">
        <v>47</v>
      </c>
      <c r="C204" s="39">
        <v>2</v>
      </c>
      <c r="D204" s="58">
        <f>SUM(D202:D203)</f>
      </c>
      <c r="E204" s="58">
        <f>SUM(E202:E203)</f>
      </c>
      <c r="F204" s="58">
        <f>SUM(F202:F203)</f>
      </c>
      <c r="G204" s="58">
        <f>SUM(G202:G203)</f>
      </c>
      <c r="H204" s="58">
        <f>SUM(H202:H203)</f>
      </c>
      <c r="I204" s="58">
        <f>SUM(I202:I203)</f>
      </c>
      <c r="J204" s="58">
        <f>SUM(J202:J203)</f>
      </c>
      <c r="K204" s="58">
        <f>SUM(K202:K203)</f>
      </c>
      <c r="L204" s="58">
        <f>SUM(L202:L203)</f>
      </c>
      <c r="M204" s="41">
        <f t="shared" si="303"/>
      </c>
      <c r="N204" s="42">
        <f t="shared" si="322"/>
      </c>
      <c r="O204" s="42">
        <f t="shared" si="341"/>
      </c>
      <c r="P204" s="43">
        <f t="shared" si="26"/>
      </c>
      <c r="Q204" s="43">
        <f t="shared" si="45"/>
      </c>
      <c r="R204" s="43">
        <f t="shared" si="64"/>
      </c>
      <c r="S204" s="44">
        <f t="shared" si="83"/>
      </c>
      <c r="T204" s="44">
        <f t="shared" si="633"/>
      </c>
      <c r="U204" s="43">
        <f t="shared" si="671"/>
      </c>
      <c r="V204" s="44">
        <f t="shared" si="652"/>
      </c>
      <c r="W204" s="44">
        <f t="shared" si="690"/>
      </c>
      <c r="X204" s="43">
        <f t="shared" si="7"/>
      </c>
      <c r="Y204" s="58">
        <f>SUM(Y202:Y203)</f>
      </c>
      <c r="Z204" s="58">
        <f>SUM(Z202:Z203)</f>
      </c>
      <c r="AA204" s="58">
        <f>SUM(AA202:AA203)</f>
      </c>
      <c r="AB204" s="58">
        <f>SUM(AB202:AB203)</f>
      </c>
      <c r="AC204" s="58">
        <f>SUM(AC202:AC203)</f>
      </c>
      <c r="AD204" s="45">
        <f t="shared" si="193"/>
      </c>
      <c r="AE204" s="46"/>
      <c r="AF204" s="47"/>
      <c r="AG204" s="58">
        <f>SUM(AG202:AG203)</f>
      </c>
      <c r="AH204" s="58">
        <f>SUM(AH202:AH203)</f>
      </c>
      <c r="AI204" s="58">
        <f>SUM(AI202:AI203)</f>
      </c>
      <c r="AJ204" s="58">
        <f>SUM(AJ202:AJ203)</f>
      </c>
      <c r="AK204" s="58">
        <f>SUM(AK202:AK203)</f>
      </c>
      <c r="AL204" s="58">
        <f>SUM(AL202:AL203)</f>
      </c>
    </row>
    <row r="205">
      <c r="A205" s="15"/>
      <c r="B205" s="16" t="s">
        <v>48</v>
      </c>
      <c r="C205" s="17" t="s">
        <v>58</v>
      </c>
      <c r="D205" s="18">
        <f t="shared" ref="D205:D208" si="391">E205+F205+G205+H205</f>
      </c>
      <c r="E205" s="17">
        <v>785.66</v>
      </c>
      <c r="F205" s="49">
        <v>1729.67</v>
      </c>
      <c r="G205" s="20">
        <v>0</v>
      </c>
      <c r="H205" s="20">
        <v>0</v>
      </c>
      <c r="I205" s="50">
        <f t="shared" ref="I205:I208" si="482">AB205+AC205</f>
      </c>
      <c r="J205" s="51">
        <f>1126.44+1622.16</f>
      </c>
      <c r="K205" s="22">
        <f t="shared" ref="K205:K208" si="573">I205-J205</f>
      </c>
      <c r="L205" s="22">
        <f t="shared" ref="L205:L208" si="243">(I205-AC205)/12+AC205</f>
      </c>
      <c r="M205" s="23">
        <f t="shared" si="303"/>
      </c>
      <c r="N205" s="24">
        <f t="shared" si="322"/>
      </c>
      <c r="O205" s="25">
        <f t="shared" si="341"/>
      </c>
      <c r="P205" s="26">
        <f t="shared" si="26"/>
      </c>
      <c r="Q205" s="26">
        <f t="shared" si="45"/>
      </c>
      <c r="R205" s="26">
        <f t="shared" si="64"/>
      </c>
      <c r="S205" s="27">
        <f t="shared" si="83"/>
      </c>
      <c r="T205" s="28">
        <f t="shared" si="633"/>
      </c>
      <c r="U205" s="26">
        <f t="shared" si="671"/>
      </c>
      <c r="V205" s="29">
        <f t="shared" si="652"/>
      </c>
      <c r="W205" s="29">
        <f t="shared" si="690"/>
      </c>
      <c r="X205" s="26">
        <f t="shared" si="7"/>
      </c>
      <c r="Y205" s="30">
        <f t="shared" ref="Y205:Y208" si="133">Z205+AA205</f>
      </c>
      <c r="Z205" s="30">
        <v>3</v>
      </c>
      <c r="AA205" s="30">
        <v>5</v>
      </c>
      <c r="AB205" s="31">
        <v>4814.639999999999</v>
      </c>
      <c r="AC205" s="31">
        <v>0</v>
      </c>
      <c r="AD205" s="27">
        <f t="shared" si="193"/>
      </c>
      <c r="AE205" s="32" t="s">
        <v>41</v>
      </c>
      <c r="AF205" s="33" t="s">
        <v>56</v>
      </c>
      <c r="AG205" s="34">
        <v>3</v>
      </c>
      <c r="AH205" s="35">
        <v>36041</v>
      </c>
      <c r="AI205" s="35">
        <v>703</v>
      </c>
      <c r="AJ205" s="35">
        <v>836</v>
      </c>
      <c r="AK205" s="36">
        <v>79</v>
      </c>
      <c r="AL205" s="36">
        <v>95</v>
      </c>
    </row>
    <row r="206">
      <c r="A206" s="15"/>
      <c r="B206" s="16" t="s">
        <v>48</v>
      </c>
      <c r="C206" s="52" t="s">
        <v>59</v>
      </c>
      <c r="D206" s="18">
        <f t="shared" si="391"/>
      </c>
      <c r="E206" s="17">
        <v>533.03</v>
      </c>
      <c r="F206" s="49">
        <v>3972.08</v>
      </c>
      <c r="G206" s="20">
        <v>0</v>
      </c>
      <c r="H206" s="20">
        <v>0</v>
      </c>
      <c r="I206" s="50">
        <f t="shared" si="482"/>
      </c>
      <c r="J206" s="51">
        <v>2603.88</v>
      </c>
      <c r="K206" s="22">
        <f t="shared" si="573"/>
      </c>
      <c r="L206" s="22">
        <f t="shared" si="243"/>
      </c>
      <c r="M206" s="23">
        <f t="shared" si="303"/>
      </c>
      <c r="N206" s="24">
        <f t="shared" si="322"/>
      </c>
      <c r="O206" s="25">
        <f t="shared" si="341"/>
      </c>
      <c r="P206" s="26">
        <f t="shared" si="26"/>
      </c>
      <c r="Q206" s="26">
        <f t="shared" si="45"/>
      </c>
      <c r="R206" s="26">
        <f t="shared" si="64"/>
      </c>
      <c r="S206" s="27">
        <f t="shared" si="83"/>
      </c>
      <c r="T206" s="28">
        <f t="shared" si="633"/>
      </c>
      <c r="U206" s="26">
        <f t="shared" si="671"/>
      </c>
      <c r="V206" s="29">
        <f t="shared" si="652"/>
      </c>
      <c r="W206" s="29">
        <f t="shared" si="690"/>
      </c>
      <c r="X206" s="26">
        <f t="shared" si="7"/>
      </c>
      <c r="Y206" s="30">
        <f t="shared" si="133"/>
      </c>
      <c r="Z206" s="30">
        <v>3</v>
      </c>
      <c r="AA206" s="30">
        <v>11</v>
      </c>
      <c r="AB206" s="31">
        <v>25365.240000000005</v>
      </c>
      <c r="AC206" s="31">
        <v>0</v>
      </c>
      <c r="AD206" s="27">
        <f t="shared" si="193"/>
      </c>
      <c r="AE206" s="32" t="s">
        <v>41</v>
      </c>
      <c r="AF206" s="33" t="s">
        <v>56</v>
      </c>
      <c r="AG206" s="36">
        <v>6</v>
      </c>
      <c r="AH206" s="35">
        <v>83293</v>
      </c>
      <c r="AI206" s="35">
        <v>1046</v>
      </c>
      <c r="AJ206" s="35">
        <v>1128</v>
      </c>
      <c r="AK206" s="36">
        <v>115</v>
      </c>
      <c r="AL206" s="36">
        <v>145</v>
      </c>
    </row>
    <row r="207">
      <c r="A207" s="15"/>
      <c r="B207" s="16" t="s">
        <v>48</v>
      </c>
      <c r="C207" s="52" t="s">
        <v>60</v>
      </c>
      <c r="D207" s="18">
        <f t="shared" si="391"/>
      </c>
      <c r="E207" s="17">
        <v>554.38</v>
      </c>
      <c r="F207" s="49">
        <v>4000.25</v>
      </c>
      <c r="G207" s="20">
        <v>0</v>
      </c>
      <c r="H207" s="20">
        <v>0</v>
      </c>
      <c r="I207" s="50">
        <f t="shared" si="482"/>
      </c>
      <c r="J207" s="51">
        <v>0</v>
      </c>
      <c r="K207" s="22">
        <f t="shared" si="573"/>
      </c>
      <c r="L207" s="22">
        <f t="shared" si="243"/>
      </c>
      <c r="M207" s="23">
        <f t="shared" si="303"/>
      </c>
      <c r="N207" s="24">
        <f t="shared" si="322"/>
      </c>
      <c r="O207" s="25">
        <f t="shared" si="341"/>
      </c>
      <c r="P207" s="26">
        <f t="shared" si="26"/>
      </c>
      <c r="Q207" s="26">
        <f t="shared" si="45"/>
      </c>
      <c r="R207" s="26">
        <f t="shared" si="64"/>
      </c>
      <c r="S207" s="27">
        <f t="shared" si="83"/>
      </c>
      <c r="T207" s="28">
        <f t="shared" si="633"/>
      </c>
      <c r="U207" s="26">
        <f t="shared" si="671"/>
      </c>
      <c r="V207" s="29">
        <f t="shared" si="652"/>
      </c>
      <c r="W207" s="29">
        <f t="shared" si="690"/>
      </c>
      <c r="X207" s="26">
        <f t="shared" si="7"/>
      </c>
      <c r="Y207" s="30">
        <f t="shared" si="133"/>
      </c>
      <c r="Z207" s="30">
        <v>7</v>
      </c>
      <c r="AA207" s="30">
        <v>5</v>
      </c>
      <c r="AB207" s="31">
        <v>7367.760000000009</v>
      </c>
      <c r="AC207" s="31">
        <v>0</v>
      </c>
      <c r="AD207" s="27">
        <f t="shared" si="193"/>
      </c>
      <c r="AE207" s="32" t="s">
        <v>41</v>
      </c>
      <c r="AF207" s="33" t="s">
        <v>56</v>
      </c>
      <c r="AG207" s="34">
        <v>4</v>
      </c>
      <c r="AH207" s="35">
        <v>86381</v>
      </c>
      <c r="AI207" s="35">
        <v>1154</v>
      </c>
      <c r="AJ207" s="35">
        <v>1244</v>
      </c>
      <c r="AK207" s="36">
        <v>142</v>
      </c>
      <c r="AL207" s="34">
        <v>169</v>
      </c>
    </row>
    <row r="208">
      <c r="A208" s="15"/>
      <c r="B208" s="16" t="s">
        <v>48</v>
      </c>
      <c r="C208" s="52" t="s">
        <v>61</v>
      </c>
      <c r="D208" s="18">
        <f t="shared" si="391"/>
      </c>
      <c r="E208" s="17">
        <v>678.73</v>
      </c>
      <c r="F208" s="49">
        <v>4269.11</v>
      </c>
      <c r="G208" s="20">
        <v>0</v>
      </c>
      <c r="H208" s="20">
        <v>0</v>
      </c>
      <c r="I208" s="50">
        <f t="shared" si="482"/>
      </c>
      <c r="J208" s="51">
        <v>0</v>
      </c>
      <c r="K208" s="22">
        <f t="shared" si="573"/>
      </c>
      <c r="L208" s="22">
        <f t="shared" si="243"/>
      </c>
      <c r="M208" s="23">
        <f t="shared" si="303"/>
      </c>
      <c r="N208" s="24">
        <f t="shared" si="322"/>
      </c>
      <c r="O208" s="25">
        <f t="shared" si="341"/>
      </c>
      <c r="P208" s="26">
        <f t="shared" si="26"/>
      </c>
      <c r="Q208" s="26">
        <f t="shared" si="45"/>
      </c>
      <c r="R208" s="26">
        <f t="shared" si="64"/>
      </c>
      <c r="S208" s="27">
        <f t="shared" si="83"/>
      </c>
      <c r="T208" s="28">
        <f t="shared" si="633"/>
      </c>
      <c r="U208" s="26">
        <f t="shared" si="671"/>
      </c>
      <c r="V208" s="29">
        <f t="shared" si="652"/>
      </c>
      <c r="W208" s="29">
        <f t="shared" si="690"/>
      </c>
      <c r="X208" s="26">
        <f t="shared" si="7"/>
      </c>
      <c r="Y208" s="30">
        <f t="shared" si="133"/>
      </c>
      <c r="Z208" s="30">
        <v>6</v>
      </c>
      <c r="AA208" s="30">
        <f>2+2</f>
      </c>
      <c r="AB208" s="31">
        <f>4500.36+657.72+1217.16</f>
      </c>
      <c r="AC208" s="31">
        <v>0</v>
      </c>
      <c r="AD208" s="27">
        <f t="shared" si="193"/>
      </c>
      <c r="AE208" s="32" t="s">
        <v>41</v>
      </c>
      <c r="AF208" s="33" t="s">
        <v>56</v>
      </c>
      <c r="AG208" s="34">
        <v>1</v>
      </c>
      <c r="AH208" s="35">
        <v>77155</v>
      </c>
      <c r="AI208" s="35">
        <v>1402</v>
      </c>
      <c r="AJ208" s="35">
        <v>1455</v>
      </c>
      <c r="AK208" s="36">
        <v>142</v>
      </c>
      <c r="AL208" s="34">
        <v>166</v>
      </c>
    </row>
    <row r="209">
      <c r="A209" s="15"/>
      <c r="B209" s="38" t="s">
        <v>47</v>
      </c>
      <c r="C209" s="39">
        <v>4</v>
      </c>
      <c r="D209" s="40">
        <f>SUM(D205:D208)</f>
      </c>
      <c r="E209" s="40">
        <f>SUM(E205:E208)</f>
      </c>
      <c r="F209" s="40">
        <f>SUM(F205:F208)</f>
      </c>
      <c r="G209" s="40">
        <f>SUM(G205:G208)</f>
      </c>
      <c r="H209" s="40">
        <f>SUM(H205:H208)</f>
      </c>
      <c r="I209" s="40">
        <f>SUM(I205:I208)</f>
      </c>
      <c r="J209" s="40">
        <f>SUM(J205:J208)</f>
      </c>
      <c r="K209" s="40">
        <f>SUM(K205:K208)</f>
      </c>
      <c r="L209" s="40">
        <f>SUM(L205:L208)</f>
      </c>
      <c r="M209" s="41">
        <f t="shared" si="303"/>
      </c>
      <c r="N209" s="42">
        <f t="shared" si="322"/>
      </c>
      <c r="O209" s="42">
        <f t="shared" si="341"/>
      </c>
      <c r="P209" s="43">
        <f t="shared" si="26"/>
      </c>
      <c r="Q209" s="43">
        <f t="shared" si="45"/>
      </c>
      <c r="R209" s="43">
        <f t="shared" si="64"/>
      </c>
      <c r="S209" s="44">
        <f t="shared" si="83"/>
      </c>
      <c r="T209" s="44">
        <f t="shared" si="633"/>
      </c>
      <c r="U209" s="43">
        <f t="shared" si="671"/>
      </c>
      <c r="V209" s="44">
        <f t="shared" si="652"/>
      </c>
      <c r="W209" s="44">
        <f t="shared" si="690"/>
      </c>
      <c r="X209" s="43">
        <f t="shared" si="7"/>
      </c>
      <c r="Y209" s="40">
        <f>SUM(Y205:Y208)</f>
      </c>
      <c r="Z209" s="40">
        <f>SUM(Z205:Z208)</f>
      </c>
      <c r="AA209" s="40">
        <f>SUM(AA205:AA208)</f>
      </c>
      <c r="AB209" s="40">
        <f>SUM(AB205:AB208)</f>
      </c>
      <c r="AC209" s="40">
        <f>SUM(AC205:AC208)</f>
      </c>
      <c r="AD209" s="45">
        <f t="shared" si="193"/>
      </c>
      <c r="AE209" s="46"/>
      <c r="AF209" s="47"/>
      <c r="AG209" s="40">
        <f>SUM(AG205:AG208)</f>
      </c>
      <c r="AH209" s="40">
        <f>SUM(AH205:AH208)</f>
      </c>
      <c r="AI209" s="40">
        <f>SUM(AI205:AI208)</f>
      </c>
      <c r="AJ209" s="40">
        <f>SUM(AJ205:AJ208)</f>
      </c>
      <c r="AK209" s="40">
        <f>SUM(AK205:AK208)</f>
      </c>
      <c r="AL209" s="40">
        <f>SUM(AL205:AL208)</f>
      </c>
    </row>
    <row r="210">
      <c r="A210" s="15"/>
      <c r="B210" s="16" t="s">
        <v>39</v>
      </c>
      <c r="C210" s="17" t="s">
        <v>63</v>
      </c>
      <c r="D210" s="18">
        <f t="shared" ref="D210:D214" si="392">E210+F210+G210+H210</f>
      </c>
      <c r="E210" s="17">
        <v>1062.35</v>
      </c>
      <c r="F210" s="20">
        <v>3428.5</v>
      </c>
      <c r="G210" s="20">
        <v>0</v>
      </c>
      <c r="H210" s="20">
        <v>0</v>
      </c>
      <c r="I210" s="20">
        <f t="shared" ref="I210:I214" si="483">AB210+AC210</f>
      </c>
      <c r="J210" s="21">
        <v>0</v>
      </c>
      <c r="K210" s="22">
        <f t="shared" ref="K210:K214" si="574">I210-J210</f>
      </c>
      <c r="L210" s="22">
        <f t="shared" ref="L210:L214" si="244">(I210-AC210)/12+AC210</f>
      </c>
      <c r="M210" s="23">
        <f t="shared" si="303"/>
      </c>
      <c r="N210" s="24">
        <f t="shared" si="322"/>
      </c>
      <c r="O210" s="25">
        <f t="shared" si="341"/>
      </c>
      <c r="P210" s="26">
        <f t="shared" si="26"/>
      </c>
      <c r="Q210" s="26">
        <f t="shared" si="45"/>
      </c>
      <c r="R210" s="26">
        <f t="shared" si="64"/>
      </c>
      <c r="S210" s="27">
        <f t="shared" si="83"/>
      </c>
      <c r="T210" s="28">
        <f t="shared" si="633"/>
      </c>
      <c r="U210" s="26">
        <f t="shared" si="671"/>
      </c>
      <c r="V210" s="29">
        <f t="shared" si="652"/>
      </c>
      <c r="W210" s="29">
        <f t="shared" si="690"/>
      </c>
      <c r="X210" s="26">
        <f t="shared" si="7"/>
      </c>
      <c r="Y210" s="30">
        <f t="shared" ref="Y210:Y214" si="134">Z210+AA210</f>
      </c>
      <c r="Z210" s="30">
        <v>3</v>
      </c>
      <c r="AA210" s="30">
        <v>3</v>
      </c>
      <c r="AB210" s="31">
        <v>11562.23999999999</v>
      </c>
      <c r="AC210" s="31">
        <v>0</v>
      </c>
      <c r="AD210" s="27">
        <f t="shared" si="193"/>
      </c>
      <c r="AE210" s="32" t="s">
        <v>41</v>
      </c>
      <c r="AF210" s="33" t="s">
        <v>56</v>
      </c>
      <c r="AG210" s="34">
        <v>4</v>
      </c>
      <c r="AH210" s="35">
        <v>68551</v>
      </c>
      <c r="AI210" s="35">
        <v>1461</v>
      </c>
      <c r="AJ210" s="35">
        <v>1609</v>
      </c>
      <c r="AK210" s="36">
        <v>149</v>
      </c>
      <c r="AL210" s="36">
        <v>187</v>
      </c>
    </row>
    <row r="211">
      <c r="A211" s="15"/>
      <c r="B211" s="16" t="s">
        <v>39</v>
      </c>
      <c r="C211" s="52" t="s">
        <v>64</v>
      </c>
      <c r="D211" s="18">
        <f t="shared" si="392"/>
      </c>
      <c r="E211" s="17">
        <v>720.93</v>
      </c>
      <c r="F211" s="17">
        <v>3592.09</v>
      </c>
      <c r="G211" s="20">
        <v>0</v>
      </c>
      <c r="H211" s="20">
        <v>0</v>
      </c>
      <c r="I211" s="20">
        <f t="shared" si="483"/>
      </c>
      <c r="J211" s="21">
        <v>0</v>
      </c>
      <c r="K211" s="22">
        <f t="shared" si="574"/>
      </c>
      <c r="L211" s="22">
        <f t="shared" si="244"/>
      </c>
      <c r="M211" s="23">
        <f t="shared" si="303"/>
      </c>
      <c r="N211" s="24">
        <f t="shared" si="322"/>
      </c>
      <c r="O211" s="25">
        <f t="shared" si="341"/>
      </c>
      <c r="P211" s="26">
        <f t="shared" si="26"/>
      </c>
      <c r="Q211" s="26">
        <f t="shared" si="45"/>
      </c>
      <c r="R211" s="26">
        <f t="shared" si="64"/>
      </c>
      <c r="S211" s="27">
        <f t="shared" si="83"/>
      </c>
      <c r="T211" s="28">
        <f t="shared" si="633"/>
      </c>
      <c r="U211" s="26">
        <f t="shared" si="671"/>
      </c>
      <c r="V211" s="29">
        <f t="shared" si="652"/>
      </c>
      <c r="W211" s="29">
        <f t="shared" si="690"/>
      </c>
      <c r="X211" s="26">
        <f t="shared" si="7"/>
      </c>
      <c r="Y211" s="30">
        <f t="shared" si="134"/>
      </c>
      <c r="Z211" s="30">
        <v>0</v>
      </c>
      <c r="AA211" s="30">
        <v>7</v>
      </c>
      <c r="AB211" s="31">
        <v>9667.080000000016</v>
      </c>
      <c r="AC211" s="31">
        <v>0</v>
      </c>
      <c r="AD211" s="27">
        <f t="shared" si="193"/>
      </c>
      <c r="AE211" s="32" t="s">
        <v>41</v>
      </c>
      <c r="AF211" s="33" t="s">
        <v>56</v>
      </c>
      <c r="AG211" s="36">
        <v>7</v>
      </c>
      <c r="AH211" s="35">
        <v>59183</v>
      </c>
      <c r="AI211" s="35">
        <v>1180</v>
      </c>
      <c r="AJ211" s="35">
        <v>1296</v>
      </c>
      <c r="AK211" s="36">
        <v>127</v>
      </c>
      <c r="AL211" s="36">
        <v>141</v>
      </c>
    </row>
    <row r="212">
      <c r="A212" s="15"/>
      <c r="B212" s="16" t="s">
        <v>39</v>
      </c>
      <c r="C212" s="52" t="s">
        <v>65</v>
      </c>
      <c r="D212" s="18">
        <f t="shared" si="392"/>
      </c>
      <c r="E212" s="17">
        <v>475.25</v>
      </c>
      <c r="F212" s="17">
        <v>9565.09</v>
      </c>
      <c r="G212" s="20">
        <v>0</v>
      </c>
      <c r="H212" s="20">
        <v>0</v>
      </c>
      <c r="I212" s="20">
        <f t="shared" si="483"/>
      </c>
      <c r="J212" s="21">
        <v>1591.92</v>
      </c>
      <c r="K212" s="22">
        <f t="shared" si="574"/>
      </c>
      <c r="L212" s="22">
        <f t="shared" si="244"/>
      </c>
      <c r="M212" s="23">
        <f t="shared" si="303"/>
      </c>
      <c r="N212" s="24">
        <f t="shared" si="322"/>
      </c>
      <c r="O212" s="25">
        <f t="shared" si="341"/>
      </c>
      <c r="P212" s="26">
        <f t="shared" si="26"/>
      </c>
      <c r="Q212" s="26">
        <f t="shared" si="45"/>
      </c>
      <c r="R212" s="26">
        <f t="shared" si="64"/>
      </c>
      <c r="S212" s="27">
        <f t="shared" si="83"/>
      </c>
      <c r="T212" s="28">
        <f t="shared" si="633"/>
      </c>
      <c r="U212" s="26">
        <f t="shared" si="671"/>
      </c>
      <c r="V212" s="29">
        <f t="shared" si="652"/>
      </c>
      <c r="W212" s="29">
        <f t="shared" si="690"/>
      </c>
      <c r="X212" s="26">
        <f t="shared" si="7"/>
      </c>
      <c r="Y212" s="30">
        <f t="shared" si="134"/>
      </c>
      <c r="Z212" s="30">
        <v>5</v>
      </c>
      <c r="AA212" s="30">
        <v>10</v>
      </c>
      <c r="AB212" s="31">
        <v>8590.320000000007</v>
      </c>
      <c r="AC212" s="31">
        <v>679.0000000000009</v>
      </c>
      <c r="AD212" s="27">
        <f t="shared" si="193"/>
      </c>
      <c r="AE212" s="32" t="s">
        <v>41</v>
      </c>
      <c r="AF212" s="33" t="s">
        <v>56</v>
      </c>
      <c r="AG212" s="36">
        <v>9</v>
      </c>
      <c r="AH212" s="35">
        <v>231338</v>
      </c>
      <c r="AI212" s="35">
        <v>2117</v>
      </c>
      <c r="AJ212" s="35">
        <v>2215</v>
      </c>
      <c r="AK212" s="36">
        <v>229</v>
      </c>
      <c r="AL212" s="36">
        <v>317</v>
      </c>
    </row>
    <row r="213">
      <c r="A213" s="15"/>
      <c r="B213" s="16" t="s">
        <v>39</v>
      </c>
      <c r="C213" s="17" t="s">
        <v>66</v>
      </c>
      <c r="D213" s="18">
        <f t="shared" si="392"/>
      </c>
      <c r="E213" s="17">
        <v>738.37</v>
      </c>
      <c r="F213" s="20">
        <v>4172.72</v>
      </c>
      <c r="G213" s="20">
        <v>0</v>
      </c>
      <c r="H213" s="20">
        <v>0</v>
      </c>
      <c r="I213" s="37">
        <f t="shared" si="483"/>
      </c>
      <c r="J213" s="21">
        <v>534.6</v>
      </c>
      <c r="K213" s="22">
        <f t="shared" si="574"/>
      </c>
      <c r="L213" s="22">
        <f t="shared" si="244"/>
      </c>
      <c r="M213" s="23">
        <f t="shared" si="303"/>
      </c>
      <c r="N213" s="24">
        <f t="shared" si="322"/>
      </c>
      <c r="O213" s="25">
        <f t="shared" si="341"/>
      </c>
      <c r="P213" s="26">
        <f t="shared" si="26"/>
      </c>
      <c r="Q213" s="26">
        <f t="shared" si="45"/>
      </c>
      <c r="R213" s="26">
        <f t="shared" si="64"/>
      </c>
      <c r="S213" s="27">
        <f t="shared" si="83"/>
      </c>
      <c r="T213" s="28">
        <f t="shared" si="633"/>
      </c>
      <c r="U213" s="26">
        <f t="shared" si="671"/>
      </c>
      <c r="V213" s="29">
        <f t="shared" si="652"/>
      </c>
      <c r="W213" s="29">
        <f t="shared" si="690"/>
      </c>
      <c r="X213" s="26">
        <f t="shared" si="7"/>
      </c>
      <c r="Y213" s="30">
        <f t="shared" si="134"/>
      </c>
      <c r="Z213" s="30">
        <v>4</v>
      </c>
      <c r="AA213" s="30">
        <v>10</v>
      </c>
      <c r="AB213" s="31">
        <v>9500.76</v>
      </c>
      <c r="AC213" s="31">
        <v>0</v>
      </c>
      <c r="AD213" s="27">
        <f t="shared" si="193"/>
      </c>
      <c r="AE213" s="32" t="s">
        <v>41</v>
      </c>
      <c r="AF213" s="33" t="s">
        <v>56</v>
      </c>
      <c r="AG213" s="34">
        <v>8</v>
      </c>
      <c r="AH213" s="35">
        <v>124816</v>
      </c>
      <c r="AI213" s="35">
        <v>1595</v>
      </c>
      <c r="AJ213" s="35">
        <v>1795</v>
      </c>
      <c r="AK213" s="36">
        <v>191</v>
      </c>
      <c r="AL213" s="36">
        <v>173</v>
      </c>
    </row>
    <row r="214">
      <c r="A214" s="15"/>
      <c r="B214" s="16" t="s">
        <v>39</v>
      </c>
      <c r="C214" s="17" t="s">
        <v>67</v>
      </c>
      <c r="D214" s="18">
        <f t="shared" si="392"/>
      </c>
      <c r="E214" s="19">
        <v>268.31</v>
      </c>
      <c r="F214" s="20">
        <v>4521.86</v>
      </c>
      <c r="G214" s="20">
        <v>0</v>
      </c>
      <c r="H214" s="20">
        <v>0</v>
      </c>
      <c r="I214" s="20">
        <f t="shared" si="483"/>
      </c>
      <c r="J214" s="21">
        <v>0</v>
      </c>
      <c r="K214" s="22">
        <f t="shared" si="574"/>
      </c>
      <c r="L214" s="22">
        <f t="shared" si="244"/>
      </c>
      <c r="M214" s="23">
        <f t="shared" si="303"/>
      </c>
      <c r="N214" s="24">
        <f t="shared" si="322"/>
      </c>
      <c r="O214" s="25">
        <f t="shared" si="341"/>
      </c>
      <c r="P214" s="26">
        <f t="shared" si="26"/>
      </c>
      <c r="Q214" s="26">
        <f t="shared" si="45"/>
      </c>
      <c r="R214" s="26">
        <f t="shared" si="64"/>
      </c>
      <c r="S214" s="27">
        <f t="shared" si="83"/>
      </c>
      <c r="T214" s="28">
        <f t="shared" si="633"/>
      </c>
      <c r="U214" s="26">
        <f t="shared" si="671"/>
      </c>
      <c r="V214" s="29">
        <f t="shared" si="652"/>
      </c>
      <c r="W214" s="29">
        <f t="shared" si="690"/>
      </c>
      <c r="X214" s="26">
        <f t="shared" si="7"/>
      </c>
      <c r="Y214" s="30">
        <f t="shared" si="134"/>
      </c>
      <c r="Z214" s="30">
        <v>0</v>
      </c>
      <c r="AA214" s="30">
        <v>7</v>
      </c>
      <c r="AB214" s="31">
        <v>8649.72</v>
      </c>
      <c r="AC214" s="31">
        <v>3471.15</v>
      </c>
      <c r="AD214" s="27">
        <f t="shared" si="193"/>
      </c>
      <c r="AE214" s="32" t="s">
        <v>41</v>
      </c>
      <c r="AF214" s="33" t="s">
        <v>56</v>
      </c>
      <c r="AG214" s="34">
        <v>6</v>
      </c>
      <c r="AH214" s="35">
        <v>107949</v>
      </c>
      <c r="AI214" s="35">
        <v>1327</v>
      </c>
      <c r="AJ214" s="35">
        <v>1432</v>
      </c>
      <c r="AK214" s="34">
        <v>124</v>
      </c>
      <c r="AL214" s="34">
        <v>138</v>
      </c>
    </row>
    <row r="215">
      <c r="A215" s="15"/>
      <c r="B215" s="38" t="s">
        <v>47</v>
      </c>
      <c r="C215" s="39">
        <v>5</v>
      </c>
      <c r="D215" s="40">
        <f>SUM(D210:D214)</f>
      </c>
      <c r="E215" s="40">
        <f>SUM(E210:E214)</f>
      </c>
      <c r="F215" s="40">
        <f>SUM(F210:F214)</f>
      </c>
      <c r="G215" s="40">
        <f>SUM(G210:G214)</f>
      </c>
      <c r="H215" s="40">
        <f>SUM(H210:H214)</f>
      </c>
      <c r="I215" s="40">
        <f>SUM(I210:I214)</f>
      </c>
      <c r="J215" s="40">
        <f>SUM(J210:J214)</f>
      </c>
      <c r="K215" s="40">
        <f>SUM(K210:K214)</f>
      </c>
      <c r="L215" s="40">
        <f>SUM(L210:L214)</f>
      </c>
      <c r="M215" s="41">
        <f t="shared" si="303"/>
      </c>
      <c r="N215" s="42">
        <f t="shared" si="322"/>
      </c>
      <c r="O215" s="42">
        <f t="shared" si="341"/>
      </c>
      <c r="P215" s="43">
        <f t="shared" si="26"/>
      </c>
      <c r="Q215" s="43">
        <f t="shared" si="45"/>
      </c>
      <c r="R215" s="43">
        <f t="shared" si="64"/>
      </c>
      <c r="S215" s="44">
        <f t="shared" si="83"/>
      </c>
      <c r="T215" s="44">
        <f t="shared" si="633"/>
      </c>
      <c r="U215" s="43">
        <f t="shared" si="671"/>
      </c>
      <c r="V215" s="44">
        <f t="shared" si="652"/>
      </c>
      <c r="W215" s="44">
        <f t="shared" si="690"/>
      </c>
      <c r="X215" s="43">
        <f t="shared" si="7"/>
      </c>
      <c r="Y215" s="40">
        <f>SUM(Y210:Y214)</f>
      </c>
      <c r="Z215" s="40">
        <f>SUM(Z210:Z214)</f>
      </c>
      <c r="AA215" s="40">
        <f>SUM(AA210:AA214)</f>
      </c>
      <c r="AB215" s="40">
        <f>SUM(AB210:AB214)</f>
      </c>
      <c r="AC215" s="40">
        <f>SUM(AC210:AC214)</f>
      </c>
      <c r="AD215" s="59">
        <f t="shared" si="193"/>
      </c>
      <c r="AE215" s="46"/>
      <c r="AF215" s="47"/>
      <c r="AG215" s="40">
        <f>SUM(AG210:AG214)</f>
      </c>
      <c r="AH215" s="40">
        <f>SUM(AH210:AH214)</f>
      </c>
      <c r="AI215" s="40">
        <f>SUM(AI210:AI214)</f>
      </c>
      <c r="AJ215" s="40">
        <f>SUM(AJ210:AJ214)</f>
      </c>
      <c r="AK215" s="40">
        <f>SUM(AK210:AK214)</f>
      </c>
      <c r="AL215" s="40">
        <f>SUM(AL210:AL214)</f>
      </c>
    </row>
    <row r="216">
      <c r="A216" s="15"/>
      <c r="B216" s="60" t="s">
        <v>47</v>
      </c>
      <c r="C216" s="61">
        <f>C196+C201+C204+C209+C215</f>
      </c>
      <c r="D216" s="62">
        <f>D196+D201+D204+D209+D215</f>
      </c>
      <c r="E216" s="61">
        <f>E196+E201+E204+E209+E215</f>
      </c>
      <c r="F216" s="61">
        <f>F196+F201+F204+F209+F215</f>
      </c>
      <c r="G216" s="61">
        <f>G196+G201+G204+G209+G215</f>
      </c>
      <c r="H216" s="61">
        <f>H196+H201+H204+H209+H215</f>
      </c>
      <c r="I216" s="62">
        <f>I196+I201+I204+I209+I215</f>
      </c>
      <c r="J216" s="61">
        <f>J196+J201+J204+J209+J215</f>
      </c>
      <c r="K216" s="61">
        <f>K196+K201+K204+K209+K215</f>
      </c>
      <c r="L216" s="61">
        <f>L196+L201+L204+L209+L215</f>
      </c>
      <c r="M216" s="63">
        <f t="shared" si="303"/>
      </c>
      <c r="N216" s="63">
        <f t="shared" si="322"/>
      </c>
      <c r="O216" s="63">
        <f t="shared" si="341"/>
      </c>
      <c r="P216" s="63">
        <f t="shared" si="26"/>
      </c>
      <c r="Q216" s="63">
        <f t="shared" si="45"/>
      </c>
      <c r="R216" s="63">
        <f t="shared" si="64"/>
      </c>
      <c r="S216" s="64">
        <f t="shared" si="83"/>
      </c>
      <c r="T216" s="64">
        <f t="shared" si="633"/>
      </c>
      <c r="U216" s="63">
        <f t="shared" si="671"/>
      </c>
      <c r="V216" s="64">
        <f t="shared" si="652"/>
      </c>
      <c r="W216" s="64">
        <f t="shared" si="690"/>
      </c>
      <c r="X216" s="63">
        <f t="shared" si="7"/>
      </c>
      <c r="Y216" s="61">
        <f>Y196+Y201+Y204+Y209+Y215</f>
      </c>
      <c r="Z216" s="61">
        <f>Z196+Z201+Z204+Z209+Z215</f>
      </c>
      <c r="AA216" s="61">
        <f>AA196+AA201+AA204+AA209+AA215</f>
      </c>
      <c r="AB216" s="61">
        <f>AB196+AB201+AB204+AB209+AB215</f>
      </c>
      <c r="AC216" s="65">
        <f>AC196+AC201+AC204+AC209+AC215</f>
      </c>
      <c r="AD216" s="66">
        <f t="shared" si="193"/>
      </c>
      <c r="AE216" s="67"/>
      <c r="AF216" s="60"/>
      <c r="AG216" s="61">
        <f>AG196+AG201+AG204+AG209+AG215</f>
      </c>
      <c r="AH216" s="61">
        <f>AH196+AH201+AH204+AH209+AH215</f>
      </c>
      <c r="AI216" s="61">
        <f>AI196+AI201+AI204+AI209+AI215</f>
      </c>
      <c r="AJ216" s="61">
        <f>AJ196+AJ201+AJ204+AJ209+AJ215</f>
      </c>
      <c r="AK216" s="61">
        <f>AK196+AK201+AK204+AK209+AK215</f>
      </c>
      <c r="AL216" s="61">
        <f>AL196+AL201+AL204+AL209+AL215</f>
      </c>
    </row>
    <row r="217">
      <c r="A217" s="1" t="s">
        <v>1</v>
      </c>
      <c r="B217" s="2" t="s">
        <v>2</v>
      </c>
      <c r="C217" s="2" t="s">
        <v>3</v>
      </c>
      <c r="D217" s="3" t="s">
        <v>4</v>
      </c>
      <c r="E217" s="2" t="s">
        <v>5</v>
      </c>
      <c r="F217" s="2" t="s">
        <v>6</v>
      </c>
      <c r="G217" s="4" t="s">
        <v>7</v>
      </c>
      <c r="H217" s="4" t="s">
        <v>8</v>
      </c>
      <c r="I217" s="3" t="s">
        <v>9</v>
      </c>
      <c r="J217" s="5" t="s">
        <v>10</v>
      </c>
      <c r="K217" s="6" t="s">
        <v>11</v>
      </c>
      <c r="L217" s="6" t="s">
        <v>12</v>
      </c>
      <c r="M217" s="7" t="s">
        <v>13</v>
      </c>
      <c r="N217" s="6" t="s">
        <v>14</v>
      </c>
      <c r="O217" s="2" t="s">
        <v>15</v>
      </c>
      <c r="P217" s="7" t="s">
        <v>16</v>
      </c>
      <c r="Q217" s="8" t="s">
        <v>17</v>
      </c>
      <c r="R217" s="8" t="s">
        <v>18</v>
      </c>
      <c r="S217" s="3" t="s">
        <v>19</v>
      </c>
      <c r="T217" s="9" t="s">
        <v>20</v>
      </c>
      <c r="U217" s="7" t="s">
        <v>21</v>
      </c>
      <c r="V217" s="10" t="s">
        <v>22</v>
      </c>
      <c r="W217" s="11" t="s">
        <v>23</v>
      </c>
      <c r="X217" s="7" t="s">
        <v>24</v>
      </c>
      <c r="Y217" s="12" t="s">
        <v>25</v>
      </c>
      <c r="Z217" s="13" t="s">
        <v>26</v>
      </c>
      <c r="AA217" s="12" t="s">
        <v>27</v>
      </c>
      <c r="AB217" s="14" t="s">
        <v>28</v>
      </c>
      <c r="AC217" s="14" t="s">
        <v>29</v>
      </c>
      <c r="AD217" s="6" t="s">
        <v>30</v>
      </c>
      <c r="AE217" s="5" t="s">
        <v>31</v>
      </c>
      <c r="AF217" s="6" t="s">
        <v>32</v>
      </c>
      <c r="AG217" s="5" t="s">
        <v>33</v>
      </c>
      <c r="AH217" s="5" t="s">
        <v>34</v>
      </c>
      <c r="AI217" s="6" t="s">
        <v>35</v>
      </c>
      <c r="AJ217" s="5" t="s">
        <v>36</v>
      </c>
      <c r="AK217" s="6" t="s">
        <v>37</v>
      </c>
      <c r="AL217" s="5" t="s">
        <v>38</v>
      </c>
    </row>
    <row r="218">
      <c r="A218" s="15">
        <v>46304</v>
      </c>
      <c r="B218" s="16" t="s">
        <v>68</v>
      </c>
      <c r="C218" s="17" t="s">
        <v>40</v>
      </c>
      <c r="D218" s="18">
        <f t="shared" ref="D218:D222" si="393">E218+F218+G218+H218</f>
      </c>
      <c r="E218" s="19">
        <v>1250.67</v>
      </c>
      <c r="F218" s="20">
        <v>12576.26</v>
      </c>
      <c r="G218" s="20">
        <v>0</v>
      </c>
      <c r="H218" s="20">
        <v>0</v>
      </c>
      <c r="I218" s="20">
        <f t="shared" ref="I218:I222" si="484">AB218+AC218</f>
      </c>
      <c r="J218" s="21">
        <v>8716.68</v>
      </c>
      <c r="K218" s="22">
        <f t="shared" ref="K218:K222" si="575">I218-J218</f>
      </c>
      <c r="L218" s="22">
        <f t="shared" ref="L218:L222" si="245">(I218-AC218)/12+AC218</f>
      </c>
      <c r="M218" s="23">
        <f t="shared" ref="M218:M243" si="304">I218/D218</f>
      </c>
      <c r="N218" s="24">
        <f t="shared" ref="N218:N243" si="323">(I218-J218)/D218</f>
      </c>
      <c r="O218" s="25">
        <f t="shared" ref="O218:O243" si="342">(AC218+AB218/12)/D218</f>
      </c>
      <c r="P218" s="26">
        <f t="shared" ref="P218:P243" si="27">I218/AA218</f>
      </c>
      <c r="Q218" s="26">
        <f t="shared" ref="Q218:Q243" si="46">D218/AA218</f>
      </c>
      <c r="R218" s="26">
        <f t="shared" ref="R218:R243" si="65">D218/AG218</f>
      </c>
      <c r="S218" s="27">
        <f t="shared" ref="S218:S243" si="84">AA218/Y218</f>
      </c>
      <c r="T218" s="28">
        <f t="shared" ref="T218:T243" si="634">AI218/AH218</f>
      </c>
      <c r="U218" s="26">
        <f t="shared" ref="U218:U243" si="672">D218/AJ218</f>
      </c>
      <c r="V218" s="29">
        <f t="shared" ref="V218:V243" si="653">AK218/AJ218</f>
      </c>
      <c r="W218" s="29">
        <f t="shared" ref="W218:W243" si="691">AL218/AJ218</f>
      </c>
      <c r="X218" s="26">
        <f t="shared" ref="X218:X243" si="8">D218/AL218</f>
      </c>
      <c r="Y218" s="30">
        <f t="shared" ref="Y218:Y222" si="135">Z218+AA218</f>
      </c>
      <c r="Z218" s="30">
        <v>8</v>
      </c>
      <c r="AA218" s="30">
        <v>11</v>
      </c>
      <c r="AB218" s="31">
        <v>19566.359999999997</v>
      </c>
      <c r="AC218" s="31">
        <v>0</v>
      </c>
      <c r="AD218" s="27">
        <f t="shared" ref="AD218:AD243" si="194">AC218/I218</f>
      </c>
      <c r="AE218" s="32" t="s">
        <v>41</v>
      </c>
      <c r="AF218" s="33" t="s">
        <v>72</v>
      </c>
      <c r="AG218" s="34">
        <v>9</v>
      </c>
      <c r="AH218" s="34">
        <v>164756</v>
      </c>
      <c r="AI218" s="35">
        <v>4193</v>
      </c>
      <c r="AJ218" s="35">
        <v>4383</v>
      </c>
      <c r="AK218" s="34">
        <v>469</v>
      </c>
      <c r="AL218" s="36">
        <v>485</v>
      </c>
    </row>
    <row r="219">
      <c r="A219" s="15"/>
      <c r="B219" s="16" t="s">
        <v>68</v>
      </c>
      <c r="C219" s="17" t="s">
        <v>43</v>
      </c>
      <c r="D219" s="18">
        <f t="shared" si="393"/>
      </c>
      <c r="E219" s="17">
        <v>1578.07</v>
      </c>
      <c r="F219" s="20">
        <v>11649.17</v>
      </c>
      <c r="G219" s="20">
        <v>0</v>
      </c>
      <c r="H219" s="20">
        <v>0</v>
      </c>
      <c r="I219" s="20">
        <f t="shared" si="484"/>
      </c>
      <c r="J219" s="21">
        <v>8023.84</v>
      </c>
      <c r="K219" s="22">
        <f t="shared" si="575"/>
      </c>
      <c r="L219" s="22">
        <f t="shared" si="245"/>
      </c>
      <c r="M219" s="23">
        <f t="shared" si="304"/>
      </c>
      <c r="N219" s="24">
        <f t="shared" si="323"/>
      </c>
      <c r="O219" s="25">
        <f t="shared" si="342"/>
      </c>
      <c r="P219" s="26">
        <f t="shared" si="27"/>
      </c>
      <c r="Q219" s="26">
        <f t="shared" si="46"/>
      </c>
      <c r="R219" s="26">
        <f t="shared" si="65"/>
      </c>
      <c r="S219" s="27">
        <f t="shared" si="84"/>
      </c>
      <c r="T219" s="28">
        <f t="shared" si="634"/>
      </c>
      <c r="U219" s="26">
        <f t="shared" si="672"/>
      </c>
      <c r="V219" s="29">
        <f t="shared" si="653"/>
      </c>
      <c r="W219" s="29">
        <f t="shared" si="691"/>
      </c>
      <c r="X219" s="26">
        <f t="shared" si="8"/>
      </c>
      <c r="Y219" s="30">
        <f t="shared" si="135"/>
      </c>
      <c r="Z219" s="30">
        <v>6</v>
      </c>
      <c r="AA219" s="30">
        <v>8</v>
      </c>
      <c r="AB219" s="31">
        <v>13221.48</v>
      </c>
      <c r="AC219" s="31">
        <v>696.9999999999995</v>
      </c>
      <c r="AD219" s="27">
        <f t="shared" si="194"/>
      </c>
      <c r="AE219" s="32" t="s">
        <v>41</v>
      </c>
      <c r="AF219" s="33" t="s">
        <v>72</v>
      </c>
      <c r="AG219" s="34">
        <v>7</v>
      </c>
      <c r="AH219" s="35">
        <v>203896</v>
      </c>
      <c r="AI219" s="35">
        <v>2445</v>
      </c>
      <c r="AJ219" s="35">
        <v>2602</v>
      </c>
      <c r="AK219" s="36">
        <v>376</v>
      </c>
      <c r="AL219" s="36">
        <v>408</v>
      </c>
    </row>
    <row r="220">
      <c r="A220" s="15"/>
      <c r="B220" s="16" t="s">
        <v>68</v>
      </c>
      <c r="C220" s="17" t="s">
        <v>44</v>
      </c>
      <c r="D220" s="18">
        <f t="shared" si="393"/>
      </c>
      <c r="E220" s="17">
        <v>1560.01</v>
      </c>
      <c r="F220" s="20">
        <v>8101.21</v>
      </c>
      <c r="G220" s="20">
        <v>0</v>
      </c>
      <c r="H220" s="20">
        <v>0</v>
      </c>
      <c r="I220" s="20">
        <f t="shared" si="484"/>
      </c>
      <c r="J220" s="21">
        <v>6161.4</v>
      </c>
      <c r="K220" s="22">
        <f t="shared" si="575"/>
      </c>
      <c r="L220" s="22">
        <f t="shared" si="245"/>
      </c>
      <c r="M220" s="23">
        <f t="shared" si="304"/>
      </c>
      <c r="N220" s="24">
        <f t="shared" si="323"/>
      </c>
      <c r="O220" s="25">
        <f t="shared" si="342"/>
      </c>
      <c r="P220" s="26">
        <f t="shared" si="27"/>
      </c>
      <c r="Q220" s="26">
        <f t="shared" si="46"/>
      </c>
      <c r="R220" s="26">
        <f t="shared" si="65"/>
      </c>
      <c r="S220" s="27">
        <f t="shared" si="84"/>
      </c>
      <c r="T220" s="28">
        <f t="shared" si="634"/>
      </c>
      <c r="U220" s="26">
        <f t="shared" si="672"/>
      </c>
      <c r="V220" s="29">
        <f t="shared" si="653"/>
      </c>
      <c r="W220" s="29">
        <f t="shared" si="691"/>
      </c>
      <c r="X220" s="26">
        <f t="shared" si="8"/>
      </c>
      <c r="Y220" s="30">
        <f t="shared" si="135"/>
      </c>
      <c r="Z220" s="30">
        <v>5</v>
      </c>
      <c r="AA220" s="30">
        <v>14</v>
      </c>
      <c r="AB220" s="31">
        <v>23435.40000000001</v>
      </c>
      <c r="AC220" s="31">
        <v>1656</v>
      </c>
      <c r="AD220" s="27">
        <f t="shared" si="194"/>
      </c>
      <c r="AE220" s="32" t="s">
        <v>41</v>
      </c>
      <c r="AF220" s="33" t="s">
        <v>72</v>
      </c>
      <c r="AG220" s="36">
        <v>11</v>
      </c>
      <c r="AH220" s="35">
        <v>146429</v>
      </c>
      <c r="AI220" s="35">
        <v>1531</v>
      </c>
      <c r="AJ220" s="35">
        <v>1633</v>
      </c>
      <c r="AK220" s="36">
        <v>281</v>
      </c>
      <c r="AL220" s="36">
        <v>313</v>
      </c>
    </row>
    <row r="221">
      <c r="A221" s="15"/>
      <c r="B221" s="16" t="s">
        <v>68</v>
      </c>
      <c r="C221" s="17" t="s">
        <v>45</v>
      </c>
      <c r="D221" s="18">
        <f t="shared" si="393"/>
      </c>
      <c r="E221" s="17">
        <v>1124.29</v>
      </c>
      <c r="F221" s="20">
        <v>5984.55</v>
      </c>
      <c r="G221" s="20">
        <v>0</v>
      </c>
      <c r="H221" s="20">
        <v>0</v>
      </c>
      <c r="I221" s="37">
        <f t="shared" si="484"/>
      </c>
      <c r="J221" s="21">
        <v>1670.76</v>
      </c>
      <c r="K221" s="22">
        <f t="shared" si="575"/>
      </c>
      <c r="L221" s="22">
        <f t="shared" si="245"/>
      </c>
      <c r="M221" s="23">
        <f t="shared" si="304"/>
      </c>
      <c r="N221" s="24">
        <f t="shared" si="323"/>
      </c>
      <c r="O221" s="25">
        <f t="shared" si="342"/>
      </c>
      <c r="P221" s="26">
        <f t="shared" si="27"/>
      </c>
      <c r="Q221" s="26">
        <f t="shared" si="46"/>
      </c>
      <c r="R221" s="26">
        <f t="shared" si="65"/>
      </c>
      <c r="S221" s="27">
        <f t="shared" si="84"/>
      </c>
      <c r="T221" s="28">
        <f t="shared" si="634"/>
      </c>
      <c r="U221" s="26">
        <f t="shared" si="672"/>
      </c>
      <c r="V221" s="29">
        <f t="shared" si="653"/>
      </c>
      <c r="W221" s="29">
        <f t="shared" si="691"/>
      </c>
      <c r="X221" s="26">
        <f t="shared" si="8"/>
      </c>
      <c r="Y221" s="30">
        <f t="shared" si="135"/>
      </c>
      <c r="Z221" s="30">
        <v>7</v>
      </c>
      <c r="AA221" s="30">
        <v>8</v>
      </c>
      <c r="AB221" s="31">
        <v>13135.199999999997</v>
      </c>
      <c r="AC221" s="31">
        <v>665</v>
      </c>
      <c r="AD221" s="27">
        <f t="shared" si="194"/>
      </c>
      <c r="AE221" s="32" t="s">
        <v>41</v>
      </c>
      <c r="AF221" s="33" t="s">
        <v>72</v>
      </c>
      <c r="AG221" s="34">
        <v>8</v>
      </c>
      <c r="AH221" s="35">
        <v>79903</v>
      </c>
      <c r="AI221" s="35">
        <v>838</v>
      </c>
      <c r="AJ221" s="35">
        <v>888</v>
      </c>
      <c r="AK221" s="36">
        <v>195</v>
      </c>
      <c r="AL221" s="36">
        <v>225</v>
      </c>
    </row>
    <row r="222">
      <c r="A222" s="15"/>
      <c r="B222" s="16" t="s">
        <v>68</v>
      </c>
      <c r="C222" s="17" t="s">
        <v>46</v>
      </c>
      <c r="D222" s="18">
        <f t="shared" si="393"/>
      </c>
      <c r="E222" s="17">
        <v>1458.62</v>
      </c>
      <c r="F222" s="20">
        <v>7859.92</v>
      </c>
      <c r="G222" s="20">
        <v>0</v>
      </c>
      <c r="H222" s="20">
        <v>0</v>
      </c>
      <c r="I222" s="20">
        <f t="shared" si="484"/>
      </c>
      <c r="J222" s="21">
        <v>0</v>
      </c>
      <c r="K222" s="22">
        <f t="shared" si="575"/>
      </c>
      <c r="L222" s="22">
        <f t="shared" si="245"/>
      </c>
      <c r="M222" s="23">
        <f t="shared" si="304"/>
      </c>
      <c r="N222" s="24">
        <f t="shared" si="323"/>
      </c>
      <c r="O222" s="25">
        <f t="shared" si="342"/>
      </c>
      <c r="P222" s="26">
        <f t="shared" si="27"/>
      </c>
      <c r="Q222" s="26">
        <f t="shared" si="46"/>
      </c>
      <c r="R222" s="26">
        <f t="shared" si="65"/>
      </c>
      <c r="S222" s="27">
        <f t="shared" si="84"/>
      </c>
      <c r="T222" s="28">
        <f t="shared" si="634"/>
      </c>
      <c r="U222" s="26">
        <f t="shared" si="672"/>
      </c>
      <c r="V222" s="29">
        <f t="shared" si="653"/>
      </c>
      <c r="W222" s="29">
        <f t="shared" si="691"/>
      </c>
      <c r="X222" s="26">
        <f t="shared" si="8"/>
      </c>
      <c r="Y222" s="30">
        <f t="shared" si="135"/>
      </c>
      <c r="Z222" s="30">
        <v>3</v>
      </c>
      <c r="AA222" s="30">
        <v>3</v>
      </c>
      <c r="AB222" s="31">
        <v>4545.479999999996</v>
      </c>
      <c r="AC222" s="31">
        <v>0</v>
      </c>
      <c r="AD222" s="27">
        <f t="shared" si="194"/>
      </c>
      <c r="AE222" s="32" t="s">
        <v>41</v>
      </c>
      <c r="AF222" s="33" t="s">
        <v>72</v>
      </c>
      <c r="AG222" s="34">
        <v>2</v>
      </c>
      <c r="AH222" s="35">
        <v>111072</v>
      </c>
      <c r="AI222" s="35">
        <v>1104</v>
      </c>
      <c r="AJ222" s="35">
        <v>1160</v>
      </c>
      <c r="AK222" s="34">
        <v>236</v>
      </c>
      <c r="AL222" s="34">
        <v>277</v>
      </c>
    </row>
    <row r="223">
      <c r="A223" s="15"/>
      <c r="B223" s="38" t="s">
        <v>47</v>
      </c>
      <c r="C223" s="39">
        <v>5</v>
      </c>
      <c r="D223" s="40">
        <f>SUM(D218:D222)</f>
      </c>
      <c r="E223" s="40">
        <f>SUM(E218:E222)</f>
      </c>
      <c r="F223" s="40">
        <f>SUM(F218:F222)</f>
      </c>
      <c r="G223" s="40">
        <f>SUM(G218:G222)</f>
      </c>
      <c r="H223" s="40">
        <f>SUM(H218:H222)</f>
      </c>
      <c r="I223" s="40">
        <f>SUM(I218:I222)</f>
      </c>
      <c r="J223" s="40">
        <f>SUM(J218:J222)</f>
      </c>
      <c r="K223" s="40">
        <f>SUM(K218:K222)</f>
      </c>
      <c r="L223" s="40">
        <f>SUM(L218:L222)</f>
      </c>
      <c r="M223" s="41">
        <f t="shared" si="304"/>
      </c>
      <c r="N223" s="42">
        <f t="shared" si="323"/>
      </c>
      <c r="O223" s="42">
        <f t="shared" si="342"/>
      </c>
      <c r="P223" s="43">
        <f t="shared" si="27"/>
      </c>
      <c r="Q223" s="43">
        <f t="shared" si="46"/>
      </c>
      <c r="R223" s="43">
        <f t="shared" si="65"/>
      </c>
      <c r="S223" s="44">
        <f t="shared" si="84"/>
      </c>
      <c r="T223" s="44">
        <f t="shared" si="634"/>
      </c>
      <c r="U223" s="43">
        <f t="shared" si="672"/>
      </c>
      <c r="V223" s="44">
        <f t="shared" si="653"/>
      </c>
      <c r="W223" s="44">
        <f t="shared" si="691"/>
      </c>
      <c r="X223" s="43">
        <f t="shared" si="8"/>
      </c>
      <c r="Y223" s="40">
        <f>SUM(Y218:Y222)</f>
      </c>
      <c r="Z223" s="40">
        <f>SUM(Z218:Z222)</f>
      </c>
      <c r="AA223" s="40">
        <f>SUM(AA218:AA222)</f>
      </c>
      <c r="AB223" s="40">
        <f>SUM(AB218:AB222)</f>
      </c>
      <c r="AC223" s="40">
        <f>SUM(AC218:AC222)</f>
      </c>
      <c r="AD223" s="45">
        <f t="shared" si="194"/>
      </c>
      <c r="AE223" s="46"/>
      <c r="AF223" s="47"/>
      <c r="AG223" s="40">
        <f>SUM(AG218:AG222)</f>
      </c>
      <c r="AH223" s="40">
        <f>SUM(AH218:AH222)</f>
      </c>
      <c r="AI223" s="40">
        <f>SUM(AI218:AI222)</f>
      </c>
      <c r="AJ223" s="40">
        <f>SUM(AJ218:AJ222)</f>
      </c>
      <c r="AK223" s="40">
        <f>SUM(AK218:AK222)</f>
      </c>
      <c r="AL223" s="40">
        <f>SUM(AL218:AL222)</f>
      </c>
    </row>
    <row r="224">
      <c r="A224" s="15"/>
      <c r="B224" s="16" t="s">
        <v>39</v>
      </c>
      <c r="C224" s="17" t="s">
        <v>49</v>
      </c>
      <c r="D224" s="18">
        <f t="shared" ref="D224:D227" si="394">E224+F224+G224+H224</f>
      </c>
      <c r="E224" s="19">
        <v>1253.79</v>
      </c>
      <c r="F224" s="20">
        <v>4722.49</v>
      </c>
      <c r="G224" s="20">
        <v>0</v>
      </c>
      <c r="H224" s="20">
        <v>0</v>
      </c>
      <c r="I224" s="20">
        <f t="shared" ref="I224:I227" si="485">AB224+AC224</f>
      </c>
      <c r="J224" s="21">
        <v>4987.44</v>
      </c>
      <c r="K224" s="22">
        <f t="shared" ref="K224:K227" si="576">I224-J224</f>
      </c>
      <c r="L224" s="22">
        <f t="shared" ref="L224:L227" si="246">(I224-AC224)/12+AC224</f>
      </c>
      <c r="M224" s="23">
        <f t="shared" si="304"/>
      </c>
      <c r="N224" s="24">
        <f t="shared" si="323"/>
      </c>
      <c r="O224" s="25">
        <f t="shared" si="342"/>
      </c>
      <c r="P224" s="26">
        <f t="shared" si="27"/>
      </c>
      <c r="Q224" s="26">
        <f t="shared" si="46"/>
      </c>
      <c r="R224" s="26">
        <f t="shared" si="65"/>
      </c>
      <c r="S224" s="27">
        <f t="shared" si="84"/>
      </c>
      <c r="T224" s="28">
        <f t="shared" si="634"/>
      </c>
      <c r="U224" s="26">
        <f t="shared" si="672"/>
      </c>
      <c r="V224" s="29">
        <f t="shared" si="653"/>
      </c>
      <c r="W224" s="29">
        <f t="shared" si="691"/>
      </c>
      <c r="X224" s="26">
        <f t="shared" si="8"/>
      </c>
      <c r="Y224" s="30">
        <f t="shared" ref="Y224:Y227" si="136">Z224+AA224</f>
      </c>
      <c r="Z224" s="30">
        <v>5</v>
      </c>
      <c r="AA224" s="30">
        <v>7</v>
      </c>
      <c r="AB224" s="31">
        <v>11101.320000000007</v>
      </c>
      <c r="AC224" s="31">
        <v>0</v>
      </c>
      <c r="AD224" s="27">
        <f t="shared" si="194"/>
      </c>
      <c r="AE224" s="32" t="s">
        <v>41</v>
      </c>
      <c r="AF224" s="33" t="s">
        <v>72</v>
      </c>
      <c r="AG224" s="34">
        <v>6</v>
      </c>
      <c r="AH224" s="35">
        <v>74525</v>
      </c>
      <c r="AI224" s="35">
        <v>818</v>
      </c>
      <c r="AJ224" s="35">
        <v>890</v>
      </c>
      <c r="AK224" s="34">
        <v>137</v>
      </c>
      <c r="AL224" s="34">
        <v>201</v>
      </c>
    </row>
    <row r="225">
      <c r="A225" s="15"/>
      <c r="B225" s="16" t="s">
        <v>39</v>
      </c>
      <c r="C225" s="17" t="s">
        <v>50</v>
      </c>
      <c r="D225" s="18">
        <f t="shared" si="394"/>
      </c>
      <c r="E225" s="17">
        <v>1573.03</v>
      </c>
      <c r="F225" s="20">
        <v>5331.5</v>
      </c>
      <c r="G225" s="20">
        <v>0</v>
      </c>
      <c r="H225" s="20">
        <v>0</v>
      </c>
      <c r="I225" s="20">
        <f t="shared" si="485"/>
      </c>
      <c r="J225" s="21">
        <v>6387.12</v>
      </c>
      <c r="K225" s="22">
        <f t="shared" si="576"/>
      </c>
      <c r="L225" s="22">
        <f t="shared" si="246"/>
      </c>
      <c r="M225" s="23">
        <f t="shared" si="304"/>
      </c>
      <c r="N225" s="24">
        <f t="shared" si="323"/>
      </c>
      <c r="O225" s="25">
        <f t="shared" si="342"/>
      </c>
      <c r="P225" s="26">
        <f t="shared" si="27"/>
      </c>
      <c r="Q225" s="26">
        <f t="shared" si="46"/>
      </c>
      <c r="R225" s="26">
        <f t="shared" si="65"/>
      </c>
      <c r="S225" s="27">
        <f t="shared" si="84"/>
      </c>
      <c r="T225" s="28">
        <f t="shared" si="634"/>
      </c>
      <c r="U225" s="26">
        <f t="shared" si="672"/>
      </c>
      <c r="V225" s="29">
        <f t="shared" si="653"/>
      </c>
      <c r="W225" s="29">
        <f t="shared" si="691"/>
      </c>
      <c r="X225" s="26">
        <f t="shared" si="8"/>
      </c>
      <c r="Y225" s="30">
        <f t="shared" si="136"/>
      </c>
      <c r="Z225" s="30">
        <v>3</v>
      </c>
      <c r="AA225" s="30">
        <v>6</v>
      </c>
      <c r="AB225" s="31">
        <v>10341</v>
      </c>
      <c r="AC225" s="31">
        <v>0</v>
      </c>
      <c r="AD225" s="27">
        <f t="shared" si="194"/>
      </c>
      <c r="AE225" s="32" t="s">
        <v>41</v>
      </c>
      <c r="AF225" s="33" t="s">
        <v>72</v>
      </c>
      <c r="AG225" s="34">
        <v>5</v>
      </c>
      <c r="AH225" s="35">
        <v>105066</v>
      </c>
      <c r="AI225" s="35">
        <v>1120</v>
      </c>
      <c r="AJ225" s="35">
        <v>1175</v>
      </c>
      <c r="AK225" s="36">
        <v>189</v>
      </c>
      <c r="AL225" s="36">
        <v>246</v>
      </c>
    </row>
    <row r="226">
      <c r="A226" s="15"/>
      <c r="B226" s="16" t="s">
        <v>39</v>
      </c>
      <c r="C226" s="17" t="s">
        <v>51</v>
      </c>
      <c r="D226" s="18">
        <f t="shared" si="394"/>
      </c>
      <c r="E226" s="17">
        <v>1783</v>
      </c>
      <c r="F226" s="17">
        <v>7498.81</v>
      </c>
      <c r="G226" s="20">
        <v>0</v>
      </c>
      <c r="H226" s="20">
        <v>0</v>
      </c>
      <c r="I226" s="20">
        <f t="shared" si="485"/>
      </c>
      <c r="J226" s="21">
        <v>6024.4</v>
      </c>
      <c r="K226" s="22">
        <f t="shared" si="576"/>
      </c>
      <c r="L226" s="22">
        <f t="shared" si="246"/>
      </c>
      <c r="M226" s="23">
        <f t="shared" si="304"/>
      </c>
      <c r="N226" s="24">
        <f t="shared" si="323"/>
      </c>
      <c r="O226" s="25">
        <f t="shared" si="342"/>
      </c>
      <c r="P226" s="26">
        <f t="shared" si="27"/>
      </c>
      <c r="Q226" s="26">
        <f t="shared" si="46"/>
      </c>
      <c r="R226" s="26">
        <f t="shared" si="65"/>
      </c>
      <c r="S226" s="27">
        <f t="shared" si="84"/>
      </c>
      <c r="T226" s="28">
        <f t="shared" si="634"/>
      </c>
      <c r="U226" s="26">
        <f t="shared" si="672"/>
      </c>
      <c r="V226" s="29">
        <f t="shared" si="653"/>
      </c>
      <c r="W226" s="29">
        <f t="shared" si="691"/>
      </c>
      <c r="X226" s="26">
        <f t="shared" si="8"/>
      </c>
      <c r="Y226" s="30">
        <f t="shared" si="136"/>
      </c>
      <c r="Z226" s="30">
        <v>5</v>
      </c>
      <c r="AA226" s="30">
        <v>11</v>
      </c>
      <c r="AB226" s="31">
        <v>15971.039999999994</v>
      </c>
      <c r="AC226" s="69">
        <v>1024</v>
      </c>
      <c r="AD226" s="27">
        <f t="shared" si="194"/>
      </c>
      <c r="AE226" s="32" t="s">
        <v>41</v>
      </c>
      <c r="AF226" s="33" t="s">
        <v>72</v>
      </c>
      <c r="AG226" s="36">
        <v>8</v>
      </c>
      <c r="AH226" s="35">
        <v>159803</v>
      </c>
      <c r="AI226" s="35">
        <v>1426</v>
      </c>
      <c r="AJ226" s="35">
        <v>1477</v>
      </c>
      <c r="AK226" s="36">
        <v>235</v>
      </c>
      <c r="AL226" s="36">
        <v>293</v>
      </c>
    </row>
    <row r="227">
      <c r="A227" s="15"/>
      <c r="B227" s="16" t="s">
        <v>39</v>
      </c>
      <c r="C227" s="17" t="s">
        <v>52</v>
      </c>
      <c r="D227" s="18">
        <f t="shared" si="394"/>
      </c>
      <c r="E227" s="17">
        <v>1695.01</v>
      </c>
      <c r="F227" s="20">
        <v>6927.27</v>
      </c>
      <c r="G227" s="20">
        <v>0</v>
      </c>
      <c r="H227" s="20">
        <v>0</v>
      </c>
      <c r="I227" s="20">
        <f t="shared" si="485"/>
      </c>
      <c r="J227" s="21">
        <v>3695.76</v>
      </c>
      <c r="K227" s="22">
        <f t="shared" si="576"/>
      </c>
      <c r="L227" s="22">
        <f t="shared" si="246"/>
      </c>
      <c r="M227" s="23">
        <f t="shared" si="304"/>
      </c>
      <c r="N227" s="24">
        <f t="shared" si="323"/>
      </c>
      <c r="O227" s="25">
        <f t="shared" si="342"/>
      </c>
      <c r="P227" s="26">
        <f t="shared" si="27"/>
      </c>
      <c r="Q227" s="26">
        <f t="shared" si="46"/>
      </c>
      <c r="R227" s="26">
        <f t="shared" si="65"/>
      </c>
      <c r="S227" s="27">
        <f t="shared" si="84"/>
      </c>
      <c r="T227" s="28">
        <f t="shared" si="634"/>
      </c>
      <c r="U227" s="26">
        <f t="shared" si="672"/>
      </c>
      <c r="V227" s="29">
        <f t="shared" si="653"/>
      </c>
      <c r="W227" s="29">
        <f t="shared" si="691"/>
      </c>
      <c r="X227" s="26">
        <f t="shared" si="8"/>
      </c>
      <c r="Y227" s="30">
        <f t="shared" si="136"/>
      </c>
      <c r="Z227" s="30">
        <v>3</v>
      </c>
      <c r="AA227" s="30">
        <v>11</v>
      </c>
      <c r="AB227" s="70">
        <v>12012.84</v>
      </c>
      <c r="AC227" s="74">
        <v>0</v>
      </c>
      <c r="AD227" s="72">
        <f t="shared" si="194"/>
      </c>
      <c r="AE227" s="32" t="s">
        <v>41</v>
      </c>
      <c r="AF227" s="33" t="s">
        <v>72</v>
      </c>
      <c r="AG227" s="34">
        <v>9</v>
      </c>
      <c r="AH227" s="35">
        <v>144312</v>
      </c>
      <c r="AI227" s="35">
        <v>1222</v>
      </c>
      <c r="AJ227" s="35">
        <v>1276</v>
      </c>
      <c r="AK227" s="36">
        <v>211</v>
      </c>
      <c r="AL227" s="36">
        <v>264</v>
      </c>
    </row>
    <row r="228">
      <c r="A228" s="15"/>
      <c r="B228" s="38" t="s">
        <v>47</v>
      </c>
      <c r="C228" s="39">
        <v>4</v>
      </c>
      <c r="D228" s="40">
        <f>SUM(D224:D227)</f>
      </c>
      <c r="E228" s="40">
        <f>SUM(E224:E227)</f>
      </c>
      <c r="F228" s="40">
        <f>SUM(F224:F227)</f>
      </c>
      <c r="G228" s="40">
        <f>SUM(G224:G227)</f>
      </c>
      <c r="H228" s="40">
        <f>SUM(H224:H227)</f>
      </c>
      <c r="I228" s="40">
        <f>SUM(I224:I227)</f>
      </c>
      <c r="J228" s="40">
        <f>SUM(J224:J227)</f>
      </c>
      <c r="K228" s="40">
        <f>SUM(K224:K227)</f>
      </c>
      <c r="L228" s="40">
        <f>SUM(L224:L227)</f>
      </c>
      <c r="M228" s="41">
        <f t="shared" si="304"/>
      </c>
      <c r="N228" s="42">
        <f t="shared" si="323"/>
      </c>
      <c r="O228" s="42">
        <f t="shared" si="342"/>
      </c>
      <c r="P228" s="43">
        <f t="shared" si="27"/>
      </c>
      <c r="Q228" s="43">
        <f t="shared" si="46"/>
      </c>
      <c r="R228" s="43">
        <f t="shared" si="65"/>
      </c>
      <c r="S228" s="44">
        <f t="shared" si="84"/>
      </c>
      <c r="T228" s="44">
        <f t="shared" si="634"/>
      </c>
      <c r="U228" s="43">
        <f t="shared" si="672"/>
      </c>
      <c r="V228" s="44">
        <f t="shared" si="653"/>
      </c>
      <c r="W228" s="44">
        <f t="shared" si="691"/>
      </c>
      <c r="X228" s="43">
        <f t="shared" si="8"/>
      </c>
      <c r="Y228" s="40">
        <f>SUM(Y224:Y227)</f>
      </c>
      <c r="Z228" s="40">
        <f>SUM(Z224:Z227)</f>
      </c>
      <c r="AA228" s="40">
        <f>SUM(AA224:AA227)</f>
      </c>
      <c r="AB228" s="40">
        <f>SUM(AB224:AB227)</f>
      </c>
      <c r="AC228" s="40">
        <f>SUM(AC224:AC227)</f>
      </c>
      <c r="AD228" s="45">
        <f t="shared" si="194"/>
      </c>
      <c r="AE228" s="46"/>
      <c r="AF228" s="47"/>
      <c r="AG228" s="40">
        <f>SUM(AG224:AG227)</f>
      </c>
      <c r="AH228" s="40">
        <f>SUM(AH224:AH227)</f>
      </c>
      <c r="AI228" s="40">
        <f>SUM(AI224:AI227)</f>
      </c>
      <c r="AJ228" s="40">
        <f>SUM(AJ224:AJ227)</f>
      </c>
      <c r="AK228" s="40">
        <f>SUM(AK224:AK227)</f>
      </c>
      <c r="AL228" s="40">
        <f>SUM(AL224:AL227)</f>
      </c>
    </row>
    <row r="229">
      <c r="A229" s="15"/>
      <c r="B229" s="16" t="s">
        <v>53</v>
      </c>
      <c r="C229" s="17" t="s">
        <v>54</v>
      </c>
      <c r="D229" s="18">
        <f t="shared" ref="D229:D231" si="395">E229+F229+G229+H229</f>
      </c>
      <c r="E229" s="17">
        <v>2494.7</v>
      </c>
      <c r="F229" s="49">
        <v>3752.12</v>
      </c>
      <c r="G229" s="20">
        <v>0</v>
      </c>
      <c r="H229" s="20">
        <v>0</v>
      </c>
      <c r="I229" s="50">
        <f t="shared" ref="I229:I231" si="486">AB229+AC229</f>
      </c>
      <c r="J229" s="51">
        <v>752.76</v>
      </c>
      <c r="K229" s="22">
        <f t="shared" ref="K229:K231" si="577">I229-J229</f>
      </c>
      <c r="L229" s="22">
        <f t="shared" ref="L229:L231" si="247">(I229-AC229)/12+AC229</f>
      </c>
      <c r="M229" s="23">
        <f t="shared" si="304"/>
      </c>
      <c r="N229" s="24">
        <f t="shared" si="323"/>
      </c>
      <c r="O229" s="25">
        <f t="shared" si="342"/>
      </c>
      <c r="P229" s="26">
        <f t="shared" si="27"/>
      </c>
      <c r="Q229" s="26">
        <f t="shared" si="46"/>
      </c>
      <c r="R229" s="26">
        <f t="shared" si="65"/>
      </c>
      <c r="S229" s="27">
        <f t="shared" si="84"/>
      </c>
      <c r="T229" s="28">
        <f t="shared" si="634"/>
      </c>
      <c r="U229" s="26">
        <f t="shared" si="672"/>
      </c>
      <c r="V229" s="29">
        <f t="shared" si="653"/>
      </c>
      <c r="W229" s="29">
        <f t="shared" si="691"/>
      </c>
      <c r="X229" s="26">
        <f t="shared" si="8"/>
      </c>
      <c r="Y229" s="30">
        <f t="shared" ref="Y229:Y231" si="137">Z229+AA229</f>
      </c>
      <c r="Z229" s="30">
        <v>5</v>
      </c>
      <c r="AA229" s="30">
        <v>4</v>
      </c>
      <c r="AB229" s="31">
        <v>6311.400000000009</v>
      </c>
      <c r="AC229" s="31">
        <v>0</v>
      </c>
      <c r="AD229" s="27">
        <f t="shared" si="194"/>
      </c>
      <c r="AE229" s="32" t="s">
        <v>41</v>
      </c>
      <c r="AF229" s="33" t="s">
        <v>72</v>
      </c>
      <c r="AG229" s="34">
        <v>4</v>
      </c>
      <c r="AH229" s="35">
        <v>65258</v>
      </c>
      <c r="AI229" s="35">
        <v>1049</v>
      </c>
      <c r="AJ229" s="35">
        <v>1129</v>
      </c>
      <c r="AK229" s="36">
        <v>177</v>
      </c>
      <c r="AL229" s="36">
        <v>195</v>
      </c>
    </row>
    <row customHeight="true" ht="16.666666666666668" r="230">
      <c r="A230" s="15"/>
      <c r="B230" s="16" t="s">
        <v>53</v>
      </c>
      <c r="C230" s="17" t="s">
        <v>55</v>
      </c>
      <c r="D230" s="18">
        <f t="shared" si="395"/>
      </c>
      <c r="E230" s="52">
        <v>3086.35</v>
      </c>
      <c r="F230" s="53">
        <v>2849.24</v>
      </c>
      <c r="G230" s="20">
        <v>0</v>
      </c>
      <c r="H230" s="20">
        <v>0</v>
      </c>
      <c r="I230" s="55">
        <f t="shared" si="486"/>
      </c>
      <c r="J230" s="51">
        <v>1664.0000000000018</v>
      </c>
      <c r="K230" s="22">
        <f t="shared" si="577"/>
      </c>
      <c r="L230" s="22">
        <f t="shared" si="247"/>
      </c>
      <c r="M230" s="23">
        <f t="shared" si="304"/>
      </c>
      <c r="N230" s="24">
        <f t="shared" si="323"/>
      </c>
      <c r="O230" s="25">
        <f t="shared" si="342"/>
      </c>
      <c r="P230" s="26">
        <f t="shared" si="27"/>
      </c>
      <c r="Q230" s="26">
        <f t="shared" si="46"/>
      </c>
      <c r="R230" s="26">
        <f t="shared" si="65"/>
      </c>
      <c r="S230" s="27">
        <f t="shared" si="84"/>
      </c>
      <c r="T230" s="28">
        <f t="shared" si="634"/>
      </c>
      <c r="U230" s="26">
        <f t="shared" si="672"/>
      </c>
      <c r="V230" s="29">
        <f t="shared" si="653"/>
      </c>
      <c r="W230" s="29">
        <f t="shared" si="691"/>
      </c>
      <c r="X230" s="26">
        <f t="shared" si="8"/>
      </c>
      <c r="Y230" s="56">
        <f t="shared" si="137"/>
      </c>
      <c r="Z230" s="30">
        <v>3</v>
      </c>
      <c r="AA230" s="30">
        <v>4</v>
      </c>
      <c r="AB230" s="57">
        <v>2938.6799999999785</v>
      </c>
      <c r="AC230" s="31">
        <v>1664.0000000000005</v>
      </c>
      <c r="AD230" s="27">
        <f t="shared" si="194"/>
      </c>
      <c r="AE230" s="32" t="s">
        <v>41</v>
      </c>
      <c r="AF230" s="33" t="s">
        <v>70</v>
      </c>
      <c r="AG230" s="36">
        <v>4</v>
      </c>
      <c r="AH230" s="35">
        <v>64610</v>
      </c>
      <c r="AI230" s="35">
        <v>1249</v>
      </c>
      <c r="AJ230" s="35">
        <v>1359</v>
      </c>
      <c r="AK230" s="36">
        <v>190</v>
      </c>
      <c r="AL230" s="36">
        <v>181</v>
      </c>
    </row>
    <row r="231">
      <c r="A231" s="15"/>
      <c r="B231" s="16" t="s">
        <v>53</v>
      </c>
      <c r="C231" s="17" t="s">
        <v>58</v>
      </c>
      <c r="D231" s="18">
        <f t="shared" si="395"/>
      </c>
      <c r="E231" s="52">
        <v>1706.41</v>
      </c>
      <c r="F231" s="53">
        <v>2280.91</v>
      </c>
      <c r="G231" s="20">
        <v>0</v>
      </c>
      <c r="H231" s="20">
        <v>0</v>
      </c>
      <c r="I231" s="55">
        <f t="shared" si="486"/>
      </c>
      <c r="J231" s="51">
        <v>0</v>
      </c>
      <c r="K231" s="22">
        <f t="shared" si="577"/>
      </c>
      <c r="L231" s="22">
        <f t="shared" si="247"/>
      </c>
      <c r="M231" s="23">
        <f t="shared" si="304"/>
      </c>
      <c r="N231" s="24">
        <f t="shared" si="323"/>
      </c>
      <c r="O231" s="25">
        <f t="shared" si="342"/>
      </c>
      <c r="P231" s="26">
        <f t="shared" si="27"/>
      </c>
      <c r="Q231" s="26">
        <f t="shared" si="46"/>
      </c>
      <c r="R231" s="26">
        <f t="shared" si="65"/>
      </c>
      <c r="S231" s="27">
        <f t="shared" si="84"/>
      </c>
      <c r="T231" s="28">
        <f t="shared" si="634"/>
      </c>
      <c r="U231" s="26">
        <f t="shared" si="672"/>
      </c>
      <c r="V231" s="29">
        <f t="shared" si="653"/>
      </c>
      <c r="W231" s="29">
        <f t="shared" si="691"/>
      </c>
      <c r="X231" s="26">
        <f t="shared" si="8"/>
      </c>
      <c r="Y231" s="56">
        <f t="shared" si="137"/>
      </c>
      <c r="Z231" s="30">
        <v>4</v>
      </c>
      <c r="AA231" s="30">
        <v>5</v>
      </c>
      <c r="AB231" s="57">
        <v>7188.4800000000105</v>
      </c>
      <c r="AC231" s="31">
        <v>0</v>
      </c>
      <c r="AD231" s="27">
        <f t="shared" si="194"/>
      </c>
      <c r="AE231" s="32" t="s">
        <v>41</v>
      </c>
      <c r="AF231" s="33" t="s">
        <v>70</v>
      </c>
      <c r="AG231" s="36">
        <v>4</v>
      </c>
      <c r="AH231" s="35">
        <v>39854</v>
      </c>
      <c r="AI231" s="35">
        <v>994</v>
      </c>
      <c r="AJ231" s="35">
        <v>1106</v>
      </c>
      <c r="AK231" s="36">
        <v>129</v>
      </c>
      <c r="AL231" s="36">
        <v>126</v>
      </c>
    </row>
    <row r="232">
      <c r="A232" s="15"/>
      <c r="B232" s="38" t="s">
        <v>47</v>
      </c>
      <c r="C232" s="39">
        <v>3</v>
      </c>
      <c r="D232" s="58">
        <f>SUM(D229:D231)</f>
      </c>
      <c r="E232" s="58">
        <f>SUM(E229:E231)</f>
      </c>
      <c r="F232" s="58">
        <f>SUM(F229:F231)</f>
      </c>
      <c r="G232" s="58">
        <f>SUM(G229:G231)</f>
      </c>
      <c r="H232" s="58">
        <f>SUM(H229:H231)</f>
      </c>
      <c r="I232" s="58">
        <f>SUM(I229:I231)</f>
      </c>
      <c r="J232" s="58">
        <f>SUM(J229:J231)</f>
      </c>
      <c r="K232" s="58">
        <f>SUM(K229:K231)</f>
      </c>
      <c r="L232" s="58">
        <f>SUM(L229:L231)</f>
      </c>
      <c r="M232" s="41">
        <f t="shared" si="304"/>
      </c>
      <c r="N232" s="42">
        <f t="shared" si="323"/>
      </c>
      <c r="O232" s="42">
        <f t="shared" si="342"/>
      </c>
      <c r="P232" s="43">
        <f t="shared" si="27"/>
      </c>
      <c r="Q232" s="43">
        <f t="shared" si="46"/>
      </c>
      <c r="R232" s="43">
        <f t="shared" si="65"/>
      </c>
      <c r="S232" s="44">
        <f t="shared" si="84"/>
      </c>
      <c r="T232" s="44">
        <f t="shared" si="634"/>
      </c>
      <c r="U232" s="43">
        <f t="shared" si="672"/>
      </c>
      <c r="V232" s="44">
        <f t="shared" si="653"/>
      </c>
      <c r="W232" s="44">
        <f t="shared" si="691"/>
      </c>
      <c r="X232" s="43">
        <f t="shared" si="8"/>
      </c>
      <c r="Y232" s="58">
        <f>SUM(Y229:Y231)</f>
      </c>
      <c r="Z232" s="58">
        <f>SUM(Z229:Z231)</f>
      </c>
      <c r="AA232" s="58">
        <f>SUM(AA229:AA231)</f>
      </c>
      <c r="AB232" s="58">
        <f>SUM(AB229:AB231)</f>
      </c>
      <c r="AC232" s="58">
        <f>SUM(AC229:AC231)</f>
      </c>
      <c r="AD232" s="45">
        <f t="shared" si="194"/>
      </c>
      <c r="AE232" s="46"/>
      <c r="AF232" s="47"/>
      <c r="AG232" s="58">
        <f>SUM(AG229:AG231)</f>
      </c>
      <c r="AH232" s="58">
        <f>SUM(AH229:AH231)</f>
      </c>
      <c r="AI232" s="58">
        <f>SUM(AI229:AI231)</f>
      </c>
      <c r="AJ232" s="58">
        <f>SUM(AJ229:AJ231)</f>
      </c>
      <c r="AK232" s="58">
        <f>SUM(AK229:AK231)</f>
      </c>
      <c r="AL232" s="58">
        <f>SUM(AL229:AL231)</f>
      </c>
    </row>
    <row r="233">
      <c r="A233" s="15"/>
      <c r="B233" s="16" t="s">
        <v>48</v>
      </c>
      <c r="C233" s="52" t="s">
        <v>59</v>
      </c>
      <c r="D233" s="18">
        <f t="shared" ref="D233:D236" si="396">E233+F233+G233+H233</f>
      </c>
      <c r="E233" s="17">
        <v>1962.49</v>
      </c>
      <c r="F233" s="49">
        <v>2522.83</v>
      </c>
      <c r="G233" s="20">
        <v>0</v>
      </c>
      <c r="H233" s="20">
        <v>0</v>
      </c>
      <c r="I233" s="50">
        <f t="shared" ref="I233:I236" si="487">AB233+AC233</f>
      </c>
      <c r="J233" s="51">
        <v>2464.56</v>
      </c>
      <c r="K233" s="22">
        <f t="shared" ref="K233:K236" si="578">I233-J233</f>
      </c>
      <c r="L233" s="22">
        <f t="shared" ref="L233:L236" si="248">(I233-AC233)/12+AC233</f>
      </c>
      <c r="M233" s="23">
        <f t="shared" si="304"/>
      </c>
      <c r="N233" s="24">
        <f t="shared" si="323"/>
      </c>
      <c r="O233" s="25">
        <f t="shared" si="342"/>
      </c>
      <c r="P233" s="26">
        <f t="shared" si="27"/>
      </c>
      <c r="Q233" s="26">
        <f t="shared" si="46"/>
      </c>
      <c r="R233" s="26">
        <f t="shared" si="65"/>
      </c>
      <c r="S233" s="27">
        <f t="shared" si="84"/>
      </c>
      <c r="T233" s="28">
        <f t="shared" si="634"/>
      </c>
      <c r="U233" s="26">
        <f t="shared" si="672"/>
      </c>
      <c r="V233" s="29">
        <f t="shared" si="653"/>
      </c>
      <c r="W233" s="29">
        <f t="shared" si="691"/>
      </c>
      <c r="X233" s="26">
        <f t="shared" si="8"/>
      </c>
      <c r="Y233" s="30">
        <f t="shared" ref="Y233:Y236" si="138">Z233+AA233</f>
      </c>
      <c r="Z233" s="30">
        <v>1</v>
      </c>
      <c r="AA233" s="30">
        <v>2</v>
      </c>
      <c r="AB233" s="31">
        <v>3173.040000000008</v>
      </c>
      <c r="AC233" s="31">
        <v>0</v>
      </c>
      <c r="AD233" s="27">
        <f t="shared" si="194"/>
      </c>
      <c r="AE233" s="32" t="s">
        <v>41</v>
      </c>
      <c r="AF233" s="33" t="s">
        <v>70</v>
      </c>
      <c r="AG233" s="34">
        <v>2</v>
      </c>
      <c r="AH233" s="35">
        <v>55140</v>
      </c>
      <c r="AI233" s="35">
        <v>1584</v>
      </c>
      <c r="AJ233" s="35">
        <v>1712</v>
      </c>
      <c r="AK233" s="36">
        <v>124</v>
      </c>
      <c r="AL233" s="36">
        <v>122</v>
      </c>
    </row>
    <row r="234">
      <c r="A234" s="15"/>
      <c r="B234" s="16" t="s">
        <v>48</v>
      </c>
      <c r="C234" s="52" t="s">
        <v>60</v>
      </c>
      <c r="D234" s="18">
        <f t="shared" si="396"/>
      </c>
      <c r="E234" s="17">
        <v>1880.03</v>
      </c>
      <c r="F234" s="49">
        <v>4274.4</v>
      </c>
      <c r="G234" s="20">
        <v>0</v>
      </c>
      <c r="H234" s="20">
        <v>0</v>
      </c>
      <c r="I234" s="50">
        <f t="shared" si="487"/>
      </c>
      <c r="J234" s="51">
        <v>1235.5199999999986</v>
      </c>
      <c r="K234" s="22">
        <f t="shared" si="578"/>
      </c>
      <c r="L234" s="22">
        <f t="shared" si="248"/>
      </c>
      <c r="M234" s="23">
        <f t="shared" si="304"/>
      </c>
      <c r="N234" s="24">
        <f t="shared" si="323"/>
      </c>
      <c r="O234" s="25">
        <f t="shared" si="342"/>
      </c>
      <c r="P234" s="26">
        <f t="shared" si="27"/>
      </c>
      <c r="Q234" s="26">
        <f t="shared" si="46"/>
      </c>
      <c r="R234" s="26">
        <f t="shared" si="65"/>
      </c>
      <c r="S234" s="27">
        <f t="shared" si="84"/>
      </c>
      <c r="T234" s="28">
        <f t="shared" si="634"/>
      </c>
      <c r="U234" s="26">
        <f t="shared" si="672"/>
      </c>
      <c r="V234" s="29">
        <f t="shared" si="653"/>
      </c>
      <c r="W234" s="29">
        <f t="shared" si="691"/>
      </c>
      <c r="X234" s="26">
        <f t="shared" si="8"/>
      </c>
      <c r="Y234" s="30">
        <f t="shared" si="138"/>
      </c>
      <c r="Z234" s="30">
        <v>8</v>
      </c>
      <c r="AA234" s="30">
        <v>6</v>
      </c>
      <c r="AB234" s="31">
        <v>10631.51999999999</v>
      </c>
      <c r="AC234" s="31">
        <v>0</v>
      </c>
      <c r="AD234" s="27">
        <f t="shared" si="194"/>
      </c>
      <c r="AE234" s="32" t="s">
        <v>41</v>
      </c>
      <c r="AF234" s="33" t="s">
        <v>70</v>
      </c>
      <c r="AG234" s="36">
        <v>5</v>
      </c>
      <c r="AH234" s="35">
        <v>86794</v>
      </c>
      <c r="AI234" s="35">
        <v>1938</v>
      </c>
      <c r="AJ234" s="35">
        <v>2090</v>
      </c>
      <c r="AK234" s="36">
        <v>180</v>
      </c>
      <c r="AL234" s="36">
        <v>217</v>
      </c>
    </row>
    <row r="235">
      <c r="A235" s="15"/>
      <c r="B235" s="16" t="s">
        <v>48</v>
      </c>
      <c r="C235" s="52" t="s">
        <v>61</v>
      </c>
      <c r="D235" s="18">
        <f t="shared" si="396"/>
      </c>
      <c r="E235" s="17">
        <v>2725.37</v>
      </c>
      <c r="F235" s="49">
        <v>6936.28</v>
      </c>
      <c r="G235" s="20">
        <v>0</v>
      </c>
      <c r="H235" s="20">
        <v>0</v>
      </c>
      <c r="I235" s="50">
        <f t="shared" si="487"/>
      </c>
      <c r="J235" s="51">
        <v>0</v>
      </c>
      <c r="K235" s="22">
        <f t="shared" si="578"/>
      </c>
      <c r="L235" s="22">
        <f t="shared" si="248"/>
      </c>
      <c r="M235" s="23">
        <f t="shared" si="304"/>
      </c>
      <c r="N235" s="24">
        <f t="shared" si="323"/>
      </c>
      <c r="O235" s="25">
        <f t="shared" si="342"/>
      </c>
      <c r="P235" s="26">
        <f t="shared" si="27"/>
      </c>
      <c r="Q235" s="26">
        <f t="shared" si="46"/>
      </c>
      <c r="R235" s="26">
        <f t="shared" si="65"/>
      </c>
      <c r="S235" s="27">
        <f t="shared" si="84"/>
      </c>
      <c r="T235" s="28">
        <f t="shared" si="634"/>
      </c>
      <c r="U235" s="26">
        <f t="shared" si="672"/>
      </c>
      <c r="V235" s="29">
        <f t="shared" si="653"/>
      </c>
      <c r="W235" s="29">
        <f t="shared" si="691"/>
      </c>
      <c r="X235" s="26">
        <f t="shared" si="8"/>
      </c>
      <c r="Y235" s="30">
        <f t="shared" si="138"/>
      </c>
      <c r="Z235" s="30">
        <v>7</v>
      </c>
      <c r="AA235" s="30">
        <v>8</v>
      </c>
      <c r="AB235" s="31">
        <v>10994.279999999999</v>
      </c>
      <c r="AC235" s="31">
        <v>1886</v>
      </c>
      <c r="AD235" s="27">
        <f t="shared" si="194"/>
      </c>
      <c r="AE235" s="32" t="s">
        <v>41</v>
      </c>
      <c r="AF235" s="33" t="s">
        <v>70</v>
      </c>
      <c r="AG235" s="34">
        <v>4</v>
      </c>
      <c r="AH235" s="35">
        <v>167269</v>
      </c>
      <c r="AI235" s="35">
        <v>2509</v>
      </c>
      <c r="AJ235" s="35">
        <v>2664</v>
      </c>
      <c r="AK235" s="36">
        <v>244</v>
      </c>
      <c r="AL235" s="34">
        <v>285</v>
      </c>
    </row>
    <row r="236">
      <c r="A236" s="15"/>
      <c r="B236" s="16" t="s">
        <v>48</v>
      </c>
      <c r="C236" s="17" t="s">
        <v>63</v>
      </c>
      <c r="D236" s="18">
        <f t="shared" si="396"/>
      </c>
      <c r="E236" s="17">
        <v>2304.08</v>
      </c>
      <c r="F236" s="49">
        <v>2265.59</v>
      </c>
      <c r="G236" s="20">
        <v>0</v>
      </c>
      <c r="H236" s="20">
        <v>0</v>
      </c>
      <c r="I236" s="50">
        <f t="shared" si="487"/>
      </c>
      <c r="J236" s="51">
        <v>3532.68</v>
      </c>
      <c r="K236" s="22">
        <f t="shared" si="578"/>
      </c>
      <c r="L236" s="22">
        <f t="shared" si="248"/>
      </c>
      <c r="M236" s="23">
        <f t="shared" si="304"/>
      </c>
      <c r="N236" s="24">
        <f t="shared" si="323"/>
      </c>
      <c r="O236" s="25">
        <f t="shared" si="342"/>
      </c>
      <c r="P236" s="26">
        <f t="shared" si="27"/>
      </c>
      <c r="Q236" s="26">
        <f t="shared" si="46"/>
      </c>
      <c r="R236" s="26">
        <f t="shared" si="65"/>
      </c>
      <c r="S236" s="27">
        <f t="shared" si="84"/>
      </c>
      <c r="T236" s="28">
        <f t="shared" si="634"/>
      </c>
      <c r="U236" s="26">
        <f t="shared" si="672"/>
      </c>
      <c r="V236" s="29">
        <f t="shared" si="653"/>
      </c>
      <c r="W236" s="29">
        <f t="shared" si="691"/>
      </c>
      <c r="X236" s="26">
        <f t="shared" si="8"/>
      </c>
      <c r="Y236" s="30">
        <f t="shared" si="138"/>
      </c>
      <c r="Z236" s="30">
        <v>6</v>
      </c>
      <c r="AA236" s="30">
        <v>6</v>
      </c>
      <c r="AB236" s="31">
        <v>9861.48000000001</v>
      </c>
      <c r="AC236" s="31">
        <v>0</v>
      </c>
      <c r="AD236" s="27">
        <f t="shared" si="194"/>
      </c>
      <c r="AE236" s="32" t="s">
        <v>41</v>
      </c>
      <c r="AF236" s="33" t="s">
        <v>70</v>
      </c>
      <c r="AG236" s="34">
        <v>3</v>
      </c>
      <c r="AH236" s="35">
        <v>54072</v>
      </c>
      <c r="AI236" s="35">
        <v>2150</v>
      </c>
      <c r="AJ236" s="35">
        <v>2322</v>
      </c>
      <c r="AK236" s="36">
        <v>146</v>
      </c>
      <c r="AL236" s="34">
        <v>143</v>
      </c>
    </row>
    <row r="237">
      <c r="A237" s="15"/>
      <c r="B237" s="38" t="s">
        <v>47</v>
      </c>
      <c r="C237" s="39">
        <v>4</v>
      </c>
      <c r="D237" s="40">
        <f>SUM(D233:D236)</f>
      </c>
      <c r="E237" s="40">
        <f>SUM(E233:E236)</f>
      </c>
      <c r="F237" s="40">
        <f>SUM(F233:F236)</f>
      </c>
      <c r="G237" s="40">
        <f>SUM(G233:G236)</f>
      </c>
      <c r="H237" s="40">
        <f>SUM(H233:H236)</f>
      </c>
      <c r="I237" s="40">
        <f>SUM(I233:I236)</f>
      </c>
      <c r="J237" s="40">
        <f>SUM(J233:J236)</f>
      </c>
      <c r="K237" s="40">
        <f>SUM(K233:K236)</f>
      </c>
      <c r="L237" s="40">
        <f>SUM(L233:L236)</f>
      </c>
      <c r="M237" s="41">
        <f t="shared" si="304"/>
      </c>
      <c r="N237" s="42">
        <f t="shared" si="323"/>
      </c>
      <c r="O237" s="42">
        <f t="shared" si="342"/>
      </c>
      <c r="P237" s="43">
        <f t="shared" si="27"/>
      </c>
      <c r="Q237" s="43">
        <f t="shared" si="46"/>
      </c>
      <c r="R237" s="43">
        <f t="shared" si="65"/>
      </c>
      <c r="S237" s="44">
        <f t="shared" si="84"/>
      </c>
      <c r="T237" s="44">
        <f t="shared" si="634"/>
      </c>
      <c r="U237" s="43">
        <f t="shared" si="672"/>
      </c>
      <c r="V237" s="44">
        <f t="shared" si="653"/>
      </c>
      <c r="W237" s="44">
        <f t="shared" si="691"/>
      </c>
      <c r="X237" s="43">
        <f t="shared" si="8"/>
      </c>
      <c r="Y237" s="40">
        <f>SUM(Y233:Y236)</f>
      </c>
      <c r="Z237" s="40">
        <f>SUM(Z233:Z236)</f>
      </c>
      <c r="AA237" s="40">
        <f>SUM(AA233:AA236)</f>
      </c>
      <c r="AB237" s="40">
        <f>SUM(AB233:AB236)</f>
      </c>
      <c r="AC237" s="40">
        <f>SUM(AC233:AC236)</f>
      </c>
      <c r="AD237" s="45">
        <f t="shared" si="194"/>
      </c>
      <c r="AE237" s="46"/>
      <c r="AF237" s="47"/>
      <c r="AG237" s="40">
        <f>SUM(AG233:AG236)</f>
      </c>
      <c r="AH237" s="40">
        <f>SUM(AH233:AH236)</f>
      </c>
      <c r="AI237" s="40">
        <f>SUM(AI233:AI236)</f>
      </c>
      <c r="AJ237" s="40">
        <f>SUM(AJ233:AJ236)</f>
      </c>
      <c r="AK237" s="40">
        <f>SUM(AK233:AK236)</f>
      </c>
      <c r="AL237" s="40">
        <f>SUM(AL233:AL236)</f>
      </c>
    </row>
    <row r="238">
      <c r="A238" s="15"/>
      <c r="B238" s="16" t="s">
        <v>62</v>
      </c>
      <c r="C238" s="52" t="s">
        <v>64</v>
      </c>
      <c r="D238" s="18">
        <f t="shared" ref="D238:D241" si="397">E238+F238+G238+H238</f>
      </c>
      <c r="E238" s="17">
        <v>1496.11</v>
      </c>
      <c r="F238" s="17">
        <v>2923.79</v>
      </c>
      <c r="G238" s="20">
        <v>0</v>
      </c>
      <c r="H238" s="20">
        <v>0</v>
      </c>
      <c r="I238" s="20">
        <f t="shared" ref="I238:I241" si="488">AB238+AC238</f>
      </c>
      <c r="J238" s="21">
        <v>0</v>
      </c>
      <c r="K238" s="22">
        <f t="shared" ref="K238:K241" si="579">I238-J238</f>
      </c>
      <c r="L238" s="22">
        <f t="shared" ref="L238:L241" si="249">(I238-AC238)/12+AC238</f>
      </c>
      <c r="M238" s="23">
        <f t="shared" si="304"/>
      </c>
      <c r="N238" s="24">
        <f t="shared" si="323"/>
      </c>
      <c r="O238" s="25">
        <f t="shared" si="342"/>
      </c>
      <c r="P238" s="26">
        <f t="shared" si="27"/>
      </c>
      <c r="Q238" s="26">
        <f t="shared" si="46"/>
      </c>
      <c r="R238" s="26">
        <f t="shared" si="65"/>
      </c>
      <c r="S238" s="27">
        <f t="shared" si="84"/>
      </c>
      <c r="T238" s="28">
        <f t="shared" si="634"/>
      </c>
      <c r="U238" s="26">
        <f t="shared" si="672"/>
      </c>
      <c r="V238" s="29">
        <f t="shared" si="653"/>
      </c>
      <c r="W238" s="29">
        <f t="shared" si="691"/>
      </c>
      <c r="X238" s="26">
        <f t="shared" si="8"/>
      </c>
      <c r="Y238" s="30">
        <f t="shared" ref="Y238:Y241" si="139">Z238+AA238</f>
      </c>
      <c r="Z238" s="30">
        <v>6</v>
      </c>
      <c r="AA238" s="30">
        <v>0</v>
      </c>
      <c r="AB238" s="31">
        <v>0</v>
      </c>
      <c r="AC238" s="31">
        <v>0</v>
      </c>
      <c r="AD238" s="27">
        <f t="shared" si="194"/>
      </c>
      <c r="AE238" s="32" t="s">
        <v>41</v>
      </c>
      <c r="AF238" s="33" t="s">
        <v>70</v>
      </c>
      <c r="AG238" s="36">
        <v>0</v>
      </c>
      <c r="AH238" s="35">
        <v>49293</v>
      </c>
      <c r="AI238" s="35">
        <v>1714</v>
      </c>
      <c r="AJ238" s="35">
        <v>1822</v>
      </c>
      <c r="AK238" s="36">
        <v>166</v>
      </c>
      <c r="AL238" s="36">
        <v>159</v>
      </c>
    </row>
    <row r="239">
      <c r="A239" s="15"/>
      <c r="B239" s="16" t="s">
        <v>62</v>
      </c>
      <c r="C239" s="52" t="s">
        <v>65</v>
      </c>
      <c r="D239" s="18">
        <f t="shared" si="397"/>
      </c>
      <c r="E239" s="17">
        <v>2580.81</v>
      </c>
      <c r="F239" s="17">
        <v>3253.76</v>
      </c>
      <c r="G239" s="20">
        <v>0</v>
      </c>
      <c r="H239" s="20">
        <v>0</v>
      </c>
      <c r="I239" s="20">
        <f t="shared" si="488"/>
      </c>
      <c r="J239" s="21">
        <v>0</v>
      </c>
      <c r="K239" s="22">
        <f t="shared" si="579"/>
      </c>
      <c r="L239" s="22">
        <f t="shared" si="249"/>
      </c>
      <c r="M239" s="23">
        <f t="shared" si="304"/>
      </c>
      <c r="N239" s="24">
        <f t="shared" si="323"/>
      </c>
      <c r="O239" s="25">
        <f t="shared" si="342"/>
      </c>
      <c r="P239" s="26">
        <f t="shared" si="27"/>
      </c>
      <c r="Q239" s="26">
        <f t="shared" si="46"/>
      </c>
      <c r="R239" s="26">
        <f t="shared" si="65"/>
      </c>
      <c r="S239" s="27">
        <f t="shared" si="84"/>
      </c>
      <c r="T239" s="28">
        <f t="shared" si="634"/>
      </c>
      <c r="U239" s="26">
        <f t="shared" si="672"/>
      </c>
      <c r="V239" s="29">
        <f t="shared" si="653"/>
      </c>
      <c r="W239" s="29">
        <f t="shared" si="691"/>
      </c>
      <c r="X239" s="26">
        <f t="shared" si="8"/>
      </c>
      <c r="Y239" s="30">
        <f t="shared" si="139"/>
      </c>
      <c r="Z239" s="30">
        <v>4</v>
      </c>
      <c r="AA239" s="30">
        <v>6</v>
      </c>
      <c r="AB239" s="31">
        <v>8208</v>
      </c>
      <c r="AC239" s="31">
        <v>0</v>
      </c>
      <c r="AD239" s="27">
        <f t="shared" si="194"/>
      </c>
      <c r="AE239" s="32" t="s">
        <v>41</v>
      </c>
      <c r="AF239" s="33" t="s">
        <v>70</v>
      </c>
      <c r="AG239" s="36">
        <v>6</v>
      </c>
      <c r="AH239" s="35">
        <v>94265</v>
      </c>
      <c r="AI239" s="35">
        <v>2591</v>
      </c>
      <c r="AJ239" s="35">
        <v>2887</v>
      </c>
      <c r="AK239" s="36">
        <v>207</v>
      </c>
      <c r="AL239" s="36">
        <v>213</v>
      </c>
    </row>
    <row r="240">
      <c r="A240" s="15"/>
      <c r="B240" s="16" t="s">
        <v>62</v>
      </c>
      <c r="C240" s="17" t="s">
        <v>66</v>
      </c>
      <c r="D240" s="18">
        <f t="shared" si="397"/>
      </c>
      <c r="E240" s="17">
        <v>954.86</v>
      </c>
      <c r="F240" s="20">
        <v>12843.57</v>
      </c>
      <c r="G240" s="20">
        <v>0</v>
      </c>
      <c r="H240" s="20">
        <v>0</v>
      </c>
      <c r="I240" s="37">
        <f t="shared" si="488"/>
      </c>
      <c r="J240" s="21">
        <v>2917.08</v>
      </c>
      <c r="K240" s="22">
        <f t="shared" si="579"/>
      </c>
      <c r="L240" s="22">
        <f t="shared" si="249"/>
      </c>
      <c r="M240" s="23">
        <f t="shared" si="304"/>
      </c>
      <c r="N240" s="24">
        <f t="shared" si="323"/>
      </c>
      <c r="O240" s="25">
        <f t="shared" si="342"/>
      </c>
      <c r="P240" s="26">
        <f t="shared" si="27"/>
      </c>
      <c r="Q240" s="26">
        <f t="shared" si="46"/>
      </c>
      <c r="R240" s="26">
        <f t="shared" si="65"/>
      </c>
      <c r="S240" s="27">
        <f t="shared" si="84"/>
      </c>
      <c r="T240" s="28">
        <f t="shared" si="634"/>
      </c>
      <c r="U240" s="26">
        <f t="shared" si="672"/>
      </c>
      <c r="V240" s="29">
        <f t="shared" si="653"/>
      </c>
      <c r="W240" s="29">
        <f t="shared" si="691"/>
      </c>
      <c r="X240" s="26">
        <f t="shared" si="8"/>
      </c>
      <c r="Y240" s="30">
        <f t="shared" si="139"/>
      </c>
      <c r="Z240" s="30">
        <v>10</v>
      </c>
      <c r="AA240" s="30">
        <v>15</v>
      </c>
      <c r="AB240" s="31">
        <v>25243.92</v>
      </c>
      <c r="AC240" s="31">
        <v>3272</v>
      </c>
      <c r="AD240" s="27">
        <f t="shared" si="194"/>
      </c>
      <c r="AE240" s="32" t="s">
        <v>41</v>
      </c>
      <c r="AF240" s="33" t="s">
        <v>70</v>
      </c>
      <c r="AG240" s="34">
        <v>14</v>
      </c>
      <c r="AH240" s="35">
        <v>270859</v>
      </c>
      <c r="AI240" s="35">
        <v>3527</v>
      </c>
      <c r="AJ240" s="35">
        <v>3819</v>
      </c>
      <c r="AK240" s="36">
        <v>335</v>
      </c>
      <c r="AL240" s="36">
        <v>373</v>
      </c>
    </row>
    <row r="241">
      <c r="A241" s="15"/>
      <c r="B241" s="16" t="s">
        <v>62</v>
      </c>
      <c r="C241" s="17" t="s">
        <v>67</v>
      </c>
      <c r="D241" s="18">
        <f t="shared" si="397"/>
      </c>
      <c r="E241" s="19">
        <v>344.24</v>
      </c>
      <c r="F241" s="20">
        <v>4897.22</v>
      </c>
      <c r="G241" s="20">
        <v>0</v>
      </c>
      <c r="H241" s="20">
        <v>0</v>
      </c>
      <c r="I241" s="20">
        <f t="shared" si="488"/>
      </c>
      <c r="J241" s="21">
        <v>906.1199999999999</v>
      </c>
      <c r="K241" s="22">
        <f t="shared" si="579"/>
      </c>
      <c r="L241" s="22">
        <f t="shared" si="249"/>
      </c>
      <c r="M241" s="23">
        <f t="shared" si="304"/>
      </c>
      <c r="N241" s="24">
        <f t="shared" si="323"/>
      </c>
      <c r="O241" s="25">
        <f t="shared" si="342"/>
      </c>
      <c r="P241" s="26">
        <f t="shared" si="27"/>
      </c>
      <c r="Q241" s="26">
        <f t="shared" si="46"/>
      </c>
      <c r="R241" s="26">
        <f t="shared" si="65"/>
      </c>
      <c r="S241" s="27">
        <f t="shared" si="84"/>
      </c>
      <c r="T241" s="28">
        <f t="shared" si="634"/>
      </c>
      <c r="U241" s="26">
        <f t="shared" si="672"/>
      </c>
      <c r="V241" s="29">
        <f t="shared" si="653"/>
      </c>
      <c r="W241" s="29">
        <f t="shared" si="691"/>
      </c>
      <c r="X241" s="26">
        <f t="shared" si="8"/>
      </c>
      <c r="Y241" s="30">
        <f t="shared" si="139"/>
      </c>
      <c r="Z241" s="30">
        <v>2</v>
      </c>
      <c r="AA241" s="30">
        <v>8</v>
      </c>
      <c r="AB241" s="31">
        <v>12119.400000000001</v>
      </c>
      <c r="AC241" s="31">
        <v>0</v>
      </c>
      <c r="AD241" s="27">
        <f t="shared" si="194"/>
      </c>
      <c r="AE241" s="32" t="s">
        <v>41</v>
      </c>
      <c r="AF241" s="33" t="s">
        <v>70</v>
      </c>
      <c r="AG241" s="34">
        <v>5</v>
      </c>
      <c r="AH241" s="35">
        <v>140421</v>
      </c>
      <c r="AI241" s="35">
        <v>2300</v>
      </c>
      <c r="AJ241" s="35">
        <v>2436</v>
      </c>
      <c r="AK241" s="34">
        <v>208</v>
      </c>
      <c r="AL241" s="34">
        <v>183</v>
      </c>
    </row>
    <row r="242">
      <c r="A242" s="15"/>
      <c r="B242" s="38" t="s">
        <v>47</v>
      </c>
      <c r="C242" s="39">
        <v>4</v>
      </c>
      <c r="D242" s="40">
        <f>SUM(D238:D241)</f>
      </c>
      <c r="E242" s="40">
        <f>SUM(E238:E241)</f>
      </c>
      <c r="F242" s="40">
        <f>SUM(F238:F241)</f>
      </c>
      <c r="G242" s="40">
        <f>SUM(G238:G241)</f>
      </c>
      <c r="H242" s="40">
        <f>SUM(H238:H241)</f>
      </c>
      <c r="I242" s="40">
        <f>SUM(I238:I241)</f>
      </c>
      <c r="J242" s="40">
        <f>SUM(J238:J241)</f>
      </c>
      <c r="K242" s="40">
        <f>SUM(K238:K241)</f>
      </c>
      <c r="L242" s="40">
        <f>SUM(L238:L241)</f>
      </c>
      <c r="M242" s="41">
        <f t="shared" si="304"/>
      </c>
      <c r="N242" s="42">
        <f t="shared" si="323"/>
      </c>
      <c r="O242" s="42">
        <f t="shared" si="342"/>
      </c>
      <c r="P242" s="43">
        <f t="shared" si="27"/>
      </c>
      <c r="Q242" s="43">
        <f t="shared" si="46"/>
      </c>
      <c r="R242" s="43">
        <f t="shared" si="65"/>
      </c>
      <c r="S242" s="44">
        <f t="shared" si="84"/>
      </c>
      <c r="T242" s="44">
        <f t="shared" si="634"/>
      </c>
      <c r="U242" s="43">
        <f t="shared" si="672"/>
      </c>
      <c r="V242" s="44">
        <f t="shared" si="653"/>
      </c>
      <c r="W242" s="44">
        <f t="shared" si="691"/>
      </c>
      <c r="X242" s="43">
        <f t="shared" si="8"/>
      </c>
      <c r="Y242" s="40">
        <f>SUM(Y238:Y241)</f>
      </c>
      <c r="Z242" s="40">
        <f>SUM(Z238:Z241)</f>
      </c>
      <c r="AA242" s="40">
        <f>SUM(AA238:AA241)</f>
      </c>
      <c r="AB242" s="40">
        <f>SUM(AB238:AB241)</f>
      </c>
      <c r="AC242" s="40">
        <f>SUM(AC238:AC241)</f>
      </c>
      <c r="AD242" s="59">
        <f t="shared" si="194"/>
      </c>
      <c r="AE242" s="46"/>
      <c r="AF242" s="47"/>
      <c r="AG242" s="40">
        <f>SUM(AG238:AG241)</f>
      </c>
      <c r="AH242" s="40">
        <f>SUM(AH238:AH241)</f>
      </c>
      <c r="AI242" s="40">
        <f>SUM(AI238:AI241)</f>
      </c>
      <c r="AJ242" s="40">
        <f>SUM(AJ238:AJ241)</f>
      </c>
      <c r="AK242" s="40">
        <f>SUM(AK238:AK241)</f>
      </c>
      <c r="AL242" s="40">
        <f>SUM(AL238:AL241)</f>
      </c>
    </row>
    <row r="243">
      <c r="A243" s="15"/>
      <c r="B243" s="60" t="s">
        <v>47</v>
      </c>
      <c r="C243" s="61">
        <f>C223+C228+C232+C237+C242</f>
      </c>
      <c r="D243" s="62">
        <f>D223+D228+D232+D237+D242</f>
      </c>
      <c r="E243" s="61">
        <f>E223+E228+E232+E237+E242</f>
      </c>
      <c r="F243" s="61">
        <f>F223+F228+F232+F237+F242</f>
      </c>
      <c r="G243" s="61">
        <f>G223+G228+G232+G237+G242</f>
      </c>
      <c r="H243" s="61">
        <f>H223+H228+H232+H237+H242</f>
      </c>
      <c r="I243" s="62">
        <f>I223+I228+I232+I237+I242</f>
      </c>
      <c r="J243" s="61">
        <f>J223+J228+J232+J237+J242</f>
      </c>
      <c r="K243" s="61">
        <f>K223+K228+K232+K237+K242</f>
      </c>
      <c r="L243" s="61">
        <f>L223+L228+L232+L237+L242</f>
      </c>
      <c r="M243" s="63">
        <f t="shared" si="304"/>
      </c>
      <c r="N243" s="63">
        <f t="shared" si="323"/>
      </c>
      <c r="O243" s="63">
        <f t="shared" si="342"/>
      </c>
      <c r="P243" s="63">
        <f t="shared" si="27"/>
      </c>
      <c r="Q243" s="63">
        <f t="shared" si="46"/>
      </c>
      <c r="R243" s="63">
        <f t="shared" si="65"/>
      </c>
      <c r="S243" s="64">
        <f t="shared" si="84"/>
      </c>
      <c r="T243" s="64">
        <f t="shared" si="634"/>
      </c>
      <c r="U243" s="63">
        <f t="shared" si="672"/>
      </c>
      <c r="V243" s="64">
        <f t="shared" si="653"/>
      </c>
      <c r="W243" s="64">
        <f t="shared" si="691"/>
      </c>
      <c r="X243" s="63">
        <f t="shared" si="8"/>
      </c>
      <c r="Y243" s="61">
        <f>Y223+Y228+Y232+Y237+Y242</f>
      </c>
      <c r="Z243" s="61">
        <f>Z223+Z228+Z232+Z237+Z242</f>
      </c>
      <c r="AA243" s="62">
        <f>AA223+AA228+AA232+AA237+AA242</f>
      </c>
      <c r="AB243" s="61">
        <f>AB223+AB228+AB232+AB237+AB242</f>
      </c>
      <c r="AC243" s="65">
        <f>AC223+AC228+AC232+AC237+AC242</f>
      </c>
      <c r="AD243" s="66">
        <f t="shared" si="194"/>
      </c>
      <c r="AE243" s="67"/>
      <c r="AF243" s="60"/>
      <c r="AG243" s="61">
        <f>AG223+AG228+AG232+AG237+AG242</f>
      </c>
      <c r="AH243" s="61">
        <f>AH223+AH228+AH232+AH237+AH242</f>
      </c>
      <c r="AI243" s="61">
        <f>AI223+AI228+AI232+AI237+AI242</f>
      </c>
      <c r="AJ243" s="61">
        <f>AJ223+AJ228+AJ232+AJ237+AJ242</f>
      </c>
      <c r="AK243" s="61">
        <f>AK223+AK228+AK232+AK237+AK242</f>
      </c>
      <c r="AL243" s="61">
        <f>AL223+AL228+AL232+AL237+AL242</f>
      </c>
    </row>
    <row r="244">
      <c r="A244" s="1" t="s">
        <v>1</v>
      </c>
      <c r="B244" s="2" t="s">
        <v>2</v>
      </c>
      <c r="C244" s="2" t="s">
        <v>3</v>
      </c>
      <c r="D244" s="3" t="s">
        <v>4</v>
      </c>
      <c r="E244" s="2" t="s">
        <v>5</v>
      </c>
      <c r="F244" s="2" t="s">
        <v>6</v>
      </c>
      <c r="G244" s="4" t="s">
        <v>7</v>
      </c>
      <c r="H244" s="4" t="s">
        <v>8</v>
      </c>
      <c r="I244" s="3" t="s">
        <v>9</v>
      </c>
      <c r="J244" s="5" t="s">
        <v>10</v>
      </c>
      <c r="K244" s="6" t="s">
        <v>11</v>
      </c>
      <c r="L244" s="6" t="s">
        <v>12</v>
      </c>
      <c r="M244" s="7" t="s">
        <v>13</v>
      </c>
      <c r="N244" s="6" t="s">
        <v>14</v>
      </c>
      <c r="O244" s="2" t="s">
        <v>15</v>
      </c>
      <c r="P244" s="7" t="s">
        <v>16</v>
      </c>
      <c r="Q244" s="8" t="s">
        <v>17</v>
      </c>
      <c r="R244" s="8" t="s">
        <v>18</v>
      </c>
      <c r="S244" s="3" t="s">
        <v>19</v>
      </c>
      <c r="T244" s="9" t="s">
        <v>20</v>
      </c>
      <c r="U244" s="7" t="s">
        <v>21</v>
      </c>
      <c r="V244" s="10" t="s">
        <v>22</v>
      </c>
      <c r="W244" s="11" t="s">
        <v>23</v>
      </c>
      <c r="X244" s="7" t="s">
        <v>24</v>
      </c>
      <c r="Y244" s="12" t="s">
        <v>25</v>
      </c>
      <c r="Z244" s="13" t="s">
        <v>26</v>
      </c>
      <c r="AA244" s="12" t="s">
        <v>27</v>
      </c>
      <c r="AB244" s="14" t="s">
        <v>28</v>
      </c>
      <c r="AC244" s="14" t="s">
        <v>29</v>
      </c>
      <c r="AD244" s="6" t="s">
        <v>30</v>
      </c>
      <c r="AE244" s="5" t="s">
        <v>31</v>
      </c>
      <c r="AF244" s="6" t="s">
        <v>32</v>
      </c>
      <c r="AG244" s="5" t="s">
        <v>33</v>
      </c>
      <c r="AH244" s="5" t="s">
        <v>34</v>
      </c>
      <c r="AI244" s="6" t="s">
        <v>35</v>
      </c>
      <c r="AJ244" s="5" t="s">
        <v>36</v>
      </c>
      <c r="AK244" s="6" t="s">
        <v>37</v>
      </c>
      <c r="AL244" s="5" t="s">
        <v>38</v>
      </c>
    </row>
    <row r="245">
      <c r="A245" s="15">
        <v>46305</v>
      </c>
      <c r="B245" s="16" t="s">
        <v>39</v>
      </c>
      <c r="C245" s="17" t="s">
        <v>40</v>
      </c>
      <c r="D245" s="18">
        <f t="shared" ref="D245:D249" si="398">E245+F245+G245+H245</f>
      </c>
      <c r="E245" s="19">
        <v>1295</v>
      </c>
      <c r="F245" s="20">
        <v>3259.21</v>
      </c>
      <c r="G245" s="20">
        <v>0</v>
      </c>
      <c r="H245" s="20">
        <v>0</v>
      </c>
      <c r="I245" s="20">
        <f t="shared" ref="I245:I249" si="489">AB245+AC245</f>
      </c>
      <c r="J245" s="21">
        <v>0</v>
      </c>
      <c r="K245" s="22">
        <f t="shared" ref="K245:K249" si="580">I245-J245</f>
      </c>
      <c r="L245" s="22">
        <f t="shared" ref="L245:L249" si="250">(I245-AC245)/12+AC245</f>
      </c>
      <c r="M245" s="23">
        <f t="shared" ref="M245:M270" si="305">I245/D245</f>
      </c>
      <c r="N245" s="24">
        <f t="shared" ref="N245:N270" si="324">(I245-J245)/D245</f>
      </c>
      <c r="O245" s="25">
        <f t="shared" ref="O245:O270" si="343">(AC245+AB245/12)/D245</f>
      </c>
      <c r="P245" s="26">
        <f t="shared" ref="P245:P270" si="28">I245/AA245</f>
      </c>
      <c r="Q245" s="26">
        <f t="shared" ref="Q245:Q270" si="47">D245/AA245</f>
      </c>
      <c r="R245" s="26">
        <f t="shared" ref="R245:R270" si="66">D245/AG245</f>
      </c>
      <c r="S245" s="27">
        <f t="shared" ref="S245:S270" si="85">AA245/Y245</f>
      </c>
      <c r="T245" s="28">
        <f t="shared" ref="T245:T270" si="635">AI245/AH245</f>
      </c>
      <c r="U245" s="26">
        <f t="shared" ref="U245:U270" si="673">D245/AJ245</f>
      </c>
      <c r="V245" s="29">
        <f t="shared" ref="V245:V270" si="654">AK245/AJ245</f>
      </c>
      <c r="W245" s="29">
        <f t="shared" ref="W245:W270" si="692">AL245/AJ245</f>
      </c>
      <c r="X245" s="26">
        <f t="shared" ref="X245:X270" si="9">D245/AL245</f>
      </c>
      <c r="Y245" s="30">
        <f t="shared" ref="Y245:Y249" si="140">Z245+AA245</f>
      </c>
      <c r="Z245" s="30">
        <v>2</v>
      </c>
      <c r="AA245" s="30">
        <v>1</v>
      </c>
      <c r="AB245" s="31">
        <v>0</v>
      </c>
      <c r="AC245" s="31">
        <v>2702</v>
      </c>
      <c r="AD245" s="27">
        <f t="shared" ref="AD245:AD270" si="195">AC245/I245</f>
      </c>
      <c r="AE245" s="32" t="s">
        <v>41</v>
      </c>
      <c r="AF245" s="33" t="s">
        <v>42</v>
      </c>
      <c r="AG245" s="34">
        <v>1</v>
      </c>
      <c r="AH245" s="34">
        <v>55045</v>
      </c>
      <c r="AI245" s="35">
        <v>1778</v>
      </c>
      <c r="AJ245" s="35">
        <v>2070</v>
      </c>
      <c r="AK245" s="34">
        <v>179</v>
      </c>
      <c r="AL245" s="36">
        <v>165</v>
      </c>
    </row>
    <row r="246">
      <c r="A246" s="15"/>
      <c r="B246" s="16" t="s">
        <v>39</v>
      </c>
      <c r="C246" s="17" t="s">
        <v>43</v>
      </c>
      <c r="D246" s="18">
        <f t="shared" si="398"/>
      </c>
      <c r="E246" s="17">
        <v>1341.85</v>
      </c>
      <c r="F246" s="20">
        <v>3002.27</v>
      </c>
      <c r="G246" s="20">
        <v>0</v>
      </c>
      <c r="H246" s="20">
        <v>0</v>
      </c>
      <c r="I246" s="20">
        <f t="shared" si="489"/>
      </c>
      <c r="J246" s="21">
        <v>0</v>
      </c>
      <c r="K246" s="22">
        <f t="shared" si="580"/>
      </c>
      <c r="L246" s="22">
        <f t="shared" si="250"/>
      </c>
      <c r="M246" s="23">
        <f t="shared" si="305"/>
      </c>
      <c r="N246" s="24">
        <f t="shared" si="324"/>
      </c>
      <c r="O246" s="25">
        <f t="shared" si="343"/>
      </c>
      <c r="P246" s="26">
        <f t="shared" si="28"/>
      </c>
      <c r="Q246" s="26">
        <f t="shared" si="47"/>
      </c>
      <c r="R246" s="26">
        <f t="shared" si="66"/>
      </c>
      <c r="S246" s="27">
        <f t="shared" si="85"/>
      </c>
      <c r="T246" s="28">
        <f t="shared" si="635"/>
      </c>
      <c r="U246" s="26">
        <f t="shared" si="673"/>
      </c>
      <c r="V246" s="29">
        <f t="shared" si="654"/>
      </c>
      <c r="W246" s="29">
        <f t="shared" si="692"/>
      </c>
      <c r="X246" s="26">
        <f t="shared" si="9"/>
      </c>
      <c r="Y246" s="30">
        <f t="shared" si="140"/>
      </c>
      <c r="Z246" s="30">
        <v>2</v>
      </c>
      <c r="AA246" s="30">
        <v>2</v>
      </c>
      <c r="AB246" s="31">
        <v>923.4000000000015</v>
      </c>
      <c r="AC246" s="31">
        <v>1502</v>
      </c>
      <c r="AD246" s="27">
        <f t="shared" si="195"/>
      </c>
      <c r="AE246" s="32" t="s">
        <v>41</v>
      </c>
      <c r="AF246" s="33" t="s">
        <v>42</v>
      </c>
      <c r="AG246" s="34">
        <v>2</v>
      </c>
      <c r="AH246" s="35">
        <v>63383</v>
      </c>
      <c r="AI246" s="35">
        <v>1163</v>
      </c>
      <c r="AJ246" s="35">
        <v>1460</v>
      </c>
      <c r="AK246" s="36">
        <v>131</v>
      </c>
      <c r="AL246" s="36">
        <v>149</v>
      </c>
    </row>
    <row r="247">
      <c r="A247" s="15"/>
      <c r="B247" s="16" t="s">
        <v>39</v>
      </c>
      <c r="C247" s="17" t="s">
        <v>44</v>
      </c>
      <c r="D247" s="18">
        <f t="shared" si="398"/>
      </c>
      <c r="E247" s="17">
        <v>964</v>
      </c>
      <c r="F247" s="20">
        <v>3933.64</v>
      </c>
      <c r="G247" s="20">
        <v>0</v>
      </c>
      <c r="H247" s="20">
        <v>0</v>
      </c>
      <c r="I247" s="20">
        <f t="shared" si="489"/>
      </c>
      <c r="J247" s="21">
        <f>1591.92+1474.32</f>
      </c>
      <c r="K247" s="22">
        <f t="shared" si="580"/>
      </c>
      <c r="L247" s="22">
        <f t="shared" si="250"/>
      </c>
      <c r="M247" s="23">
        <f t="shared" si="305"/>
      </c>
      <c r="N247" s="24">
        <f t="shared" si="324"/>
      </c>
      <c r="O247" s="25">
        <f t="shared" si="343"/>
      </c>
      <c r="P247" s="26">
        <f t="shared" si="28"/>
      </c>
      <c r="Q247" s="26">
        <f t="shared" si="47"/>
      </c>
      <c r="R247" s="26">
        <f t="shared" si="66"/>
      </c>
      <c r="S247" s="27">
        <f t="shared" si="85"/>
      </c>
      <c r="T247" s="28">
        <f t="shared" si="635"/>
      </c>
      <c r="U247" s="26">
        <f t="shared" si="673"/>
      </c>
      <c r="V247" s="29">
        <f t="shared" si="654"/>
      </c>
      <c r="W247" s="29">
        <f t="shared" si="692"/>
      </c>
      <c r="X247" s="26">
        <f t="shared" si="9"/>
      </c>
      <c r="Y247" s="30">
        <f t="shared" si="140"/>
      </c>
      <c r="Z247" s="30">
        <v>6</v>
      </c>
      <c r="AA247" s="30">
        <v>3</v>
      </c>
      <c r="AB247" s="31">
        <v>5828.760000000002</v>
      </c>
      <c r="AC247" s="31">
        <v>0</v>
      </c>
      <c r="AD247" s="27">
        <f t="shared" si="195"/>
      </c>
      <c r="AE247" s="32" t="s">
        <v>41</v>
      </c>
      <c r="AF247" s="33" t="s">
        <v>42</v>
      </c>
      <c r="AG247" s="36">
        <v>2</v>
      </c>
      <c r="AH247" s="35">
        <v>65498</v>
      </c>
      <c r="AI247" s="35">
        <v>855</v>
      </c>
      <c r="AJ247" s="35">
        <v>1017</v>
      </c>
      <c r="AK247" s="36">
        <v>143</v>
      </c>
      <c r="AL247" s="36">
        <v>135</v>
      </c>
    </row>
    <row r="248">
      <c r="A248" s="15"/>
      <c r="B248" s="16" t="s">
        <v>39</v>
      </c>
      <c r="C248" s="17" t="s">
        <v>45</v>
      </c>
      <c r="D248" s="18">
        <f t="shared" si="398"/>
      </c>
      <c r="E248" s="17">
        <v>1047.32</v>
      </c>
      <c r="F248" s="20">
        <v>5666.95</v>
      </c>
      <c r="G248" s="20">
        <v>0</v>
      </c>
      <c r="H248" s="20">
        <v>0</v>
      </c>
      <c r="I248" s="37">
        <f t="shared" si="489"/>
      </c>
      <c r="J248" s="21">
        <v>0</v>
      </c>
      <c r="K248" s="22">
        <f t="shared" si="580"/>
      </c>
      <c r="L248" s="22">
        <f t="shared" si="250"/>
      </c>
      <c r="M248" s="23">
        <f t="shared" si="305"/>
      </c>
      <c r="N248" s="24">
        <f t="shared" si="324"/>
      </c>
      <c r="O248" s="25">
        <f t="shared" si="343"/>
      </c>
      <c r="P248" s="26">
        <f t="shared" si="28"/>
      </c>
      <c r="Q248" s="26">
        <f t="shared" si="47"/>
      </c>
      <c r="R248" s="26">
        <f t="shared" si="66"/>
      </c>
      <c r="S248" s="27">
        <f t="shared" si="85"/>
      </c>
      <c r="T248" s="28">
        <f t="shared" si="635"/>
      </c>
      <c r="U248" s="26">
        <f t="shared" si="673"/>
      </c>
      <c r="V248" s="29">
        <f t="shared" si="654"/>
      </c>
      <c r="W248" s="29">
        <f t="shared" si="692"/>
      </c>
      <c r="X248" s="26">
        <f t="shared" si="9"/>
      </c>
      <c r="Y248" s="30">
        <f t="shared" si="140"/>
      </c>
      <c r="Z248" s="30">
        <v>2</v>
      </c>
      <c r="AA248" s="30">
        <v>7</v>
      </c>
      <c r="AB248" s="31">
        <v>11262.239999999998</v>
      </c>
      <c r="AC248" s="31">
        <v>479</v>
      </c>
      <c r="AD248" s="27">
        <f t="shared" si="195"/>
      </c>
      <c r="AE248" s="32" t="s">
        <v>41</v>
      </c>
      <c r="AF248" s="33" t="s">
        <v>42</v>
      </c>
      <c r="AG248" s="34">
        <v>5</v>
      </c>
      <c r="AH248" s="35">
        <v>104121</v>
      </c>
      <c r="AI248" s="35">
        <v>1057</v>
      </c>
      <c r="AJ248" s="35">
        <v>1194</v>
      </c>
      <c r="AK248" s="36">
        <v>157</v>
      </c>
      <c r="AL248" s="36">
        <v>176</v>
      </c>
    </row>
    <row r="249">
      <c r="A249" s="15"/>
      <c r="B249" s="16" t="s">
        <v>39</v>
      </c>
      <c r="C249" s="17" t="s">
        <v>46</v>
      </c>
      <c r="D249" s="18">
        <f t="shared" si="398"/>
      </c>
      <c r="E249" s="17">
        <v>651.88</v>
      </c>
      <c r="F249" s="20">
        <v>5925.41</v>
      </c>
      <c r="G249" s="20">
        <v>0</v>
      </c>
      <c r="H249" s="20">
        <v>0</v>
      </c>
      <c r="I249" s="20">
        <f t="shared" si="489"/>
      </c>
      <c r="J249" s="21">
        <f>608.04+1105.92</f>
      </c>
      <c r="K249" s="22">
        <f t="shared" si="580"/>
      </c>
      <c r="L249" s="22">
        <f t="shared" si="250"/>
      </c>
      <c r="M249" s="23">
        <f t="shared" si="305"/>
      </c>
      <c r="N249" s="24">
        <f t="shared" si="324"/>
      </c>
      <c r="O249" s="25">
        <f t="shared" si="343"/>
      </c>
      <c r="P249" s="26">
        <f t="shared" si="28"/>
      </c>
      <c r="Q249" s="26">
        <f t="shared" si="47"/>
      </c>
      <c r="R249" s="26">
        <f t="shared" si="66"/>
      </c>
      <c r="S249" s="27">
        <f t="shared" si="85"/>
      </c>
      <c r="T249" s="28">
        <f t="shared" si="635"/>
      </c>
      <c r="U249" s="26">
        <f t="shared" si="673"/>
      </c>
      <c r="V249" s="29">
        <f t="shared" si="654"/>
      </c>
      <c r="W249" s="29">
        <f t="shared" si="692"/>
      </c>
      <c r="X249" s="26">
        <f t="shared" si="9"/>
      </c>
      <c r="Y249" s="30">
        <f t="shared" si="140"/>
      </c>
      <c r="Z249" s="30">
        <v>6</v>
      </c>
      <c r="AA249" s="30">
        <v>6</v>
      </c>
      <c r="AB249" s="31">
        <v>8090.279999999999</v>
      </c>
      <c r="AC249" s="31">
        <v>0</v>
      </c>
      <c r="AD249" s="27">
        <f t="shared" si="195"/>
      </c>
      <c r="AE249" s="32" t="s">
        <v>41</v>
      </c>
      <c r="AF249" s="33" t="s">
        <v>42</v>
      </c>
      <c r="AG249" s="34">
        <v>3</v>
      </c>
      <c r="AH249" s="35">
        <v>80612</v>
      </c>
      <c r="AI249" s="35">
        <v>1030</v>
      </c>
      <c r="AJ249" s="35">
        <v>1138</v>
      </c>
      <c r="AK249" s="34">
        <v>154</v>
      </c>
      <c r="AL249" s="34">
        <v>225</v>
      </c>
    </row>
    <row r="250">
      <c r="A250" s="15"/>
      <c r="B250" s="38" t="s">
        <v>47</v>
      </c>
      <c r="C250" s="39">
        <v>5</v>
      </c>
      <c r="D250" s="40">
        <f>SUM(D245:D249)</f>
      </c>
      <c r="E250" s="40">
        <f>SUM(E245:E249)</f>
      </c>
      <c r="F250" s="40">
        <f>SUM(F245:F249)</f>
      </c>
      <c r="G250" s="40">
        <f>SUM(G245:G249)</f>
      </c>
      <c r="H250" s="40">
        <f>SUM(H245:H249)</f>
      </c>
      <c r="I250" s="40">
        <f>SUM(I245:I249)</f>
      </c>
      <c r="J250" s="40">
        <f>SUM(J245:J249)</f>
      </c>
      <c r="K250" s="40">
        <f>SUM(K245:K249)</f>
      </c>
      <c r="L250" s="40">
        <f>SUM(L245:L249)</f>
      </c>
      <c r="M250" s="41">
        <f t="shared" si="305"/>
      </c>
      <c r="N250" s="42">
        <f t="shared" si="324"/>
      </c>
      <c r="O250" s="42">
        <f t="shared" si="343"/>
      </c>
      <c r="P250" s="43">
        <f t="shared" si="28"/>
      </c>
      <c r="Q250" s="43">
        <f t="shared" si="47"/>
      </c>
      <c r="R250" s="43">
        <f t="shared" si="66"/>
      </c>
      <c r="S250" s="44">
        <f t="shared" si="85"/>
      </c>
      <c r="T250" s="44">
        <f t="shared" si="635"/>
      </c>
      <c r="U250" s="43">
        <f t="shared" si="673"/>
      </c>
      <c r="V250" s="44">
        <f t="shared" si="654"/>
      </c>
      <c r="W250" s="44">
        <f t="shared" si="692"/>
      </c>
      <c r="X250" s="43">
        <f t="shared" si="9"/>
      </c>
      <c r="Y250" s="40">
        <f>SUM(Y245:Y249)</f>
      </c>
      <c r="Z250" s="40">
        <f>SUM(Z245:Z249)</f>
      </c>
      <c r="AA250" s="40">
        <f>SUM(AA245:AA249)</f>
      </c>
      <c r="AB250" s="40">
        <f>SUM(AB245:AB249)</f>
      </c>
      <c r="AC250" s="40">
        <f>SUM(AC245:AC249)</f>
      </c>
      <c r="AD250" s="45">
        <f t="shared" si="195"/>
      </c>
      <c r="AE250" s="46"/>
      <c r="AF250" s="47"/>
      <c r="AG250" s="40">
        <f>SUM(AG245:AG249)</f>
      </c>
      <c r="AH250" s="40">
        <f>SUM(AH245:AH249)</f>
      </c>
      <c r="AI250" s="40">
        <f>SUM(AI245:AI249)</f>
      </c>
      <c r="AJ250" s="40">
        <f>SUM(AJ245:AJ249)</f>
      </c>
      <c r="AK250" s="40">
        <f>SUM(AK245:AK249)</f>
      </c>
      <c r="AL250" s="40">
        <f>SUM(AL245:AL249)</f>
      </c>
    </row>
    <row r="251">
      <c r="A251" s="15"/>
      <c r="B251" s="16" t="s">
        <v>68</v>
      </c>
      <c r="C251" s="17" t="s">
        <v>49</v>
      </c>
      <c r="D251" s="18">
        <f t="shared" ref="D251:D254" si="399">E251+F251+G251+H251</f>
      </c>
      <c r="E251" s="19">
        <v>569.14</v>
      </c>
      <c r="F251" s="20">
        <v>4376.03</v>
      </c>
      <c r="G251" s="20">
        <v>0</v>
      </c>
      <c r="H251" s="20">
        <v>0</v>
      </c>
      <c r="I251" s="20">
        <f t="shared" ref="I251:I254" si="490">AB251+AC251</f>
      </c>
      <c r="J251" s="21">
        <v>733.32</v>
      </c>
      <c r="K251" s="22">
        <f t="shared" ref="K251:K254" si="581">I251-J251</f>
      </c>
      <c r="L251" s="22">
        <f t="shared" ref="L251:L254" si="251">(I251-AC251)/12+AC251</f>
      </c>
      <c r="M251" s="23">
        <f t="shared" si="305"/>
      </c>
      <c r="N251" s="24">
        <f t="shared" si="324"/>
      </c>
      <c r="O251" s="25">
        <f t="shared" si="343"/>
      </c>
      <c r="P251" s="26">
        <f t="shared" si="28"/>
      </c>
      <c r="Q251" s="26">
        <f t="shared" si="47"/>
      </c>
      <c r="R251" s="26">
        <f t="shared" si="66"/>
      </c>
      <c r="S251" s="27">
        <f t="shared" si="85"/>
      </c>
      <c r="T251" s="28">
        <f t="shared" si="635"/>
      </c>
      <c r="U251" s="26">
        <f t="shared" si="673"/>
      </c>
      <c r="V251" s="29">
        <f t="shared" si="654"/>
      </c>
      <c r="W251" s="29">
        <f t="shared" si="692"/>
      </c>
      <c r="X251" s="26">
        <f t="shared" si="9"/>
      </c>
      <c r="Y251" s="30">
        <f t="shared" ref="Y251:Y254" si="141">Z251+AA251</f>
      </c>
      <c r="Z251" s="30">
        <v>5</v>
      </c>
      <c r="AA251" s="30">
        <v>6</v>
      </c>
      <c r="AB251" s="31">
        <v>8473.679999999993</v>
      </c>
      <c r="AC251" s="31">
        <v>0</v>
      </c>
      <c r="AD251" s="27">
        <f t="shared" si="195"/>
      </c>
      <c r="AE251" s="32" t="s">
        <v>41</v>
      </c>
      <c r="AF251" s="33" t="s">
        <v>42</v>
      </c>
      <c r="AG251" s="34">
        <v>4</v>
      </c>
      <c r="AH251" s="35">
        <v>56575</v>
      </c>
      <c r="AI251" s="35">
        <v>959</v>
      </c>
      <c r="AJ251" s="35">
        <v>1032</v>
      </c>
      <c r="AK251" s="34">
        <v>133</v>
      </c>
      <c r="AL251" s="34">
        <v>179</v>
      </c>
    </row>
    <row r="252">
      <c r="A252" s="15"/>
      <c r="B252" s="16" t="s">
        <v>68</v>
      </c>
      <c r="C252" s="17" t="s">
        <v>50</v>
      </c>
      <c r="D252" s="18">
        <f t="shared" si="399"/>
      </c>
      <c r="E252" s="17">
        <v>918.35</v>
      </c>
      <c r="F252" s="20">
        <v>5089.66</v>
      </c>
      <c r="G252" s="20">
        <v>0</v>
      </c>
      <c r="H252" s="20">
        <v>0</v>
      </c>
      <c r="I252" s="20">
        <f t="shared" si="490"/>
      </c>
      <c r="J252" s="21">
        <v>970.92</v>
      </c>
      <c r="K252" s="22">
        <f t="shared" si="581"/>
      </c>
      <c r="L252" s="22">
        <f t="shared" si="251"/>
      </c>
      <c r="M252" s="23">
        <f t="shared" si="305"/>
      </c>
      <c r="N252" s="24">
        <f t="shared" si="324"/>
      </c>
      <c r="O252" s="25">
        <f t="shared" si="343"/>
      </c>
      <c r="P252" s="26">
        <f t="shared" si="28"/>
      </c>
      <c r="Q252" s="26">
        <f t="shared" si="47"/>
      </c>
      <c r="R252" s="26">
        <f t="shared" si="66"/>
      </c>
      <c r="S252" s="27">
        <f t="shared" si="85"/>
      </c>
      <c r="T252" s="28">
        <f t="shared" si="635"/>
      </c>
      <c r="U252" s="26">
        <f t="shared" si="673"/>
      </c>
      <c r="V252" s="29">
        <f t="shared" si="654"/>
      </c>
      <c r="W252" s="29">
        <f t="shared" si="692"/>
      </c>
      <c r="X252" s="26">
        <f t="shared" si="9"/>
      </c>
      <c r="Y252" s="30">
        <f t="shared" si="141"/>
      </c>
      <c r="Z252" s="30">
        <v>3</v>
      </c>
      <c r="AA252" s="30">
        <v>7</v>
      </c>
      <c r="AB252" s="31">
        <v>7166.880000000005</v>
      </c>
      <c r="AC252" s="31">
        <v>697</v>
      </c>
      <c r="AD252" s="27">
        <f t="shared" si="195"/>
      </c>
      <c r="AE252" s="32" t="s">
        <v>41</v>
      </c>
      <c r="AF252" s="33" t="s">
        <v>42</v>
      </c>
      <c r="AG252" s="34">
        <v>4</v>
      </c>
      <c r="AH252" s="35">
        <v>91608</v>
      </c>
      <c r="AI252" s="35">
        <v>1280</v>
      </c>
      <c r="AJ252" s="35">
        <v>1357</v>
      </c>
      <c r="AK252" s="36">
        <v>150</v>
      </c>
      <c r="AL252" s="36">
        <v>186</v>
      </c>
    </row>
    <row r="253">
      <c r="A253" s="15"/>
      <c r="B253" s="16" t="s">
        <v>68</v>
      </c>
      <c r="C253" s="17" t="s">
        <v>51</v>
      </c>
      <c r="D253" s="18">
        <f t="shared" si="399"/>
      </c>
      <c r="E253" s="17">
        <v>795.94</v>
      </c>
      <c r="F253" s="17">
        <v>6058.39</v>
      </c>
      <c r="G253" s="20">
        <v>0</v>
      </c>
      <c r="H253" s="20">
        <v>0</v>
      </c>
      <c r="I253" s="20">
        <f t="shared" si="490"/>
      </c>
      <c r="J253" s="21">
        <v>25358.28</v>
      </c>
      <c r="K253" s="22">
        <f t="shared" si="581"/>
      </c>
      <c r="L253" s="22">
        <f t="shared" si="251"/>
      </c>
      <c r="M253" s="23">
        <f t="shared" si="305"/>
      </c>
      <c r="N253" s="24">
        <f t="shared" si="324"/>
      </c>
      <c r="O253" s="25">
        <f t="shared" si="343"/>
      </c>
      <c r="P253" s="26">
        <f t="shared" si="28"/>
      </c>
      <c r="Q253" s="26">
        <f t="shared" si="47"/>
      </c>
      <c r="R253" s="26">
        <f t="shared" si="66"/>
      </c>
      <c r="S253" s="27">
        <f t="shared" si="85"/>
      </c>
      <c r="T253" s="28">
        <f t="shared" si="635"/>
      </c>
      <c r="U253" s="26">
        <f t="shared" si="673"/>
      </c>
      <c r="V253" s="29">
        <f t="shared" si="654"/>
      </c>
      <c r="W253" s="29">
        <f t="shared" si="692"/>
      </c>
      <c r="X253" s="26">
        <f t="shared" si="9"/>
      </c>
      <c r="Y253" s="30">
        <f t="shared" si="141"/>
      </c>
      <c r="Z253" s="30">
        <v>11</v>
      </c>
      <c r="AA253" s="30">
        <v>12</v>
      </c>
      <c r="AB253" s="31">
        <v>39043.920000000006</v>
      </c>
      <c r="AC253" s="69">
        <v>1725</v>
      </c>
      <c r="AD253" s="27">
        <f t="shared" si="195"/>
      </c>
      <c r="AE253" s="32" t="s">
        <v>41</v>
      </c>
      <c r="AF253" s="33" t="s">
        <v>42</v>
      </c>
      <c r="AG253" s="36">
        <v>11</v>
      </c>
      <c r="AH253" s="35">
        <v>138528</v>
      </c>
      <c r="AI253" s="35">
        <v>1390</v>
      </c>
      <c r="AJ253" s="35">
        <v>1476</v>
      </c>
      <c r="AK253" s="36">
        <v>201</v>
      </c>
      <c r="AL253" s="36">
        <v>224</v>
      </c>
    </row>
    <row r="254">
      <c r="A254" s="15"/>
      <c r="B254" s="16" t="s">
        <v>68</v>
      </c>
      <c r="C254" s="17" t="s">
        <v>52</v>
      </c>
      <c r="D254" s="18">
        <f t="shared" si="399"/>
      </c>
      <c r="E254" s="17">
        <v>934.12</v>
      </c>
      <c r="F254" s="20">
        <v>7650.9</v>
      </c>
      <c r="G254" s="20">
        <v>0</v>
      </c>
      <c r="H254" s="20">
        <v>0</v>
      </c>
      <c r="I254" s="20">
        <f t="shared" si="490"/>
      </c>
      <c r="J254" s="21">
        <f>970.92+2059.56+677.52+1562.88+2896.68</f>
      </c>
      <c r="K254" s="22">
        <f t="shared" si="581"/>
      </c>
      <c r="L254" s="22">
        <f t="shared" si="251"/>
      </c>
      <c r="M254" s="23">
        <f t="shared" si="305"/>
      </c>
      <c r="N254" s="24">
        <f t="shared" si="324"/>
      </c>
      <c r="O254" s="25">
        <f t="shared" si="343"/>
      </c>
      <c r="P254" s="26">
        <f t="shared" si="28"/>
      </c>
      <c r="Q254" s="26">
        <f t="shared" si="47"/>
      </c>
      <c r="R254" s="26">
        <f t="shared" si="66"/>
      </c>
      <c r="S254" s="27">
        <f t="shared" si="85"/>
      </c>
      <c r="T254" s="28">
        <f t="shared" si="635"/>
      </c>
      <c r="U254" s="26">
        <f t="shared" si="673"/>
      </c>
      <c r="V254" s="29">
        <f t="shared" si="654"/>
      </c>
      <c r="W254" s="29">
        <f t="shared" si="692"/>
      </c>
      <c r="X254" s="26">
        <f t="shared" si="9"/>
      </c>
      <c r="Y254" s="30">
        <f t="shared" si="141"/>
      </c>
      <c r="Z254" s="30">
        <v>7</v>
      </c>
      <c r="AA254" s="30">
        <v>11</v>
      </c>
      <c r="AB254" s="70">
        <v>20425.440000000002</v>
      </c>
      <c r="AC254" s="74">
        <v>0</v>
      </c>
      <c r="AD254" s="72">
        <f t="shared" si="195"/>
      </c>
      <c r="AE254" s="32" t="s">
        <v>41</v>
      </c>
      <c r="AF254" s="33" t="s">
        <v>42</v>
      </c>
      <c r="AG254" s="34">
        <v>7</v>
      </c>
      <c r="AH254" s="35">
        <v>165404</v>
      </c>
      <c r="AI254" s="35">
        <v>1501</v>
      </c>
      <c r="AJ254" s="35">
        <v>1638</v>
      </c>
      <c r="AK254" s="36">
        <v>208</v>
      </c>
      <c r="AL254" s="36">
        <v>247</v>
      </c>
    </row>
    <row r="255">
      <c r="A255" s="15"/>
      <c r="B255" s="38" t="s">
        <v>47</v>
      </c>
      <c r="C255" s="39">
        <v>4</v>
      </c>
      <c r="D255" s="40">
        <f>SUM(D251:D254)</f>
      </c>
      <c r="E255" s="40">
        <f>SUM(E251:E254)</f>
      </c>
      <c r="F255" s="40">
        <f>SUM(F251:F254)</f>
      </c>
      <c r="G255" s="40">
        <f>SUM(G251:G254)</f>
      </c>
      <c r="H255" s="40">
        <f>SUM(H251:H254)</f>
      </c>
      <c r="I255" s="40">
        <f>SUM(I251:I254)</f>
      </c>
      <c r="J255" s="40">
        <f>SUM(J251:J254)</f>
      </c>
      <c r="K255" s="40">
        <f>SUM(K251:K254)</f>
      </c>
      <c r="L255" s="40">
        <f>SUM(L251:L254)</f>
      </c>
      <c r="M255" s="41">
        <f t="shared" si="305"/>
      </c>
      <c r="N255" s="42">
        <f t="shared" si="324"/>
      </c>
      <c r="O255" s="42">
        <f t="shared" si="343"/>
      </c>
      <c r="P255" s="43">
        <f t="shared" si="28"/>
      </c>
      <c r="Q255" s="43">
        <f t="shared" si="47"/>
      </c>
      <c r="R255" s="43">
        <f t="shared" si="66"/>
      </c>
      <c r="S255" s="44">
        <f t="shared" si="85"/>
      </c>
      <c r="T255" s="44">
        <f t="shared" si="635"/>
      </c>
      <c r="U255" s="43">
        <f t="shared" si="673"/>
      </c>
      <c r="V255" s="44">
        <f t="shared" si="654"/>
      </c>
      <c r="W255" s="44">
        <f t="shared" si="692"/>
      </c>
      <c r="X255" s="43">
        <f t="shared" si="9"/>
      </c>
      <c r="Y255" s="40">
        <f>SUM(Y251:Y254)</f>
      </c>
      <c r="Z255" s="40">
        <f>SUM(Z251:Z254)</f>
      </c>
      <c r="AA255" s="40">
        <f>SUM(AA251:AA254)</f>
      </c>
      <c r="AB255" s="40">
        <f>SUM(AB251:AB254)</f>
      </c>
      <c r="AC255" s="40">
        <f>SUM(AC251:AC254)</f>
      </c>
      <c r="AD255" s="45">
        <f t="shared" si="195"/>
      </c>
      <c r="AE255" s="46"/>
      <c r="AF255" s="47"/>
      <c r="AG255" s="40">
        <f>SUM(AG251:AG254)</f>
      </c>
      <c r="AH255" s="40">
        <f>SUM(AH251:AH254)</f>
      </c>
      <c r="AI255" s="40">
        <f>SUM(AI251:AI254)</f>
      </c>
      <c r="AJ255" s="40">
        <f>SUM(AJ251:AJ254)</f>
      </c>
      <c r="AK255" s="40">
        <f>SUM(AK251:AK254)</f>
      </c>
      <c r="AL255" s="40">
        <f>SUM(AL251:AL254)</f>
      </c>
    </row>
    <row r="256">
      <c r="A256" s="15"/>
      <c r="B256" s="16" t="s">
        <v>53</v>
      </c>
      <c r="C256" s="17" t="s">
        <v>54</v>
      </c>
      <c r="D256" s="18">
        <f t="shared" ref="D256:D258" si="400">E256+F256+G256+H256</f>
      </c>
      <c r="E256" s="17">
        <v>781.74</v>
      </c>
      <c r="F256" s="49">
        <v>9257.26</v>
      </c>
      <c r="G256" s="20">
        <v>0</v>
      </c>
      <c r="H256" s="20">
        <v>0</v>
      </c>
      <c r="I256" s="50">
        <f t="shared" ref="I256:I258" si="491">AB256+AC256</f>
      </c>
      <c r="J256" s="51">
        <v>2545.56</v>
      </c>
      <c r="K256" s="22">
        <f t="shared" ref="K256:K258" si="582">I256-J256</f>
      </c>
      <c r="L256" s="22">
        <f t="shared" ref="L256:L258" si="252">(I256-AC256)/12+AC256</f>
      </c>
      <c r="M256" s="23">
        <f t="shared" si="305"/>
      </c>
      <c r="N256" s="24">
        <f t="shared" si="324"/>
      </c>
      <c r="O256" s="25">
        <f t="shared" si="343"/>
      </c>
      <c r="P256" s="26">
        <f t="shared" si="28"/>
      </c>
      <c r="Q256" s="26">
        <f t="shared" si="47"/>
      </c>
      <c r="R256" s="26">
        <f t="shared" si="66"/>
      </c>
      <c r="S256" s="27">
        <f t="shared" si="85"/>
      </c>
      <c r="T256" s="28">
        <f t="shared" si="635"/>
      </c>
      <c r="U256" s="26">
        <f t="shared" si="673"/>
      </c>
      <c r="V256" s="29">
        <f t="shared" si="654"/>
      </c>
      <c r="W256" s="29">
        <f t="shared" si="692"/>
      </c>
      <c r="X256" s="26">
        <f t="shared" si="9"/>
      </c>
      <c r="Y256" s="30">
        <f t="shared" ref="Y256:Y258" si="142">Z256+AA256</f>
      </c>
      <c r="Z256" s="30">
        <v>3</v>
      </c>
      <c r="AA256" s="30">
        <v>5</v>
      </c>
      <c r="AB256" s="31">
        <v>7784.639999999985</v>
      </c>
      <c r="AC256" s="31">
        <v>0</v>
      </c>
      <c r="AD256" s="27">
        <f t="shared" si="195"/>
      </c>
      <c r="AE256" s="32" t="s">
        <v>41</v>
      </c>
      <c r="AF256" s="33" t="s">
        <v>42</v>
      </c>
      <c r="AG256" s="34">
        <v>4</v>
      </c>
      <c r="AH256" s="35">
        <v>214615</v>
      </c>
      <c r="AI256" s="35">
        <v>1717</v>
      </c>
      <c r="AJ256" s="35">
        <v>1773</v>
      </c>
      <c r="AK256" s="36">
        <v>215</v>
      </c>
      <c r="AL256" s="36">
        <v>266</v>
      </c>
    </row>
    <row r="257">
      <c r="A257" s="15"/>
      <c r="B257" s="16" t="s">
        <v>53</v>
      </c>
      <c r="C257" s="17" t="s">
        <v>55</v>
      </c>
      <c r="D257" s="18">
        <f t="shared" si="400"/>
      </c>
      <c r="E257" s="52">
        <v>597.72</v>
      </c>
      <c r="F257" s="53">
        <v>5694.9</v>
      </c>
      <c r="G257" s="20">
        <v>0</v>
      </c>
      <c r="H257" s="20">
        <v>0</v>
      </c>
      <c r="I257" s="55">
        <f t="shared" si="491"/>
      </c>
      <c r="J257" s="51">
        <v>5572.8</v>
      </c>
      <c r="K257" s="22">
        <f t="shared" si="582"/>
      </c>
      <c r="L257" s="22">
        <f t="shared" si="252"/>
      </c>
      <c r="M257" s="23">
        <f t="shared" si="305"/>
      </c>
      <c r="N257" s="24">
        <f t="shared" si="324"/>
      </c>
      <c r="O257" s="25">
        <f t="shared" si="343"/>
      </c>
      <c r="P257" s="26">
        <f t="shared" si="28"/>
      </c>
      <c r="Q257" s="26">
        <f t="shared" si="47"/>
      </c>
      <c r="R257" s="26">
        <f t="shared" si="66"/>
      </c>
      <c r="S257" s="27">
        <f t="shared" si="85"/>
      </c>
      <c r="T257" s="28">
        <f t="shared" si="635"/>
      </c>
      <c r="U257" s="26">
        <f t="shared" si="673"/>
      </c>
      <c r="V257" s="29">
        <f t="shared" si="654"/>
      </c>
      <c r="W257" s="29">
        <f t="shared" si="692"/>
      </c>
      <c r="X257" s="26">
        <f t="shared" si="9"/>
      </c>
      <c r="Y257" s="56">
        <f t="shared" si="142"/>
      </c>
      <c r="Z257" s="30">
        <v>8</v>
      </c>
      <c r="AA257" s="30">
        <v>7</v>
      </c>
      <c r="AB257" s="57">
        <v>12646.799999999988</v>
      </c>
      <c r="AC257" s="31">
        <v>0</v>
      </c>
      <c r="AD257" s="27">
        <f t="shared" si="195"/>
      </c>
      <c r="AE257" s="32" t="s">
        <v>41</v>
      </c>
      <c r="AF257" s="33" t="s">
        <v>70</v>
      </c>
      <c r="AG257" s="36">
        <v>7</v>
      </c>
      <c r="AH257" s="35">
        <v>128089</v>
      </c>
      <c r="AI257" s="35">
        <v>1187</v>
      </c>
      <c r="AJ257" s="35">
        <v>1193</v>
      </c>
      <c r="AK257" s="36">
        <v>173</v>
      </c>
      <c r="AL257" s="36">
        <v>199</v>
      </c>
    </row>
    <row r="258">
      <c r="A258" s="15"/>
      <c r="B258" s="16" t="s">
        <v>53</v>
      </c>
      <c r="C258" s="17" t="s">
        <v>58</v>
      </c>
      <c r="D258" s="18">
        <f t="shared" si="400"/>
      </c>
      <c r="E258" s="52">
        <v>321.6</v>
      </c>
      <c r="F258" s="53">
        <v>8656.39</v>
      </c>
      <c r="G258" s="20">
        <v>0</v>
      </c>
      <c r="H258" s="20">
        <v>0</v>
      </c>
      <c r="I258" s="55">
        <f t="shared" si="491"/>
      </c>
      <c r="J258" s="51">
        <v>10096.92</v>
      </c>
      <c r="K258" s="22">
        <f t="shared" si="582"/>
      </c>
      <c r="L258" s="22">
        <f t="shared" si="252"/>
      </c>
      <c r="M258" s="23">
        <f t="shared" si="305"/>
      </c>
      <c r="N258" s="24">
        <f t="shared" si="324"/>
      </c>
      <c r="O258" s="25">
        <f t="shared" si="343"/>
      </c>
      <c r="P258" s="26">
        <f t="shared" si="28"/>
      </c>
      <c r="Q258" s="26">
        <f t="shared" si="47"/>
      </c>
      <c r="R258" s="26">
        <f t="shared" si="66"/>
      </c>
      <c r="S258" s="27">
        <f t="shared" si="85"/>
      </c>
      <c r="T258" s="28">
        <f t="shared" si="635"/>
      </c>
      <c r="U258" s="26">
        <f t="shared" si="673"/>
      </c>
      <c r="V258" s="29">
        <f t="shared" si="654"/>
      </c>
      <c r="W258" s="29">
        <f t="shared" si="692"/>
      </c>
      <c r="X258" s="26">
        <f t="shared" si="9"/>
      </c>
      <c r="Y258" s="56">
        <f t="shared" si="142"/>
      </c>
      <c r="Z258" s="30">
        <v>4</v>
      </c>
      <c r="AA258" s="30">
        <v>13</v>
      </c>
      <c r="AB258" s="57">
        <v>27272.16</v>
      </c>
      <c r="AC258" s="31">
        <v>1204</v>
      </c>
      <c r="AD258" s="27">
        <f t="shared" si="195"/>
      </c>
      <c r="AE258" s="32" t="s">
        <v>41</v>
      </c>
      <c r="AF258" s="33" t="s">
        <v>70</v>
      </c>
      <c r="AG258" s="36">
        <v>10</v>
      </c>
      <c r="AH258" s="35">
        <v>172605</v>
      </c>
      <c r="AI258" s="35">
        <v>1159</v>
      </c>
      <c r="AJ258" s="35">
        <v>1181</v>
      </c>
      <c r="AK258" s="36">
        <v>187</v>
      </c>
      <c r="AL258" s="36">
        <v>252</v>
      </c>
    </row>
    <row r="259">
      <c r="A259" s="15"/>
      <c r="B259" s="38" t="s">
        <v>47</v>
      </c>
      <c r="C259" s="39">
        <v>3</v>
      </c>
      <c r="D259" s="58">
        <f>SUM(D256:D258)</f>
      </c>
      <c r="E259" s="58">
        <f>SUM(E256:E258)</f>
      </c>
      <c r="F259" s="58">
        <f>SUM(F256:F258)</f>
      </c>
      <c r="G259" s="58">
        <f>SUM(G256:G258)</f>
      </c>
      <c r="H259" s="58">
        <f>SUM(H256:H258)</f>
      </c>
      <c r="I259" s="58">
        <f>SUM(I256:I258)</f>
      </c>
      <c r="J259" s="58">
        <f>SUM(J256:J258)</f>
      </c>
      <c r="K259" s="58">
        <f>SUM(K256:K258)</f>
      </c>
      <c r="L259" s="58">
        <f>SUM(L256:L258)</f>
      </c>
      <c r="M259" s="41">
        <f t="shared" si="305"/>
      </c>
      <c r="N259" s="42">
        <f t="shared" si="324"/>
      </c>
      <c r="O259" s="42">
        <f t="shared" si="343"/>
      </c>
      <c r="P259" s="43">
        <f t="shared" si="28"/>
      </c>
      <c r="Q259" s="43">
        <f t="shared" si="47"/>
      </c>
      <c r="R259" s="43">
        <f t="shared" si="66"/>
      </c>
      <c r="S259" s="44">
        <f t="shared" si="85"/>
      </c>
      <c r="T259" s="44">
        <f t="shared" si="635"/>
      </c>
      <c r="U259" s="43">
        <f t="shared" si="673"/>
      </c>
      <c r="V259" s="44">
        <f t="shared" si="654"/>
      </c>
      <c r="W259" s="44">
        <f t="shared" si="692"/>
      </c>
      <c r="X259" s="43">
        <f t="shared" si="9"/>
      </c>
      <c r="Y259" s="58">
        <f>SUM(Y256:Y258)</f>
      </c>
      <c r="Z259" s="58">
        <f>SUM(Z256:Z258)</f>
      </c>
      <c r="AA259" s="58">
        <f>SUM(AA256:AA258)</f>
      </c>
      <c r="AB259" s="58">
        <f>SUM(AB256:AB258)</f>
      </c>
      <c r="AC259" s="58">
        <f>SUM(AC256:AC258)</f>
      </c>
      <c r="AD259" s="45">
        <f t="shared" si="195"/>
      </c>
      <c r="AE259" s="46"/>
      <c r="AF259" s="47"/>
      <c r="AG259" s="58">
        <f>SUM(AG256:AG258)</f>
      </c>
      <c r="AH259" s="58">
        <f>SUM(AH256:AH258)</f>
      </c>
      <c r="AI259" s="58">
        <f>SUM(AI256:AI258)</f>
      </c>
      <c r="AJ259" s="58">
        <f>SUM(AJ256:AJ258)</f>
      </c>
      <c r="AK259" s="58">
        <f>SUM(AK256:AK258)</f>
      </c>
      <c r="AL259" s="58">
        <f>SUM(AL256:AL258)</f>
      </c>
    </row>
    <row r="260">
      <c r="A260" s="15"/>
      <c r="B260" s="16" t="s">
        <v>48</v>
      </c>
      <c r="C260" s="52" t="s">
        <v>59</v>
      </c>
      <c r="D260" s="18">
        <f t="shared" ref="D260:D263" si="401">E260+F260+G260+H260</f>
      </c>
      <c r="E260" s="17">
        <v>361.7</v>
      </c>
      <c r="F260" s="49">
        <v>6768.25</v>
      </c>
      <c r="G260" s="20">
        <v>0</v>
      </c>
      <c r="H260" s="20">
        <v>0</v>
      </c>
      <c r="I260" s="50">
        <f t="shared" ref="I260:I263" si="492">AB260+AC260</f>
      </c>
      <c r="J260" s="51">
        <v>4461.48</v>
      </c>
      <c r="K260" s="22">
        <f t="shared" ref="K260:K263" si="583">I260-J260</f>
      </c>
      <c r="L260" s="22">
        <f t="shared" ref="L260:L263" si="253">(I260-AC260)/12+AC260</f>
      </c>
      <c r="M260" s="23">
        <f t="shared" si="305"/>
      </c>
      <c r="N260" s="24">
        <f t="shared" si="324"/>
      </c>
      <c r="O260" s="25">
        <f t="shared" si="343"/>
      </c>
      <c r="P260" s="26">
        <f t="shared" si="28"/>
      </c>
      <c r="Q260" s="26">
        <f t="shared" si="47"/>
      </c>
      <c r="R260" s="26">
        <f t="shared" si="66"/>
      </c>
      <c r="S260" s="27">
        <f t="shared" si="85"/>
      </c>
      <c r="T260" s="28">
        <f t="shared" si="635"/>
      </c>
      <c r="U260" s="26">
        <f t="shared" si="673"/>
      </c>
      <c r="V260" s="29">
        <f t="shared" si="654"/>
      </c>
      <c r="W260" s="29">
        <f t="shared" si="692"/>
      </c>
      <c r="X260" s="26">
        <f t="shared" si="9"/>
      </c>
      <c r="Y260" s="30">
        <f t="shared" ref="Y260:Y263" si="143">Z260+AA260</f>
      </c>
      <c r="Z260" s="30">
        <v>3</v>
      </c>
      <c r="AA260" s="30">
        <v>7</v>
      </c>
      <c r="AB260" s="31">
        <v>9077.400000000023</v>
      </c>
      <c r="AC260" s="31">
        <v>0</v>
      </c>
      <c r="AD260" s="27">
        <f t="shared" si="195"/>
      </c>
      <c r="AE260" s="32" t="s">
        <v>41</v>
      </c>
      <c r="AF260" s="33" t="s">
        <v>70</v>
      </c>
      <c r="AG260" s="34">
        <v>5</v>
      </c>
      <c r="AH260" s="35">
        <v>156278</v>
      </c>
      <c r="AI260" s="35">
        <v>1112</v>
      </c>
      <c r="AJ260" s="35">
        <v>1140</v>
      </c>
      <c r="AK260" s="36">
        <v>158</v>
      </c>
      <c r="AL260" s="36">
        <v>176</v>
      </c>
    </row>
    <row r="261">
      <c r="A261" s="15"/>
      <c r="B261" s="16" t="s">
        <v>48</v>
      </c>
      <c r="C261" s="52" t="s">
        <v>60</v>
      </c>
      <c r="D261" s="18">
        <f t="shared" si="401"/>
      </c>
      <c r="E261" s="17">
        <v>508.77</v>
      </c>
      <c r="F261" s="49">
        <v>7551.97</v>
      </c>
      <c r="G261" s="20">
        <v>0</v>
      </c>
      <c r="H261" s="20">
        <v>0</v>
      </c>
      <c r="I261" s="50">
        <f t="shared" si="492"/>
      </c>
      <c r="J261" s="51">
        <v>5454.000000000008</v>
      </c>
      <c r="K261" s="22">
        <f t="shared" si="583"/>
      </c>
      <c r="L261" s="22">
        <f t="shared" si="253"/>
      </c>
      <c r="M261" s="23">
        <f t="shared" si="305"/>
      </c>
      <c r="N261" s="24">
        <f t="shared" si="324"/>
      </c>
      <c r="O261" s="25">
        <f t="shared" si="343"/>
      </c>
      <c r="P261" s="26">
        <f t="shared" si="28"/>
      </c>
      <c r="Q261" s="26">
        <f t="shared" si="47"/>
      </c>
      <c r="R261" s="26">
        <f t="shared" si="66"/>
      </c>
      <c r="S261" s="27">
        <f t="shared" si="85"/>
      </c>
      <c r="T261" s="28">
        <f t="shared" si="635"/>
      </c>
      <c r="U261" s="26">
        <f t="shared" si="673"/>
      </c>
      <c r="V261" s="29">
        <f t="shared" si="654"/>
      </c>
      <c r="W261" s="29">
        <f t="shared" si="692"/>
      </c>
      <c r="X261" s="26">
        <f t="shared" si="9"/>
      </c>
      <c r="Y261" s="30">
        <f t="shared" si="143"/>
      </c>
      <c r="Z261" s="30">
        <v>5</v>
      </c>
      <c r="AA261" s="30">
        <v>8</v>
      </c>
      <c r="AB261" s="31">
        <v>19937.03999999998</v>
      </c>
      <c r="AC261" s="31">
        <v>0</v>
      </c>
      <c r="AD261" s="27">
        <f t="shared" si="195"/>
      </c>
      <c r="AE261" s="32" t="s">
        <v>41</v>
      </c>
      <c r="AF261" s="33" t="s">
        <v>70</v>
      </c>
      <c r="AG261" s="36">
        <v>5</v>
      </c>
      <c r="AH261" s="35">
        <v>204595</v>
      </c>
      <c r="AI261" s="35">
        <v>1511</v>
      </c>
      <c r="AJ261" s="35">
        <v>1538</v>
      </c>
      <c r="AK261" s="36">
        <v>170</v>
      </c>
      <c r="AL261" s="36">
        <v>229</v>
      </c>
    </row>
    <row r="262">
      <c r="A262" s="15"/>
      <c r="B262" s="16" t="s">
        <v>48</v>
      </c>
      <c r="C262" s="52" t="s">
        <v>61</v>
      </c>
      <c r="D262" s="18">
        <f t="shared" si="401"/>
      </c>
      <c r="E262" s="17">
        <v>357.43</v>
      </c>
      <c r="F262" s="49">
        <v>8387.05</v>
      </c>
      <c r="G262" s="20">
        <v>0</v>
      </c>
      <c r="H262" s="20">
        <v>0</v>
      </c>
      <c r="I262" s="50">
        <f t="shared" si="492"/>
      </c>
      <c r="J262" s="51">
        <v>6669.599999999985</v>
      </c>
      <c r="K262" s="22">
        <f t="shared" si="583"/>
      </c>
      <c r="L262" s="22">
        <f t="shared" si="253"/>
      </c>
      <c r="M262" s="23">
        <f t="shared" si="305"/>
      </c>
      <c r="N262" s="24">
        <f t="shared" si="324"/>
      </c>
      <c r="O262" s="25">
        <f t="shared" si="343"/>
      </c>
      <c r="P262" s="26">
        <f t="shared" si="28"/>
      </c>
      <c r="Q262" s="26">
        <f t="shared" si="47"/>
      </c>
      <c r="R262" s="26">
        <f t="shared" si="66"/>
      </c>
      <c r="S262" s="27">
        <f t="shared" si="85"/>
      </c>
      <c r="T262" s="28">
        <f t="shared" si="635"/>
      </c>
      <c r="U262" s="26">
        <f t="shared" si="673"/>
      </c>
      <c r="V262" s="29">
        <f t="shared" si="654"/>
      </c>
      <c r="W262" s="29">
        <f t="shared" si="692"/>
      </c>
      <c r="X262" s="26">
        <f t="shared" si="9"/>
      </c>
      <c r="Y262" s="30">
        <f t="shared" si="143"/>
      </c>
      <c r="Z262" s="30">
        <v>11</v>
      </c>
      <c r="AA262" s="30">
        <v>17</v>
      </c>
      <c r="AB262" s="31">
        <v>34223.399999999994</v>
      </c>
      <c r="AC262" s="31">
        <v>506</v>
      </c>
      <c r="AD262" s="27">
        <f t="shared" si="195"/>
      </c>
      <c r="AE262" s="32" t="s">
        <v>41</v>
      </c>
      <c r="AF262" s="33" t="s">
        <v>70</v>
      </c>
      <c r="AG262" s="34">
        <v>14</v>
      </c>
      <c r="AH262" s="35">
        <v>240304</v>
      </c>
      <c r="AI262" s="35">
        <v>1719</v>
      </c>
      <c r="AJ262" s="35">
        <v>1747</v>
      </c>
      <c r="AK262" s="36">
        <v>219</v>
      </c>
      <c r="AL262" s="34">
        <v>245</v>
      </c>
    </row>
    <row r="263">
      <c r="A263" s="15"/>
      <c r="B263" s="16" t="s">
        <v>48</v>
      </c>
      <c r="C263" s="17" t="s">
        <v>63</v>
      </c>
      <c r="D263" s="18">
        <f t="shared" si="401"/>
      </c>
      <c r="E263" s="17">
        <v>596.61</v>
      </c>
      <c r="F263" s="49">
        <v>10801.22</v>
      </c>
      <c r="G263" s="20">
        <v>0</v>
      </c>
      <c r="H263" s="20">
        <v>0</v>
      </c>
      <c r="I263" s="50">
        <f t="shared" si="492"/>
      </c>
      <c r="J263" s="51">
        <v>5458.32</v>
      </c>
      <c r="K263" s="22">
        <f t="shared" si="583"/>
      </c>
      <c r="L263" s="22">
        <f t="shared" si="253"/>
      </c>
      <c r="M263" s="23">
        <f t="shared" si="305"/>
      </c>
      <c r="N263" s="24">
        <f t="shared" si="324"/>
      </c>
      <c r="O263" s="25">
        <f t="shared" si="343"/>
      </c>
      <c r="P263" s="26">
        <f t="shared" si="28"/>
      </c>
      <c r="Q263" s="26">
        <f t="shared" si="47"/>
      </c>
      <c r="R263" s="26">
        <f t="shared" si="66"/>
      </c>
      <c r="S263" s="27">
        <f t="shared" si="85"/>
      </c>
      <c r="T263" s="28">
        <f t="shared" si="635"/>
      </c>
      <c r="U263" s="26">
        <f t="shared" si="673"/>
      </c>
      <c r="V263" s="29">
        <f t="shared" si="654"/>
      </c>
      <c r="W263" s="29">
        <f t="shared" si="692"/>
      </c>
      <c r="X263" s="26">
        <f t="shared" si="9"/>
      </c>
      <c r="Y263" s="30">
        <f t="shared" si="143"/>
      </c>
      <c r="Z263" s="30">
        <v>3</v>
      </c>
      <c r="AA263" s="30">
        <v>7</v>
      </c>
      <c r="AB263" s="31">
        <v>10693.08</v>
      </c>
      <c r="AC263" s="31">
        <v>0</v>
      </c>
      <c r="AD263" s="27">
        <f t="shared" si="195"/>
      </c>
      <c r="AE263" s="32" t="s">
        <v>41</v>
      </c>
      <c r="AF263" s="33" t="s">
        <v>70</v>
      </c>
      <c r="AG263" s="34">
        <v>6</v>
      </c>
      <c r="AH263" s="35">
        <v>360248</v>
      </c>
      <c r="AI263" s="35">
        <v>2420</v>
      </c>
      <c r="AJ263" s="35">
        <v>2470</v>
      </c>
      <c r="AK263" s="36">
        <v>265</v>
      </c>
      <c r="AL263" s="34">
        <v>316</v>
      </c>
    </row>
    <row r="264">
      <c r="A264" s="15"/>
      <c r="B264" s="38" t="s">
        <v>47</v>
      </c>
      <c r="C264" s="39">
        <v>4</v>
      </c>
      <c r="D264" s="40">
        <f>SUM(D260:D263)</f>
      </c>
      <c r="E264" s="40">
        <f>SUM(E260:E263)</f>
      </c>
      <c r="F264" s="40">
        <f>SUM(F260:F263)</f>
      </c>
      <c r="G264" s="40">
        <f>SUM(G260:G263)</f>
      </c>
      <c r="H264" s="40">
        <f>SUM(H260:H263)</f>
      </c>
      <c r="I264" s="40">
        <f>SUM(I260:I263)</f>
      </c>
      <c r="J264" s="40">
        <f>SUM(J260:J263)</f>
      </c>
      <c r="K264" s="40">
        <f>SUM(K260:K263)</f>
      </c>
      <c r="L264" s="40">
        <f>SUM(L260:L263)</f>
      </c>
      <c r="M264" s="41">
        <f t="shared" si="305"/>
      </c>
      <c r="N264" s="42">
        <f t="shared" si="324"/>
      </c>
      <c r="O264" s="42">
        <f t="shared" si="343"/>
      </c>
      <c r="P264" s="43">
        <f t="shared" si="28"/>
      </c>
      <c r="Q264" s="43">
        <f t="shared" si="47"/>
      </c>
      <c r="R264" s="43">
        <f t="shared" si="66"/>
      </c>
      <c r="S264" s="44">
        <f t="shared" si="85"/>
      </c>
      <c r="T264" s="44">
        <f t="shared" si="635"/>
      </c>
      <c r="U264" s="43">
        <f t="shared" si="673"/>
      </c>
      <c r="V264" s="44">
        <f t="shared" si="654"/>
      </c>
      <c r="W264" s="44">
        <f t="shared" si="692"/>
      </c>
      <c r="X264" s="43">
        <f t="shared" si="9"/>
      </c>
      <c r="Y264" s="40">
        <f>SUM(Y260:Y263)</f>
      </c>
      <c r="Z264" s="40">
        <f>SUM(Z260:Z263)</f>
      </c>
      <c r="AA264" s="40">
        <f>SUM(AA260:AA263)</f>
      </c>
      <c r="AB264" s="40">
        <f>SUM(AB260:AB263)</f>
      </c>
      <c r="AC264" s="40">
        <f>SUM(AC260:AC263)</f>
      </c>
      <c r="AD264" s="45">
        <f t="shared" si="195"/>
      </c>
      <c r="AE264" s="46"/>
      <c r="AF264" s="47"/>
      <c r="AG264" s="40">
        <f>SUM(AG260:AG263)</f>
      </c>
      <c r="AH264" s="40">
        <f>SUM(AH260:AH263)</f>
      </c>
      <c r="AI264" s="40">
        <f>SUM(AI260:AI263)</f>
      </c>
      <c r="AJ264" s="40">
        <f>SUM(AJ260:AJ263)</f>
      </c>
      <c r="AK264" s="40">
        <f>SUM(AK260:AK263)</f>
      </c>
      <c r="AL264" s="40">
        <f>SUM(AL260:AL263)</f>
      </c>
    </row>
    <row r="265">
      <c r="A265" s="15"/>
      <c r="B265" s="16" t="s">
        <v>57</v>
      </c>
      <c r="C265" s="52" t="s">
        <v>64</v>
      </c>
      <c r="D265" s="18">
        <f t="shared" ref="D265:D268" si="402">E265+F265+G265+H265</f>
      </c>
      <c r="E265" s="17">
        <v>442.05</v>
      </c>
      <c r="F265" s="17">
        <v>6879.6</v>
      </c>
      <c r="G265" s="20">
        <v>0</v>
      </c>
      <c r="H265" s="20">
        <v>0</v>
      </c>
      <c r="I265" s="20">
        <f t="shared" ref="I265:I268" si="493">AB265+AC265</f>
      </c>
      <c r="J265" s="21">
        <v>0</v>
      </c>
      <c r="K265" s="22">
        <f t="shared" ref="K265:K268" si="584">I265-J265</f>
      </c>
      <c r="L265" s="22">
        <f t="shared" ref="L265:L268" si="254">(I265-AC265)/12+AC265</f>
      </c>
      <c r="M265" s="23">
        <f t="shared" si="305"/>
      </c>
      <c r="N265" s="24">
        <f t="shared" si="324"/>
      </c>
      <c r="O265" s="25">
        <f t="shared" si="343"/>
      </c>
      <c r="P265" s="26">
        <f t="shared" si="28"/>
      </c>
      <c r="Q265" s="26">
        <f t="shared" si="47"/>
      </c>
      <c r="R265" s="26">
        <f t="shared" si="66"/>
      </c>
      <c r="S265" s="27">
        <f t="shared" si="85"/>
      </c>
      <c r="T265" s="28">
        <f t="shared" si="635"/>
      </c>
      <c r="U265" s="26">
        <f t="shared" si="673"/>
      </c>
      <c r="V265" s="29">
        <f t="shared" si="654"/>
      </c>
      <c r="W265" s="29">
        <f t="shared" si="692"/>
      </c>
      <c r="X265" s="26">
        <f t="shared" si="9"/>
      </c>
      <c r="Y265" s="30">
        <f t="shared" ref="Y265:Y268" si="144">Z265+AA265</f>
      </c>
      <c r="Z265" s="30">
        <v>3</v>
      </c>
      <c r="AA265" s="30">
        <v>9</v>
      </c>
      <c r="AB265" s="31">
        <v>20902.320000000007</v>
      </c>
      <c r="AC265" s="31">
        <v>0</v>
      </c>
      <c r="AD265" s="27">
        <f t="shared" si="195"/>
      </c>
      <c r="AE265" s="32" t="s">
        <v>41</v>
      </c>
      <c r="AF265" s="33" t="s">
        <v>70</v>
      </c>
      <c r="AG265" s="36">
        <v>9</v>
      </c>
      <c r="AH265" s="35">
        <v>209711</v>
      </c>
      <c r="AI265" s="35">
        <v>1912</v>
      </c>
      <c r="AJ265" s="35">
        <v>1991</v>
      </c>
      <c r="AK265" s="36">
        <v>255</v>
      </c>
      <c r="AL265" s="36">
        <v>229</v>
      </c>
    </row>
    <row r="266">
      <c r="A266" s="15"/>
      <c r="B266" s="16" t="s">
        <v>57</v>
      </c>
      <c r="C266" s="52" t="s">
        <v>65</v>
      </c>
      <c r="D266" s="18">
        <f t="shared" si="402"/>
      </c>
      <c r="E266" s="17">
        <v>566.82</v>
      </c>
      <c r="F266" s="17">
        <v>16711.57</v>
      </c>
      <c r="G266" s="20">
        <v>0</v>
      </c>
      <c r="H266" s="20">
        <v>0</v>
      </c>
      <c r="I266" s="20">
        <f t="shared" si="493"/>
      </c>
      <c r="J266" s="21">
        <v>1641.600000000013</v>
      </c>
      <c r="K266" s="22">
        <f t="shared" si="584"/>
      </c>
      <c r="L266" s="22">
        <f t="shared" si="254"/>
      </c>
      <c r="M266" s="23">
        <f t="shared" si="305"/>
      </c>
      <c r="N266" s="24">
        <f t="shared" si="324"/>
      </c>
      <c r="O266" s="25">
        <f t="shared" si="343"/>
      </c>
      <c r="P266" s="26">
        <f t="shared" si="28"/>
      </c>
      <c r="Q266" s="26">
        <f t="shared" si="47"/>
      </c>
      <c r="R266" s="26">
        <f t="shared" si="66"/>
      </c>
      <c r="S266" s="27">
        <f t="shared" si="85"/>
      </c>
      <c r="T266" s="28">
        <f t="shared" si="635"/>
      </c>
      <c r="U266" s="26">
        <f t="shared" si="673"/>
      </c>
      <c r="V266" s="29">
        <f t="shared" si="654"/>
      </c>
      <c r="W266" s="29">
        <f t="shared" si="692"/>
      </c>
      <c r="X266" s="26">
        <f t="shared" si="9"/>
      </c>
      <c r="Y266" s="30">
        <f t="shared" si="144"/>
      </c>
      <c r="Z266" s="30">
        <v>21</v>
      </c>
      <c r="AA266" s="30">
        <v>15</v>
      </c>
      <c r="AB266" s="31">
        <v>26261.159999999974</v>
      </c>
      <c r="AC266" s="31">
        <v>861</v>
      </c>
      <c r="AD266" s="27">
        <f t="shared" si="195"/>
      </c>
      <c r="AE266" s="32" t="s">
        <v>41</v>
      </c>
      <c r="AF266" s="33" t="s">
        <v>70</v>
      </c>
      <c r="AG266" s="36">
        <v>14</v>
      </c>
      <c r="AH266" s="35">
        <v>629682</v>
      </c>
      <c r="AI266" s="35">
        <v>3795</v>
      </c>
      <c r="AJ266" s="35">
        <v>3812</v>
      </c>
      <c r="AK266" s="36">
        <v>456</v>
      </c>
      <c r="AL266" s="36">
        <v>410</v>
      </c>
    </row>
    <row r="267">
      <c r="A267" s="15"/>
      <c r="B267" s="16" t="s">
        <v>57</v>
      </c>
      <c r="C267" s="17" t="s">
        <v>66</v>
      </c>
      <c r="D267" s="18">
        <f t="shared" si="402"/>
      </c>
      <c r="E267" s="17">
        <v>856.55</v>
      </c>
      <c r="F267" s="20">
        <v>8795.41</v>
      </c>
      <c r="G267" s="20">
        <v>0</v>
      </c>
      <c r="H267" s="20">
        <v>0</v>
      </c>
      <c r="I267" s="37">
        <f t="shared" si="493"/>
      </c>
      <c r="J267" s="21">
        <v>1797.12</v>
      </c>
      <c r="K267" s="22">
        <f t="shared" si="584"/>
      </c>
      <c r="L267" s="22">
        <f t="shared" si="254"/>
      </c>
      <c r="M267" s="23">
        <f t="shared" si="305"/>
      </c>
      <c r="N267" s="24">
        <f t="shared" si="324"/>
      </c>
      <c r="O267" s="25">
        <f t="shared" si="343"/>
      </c>
      <c r="P267" s="26">
        <f t="shared" si="28"/>
      </c>
      <c r="Q267" s="26">
        <f t="shared" si="47"/>
      </c>
      <c r="R267" s="26">
        <f t="shared" si="66"/>
      </c>
      <c r="S267" s="27">
        <f t="shared" si="85"/>
      </c>
      <c r="T267" s="28">
        <f t="shared" si="635"/>
      </c>
      <c r="U267" s="26">
        <f t="shared" si="673"/>
      </c>
      <c r="V267" s="29">
        <f t="shared" si="654"/>
      </c>
      <c r="W267" s="29">
        <f t="shared" si="692"/>
      </c>
      <c r="X267" s="26">
        <f t="shared" si="9"/>
      </c>
      <c r="Y267" s="30">
        <f t="shared" si="144"/>
      </c>
      <c r="Z267" s="30">
        <v>5</v>
      </c>
      <c r="AA267" s="30">
        <v>5</v>
      </c>
      <c r="AB267" s="31">
        <v>8484.6</v>
      </c>
      <c r="AC267" s="31">
        <v>0</v>
      </c>
      <c r="AD267" s="27">
        <f t="shared" si="195"/>
      </c>
      <c r="AE267" s="32" t="s">
        <v>41</v>
      </c>
      <c r="AF267" s="33" t="s">
        <v>70</v>
      </c>
      <c r="AG267" s="34">
        <v>4</v>
      </c>
      <c r="AH267" s="35">
        <v>216517</v>
      </c>
      <c r="AI267" s="35">
        <v>2081</v>
      </c>
      <c r="AJ267" s="35">
        <v>2263</v>
      </c>
      <c r="AK267" s="36">
        <v>276</v>
      </c>
      <c r="AL267" s="36">
        <v>276</v>
      </c>
    </row>
    <row r="268">
      <c r="A268" s="15"/>
      <c r="B268" s="16" t="s">
        <v>57</v>
      </c>
      <c r="C268" s="17" t="s">
        <v>67</v>
      </c>
      <c r="D268" s="18">
        <f t="shared" si="402"/>
      </c>
      <c r="E268" s="19">
        <v>357.7</v>
      </c>
      <c r="F268" s="20">
        <v>35.12</v>
      </c>
      <c r="G268" s="20">
        <v>0</v>
      </c>
      <c r="H268" s="20">
        <v>0</v>
      </c>
      <c r="I268" s="20">
        <f t="shared" si="493"/>
      </c>
      <c r="J268" s="21">
        <v>0</v>
      </c>
      <c r="K268" s="22">
        <f t="shared" si="584"/>
      </c>
      <c r="L268" s="22">
        <f t="shared" si="254"/>
      </c>
      <c r="M268" s="23">
        <f t="shared" si="305"/>
      </c>
      <c r="N268" s="24">
        <f t="shared" si="324"/>
      </c>
      <c r="O268" s="25">
        <f t="shared" si="343"/>
      </c>
      <c r="P268" s="26">
        <f t="shared" si="28"/>
      </c>
      <c r="Q268" s="26">
        <f t="shared" si="47"/>
      </c>
      <c r="R268" s="26">
        <f t="shared" si="66"/>
      </c>
      <c r="S268" s="27">
        <f t="shared" si="85"/>
      </c>
      <c r="T268" s="28">
        <f t="shared" si="635"/>
      </c>
      <c r="U268" s="26">
        <f t="shared" si="673"/>
      </c>
      <c r="V268" s="29">
        <f t="shared" si="654"/>
      </c>
      <c r="W268" s="29">
        <f t="shared" si="692"/>
      </c>
      <c r="X268" s="26">
        <f t="shared" si="9"/>
      </c>
      <c r="Y268" s="30">
        <f t="shared" si="144"/>
      </c>
      <c r="Z268" s="30">
        <v>1</v>
      </c>
      <c r="AA268" s="30">
        <v>4</v>
      </c>
      <c r="AB268" s="31">
        <v>12816.359999999999</v>
      </c>
      <c r="AC268" s="31">
        <v>0</v>
      </c>
      <c r="AD268" s="27">
        <f t="shared" si="195"/>
      </c>
      <c r="AE268" s="32" t="s">
        <v>41</v>
      </c>
      <c r="AF268" s="33" t="s">
        <v>70</v>
      </c>
      <c r="AG268" s="34">
        <v>1</v>
      </c>
      <c r="AH268" s="35">
        <v>7991</v>
      </c>
      <c r="AI268" s="35">
        <v>291</v>
      </c>
      <c r="AJ268" s="35">
        <v>391</v>
      </c>
      <c r="AK268" s="34">
        <v>48</v>
      </c>
      <c r="AL268" s="34">
        <v>31</v>
      </c>
    </row>
    <row r="269">
      <c r="A269" s="15"/>
      <c r="B269" s="38" t="s">
        <v>47</v>
      </c>
      <c r="C269" s="39">
        <v>4</v>
      </c>
      <c r="D269" s="40">
        <f>SUM(D265:D268)</f>
      </c>
      <c r="E269" s="40">
        <f>SUM(E265:E268)</f>
      </c>
      <c r="F269" s="40">
        <f>SUM(F265:F268)</f>
      </c>
      <c r="G269" s="40">
        <f>SUM(G265:G268)</f>
      </c>
      <c r="H269" s="40">
        <f>SUM(H265:H268)</f>
      </c>
      <c r="I269" s="40">
        <f>SUM(I265:I268)</f>
      </c>
      <c r="J269" s="40">
        <f>SUM(J265:J268)</f>
      </c>
      <c r="K269" s="40">
        <f>SUM(K265:K268)</f>
      </c>
      <c r="L269" s="40">
        <f>SUM(L265:L268)</f>
      </c>
      <c r="M269" s="41">
        <f t="shared" si="305"/>
      </c>
      <c r="N269" s="42">
        <f t="shared" si="324"/>
      </c>
      <c r="O269" s="42">
        <f t="shared" si="343"/>
      </c>
      <c r="P269" s="43">
        <f t="shared" si="28"/>
      </c>
      <c r="Q269" s="43">
        <f t="shared" si="47"/>
      </c>
      <c r="R269" s="43">
        <f t="shared" si="66"/>
      </c>
      <c r="S269" s="44">
        <f t="shared" si="85"/>
      </c>
      <c r="T269" s="44">
        <f t="shared" si="635"/>
      </c>
      <c r="U269" s="43">
        <f t="shared" si="673"/>
      </c>
      <c r="V269" s="44">
        <f t="shared" si="654"/>
      </c>
      <c r="W269" s="44">
        <f t="shared" si="692"/>
      </c>
      <c r="X269" s="43">
        <f t="shared" si="9"/>
      </c>
      <c r="Y269" s="40">
        <f>SUM(Y265:Y268)</f>
      </c>
      <c r="Z269" s="40">
        <f>SUM(Z265:Z268)</f>
      </c>
      <c r="AA269" s="40">
        <f>SUM(AA265:AA268)</f>
      </c>
      <c r="AB269" s="40">
        <f>SUM(AB265:AB268)</f>
      </c>
      <c r="AC269" s="40">
        <f>SUM(AC265:AC268)</f>
      </c>
      <c r="AD269" s="59">
        <f t="shared" si="195"/>
      </c>
      <c r="AE269" s="46"/>
      <c r="AF269" s="47"/>
      <c r="AG269" s="40">
        <f>SUM(AG265:AG268)</f>
      </c>
      <c r="AH269" s="40">
        <f>SUM(AH265:AH268)</f>
      </c>
      <c r="AI269" s="40">
        <f>SUM(AI265:AI268)</f>
      </c>
      <c r="AJ269" s="40">
        <f>SUM(AJ265:AJ268)</f>
      </c>
      <c r="AK269" s="40">
        <f>SUM(AK265:AK268)</f>
      </c>
      <c r="AL269" s="40">
        <f>SUM(AL265:AL268)</f>
      </c>
    </row>
    <row r="270">
      <c r="A270" s="15"/>
      <c r="B270" s="60" t="s">
        <v>47</v>
      </c>
      <c r="C270" s="61">
        <f>C250+C255+C259+C264+C269</f>
      </c>
      <c r="D270" s="62">
        <f>D250+D255+D259+D264+D269</f>
      </c>
      <c r="E270" s="61">
        <f>E250+E255+E259+E264+E269</f>
      </c>
      <c r="F270" s="61">
        <f>F250+F255+F259+F264+F269</f>
      </c>
      <c r="G270" s="61">
        <f>G250+G255+G259+G264+G269</f>
      </c>
      <c r="H270" s="61">
        <f>H250+H255+H259+H264+H269</f>
      </c>
      <c r="I270" s="62">
        <f>I250+I255+I259+I264+I269</f>
      </c>
      <c r="J270" s="61">
        <f>J250+J255+J259+J264+J269</f>
      </c>
      <c r="K270" s="61">
        <f>K250+K255+K259+K264+K269</f>
      </c>
      <c r="L270" s="61">
        <f>L250+L255+L259+L264+L269</f>
      </c>
      <c r="M270" s="63">
        <f t="shared" si="305"/>
      </c>
      <c r="N270" s="63">
        <f t="shared" si="324"/>
      </c>
      <c r="O270" s="63">
        <f t="shared" si="343"/>
      </c>
      <c r="P270" s="63">
        <f t="shared" si="28"/>
      </c>
      <c r="Q270" s="63">
        <f t="shared" si="47"/>
      </c>
      <c r="R270" s="63">
        <f t="shared" si="66"/>
      </c>
      <c r="S270" s="64">
        <f t="shared" si="85"/>
      </c>
      <c r="T270" s="64">
        <f t="shared" si="635"/>
      </c>
      <c r="U270" s="63">
        <f t="shared" si="673"/>
      </c>
      <c r="V270" s="64">
        <f t="shared" si="654"/>
      </c>
      <c r="W270" s="64">
        <f t="shared" si="692"/>
      </c>
      <c r="X270" s="63">
        <f t="shared" si="9"/>
      </c>
      <c r="Y270" s="61">
        <f>Y250+Y255+Y259+Y264+Y269</f>
      </c>
      <c r="Z270" s="61">
        <f>Z250+Z255+Z259+Z264+Z269</f>
      </c>
      <c r="AA270" s="62">
        <f>AA250+AA255+AA259+AA264+AA269</f>
      </c>
      <c r="AB270" s="61">
        <f>AB250+AB255+AB259+AB264+AB269</f>
      </c>
      <c r="AC270" s="65">
        <f>AC250+AC255+AC259+AC264+AC269</f>
      </c>
      <c r="AD270" s="66">
        <f t="shared" si="195"/>
      </c>
      <c r="AE270" s="67"/>
      <c r="AF270" s="60"/>
      <c r="AG270" s="61">
        <f>AG250+AG255+AG259+AG264+AG269</f>
      </c>
      <c r="AH270" s="61">
        <f>AH250+AH255+AH259+AH264+AH269</f>
      </c>
      <c r="AI270" s="61">
        <f>AI250+AI255+AI259+AI264+AI269</f>
      </c>
      <c r="AJ270" s="61">
        <f>AJ250+AJ255+AJ259+AJ264+AJ269</f>
      </c>
      <c r="AK270" s="61">
        <f>AK250+AK255+AK259+AK264+AK269</f>
      </c>
      <c r="AL270" s="61">
        <f>AL250+AL255+AL259+AL264+AL269</f>
      </c>
    </row>
    <row r="271">
      <c r="A271" s="1" t="s">
        <v>1</v>
      </c>
      <c r="B271" s="2" t="s">
        <v>2</v>
      </c>
      <c r="C271" s="2" t="s">
        <v>3</v>
      </c>
      <c r="D271" s="3" t="s">
        <v>4</v>
      </c>
      <c r="E271" s="2" t="s">
        <v>5</v>
      </c>
      <c r="F271" s="2" t="s">
        <v>6</v>
      </c>
      <c r="G271" s="4" t="s">
        <v>7</v>
      </c>
      <c r="H271" s="4" t="s">
        <v>8</v>
      </c>
      <c r="I271" s="3" t="s">
        <v>9</v>
      </c>
      <c r="J271" s="5" t="s">
        <v>10</v>
      </c>
      <c r="K271" s="6" t="s">
        <v>11</v>
      </c>
      <c r="L271" s="6" t="s">
        <v>12</v>
      </c>
      <c r="M271" s="7" t="s">
        <v>13</v>
      </c>
      <c r="N271" s="6" t="s">
        <v>14</v>
      </c>
      <c r="O271" s="2" t="s">
        <v>15</v>
      </c>
      <c r="P271" s="7" t="s">
        <v>16</v>
      </c>
      <c r="Q271" s="8" t="s">
        <v>17</v>
      </c>
      <c r="R271" s="8" t="s">
        <v>18</v>
      </c>
      <c r="S271" s="3" t="s">
        <v>19</v>
      </c>
      <c r="T271" s="9" t="s">
        <v>20</v>
      </c>
      <c r="U271" s="7" t="s">
        <v>21</v>
      </c>
      <c r="V271" s="10" t="s">
        <v>22</v>
      </c>
      <c r="W271" s="11" t="s">
        <v>23</v>
      </c>
      <c r="X271" s="7" t="s">
        <v>24</v>
      </c>
      <c r="Y271" s="12" t="s">
        <v>25</v>
      </c>
      <c r="Z271" s="13" t="s">
        <v>26</v>
      </c>
      <c r="AA271" s="12" t="s">
        <v>27</v>
      </c>
      <c r="AB271" s="14" t="s">
        <v>28</v>
      </c>
      <c r="AC271" s="14" t="s">
        <v>29</v>
      </c>
      <c r="AD271" s="6" t="s">
        <v>30</v>
      </c>
      <c r="AE271" s="5" t="s">
        <v>31</v>
      </c>
      <c r="AF271" s="6" t="s">
        <v>32</v>
      </c>
      <c r="AG271" s="5" t="s">
        <v>33</v>
      </c>
      <c r="AH271" s="5" t="s">
        <v>34</v>
      </c>
      <c r="AI271" s="6" t="s">
        <v>35</v>
      </c>
      <c r="AJ271" s="5" t="s">
        <v>36</v>
      </c>
      <c r="AK271" s="6" t="s">
        <v>37</v>
      </c>
      <c r="AL271" s="5" t="s">
        <v>38</v>
      </c>
    </row>
    <row r="272">
      <c r="A272" s="15">
        <v>46306</v>
      </c>
      <c r="B272" s="16" t="s">
        <v>68</v>
      </c>
      <c r="C272" s="17" t="s">
        <v>40</v>
      </c>
      <c r="D272" s="18">
        <f t="shared" ref="D272:D276" si="403">E272+F272+G272+H272</f>
      </c>
      <c r="E272" s="19">
        <v>1250.7</v>
      </c>
      <c r="F272" s="20">
        <v>6482.81</v>
      </c>
      <c r="G272" s="20">
        <v>0</v>
      </c>
      <c r="H272" s="20">
        <v>0</v>
      </c>
      <c r="I272" s="20">
        <f t="shared" ref="I272:I276" si="494">AB272+AC272</f>
      </c>
      <c r="J272" s="21">
        <f>4240.08+6913.08</f>
      </c>
      <c r="K272" s="22">
        <f t="shared" ref="K272:K276" si="585">I272-J272</f>
      </c>
      <c r="L272" s="22">
        <f t="shared" ref="L272:L276" si="255">(I272-AC272)/12+AC272</f>
      </c>
      <c r="M272" s="23">
        <f t="shared" ref="M272:M297" si="306">I272/D272</f>
      </c>
      <c r="N272" s="24">
        <f t="shared" ref="N272:N297" si="325">(I272-J272)/D272</f>
      </c>
      <c r="O272" s="25">
        <f t="shared" ref="O272:O297" si="344">(AC272+AB272/12)/D272</f>
      </c>
      <c r="P272" s="26">
        <f t="shared" ref="P272:P297" si="29">I272/AA272</f>
      </c>
      <c r="Q272" s="26">
        <f t="shared" ref="Q272:Q297" si="48">D272/AA272</f>
      </c>
      <c r="R272" s="26">
        <f t="shared" ref="R272:R297" si="67">D272/AG272</f>
      </c>
      <c r="S272" s="27">
        <f t="shared" ref="S272:S297" si="86">AA272/Y272</f>
      </c>
      <c r="T272" s="28">
        <f t="shared" ref="T272:T297" si="636">AI272/AH272</f>
      </c>
      <c r="U272" s="26">
        <f t="shared" ref="U272:U297" si="674">D272/AJ272</f>
      </c>
      <c r="V272" s="29">
        <f t="shared" ref="V272:V297" si="655">AK272/AJ272</f>
      </c>
      <c r="W272" s="29">
        <f t="shared" ref="W272:W297" si="693">AL272/AJ272</f>
      </c>
      <c r="X272" s="26">
        <f t="shared" ref="X272:X297" si="10">D272/AL272</f>
      </c>
      <c r="Y272" s="30">
        <f t="shared" ref="Y272:Y276" si="145">Z272+AA272</f>
      </c>
      <c r="Z272" s="30">
        <v>4</v>
      </c>
      <c r="AA272" s="30">
        <v>6</v>
      </c>
      <c r="AB272" s="31">
        <v>18159.72</v>
      </c>
      <c r="AC272" s="31">
        <v>0</v>
      </c>
      <c r="AD272" s="27">
        <f t="shared" ref="AD272:AD297" si="196">AC272/I272</f>
      </c>
      <c r="AE272" s="32" t="s">
        <v>41</v>
      </c>
      <c r="AF272" s="33" t="s">
        <v>42</v>
      </c>
      <c r="AG272" s="34">
        <v>6</v>
      </c>
      <c r="AH272" s="34">
        <v>118089</v>
      </c>
      <c r="AI272" s="35">
        <v>2841</v>
      </c>
      <c r="AJ272" s="35">
        <v>3117</v>
      </c>
      <c r="AK272" s="34">
        <v>273</v>
      </c>
      <c r="AL272" s="36">
        <v>295</v>
      </c>
    </row>
    <row r="273">
      <c r="A273" s="15"/>
      <c r="B273" s="16" t="s">
        <v>68</v>
      </c>
      <c r="C273" s="17" t="s">
        <v>43</v>
      </c>
      <c r="D273" s="18">
        <f t="shared" si="403"/>
      </c>
      <c r="E273" s="17">
        <v>1897.78</v>
      </c>
      <c r="F273" s="20">
        <v>8306.43</v>
      </c>
      <c r="G273" s="20">
        <v>0</v>
      </c>
      <c r="H273" s="20">
        <v>0</v>
      </c>
      <c r="I273" s="20">
        <f t="shared" si="494"/>
      </c>
      <c r="J273" s="21">
        <f>449.16+1758.48+1609.56+1016.28+1871.64</f>
      </c>
      <c r="K273" s="22">
        <f t="shared" si="585"/>
      </c>
      <c r="L273" s="22">
        <f t="shared" si="255"/>
      </c>
      <c r="M273" s="23">
        <f t="shared" si="306"/>
      </c>
      <c r="N273" s="24">
        <f t="shared" si="325"/>
      </c>
      <c r="O273" s="25">
        <f t="shared" si="344"/>
      </c>
      <c r="P273" s="26">
        <f t="shared" si="29"/>
      </c>
      <c r="Q273" s="26">
        <f t="shared" si="48"/>
      </c>
      <c r="R273" s="26">
        <f t="shared" si="67"/>
      </c>
      <c r="S273" s="27">
        <f t="shared" si="86"/>
      </c>
      <c r="T273" s="28">
        <f t="shared" si="636"/>
      </c>
      <c r="U273" s="26">
        <f t="shared" si="674"/>
      </c>
      <c r="V273" s="29">
        <f t="shared" si="655"/>
      </c>
      <c r="W273" s="29">
        <f t="shared" si="693"/>
      </c>
      <c r="X273" s="26">
        <f t="shared" si="10"/>
      </c>
      <c r="Y273" s="30">
        <f t="shared" si="145"/>
      </c>
      <c r="Z273" s="30">
        <v>6</v>
      </c>
      <c r="AA273" s="30">
        <v>6</v>
      </c>
      <c r="AB273" s="31">
        <v>10576.919999999998</v>
      </c>
      <c r="AC273" s="31">
        <v>2884.5</v>
      </c>
      <c r="AD273" s="27">
        <f t="shared" si="196"/>
      </c>
      <c r="AE273" s="32" t="s">
        <v>41</v>
      </c>
      <c r="AF273" s="33" t="s">
        <v>42</v>
      </c>
      <c r="AG273" s="34">
        <v>5</v>
      </c>
      <c r="AH273" s="35">
        <v>143785</v>
      </c>
      <c r="AI273" s="35">
        <v>3011</v>
      </c>
      <c r="AJ273" s="35">
        <v>3243</v>
      </c>
      <c r="AK273" s="36">
        <v>357</v>
      </c>
      <c r="AL273" s="36">
        <v>334</v>
      </c>
    </row>
    <row r="274">
      <c r="A274" s="15"/>
      <c r="B274" s="16" t="s">
        <v>68</v>
      </c>
      <c r="C274" s="17" t="s">
        <v>44</v>
      </c>
      <c r="D274" s="18">
        <f t="shared" si="403"/>
      </c>
      <c r="E274" s="17">
        <v>1578.98</v>
      </c>
      <c r="F274" s="20">
        <v>5523.08</v>
      </c>
      <c r="G274" s="20">
        <v>0</v>
      </c>
      <c r="H274" s="20">
        <v>0</v>
      </c>
      <c r="I274" s="20">
        <f t="shared" si="494"/>
      </c>
      <c r="J274" s="21">
        <f>716.04+6448.68+568.08</f>
      </c>
      <c r="K274" s="22">
        <f t="shared" si="585"/>
      </c>
      <c r="L274" s="22">
        <f t="shared" si="255"/>
      </c>
      <c r="M274" s="23">
        <f t="shared" si="306"/>
      </c>
      <c r="N274" s="24">
        <f t="shared" si="325"/>
      </c>
      <c r="O274" s="25">
        <f t="shared" si="344"/>
      </c>
      <c r="P274" s="26">
        <f t="shared" si="29"/>
      </c>
      <c r="Q274" s="26">
        <f t="shared" si="48"/>
      </c>
      <c r="R274" s="26">
        <f t="shared" si="67"/>
      </c>
      <c r="S274" s="27">
        <f t="shared" si="86"/>
      </c>
      <c r="T274" s="28">
        <f t="shared" si="636"/>
      </c>
      <c r="U274" s="26">
        <f t="shared" si="674"/>
      </c>
      <c r="V274" s="29">
        <f t="shared" si="655"/>
      </c>
      <c r="W274" s="29">
        <f t="shared" si="693"/>
      </c>
      <c r="X274" s="26">
        <f t="shared" si="10"/>
      </c>
      <c r="Y274" s="30">
        <f t="shared" si="145"/>
      </c>
      <c r="Z274" s="30">
        <v>6</v>
      </c>
      <c r="AA274" s="30">
        <v>9</v>
      </c>
      <c r="AB274" s="31">
        <v>17602.920000000006</v>
      </c>
      <c r="AC274" s="31">
        <v>0</v>
      </c>
      <c r="AD274" s="27">
        <f t="shared" si="196"/>
      </c>
      <c r="AE274" s="32" t="s">
        <v>41</v>
      </c>
      <c r="AF274" s="33" t="s">
        <v>42</v>
      </c>
      <c r="AG274" s="36">
        <v>9</v>
      </c>
      <c r="AH274" s="35">
        <v>118616</v>
      </c>
      <c r="AI274" s="35">
        <v>1904</v>
      </c>
      <c r="AJ274" s="35">
        <v>2079</v>
      </c>
      <c r="AK274" s="36">
        <v>241</v>
      </c>
      <c r="AL274" s="36">
        <v>271</v>
      </c>
    </row>
    <row r="275">
      <c r="A275" s="15"/>
      <c r="B275" s="16" t="s">
        <v>68</v>
      </c>
      <c r="C275" s="17" t="s">
        <v>45</v>
      </c>
      <c r="D275" s="18">
        <f t="shared" si="403"/>
      </c>
      <c r="E275" s="17">
        <v>1773.72</v>
      </c>
      <c r="F275" s="20">
        <v>6865.35</v>
      </c>
      <c r="G275" s="20">
        <v>0</v>
      </c>
      <c r="H275" s="20">
        <v>0</v>
      </c>
      <c r="I275" s="37">
        <f t="shared" si="494"/>
      </c>
      <c r="J275" s="21">
        <f>2608.2+769.2+2333.04+1012.68+609.72+658.32</f>
      </c>
      <c r="K275" s="22">
        <f t="shared" si="585"/>
      </c>
      <c r="L275" s="22">
        <f t="shared" si="255"/>
      </c>
      <c r="M275" s="23">
        <f t="shared" si="306"/>
      </c>
      <c r="N275" s="24">
        <f t="shared" si="325"/>
      </c>
      <c r="O275" s="25">
        <f t="shared" si="344"/>
      </c>
      <c r="P275" s="26">
        <f t="shared" si="29"/>
      </c>
      <c r="Q275" s="26">
        <f t="shared" si="48"/>
      </c>
      <c r="R275" s="26">
        <f t="shared" si="67"/>
      </c>
      <c r="S275" s="27">
        <f t="shared" si="86"/>
      </c>
      <c r="T275" s="28">
        <f t="shared" si="636"/>
      </c>
      <c r="U275" s="26">
        <f t="shared" si="674"/>
      </c>
      <c r="V275" s="29">
        <f t="shared" si="655"/>
      </c>
      <c r="W275" s="29">
        <f t="shared" si="693"/>
      </c>
      <c r="X275" s="26">
        <f t="shared" si="10"/>
      </c>
      <c r="Y275" s="30">
        <f t="shared" si="145"/>
      </c>
      <c r="Z275" s="30">
        <v>6</v>
      </c>
      <c r="AA275" s="30">
        <v>5</v>
      </c>
      <c r="AB275" s="31">
        <v>9235.319999999992</v>
      </c>
      <c r="AC275" s="31">
        <v>2701</v>
      </c>
      <c r="AD275" s="27">
        <f t="shared" si="196"/>
      </c>
      <c r="AE275" s="32" t="s">
        <v>41</v>
      </c>
      <c r="AF275" s="33" t="s">
        <v>42</v>
      </c>
      <c r="AG275" s="34">
        <v>4</v>
      </c>
      <c r="AH275" s="35">
        <v>125401</v>
      </c>
      <c r="AI275" s="35">
        <v>1803</v>
      </c>
      <c r="AJ275" s="35">
        <v>1905</v>
      </c>
      <c r="AK275" s="36">
        <v>208</v>
      </c>
      <c r="AL275" s="36">
        <v>242</v>
      </c>
    </row>
    <row r="276">
      <c r="A276" s="15"/>
      <c r="B276" s="16" t="s">
        <v>68</v>
      </c>
      <c r="C276" s="17" t="s">
        <v>46</v>
      </c>
      <c r="D276" s="18">
        <f t="shared" si="403"/>
      </c>
      <c r="E276" s="17">
        <v>1786.96</v>
      </c>
      <c r="F276" s="20">
        <v>5694.81</v>
      </c>
      <c r="G276" s="20">
        <v>0</v>
      </c>
      <c r="H276" s="20">
        <v>0</v>
      </c>
      <c r="I276" s="20">
        <f t="shared" si="494"/>
      </c>
      <c r="J276" s="21">
        <f>979.56+443.88+646.92+1735.56</f>
      </c>
      <c r="K276" s="22">
        <f t="shared" si="585"/>
      </c>
      <c r="L276" s="22">
        <f t="shared" si="255"/>
      </c>
      <c r="M276" s="23">
        <f t="shared" si="306"/>
      </c>
      <c r="N276" s="24">
        <f t="shared" si="325"/>
      </c>
      <c r="O276" s="25">
        <f t="shared" si="344"/>
      </c>
      <c r="P276" s="26">
        <f t="shared" si="29"/>
      </c>
      <c r="Q276" s="26">
        <f t="shared" si="48"/>
      </c>
      <c r="R276" s="26">
        <f t="shared" si="67"/>
      </c>
      <c r="S276" s="27">
        <f t="shared" si="86"/>
      </c>
      <c r="T276" s="28">
        <f t="shared" si="636"/>
      </c>
      <c r="U276" s="26">
        <f t="shared" si="674"/>
      </c>
      <c r="V276" s="29">
        <f t="shared" si="655"/>
      </c>
      <c r="W276" s="29">
        <f t="shared" si="693"/>
      </c>
      <c r="X276" s="26">
        <f t="shared" si="10"/>
      </c>
      <c r="Y276" s="30">
        <f t="shared" si="145"/>
      </c>
      <c r="Z276" s="30">
        <v>4</v>
      </c>
      <c r="AA276" s="30">
        <v>11</v>
      </c>
      <c r="AB276" s="31">
        <v>14600.16000000001</v>
      </c>
      <c r="AC276" s="31">
        <v>0</v>
      </c>
      <c r="AD276" s="27">
        <f t="shared" si="196"/>
      </c>
      <c r="AE276" s="32" t="s">
        <v>41</v>
      </c>
      <c r="AF276" s="33" t="s">
        <v>42</v>
      </c>
      <c r="AG276" s="34">
        <v>7</v>
      </c>
      <c r="AH276" s="35">
        <v>128813</v>
      </c>
      <c r="AI276" s="35">
        <v>1466</v>
      </c>
      <c r="AJ276" s="35">
        <v>1551</v>
      </c>
      <c r="AK276" s="34">
        <v>205</v>
      </c>
      <c r="AL276" s="34">
        <v>236</v>
      </c>
    </row>
    <row r="277">
      <c r="A277" s="15"/>
      <c r="B277" s="38" t="s">
        <v>47</v>
      </c>
      <c r="C277" s="39">
        <v>5</v>
      </c>
      <c r="D277" s="40">
        <f>SUM(D272:D276)</f>
      </c>
      <c r="E277" s="40">
        <f>SUM(E272:E276)</f>
      </c>
      <c r="F277" s="40">
        <f>SUM(F272:F276)</f>
      </c>
      <c r="G277" s="40">
        <f>SUM(G272:G276)</f>
      </c>
      <c r="H277" s="40">
        <f>SUM(H272:H276)</f>
      </c>
      <c r="I277" s="40">
        <f>SUM(I272:I276)</f>
      </c>
      <c r="J277" s="40">
        <f>SUM(J272:J276)</f>
      </c>
      <c r="K277" s="40">
        <f>SUM(K272:K276)</f>
      </c>
      <c r="L277" s="40">
        <f>SUM(L272:L276)</f>
      </c>
      <c r="M277" s="41">
        <f t="shared" si="306"/>
      </c>
      <c r="N277" s="42">
        <f t="shared" si="325"/>
      </c>
      <c r="O277" s="42">
        <f t="shared" si="344"/>
      </c>
      <c r="P277" s="43">
        <f t="shared" si="29"/>
      </c>
      <c r="Q277" s="43">
        <f t="shared" si="48"/>
      </c>
      <c r="R277" s="43">
        <f t="shared" si="67"/>
      </c>
      <c r="S277" s="44">
        <f t="shared" si="86"/>
      </c>
      <c r="T277" s="44">
        <f t="shared" si="636"/>
      </c>
      <c r="U277" s="43">
        <f t="shared" si="674"/>
      </c>
      <c r="V277" s="44">
        <f t="shared" si="655"/>
      </c>
      <c r="W277" s="44">
        <f t="shared" si="693"/>
      </c>
      <c r="X277" s="43">
        <f t="shared" si="10"/>
      </c>
      <c r="Y277" s="40">
        <f>SUM(Y272:Y276)</f>
      </c>
      <c r="Z277" s="40">
        <f>SUM(Z272:Z276)</f>
      </c>
      <c r="AA277" s="40">
        <f>SUM(AA272:AA276)</f>
      </c>
      <c r="AB277" s="40">
        <f>SUM(AB272:AB276)</f>
      </c>
      <c r="AC277" s="40">
        <f>SUM(AC272:AC276)</f>
      </c>
      <c r="AD277" s="45">
        <f t="shared" si="196"/>
      </c>
      <c r="AE277" s="46"/>
      <c r="AF277" s="47"/>
      <c r="AG277" s="40">
        <f>SUM(AG272:AG276)</f>
      </c>
      <c r="AH277" s="40">
        <f>SUM(AH272:AH276)</f>
      </c>
      <c r="AI277" s="40">
        <f>SUM(AI272:AI276)</f>
      </c>
      <c r="AJ277" s="40">
        <f>SUM(AJ272:AJ276)</f>
      </c>
      <c r="AK277" s="40">
        <f>SUM(AK272:AK276)</f>
      </c>
      <c r="AL277" s="40">
        <f>SUM(AL272:AL276)</f>
      </c>
    </row>
    <row r="278">
      <c r="A278" s="15"/>
      <c r="B278" s="16" t="s">
        <v>48</v>
      </c>
      <c r="C278" s="17" t="s">
        <v>49</v>
      </c>
      <c r="D278" s="18">
        <f t="shared" ref="D278:D281" si="404">E278+F278+G278+H278</f>
      </c>
      <c r="E278" s="19">
        <v>998.39</v>
      </c>
      <c r="F278" s="20">
        <v>4457.74</v>
      </c>
      <c r="G278" s="20">
        <v>0</v>
      </c>
      <c r="H278" s="20">
        <v>0</v>
      </c>
      <c r="I278" s="20">
        <f t="shared" ref="I278:I281" si="495">AB278+AC278</f>
      </c>
      <c r="J278" s="21">
        <v>2114.64</v>
      </c>
      <c r="K278" s="22">
        <f t="shared" ref="K278:K281" si="586">I278-J278</f>
      </c>
      <c r="L278" s="22">
        <f t="shared" ref="L278:L281" si="256">(I278-AC278)/12+AC278</f>
      </c>
      <c r="M278" s="23">
        <f t="shared" si="306"/>
      </c>
      <c r="N278" s="24">
        <f t="shared" si="325"/>
      </c>
      <c r="O278" s="25">
        <f t="shared" si="344"/>
      </c>
      <c r="P278" s="26">
        <f t="shared" si="29"/>
      </c>
      <c r="Q278" s="26">
        <f t="shared" si="48"/>
      </c>
      <c r="R278" s="26">
        <f t="shared" si="67"/>
      </c>
      <c r="S278" s="27">
        <f t="shared" si="86"/>
      </c>
      <c r="T278" s="28">
        <f t="shared" si="636"/>
      </c>
      <c r="U278" s="26">
        <f t="shared" si="674"/>
      </c>
      <c r="V278" s="29">
        <f t="shared" si="655"/>
      </c>
      <c r="W278" s="29">
        <f t="shared" si="693"/>
      </c>
      <c r="X278" s="26">
        <f t="shared" si="10"/>
      </c>
      <c r="Y278" s="30">
        <f t="shared" ref="Y278:Y281" si="146">Z278+AA278</f>
      </c>
      <c r="Z278" s="30">
        <v>4</v>
      </c>
      <c r="AA278" s="30">
        <v>4</v>
      </c>
      <c r="AB278" s="31">
        <v>7030.799999999988</v>
      </c>
      <c r="AC278" s="31">
        <v>0</v>
      </c>
      <c r="AD278" s="27">
        <f t="shared" si="196"/>
      </c>
      <c r="AE278" s="32" t="s">
        <v>41</v>
      </c>
      <c r="AF278" s="33" t="s">
        <v>42</v>
      </c>
      <c r="AG278" s="34">
        <v>3</v>
      </c>
      <c r="AH278" s="35">
        <v>93900</v>
      </c>
      <c r="AI278" s="35">
        <v>939</v>
      </c>
      <c r="AJ278" s="35">
        <v>1015</v>
      </c>
      <c r="AK278" s="34">
        <v>130</v>
      </c>
      <c r="AL278" s="34">
        <v>161</v>
      </c>
    </row>
    <row r="279">
      <c r="A279" s="15"/>
      <c r="B279" s="16" t="s">
        <v>48</v>
      </c>
      <c r="C279" s="17" t="s">
        <v>50</v>
      </c>
      <c r="D279" s="18">
        <f t="shared" si="404"/>
      </c>
      <c r="E279" s="17">
        <v>604.6</v>
      </c>
      <c r="F279" s="20">
        <v>5108.96</v>
      </c>
      <c r="G279" s="20">
        <v>0</v>
      </c>
      <c r="H279" s="20">
        <v>0</v>
      </c>
      <c r="I279" s="20">
        <f t="shared" si="495"/>
      </c>
      <c r="J279" s="21">
        <v>1016.28</v>
      </c>
      <c r="K279" s="22">
        <f t="shared" si="586"/>
      </c>
      <c r="L279" s="22">
        <f t="shared" si="256"/>
      </c>
      <c r="M279" s="23">
        <f t="shared" si="306"/>
      </c>
      <c r="N279" s="24">
        <f t="shared" si="325"/>
      </c>
      <c r="O279" s="25">
        <f t="shared" si="344"/>
      </c>
      <c r="P279" s="26">
        <f t="shared" si="29"/>
      </c>
      <c r="Q279" s="26">
        <f t="shared" si="48"/>
      </c>
      <c r="R279" s="26">
        <f t="shared" si="67"/>
      </c>
      <c r="S279" s="27">
        <f t="shared" si="86"/>
      </c>
      <c r="T279" s="28">
        <f t="shared" si="636"/>
      </c>
      <c r="U279" s="26">
        <f t="shared" si="674"/>
      </c>
      <c r="V279" s="29">
        <f t="shared" si="655"/>
      </c>
      <c r="W279" s="29">
        <f t="shared" si="693"/>
      </c>
      <c r="X279" s="26">
        <f t="shared" si="10"/>
      </c>
      <c r="Y279" s="30">
        <f t="shared" si="146"/>
      </c>
      <c r="Z279" s="30">
        <v>4</v>
      </c>
      <c r="AA279" s="30">
        <v>4</v>
      </c>
      <c r="AB279" s="31">
        <v>11444.76000000001</v>
      </c>
      <c r="AC279" s="31">
        <v>0</v>
      </c>
      <c r="AD279" s="27">
        <f t="shared" si="196"/>
      </c>
      <c r="AE279" s="32" t="s">
        <v>41</v>
      </c>
      <c r="AF279" s="33" t="s">
        <v>42</v>
      </c>
      <c r="AG279" s="34">
        <v>4</v>
      </c>
      <c r="AH279" s="35">
        <v>99550</v>
      </c>
      <c r="AI279" s="35">
        <v>1045</v>
      </c>
      <c r="AJ279" s="35">
        <v>1123</v>
      </c>
      <c r="AK279" s="36">
        <v>156</v>
      </c>
      <c r="AL279" s="36">
        <v>186</v>
      </c>
    </row>
    <row r="280">
      <c r="A280" s="15"/>
      <c r="B280" s="16" t="s">
        <v>48</v>
      </c>
      <c r="C280" s="17" t="s">
        <v>51</v>
      </c>
      <c r="D280" s="18">
        <f t="shared" si="404"/>
      </c>
      <c r="E280" s="17">
        <v>1621.32</v>
      </c>
      <c r="F280" s="17">
        <v>6433.32</v>
      </c>
      <c r="G280" s="20">
        <v>0</v>
      </c>
      <c r="H280" s="20">
        <v>0</v>
      </c>
      <c r="I280" s="20">
        <f t="shared" si="495"/>
      </c>
      <c r="J280" s="21">
        <v>1670.76</v>
      </c>
      <c r="K280" s="22">
        <f t="shared" si="586"/>
      </c>
      <c r="L280" s="22">
        <f t="shared" si="256"/>
      </c>
      <c r="M280" s="23">
        <f t="shared" si="306"/>
      </c>
      <c r="N280" s="24">
        <f t="shared" si="325"/>
      </c>
      <c r="O280" s="25">
        <f t="shared" si="344"/>
      </c>
      <c r="P280" s="26">
        <f t="shared" si="29"/>
      </c>
      <c r="Q280" s="26">
        <f t="shared" si="48"/>
      </c>
      <c r="R280" s="26">
        <f t="shared" si="67"/>
      </c>
      <c r="S280" s="27">
        <f t="shared" si="86"/>
      </c>
      <c r="T280" s="28">
        <f t="shared" si="636"/>
      </c>
      <c r="U280" s="26">
        <f t="shared" si="674"/>
      </c>
      <c r="V280" s="29">
        <f t="shared" si="655"/>
      </c>
      <c r="W280" s="29">
        <f t="shared" si="693"/>
      </c>
      <c r="X280" s="26">
        <f t="shared" si="10"/>
      </c>
      <c r="Y280" s="30">
        <f t="shared" si="146"/>
      </c>
      <c r="Z280" s="30">
        <v>6</v>
      </c>
      <c r="AA280" s="30">
        <v>6</v>
      </c>
      <c r="AB280" s="31">
        <v>7240.079999999987</v>
      </c>
      <c r="AC280" s="69">
        <v>0</v>
      </c>
      <c r="AD280" s="27">
        <f t="shared" si="196"/>
      </c>
      <c r="AE280" s="32" t="s">
        <v>41</v>
      </c>
      <c r="AF280" s="33" t="s">
        <v>42</v>
      </c>
      <c r="AG280" s="36">
        <v>6</v>
      </c>
      <c r="AH280" s="35">
        <v>141136</v>
      </c>
      <c r="AI280" s="35">
        <v>1642</v>
      </c>
      <c r="AJ280" s="35">
        <v>1726</v>
      </c>
      <c r="AK280" s="36">
        <v>217</v>
      </c>
      <c r="AL280" s="36">
        <v>273</v>
      </c>
    </row>
    <row r="281">
      <c r="A281" s="15"/>
      <c r="B281" s="16" t="s">
        <v>48</v>
      </c>
      <c r="C281" s="17" t="s">
        <v>52</v>
      </c>
      <c r="D281" s="18">
        <f t="shared" si="404"/>
      </c>
      <c r="E281" s="17">
        <v>1140.73</v>
      </c>
      <c r="F281" s="20">
        <v>3578.14</v>
      </c>
      <c r="G281" s="20">
        <v>0</v>
      </c>
      <c r="H281" s="20">
        <v>0</v>
      </c>
      <c r="I281" s="20">
        <f t="shared" si="495"/>
      </c>
      <c r="J281" s="21">
        <f>668.52+2917.08</f>
      </c>
      <c r="K281" s="22">
        <f t="shared" si="586"/>
      </c>
      <c r="L281" s="22">
        <f t="shared" si="256"/>
      </c>
      <c r="M281" s="23">
        <f t="shared" si="306"/>
      </c>
      <c r="N281" s="24">
        <f t="shared" si="325"/>
      </c>
      <c r="O281" s="25">
        <f t="shared" si="344"/>
      </c>
      <c r="P281" s="26">
        <f t="shared" si="29"/>
      </c>
      <c r="Q281" s="26">
        <f t="shared" si="48"/>
      </c>
      <c r="R281" s="26">
        <f t="shared" si="67"/>
      </c>
      <c r="S281" s="27">
        <f t="shared" si="86"/>
      </c>
      <c r="T281" s="28">
        <f t="shared" si="636"/>
      </c>
      <c r="U281" s="26">
        <f t="shared" si="674"/>
      </c>
      <c r="V281" s="29">
        <f t="shared" si="655"/>
      </c>
      <c r="W281" s="29">
        <f t="shared" si="693"/>
      </c>
      <c r="X281" s="26">
        <f t="shared" si="10"/>
      </c>
      <c r="Y281" s="30">
        <f t="shared" si="146"/>
      </c>
      <c r="Z281" s="30">
        <v>4</v>
      </c>
      <c r="AA281" s="30">
        <v>9</v>
      </c>
      <c r="AB281" s="70">
        <v>15463.080000000016</v>
      </c>
      <c r="AC281" s="74">
        <v>0</v>
      </c>
      <c r="AD281" s="72">
        <f t="shared" si="196"/>
      </c>
      <c r="AE281" s="32" t="s">
        <v>41</v>
      </c>
      <c r="AF281" s="33" t="s">
        <v>42</v>
      </c>
      <c r="AG281" s="34">
        <v>7</v>
      </c>
      <c r="AH281" s="35">
        <v>89623</v>
      </c>
      <c r="AI281" s="35">
        <v>1159</v>
      </c>
      <c r="AJ281" s="35">
        <v>1242</v>
      </c>
      <c r="AK281" s="36">
        <v>183</v>
      </c>
      <c r="AL281" s="36">
        <v>199</v>
      </c>
    </row>
    <row r="282">
      <c r="A282" s="15"/>
      <c r="B282" s="38" t="s">
        <v>47</v>
      </c>
      <c r="C282" s="39">
        <v>4</v>
      </c>
      <c r="D282" s="40">
        <f>SUM(D278:D281)</f>
      </c>
      <c r="E282" s="40">
        <f>SUM(E278:E281)</f>
      </c>
      <c r="F282" s="40">
        <f>SUM(F278:F281)</f>
      </c>
      <c r="G282" s="40">
        <f>SUM(G278:G281)</f>
      </c>
      <c r="H282" s="40">
        <f>SUM(H278:H281)</f>
      </c>
      <c r="I282" s="40">
        <f>SUM(I278:I281)</f>
      </c>
      <c r="J282" s="40">
        <f>SUM(J278:J281)</f>
      </c>
      <c r="K282" s="40">
        <f>SUM(K278:K281)</f>
      </c>
      <c r="L282" s="40">
        <f>SUM(L278:L281)</f>
      </c>
      <c r="M282" s="41">
        <f t="shared" si="306"/>
      </c>
      <c r="N282" s="42">
        <f t="shared" si="325"/>
      </c>
      <c r="O282" s="42">
        <f t="shared" si="344"/>
      </c>
      <c r="P282" s="43">
        <f t="shared" si="29"/>
      </c>
      <c r="Q282" s="43">
        <f t="shared" si="48"/>
      </c>
      <c r="R282" s="43">
        <f t="shared" si="67"/>
      </c>
      <c r="S282" s="44">
        <f t="shared" si="86"/>
      </c>
      <c r="T282" s="44">
        <f t="shared" si="636"/>
      </c>
      <c r="U282" s="43">
        <f t="shared" si="674"/>
      </c>
      <c r="V282" s="44">
        <f t="shared" si="655"/>
      </c>
      <c r="W282" s="44">
        <f t="shared" si="693"/>
      </c>
      <c r="X282" s="43">
        <f t="shared" si="10"/>
      </c>
      <c r="Y282" s="40">
        <f>SUM(Y278:Y281)</f>
      </c>
      <c r="Z282" s="40">
        <f>SUM(Z278:Z281)</f>
      </c>
      <c r="AA282" s="40">
        <f>SUM(AA278:AA281)</f>
      </c>
      <c r="AB282" s="40">
        <f>SUM(AB278:AB281)</f>
      </c>
      <c r="AC282" s="40">
        <f>SUM(AC278:AC281)</f>
      </c>
      <c r="AD282" s="45">
        <f t="shared" si="196"/>
      </c>
      <c r="AE282" s="46"/>
      <c r="AF282" s="47"/>
      <c r="AG282" s="40">
        <f>SUM(AG278:AG281)</f>
      </c>
      <c r="AH282" s="40">
        <f>SUM(AH278:AH281)</f>
      </c>
      <c r="AI282" s="40">
        <f>SUM(AI278:AI281)</f>
      </c>
      <c r="AJ282" s="40">
        <f>SUM(AJ278:AJ281)</f>
      </c>
      <c r="AK282" s="40">
        <f>SUM(AK278:AK281)</f>
      </c>
      <c r="AL282" s="40">
        <f>SUM(AL278:AL281)</f>
      </c>
    </row>
    <row r="283">
      <c r="A283" s="15"/>
      <c r="B283" s="16" t="s">
        <v>69</v>
      </c>
      <c r="C283" s="17" t="s">
        <v>54</v>
      </c>
      <c r="D283" s="18">
        <f t="shared" ref="D283:D284" si="405">E283+F283+G283+H283</f>
      </c>
      <c r="E283" s="17">
        <v>599.82</v>
      </c>
      <c r="F283" s="49">
        <v>6993.28</v>
      </c>
      <c r="G283" s="20">
        <v>0</v>
      </c>
      <c r="H283" s="20">
        <v>0</v>
      </c>
      <c r="I283" s="50">
        <f t="shared" ref="I283:I284" si="496">AB283+AC283</f>
      </c>
      <c r="J283" s="51">
        <v>0</v>
      </c>
      <c r="K283" s="22">
        <f t="shared" ref="K283:K284" si="587">I283-J283</f>
      </c>
      <c r="L283" s="22">
        <f t="shared" ref="L283:L284" si="257">(I283-AC283)/12+AC283</f>
      </c>
      <c r="M283" s="23">
        <f t="shared" si="306"/>
      </c>
      <c r="N283" s="24">
        <f t="shared" si="325"/>
      </c>
      <c r="O283" s="25">
        <f t="shared" si="344"/>
      </c>
      <c r="P283" s="26">
        <f t="shared" si="29"/>
      </c>
      <c r="Q283" s="26">
        <f t="shared" si="48"/>
      </c>
      <c r="R283" s="26">
        <f t="shared" si="67"/>
      </c>
      <c r="S283" s="27">
        <f t="shared" si="86"/>
      </c>
      <c r="T283" s="28">
        <f t="shared" si="636"/>
      </c>
      <c r="U283" s="26">
        <f t="shared" si="674"/>
      </c>
      <c r="V283" s="29">
        <f t="shared" si="655"/>
      </c>
      <c r="W283" s="29">
        <f t="shared" si="693"/>
      </c>
      <c r="X283" s="26">
        <f t="shared" si="10"/>
      </c>
      <c r="Y283" s="30">
        <f t="shared" ref="Y283:Y284" si="147">Z283+AA283</f>
      </c>
      <c r="Z283" s="30">
        <v>6</v>
      </c>
      <c r="AA283" s="30">
        <v>8</v>
      </c>
      <c r="AB283" s="31">
        <v>16184.880000000005</v>
      </c>
      <c r="AC283" s="31">
        <v>0</v>
      </c>
      <c r="AD283" s="27">
        <f t="shared" si="196"/>
      </c>
      <c r="AE283" s="32" t="s">
        <v>41</v>
      </c>
      <c r="AF283" s="33" t="s">
        <v>42</v>
      </c>
      <c r="AG283" s="34">
        <v>6</v>
      </c>
      <c r="AH283" s="35">
        <v>125583</v>
      </c>
      <c r="AI283" s="35">
        <v>1279</v>
      </c>
      <c r="AJ283" s="35">
        <v>1290</v>
      </c>
      <c r="AK283" s="36">
        <v>187</v>
      </c>
      <c r="AL283" s="36">
        <v>250</v>
      </c>
    </row>
    <row r="284">
      <c r="A284" s="15"/>
      <c r="B284" s="16" t="s">
        <v>69</v>
      </c>
      <c r="C284" s="17" t="s">
        <v>55</v>
      </c>
      <c r="D284" s="18">
        <f t="shared" si="405"/>
      </c>
      <c r="E284" s="52">
        <v>590.44</v>
      </c>
      <c r="F284" s="53">
        <v>7894.4</v>
      </c>
      <c r="G284" s="20">
        <v>0</v>
      </c>
      <c r="H284" s="20">
        <v>0</v>
      </c>
      <c r="I284" s="55">
        <f t="shared" si="496"/>
      </c>
      <c r="J284" s="51">
        <f>2917.08+716.04</f>
      </c>
      <c r="K284" s="22">
        <f t="shared" si="587"/>
      </c>
      <c r="L284" s="22">
        <f t="shared" si="257"/>
      </c>
      <c r="M284" s="23">
        <f t="shared" si="306"/>
      </c>
      <c r="N284" s="24">
        <f t="shared" si="325"/>
      </c>
      <c r="O284" s="25">
        <f t="shared" si="344"/>
      </c>
      <c r="P284" s="26">
        <f t="shared" si="29"/>
      </c>
      <c r="Q284" s="26">
        <f t="shared" si="48"/>
      </c>
      <c r="R284" s="26">
        <f t="shared" si="67"/>
      </c>
      <c r="S284" s="27">
        <f t="shared" si="86"/>
      </c>
      <c r="T284" s="28">
        <f t="shared" si="636"/>
      </c>
      <c r="U284" s="26">
        <f t="shared" si="674"/>
      </c>
      <c r="V284" s="29">
        <f t="shared" si="655"/>
      </c>
      <c r="W284" s="29">
        <f t="shared" si="693"/>
      </c>
      <c r="X284" s="26">
        <f t="shared" si="10"/>
      </c>
      <c r="Y284" s="56">
        <f t="shared" si="147"/>
      </c>
      <c r="Z284" s="30">
        <v>7</v>
      </c>
      <c r="AA284" s="30">
        <v>9</v>
      </c>
      <c r="AB284" s="57">
        <v>18728.28</v>
      </c>
      <c r="AC284" s="31">
        <v>0</v>
      </c>
      <c r="AD284" s="27">
        <f t="shared" si="196"/>
      </c>
      <c r="AE284" s="32" t="s">
        <v>41</v>
      </c>
      <c r="AF284" s="33" t="s">
        <v>56</v>
      </c>
      <c r="AG284" s="36">
        <v>7</v>
      </c>
      <c r="AH284" s="35">
        <v>171826</v>
      </c>
      <c r="AI284" s="35">
        <v>1600</v>
      </c>
      <c r="AJ284" s="35">
        <v>1630</v>
      </c>
      <c r="AK284" s="36">
        <v>242</v>
      </c>
      <c r="AL284" s="36">
        <v>312</v>
      </c>
    </row>
    <row r="285">
      <c r="A285" s="15"/>
      <c r="B285" s="38" t="s">
        <v>47</v>
      </c>
      <c r="C285" s="39">
        <v>2</v>
      </c>
      <c r="D285" s="58">
        <f>SUM(D283:D284)</f>
      </c>
      <c r="E285" s="58">
        <f>SUM(E283:E284)</f>
      </c>
      <c r="F285" s="58">
        <f>SUM(F283:F284)</f>
      </c>
      <c r="G285" s="58">
        <f>SUM(G283:G284)</f>
      </c>
      <c r="H285" s="58">
        <f>SUM(H283:H284)</f>
      </c>
      <c r="I285" s="58">
        <f>SUM(I283:I284)</f>
      </c>
      <c r="J285" s="58">
        <f>SUM(J283:J284)</f>
      </c>
      <c r="K285" s="58">
        <f>SUM(K283:K284)</f>
      </c>
      <c r="L285" s="58">
        <f>SUM(L283:L284)</f>
      </c>
      <c r="M285" s="41">
        <f t="shared" si="306"/>
      </c>
      <c r="N285" s="42">
        <f t="shared" si="325"/>
      </c>
      <c r="O285" s="42">
        <f t="shared" si="344"/>
      </c>
      <c r="P285" s="43">
        <f t="shared" si="29"/>
      </c>
      <c r="Q285" s="43">
        <f t="shared" si="48"/>
      </c>
      <c r="R285" s="43">
        <f t="shared" si="67"/>
      </c>
      <c r="S285" s="44">
        <f t="shared" si="86"/>
      </c>
      <c r="T285" s="44">
        <f t="shared" si="636"/>
      </c>
      <c r="U285" s="43">
        <f t="shared" si="674"/>
      </c>
      <c r="V285" s="44">
        <f t="shared" si="655"/>
      </c>
      <c r="W285" s="44">
        <f t="shared" si="693"/>
      </c>
      <c r="X285" s="43">
        <f t="shared" si="10"/>
      </c>
      <c r="Y285" s="58">
        <f>SUM(Y283:Y284)</f>
      </c>
      <c r="Z285" s="58">
        <f>SUM(Z283:Z284)</f>
      </c>
      <c r="AA285" s="58">
        <f>SUM(AA283:AA284)</f>
      </c>
      <c r="AB285" s="58">
        <f>SUM(AB283:AB284)</f>
      </c>
      <c r="AC285" s="58">
        <f>SUM(AC283:AC284)</f>
      </c>
      <c r="AD285" s="45">
        <f t="shared" si="196"/>
      </c>
      <c r="AE285" s="46"/>
      <c r="AF285" s="47"/>
      <c r="AG285" s="58">
        <f>SUM(AG283:AG284)</f>
      </c>
      <c r="AH285" s="58">
        <f>SUM(AH283:AH284)</f>
      </c>
      <c r="AI285" s="58">
        <f>SUM(AI283:AI284)</f>
      </c>
      <c r="AJ285" s="58">
        <f>SUM(AJ283:AJ284)</f>
      </c>
      <c r="AK285" s="58">
        <f>SUM(AK283:AK284)</f>
      </c>
      <c r="AL285" s="58">
        <f>SUM(AL283:AL284)</f>
      </c>
    </row>
    <row r="286">
      <c r="A286" s="15"/>
      <c r="B286" s="16" t="s">
        <v>39</v>
      </c>
      <c r="C286" s="17" t="s">
        <v>58</v>
      </c>
      <c r="D286" s="18">
        <f t="shared" ref="D286:D290" si="406">E286+F286+G286+H286</f>
      </c>
      <c r="E286" s="17">
        <v>304</v>
      </c>
      <c r="F286" s="49">
        <v>5399.35</v>
      </c>
      <c r="G286" s="20">
        <v>0</v>
      </c>
      <c r="H286" s="20">
        <v>0</v>
      </c>
      <c r="I286" s="50">
        <f t="shared" ref="I286:I290" si="497">AB286+AC286</f>
      </c>
      <c r="J286" s="51">
        <v>0</v>
      </c>
      <c r="K286" s="22">
        <f t="shared" ref="K286:K290" si="588">I286-J286</f>
      </c>
      <c r="L286" s="22">
        <f t="shared" ref="L286:L290" si="258">(I286-AC286)/12+AC286</f>
      </c>
      <c r="M286" s="23">
        <f t="shared" si="306"/>
      </c>
      <c r="N286" s="24">
        <f t="shared" si="325"/>
      </c>
      <c r="O286" s="25">
        <f t="shared" si="344"/>
      </c>
      <c r="P286" s="26">
        <f t="shared" si="29"/>
      </c>
      <c r="Q286" s="26">
        <f t="shared" si="48"/>
      </c>
      <c r="R286" s="26">
        <f t="shared" si="67"/>
      </c>
      <c r="S286" s="27">
        <f t="shared" si="86"/>
      </c>
      <c r="T286" s="28">
        <f t="shared" si="636"/>
      </c>
      <c r="U286" s="26">
        <f t="shared" si="674"/>
      </c>
      <c r="V286" s="29">
        <f t="shared" si="655"/>
      </c>
      <c r="W286" s="29">
        <f t="shared" si="693"/>
      </c>
      <c r="X286" s="26">
        <f t="shared" si="10"/>
      </c>
      <c r="Y286" s="30">
        <f t="shared" ref="Y286:Y290" si="148">Z286+AA286</f>
      </c>
      <c r="Z286" s="30">
        <v>6</v>
      </c>
      <c r="AA286" s="30">
        <v>5</v>
      </c>
      <c r="AB286" s="31">
        <v>14169.23999999999</v>
      </c>
      <c r="AC286" s="31">
        <v>0</v>
      </c>
      <c r="AD286" s="27">
        <f t="shared" si="196"/>
      </c>
      <c r="AE286" s="32" t="s">
        <v>41</v>
      </c>
      <c r="AF286" s="33" t="s">
        <v>56</v>
      </c>
      <c r="AG286" s="34">
        <v>5</v>
      </c>
      <c r="AH286" s="35">
        <v>112972</v>
      </c>
      <c r="AI286" s="35">
        <v>1342</v>
      </c>
      <c r="AJ286" s="35">
        <v>1409</v>
      </c>
      <c r="AK286" s="36">
        <v>140</v>
      </c>
      <c r="AL286" s="36">
        <v>213</v>
      </c>
    </row>
    <row customHeight="true" ht="16.666666666666668" r="287">
      <c r="A287" s="15"/>
      <c r="B287" s="16" t="s">
        <v>39</v>
      </c>
      <c r="C287" s="52" t="s">
        <v>59</v>
      </c>
      <c r="D287" s="18">
        <f t="shared" si="406"/>
      </c>
      <c r="E287" s="17">
        <v>273.15</v>
      </c>
      <c r="F287" s="49">
        <v>5173.14</v>
      </c>
      <c r="G287" s="20">
        <v>0</v>
      </c>
      <c r="H287" s="20">
        <v>0</v>
      </c>
      <c r="I287" s="50">
        <f t="shared" si="497"/>
      </c>
      <c r="J287" s="51">
        <v>0</v>
      </c>
      <c r="K287" s="22">
        <f t="shared" si="588"/>
      </c>
      <c r="L287" s="22">
        <f t="shared" si="258"/>
      </c>
      <c r="M287" s="23">
        <f t="shared" si="306"/>
      </c>
      <c r="N287" s="24">
        <f t="shared" si="325"/>
      </c>
      <c r="O287" s="25">
        <f t="shared" si="344"/>
      </c>
      <c r="P287" s="26">
        <f t="shared" si="29"/>
      </c>
      <c r="Q287" s="26">
        <f t="shared" si="48"/>
      </c>
      <c r="R287" s="26">
        <f t="shared" si="67"/>
      </c>
      <c r="S287" s="27">
        <f t="shared" si="86"/>
      </c>
      <c r="T287" s="28">
        <f t="shared" si="636"/>
      </c>
      <c r="U287" s="26">
        <f t="shared" si="674"/>
      </c>
      <c r="V287" s="29">
        <f t="shared" si="655"/>
      </c>
      <c r="W287" s="29">
        <f t="shared" si="693"/>
      </c>
      <c r="X287" s="26">
        <f t="shared" si="10"/>
      </c>
      <c r="Y287" s="30">
        <f t="shared" si="148"/>
      </c>
      <c r="Z287" s="30">
        <v>6</v>
      </c>
      <c r="AA287" s="30">
        <v>4</v>
      </c>
      <c r="AB287" s="31">
        <v>3445.2000000000116</v>
      </c>
      <c r="AC287" s="31">
        <v>0</v>
      </c>
      <c r="AD287" s="27">
        <f t="shared" si="196"/>
      </c>
      <c r="AE287" s="32" t="s">
        <v>41</v>
      </c>
      <c r="AF287" s="33" t="s">
        <v>56</v>
      </c>
      <c r="AG287" s="34">
        <v>3</v>
      </c>
      <c r="AH287" s="35">
        <v>112809</v>
      </c>
      <c r="AI287" s="35">
        <v>1229</v>
      </c>
      <c r="AJ287" s="35">
        <v>1256</v>
      </c>
      <c r="AK287" s="36">
        <v>163</v>
      </c>
      <c r="AL287" s="36">
        <v>200</v>
      </c>
    </row>
    <row r="288">
      <c r="A288" s="15"/>
      <c r="B288" s="16" t="s">
        <v>39</v>
      </c>
      <c r="C288" s="52" t="s">
        <v>60</v>
      </c>
      <c r="D288" s="18">
        <f t="shared" si="406"/>
      </c>
      <c r="E288" s="17">
        <v>653.76</v>
      </c>
      <c r="F288" s="49">
        <v>4549.11</v>
      </c>
      <c r="G288" s="20">
        <v>0</v>
      </c>
      <c r="H288" s="20">
        <v>0</v>
      </c>
      <c r="I288" s="50">
        <f t="shared" si="497"/>
      </c>
      <c r="J288" s="51">
        <v>0</v>
      </c>
      <c r="K288" s="22">
        <f t="shared" si="588"/>
      </c>
      <c r="L288" s="22">
        <f t="shared" si="258"/>
      </c>
      <c r="M288" s="23">
        <f t="shared" si="306"/>
      </c>
      <c r="N288" s="24">
        <f t="shared" si="325"/>
      </c>
      <c r="O288" s="25">
        <f t="shared" si="344"/>
      </c>
      <c r="P288" s="26">
        <f t="shared" si="29"/>
      </c>
      <c r="Q288" s="26">
        <f t="shared" si="48"/>
      </c>
      <c r="R288" s="26">
        <f t="shared" si="67"/>
      </c>
      <c r="S288" s="27">
        <f t="shared" si="86"/>
      </c>
      <c r="T288" s="28">
        <f t="shared" si="636"/>
      </c>
      <c r="U288" s="26">
        <f t="shared" si="674"/>
      </c>
      <c r="V288" s="29">
        <f t="shared" si="655"/>
      </c>
      <c r="W288" s="29">
        <f t="shared" si="693"/>
      </c>
      <c r="X288" s="26">
        <f t="shared" si="10"/>
      </c>
      <c r="Y288" s="30">
        <f t="shared" si="148"/>
      </c>
      <c r="Z288" s="30">
        <v>2</v>
      </c>
      <c r="AA288" s="30">
        <v>4</v>
      </c>
      <c r="AB288" s="31">
        <v>5496.119999999995</v>
      </c>
      <c r="AC288" s="31">
        <v>1437</v>
      </c>
      <c r="AD288" s="27">
        <f t="shared" si="196"/>
      </c>
      <c r="AE288" s="32" t="s">
        <v>41</v>
      </c>
      <c r="AF288" s="33" t="s">
        <v>56</v>
      </c>
      <c r="AG288" s="36">
        <v>3</v>
      </c>
      <c r="AH288" s="35">
        <v>86067</v>
      </c>
      <c r="AI288" s="35">
        <v>1258</v>
      </c>
      <c r="AJ288" s="35">
        <v>1296</v>
      </c>
      <c r="AK288" s="36">
        <v>118</v>
      </c>
      <c r="AL288" s="36">
        <v>142</v>
      </c>
    </row>
    <row r="289">
      <c r="A289" s="15"/>
      <c r="B289" s="16" t="s">
        <v>39</v>
      </c>
      <c r="C289" s="52" t="s">
        <v>61</v>
      </c>
      <c r="D289" s="18">
        <f t="shared" si="406"/>
      </c>
      <c r="E289" s="17">
        <v>466.91</v>
      </c>
      <c r="F289" s="49">
        <v>6146.99</v>
      </c>
      <c r="G289" s="20">
        <v>0</v>
      </c>
      <c r="H289" s="20">
        <v>0</v>
      </c>
      <c r="I289" s="50">
        <f t="shared" si="497"/>
      </c>
      <c r="J289" s="51">
        <f>646.92+1126.44</f>
      </c>
      <c r="K289" s="22">
        <f t="shared" si="588"/>
      </c>
      <c r="L289" s="22">
        <f t="shared" si="258"/>
      </c>
      <c r="M289" s="23">
        <f t="shared" si="306"/>
      </c>
      <c r="N289" s="24">
        <f t="shared" si="325"/>
      </c>
      <c r="O289" s="25">
        <f t="shared" si="344"/>
      </c>
      <c r="P289" s="26">
        <f t="shared" si="29"/>
      </c>
      <c r="Q289" s="26">
        <f t="shared" si="48"/>
      </c>
      <c r="R289" s="26">
        <f t="shared" si="67"/>
      </c>
      <c r="S289" s="27">
        <f t="shared" si="86"/>
      </c>
      <c r="T289" s="28">
        <f t="shared" si="636"/>
      </c>
      <c r="U289" s="26">
        <f t="shared" si="674"/>
      </c>
      <c r="V289" s="29">
        <f t="shared" si="655"/>
      </c>
      <c r="W289" s="29">
        <f t="shared" si="693"/>
      </c>
      <c r="X289" s="26">
        <f t="shared" si="10"/>
      </c>
      <c r="Y289" s="30">
        <f t="shared" si="148"/>
      </c>
      <c r="Z289" s="30">
        <v>4</v>
      </c>
      <c r="AA289" s="30">
        <v>5</v>
      </c>
      <c r="AB289" s="31">
        <v>12233.160000000003</v>
      </c>
      <c r="AC289" s="31">
        <v>0</v>
      </c>
      <c r="AD289" s="27">
        <f t="shared" si="196"/>
      </c>
      <c r="AE289" s="32" t="s">
        <v>41</v>
      </c>
      <c r="AF289" s="33" t="s">
        <v>56</v>
      </c>
      <c r="AG289" s="34">
        <v>5</v>
      </c>
      <c r="AH289" s="35">
        <v>151531</v>
      </c>
      <c r="AI289" s="35">
        <v>2049</v>
      </c>
      <c r="AJ289" s="35">
        <v>2124</v>
      </c>
      <c r="AK289" s="36">
        <v>201</v>
      </c>
      <c r="AL289" s="34">
        <v>219</v>
      </c>
    </row>
    <row r="290">
      <c r="A290" s="15"/>
      <c r="B290" s="16" t="s">
        <v>39</v>
      </c>
      <c r="C290" s="17" t="s">
        <v>63</v>
      </c>
      <c r="D290" s="18">
        <f t="shared" si="406"/>
      </c>
      <c r="E290" s="17">
        <v>573.02</v>
      </c>
      <c r="F290" s="49">
        <v>9642.86</v>
      </c>
      <c r="G290" s="20">
        <v>0</v>
      </c>
      <c r="H290" s="20">
        <v>0</v>
      </c>
      <c r="I290" s="50">
        <f t="shared" si="497"/>
      </c>
      <c r="J290" s="51">
        <v>1245.24</v>
      </c>
      <c r="K290" s="22">
        <f t="shared" si="588"/>
      </c>
      <c r="L290" s="22">
        <f t="shared" si="258"/>
      </c>
      <c r="M290" s="23">
        <f t="shared" si="306"/>
      </c>
      <c r="N290" s="24">
        <f t="shared" si="325"/>
      </c>
      <c r="O290" s="25">
        <f t="shared" si="344"/>
      </c>
      <c r="P290" s="26">
        <f t="shared" si="29"/>
      </c>
      <c r="Q290" s="26">
        <f t="shared" si="48"/>
      </c>
      <c r="R290" s="26">
        <f t="shared" si="67"/>
      </c>
      <c r="S290" s="27">
        <f t="shared" si="86"/>
      </c>
      <c r="T290" s="28">
        <f t="shared" si="636"/>
      </c>
      <c r="U290" s="26">
        <f t="shared" si="674"/>
      </c>
      <c r="V290" s="29">
        <f t="shared" si="655"/>
      </c>
      <c r="W290" s="29">
        <f t="shared" si="693"/>
      </c>
      <c r="X290" s="26">
        <f t="shared" si="10"/>
      </c>
      <c r="Y290" s="30">
        <f t="shared" si="148"/>
      </c>
      <c r="Z290" s="30">
        <v>6</v>
      </c>
      <c r="AA290" s="30">
        <v>11</v>
      </c>
      <c r="AB290" s="31">
        <f>21081.6+1109.16</f>
      </c>
      <c r="AC290" s="31">
        <v>0</v>
      </c>
      <c r="AD290" s="27">
        <f t="shared" si="196"/>
      </c>
      <c r="AE290" s="32" t="s">
        <v>41</v>
      </c>
      <c r="AF290" s="33" t="s">
        <v>56</v>
      </c>
      <c r="AG290" s="34">
        <v>9</v>
      </c>
      <c r="AH290" s="35">
        <v>188482</v>
      </c>
      <c r="AI290" s="35">
        <v>3231</v>
      </c>
      <c r="AJ290" s="35">
        <v>3308</v>
      </c>
      <c r="AK290" s="36">
        <v>270</v>
      </c>
      <c r="AL290" s="34">
        <v>327</v>
      </c>
    </row>
    <row r="291">
      <c r="A291" s="15"/>
      <c r="B291" s="38" t="s">
        <v>47</v>
      </c>
      <c r="C291" s="39">
        <v>5</v>
      </c>
      <c r="D291" s="40">
        <f>SUM(D286:D290)</f>
      </c>
      <c r="E291" s="40">
        <f>SUM(E286:E290)</f>
      </c>
      <c r="F291" s="40">
        <f>SUM(F286:F290)</f>
      </c>
      <c r="G291" s="40">
        <f>SUM(G286:G290)</f>
      </c>
      <c r="H291" s="40">
        <f>SUM(H286:H290)</f>
      </c>
      <c r="I291" s="40">
        <f>SUM(I286:I290)</f>
      </c>
      <c r="J291" s="40">
        <f>SUM(J286:J290)</f>
      </c>
      <c r="K291" s="40">
        <f>SUM(K286:K290)</f>
      </c>
      <c r="L291" s="40">
        <f>SUM(L286:L290)</f>
      </c>
      <c r="M291" s="41">
        <f t="shared" si="306"/>
      </c>
      <c r="N291" s="42">
        <f t="shared" si="325"/>
      </c>
      <c r="O291" s="42">
        <f t="shared" si="344"/>
      </c>
      <c r="P291" s="43">
        <f t="shared" si="29"/>
      </c>
      <c r="Q291" s="43">
        <f t="shared" si="48"/>
      </c>
      <c r="R291" s="43">
        <f t="shared" si="67"/>
      </c>
      <c r="S291" s="44">
        <f t="shared" si="86"/>
      </c>
      <c r="T291" s="44">
        <f t="shared" si="636"/>
      </c>
      <c r="U291" s="43">
        <f t="shared" si="674"/>
      </c>
      <c r="V291" s="44">
        <f t="shared" si="655"/>
      </c>
      <c r="W291" s="44">
        <f t="shared" si="693"/>
      </c>
      <c r="X291" s="43">
        <f t="shared" si="10"/>
      </c>
      <c r="Y291" s="40">
        <f>SUM(Y286:Y290)</f>
      </c>
      <c r="Z291" s="40">
        <f>SUM(Z286:Z290)</f>
      </c>
      <c r="AA291" s="40">
        <f>SUM(AA286:AA290)</f>
      </c>
      <c r="AB291" s="40">
        <f>SUM(AB286:AB290)</f>
      </c>
      <c r="AC291" s="40">
        <f>SUM(AC286:AC290)</f>
      </c>
      <c r="AD291" s="45">
        <f t="shared" si="196"/>
      </c>
      <c r="AE291" s="46"/>
      <c r="AF291" s="47"/>
      <c r="AG291" s="40">
        <f>SUM(AG286:AG290)</f>
      </c>
      <c r="AH291" s="40">
        <f>SUM(AH286:AH290)</f>
      </c>
      <c r="AI291" s="40">
        <f>SUM(AI286:AI290)</f>
      </c>
      <c r="AJ291" s="40">
        <f>SUM(AJ286:AJ290)</f>
      </c>
      <c r="AK291" s="40">
        <f>SUM(AK286:AK290)</f>
      </c>
      <c r="AL291" s="40">
        <f>SUM(AL286:AL290)</f>
      </c>
    </row>
    <row r="292">
      <c r="A292" s="15"/>
      <c r="B292" s="16" t="s">
        <v>57</v>
      </c>
      <c r="C292" s="52" t="s">
        <v>64</v>
      </c>
      <c r="D292" s="18">
        <f t="shared" ref="D292:D295" si="407">E292+F292+G292+H292</f>
      </c>
      <c r="E292" s="17">
        <v>819.06</v>
      </c>
      <c r="F292" s="17">
        <v>7421.63</v>
      </c>
      <c r="G292" s="20">
        <v>0</v>
      </c>
      <c r="H292" s="20">
        <v>0</v>
      </c>
      <c r="I292" s="20">
        <f t="shared" ref="I292:I295" si="498">AB292+AC292</f>
      </c>
      <c r="J292" s="21">
        <v>0</v>
      </c>
      <c r="K292" s="22">
        <f t="shared" ref="K292:K295" si="589">I292-J292</f>
      </c>
      <c r="L292" s="22">
        <f t="shared" ref="L292:L295" si="259">(I292-AC292)/12+AC292</f>
      </c>
      <c r="M292" s="23">
        <f t="shared" si="306"/>
      </c>
      <c r="N292" s="24">
        <f t="shared" si="325"/>
      </c>
      <c r="O292" s="25">
        <f t="shared" si="344"/>
      </c>
      <c r="P292" s="26">
        <f t="shared" si="29"/>
      </c>
      <c r="Q292" s="26">
        <f t="shared" si="48"/>
      </c>
      <c r="R292" s="26">
        <f t="shared" si="67"/>
      </c>
      <c r="S292" s="27">
        <f t="shared" si="86"/>
      </c>
      <c r="T292" s="28">
        <f t="shared" si="636"/>
      </c>
      <c r="U292" s="26">
        <f t="shared" si="674"/>
      </c>
      <c r="V292" s="29">
        <f t="shared" si="655"/>
      </c>
      <c r="W292" s="29">
        <f t="shared" si="693"/>
      </c>
      <c r="X292" s="26">
        <f t="shared" si="10"/>
      </c>
      <c r="Y292" s="30">
        <f t="shared" ref="Y292:Y295" si="149">Z292+AA292</f>
      </c>
      <c r="Z292" s="30">
        <v>8</v>
      </c>
      <c r="AA292" s="30">
        <v>5</v>
      </c>
      <c r="AB292" s="31">
        <v>6327.479999999981</v>
      </c>
      <c r="AC292" s="31">
        <v>0</v>
      </c>
      <c r="AD292" s="27">
        <f t="shared" si="196"/>
      </c>
      <c r="AE292" s="32" t="s">
        <v>41</v>
      </c>
      <c r="AF292" s="33" t="s">
        <v>56</v>
      </c>
      <c r="AG292" s="36">
        <v>4</v>
      </c>
      <c r="AH292" s="35">
        <v>151097</v>
      </c>
      <c r="AI292" s="35">
        <v>3265</v>
      </c>
      <c r="AJ292" s="35">
        <v>3430</v>
      </c>
      <c r="AK292" s="36">
        <v>283</v>
      </c>
      <c r="AL292" s="36">
        <v>321</v>
      </c>
    </row>
    <row r="293">
      <c r="A293" s="15"/>
      <c r="B293" s="16" t="s">
        <v>57</v>
      </c>
      <c r="C293" s="52" t="s">
        <v>65</v>
      </c>
      <c r="D293" s="18">
        <f t="shared" si="407"/>
      </c>
      <c r="E293" s="17">
        <v>857.92</v>
      </c>
      <c r="F293" s="17">
        <v>7622.75</v>
      </c>
      <c r="G293" s="20">
        <v>0</v>
      </c>
      <c r="H293" s="20">
        <v>0</v>
      </c>
      <c r="I293" s="20">
        <f t="shared" si="498"/>
      </c>
      <c r="J293" s="21">
        <v>0</v>
      </c>
      <c r="K293" s="22">
        <f t="shared" si="589"/>
      </c>
      <c r="L293" s="22">
        <f t="shared" si="259"/>
      </c>
      <c r="M293" s="23">
        <f t="shared" si="306"/>
      </c>
      <c r="N293" s="24">
        <f t="shared" si="325"/>
      </c>
      <c r="O293" s="25">
        <f t="shared" si="344"/>
      </c>
      <c r="P293" s="26">
        <f t="shared" si="29"/>
      </c>
      <c r="Q293" s="26">
        <f t="shared" si="48"/>
      </c>
      <c r="R293" s="26">
        <f t="shared" si="67"/>
      </c>
      <c r="S293" s="27">
        <f t="shared" si="86"/>
      </c>
      <c r="T293" s="28">
        <f t="shared" si="636"/>
      </c>
      <c r="U293" s="26">
        <f t="shared" si="674"/>
      </c>
      <c r="V293" s="29">
        <f t="shared" si="655"/>
      </c>
      <c r="W293" s="29">
        <f t="shared" si="693"/>
      </c>
      <c r="X293" s="26">
        <f t="shared" si="10"/>
      </c>
      <c r="Y293" s="30">
        <f t="shared" si="149"/>
      </c>
      <c r="Z293" s="30">
        <v>6</v>
      </c>
      <c r="AA293" s="30">
        <v>4</v>
      </c>
      <c r="AB293" s="31">
        <v>6861.239999999991</v>
      </c>
      <c r="AC293" s="31">
        <v>0</v>
      </c>
      <c r="AD293" s="27">
        <f t="shared" si="196"/>
      </c>
      <c r="AE293" s="32" t="s">
        <v>41</v>
      </c>
      <c r="AF293" s="33" t="s">
        <v>56</v>
      </c>
      <c r="AG293" s="36">
        <v>4</v>
      </c>
      <c r="AH293" s="35">
        <v>143643</v>
      </c>
      <c r="AI293" s="35">
        <v>2796</v>
      </c>
      <c r="AJ293" s="35">
        <v>2830</v>
      </c>
      <c r="AK293" s="36">
        <v>187</v>
      </c>
      <c r="AL293" s="36">
        <v>213</v>
      </c>
    </row>
    <row r="294">
      <c r="A294" s="15"/>
      <c r="B294" s="16" t="s">
        <v>57</v>
      </c>
      <c r="C294" s="17" t="s">
        <v>66</v>
      </c>
      <c r="D294" s="18">
        <f t="shared" si="407"/>
      </c>
      <c r="E294" s="17">
        <v>791.18</v>
      </c>
      <c r="F294" s="20">
        <v>4845.05</v>
      </c>
      <c r="G294" s="20">
        <v>0</v>
      </c>
      <c r="H294" s="20">
        <v>0</v>
      </c>
      <c r="I294" s="37">
        <f t="shared" si="498"/>
      </c>
      <c r="J294" s="21">
        <v>0</v>
      </c>
      <c r="K294" s="22">
        <f t="shared" si="589"/>
      </c>
      <c r="L294" s="22">
        <f t="shared" si="259"/>
      </c>
      <c r="M294" s="23">
        <f t="shared" si="306"/>
      </c>
      <c r="N294" s="24">
        <f t="shared" si="325"/>
      </c>
      <c r="O294" s="25">
        <f t="shared" si="344"/>
      </c>
      <c r="P294" s="26">
        <f t="shared" si="29"/>
      </c>
      <c r="Q294" s="26">
        <f t="shared" si="48"/>
      </c>
      <c r="R294" s="26">
        <f t="shared" si="67"/>
      </c>
      <c r="S294" s="27">
        <f t="shared" si="86"/>
      </c>
      <c r="T294" s="28">
        <f t="shared" si="636"/>
      </c>
      <c r="U294" s="26">
        <f t="shared" si="674"/>
      </c>
      <c r="V294" s="29">
        <f t="shared" si="655"/>
      </c>
      <c r="W294" s="29">
        <f t="shared" si="693"/>
      </c>
      <c r="X294" s="26">
        <f t="shared" si="10"/>
      </c>
      <c r="Y294" s="30">
        <f t="shared" si="149"/>
      </c>
      <c r="Z294" s="30">
        <v>3</v>
      </c>
      <c r="AA294" s="30">
        <v>6</v>
      </c>
      <c r="AB294" s="31">
        <v>9284.64</v>
      </c>
      <c r="AC294" s="31">
        <v>0</v>
      </c>
      <c r="AD294" s="27">
        <f t="shared" si="196"/>
      </c>
      <c r="AE294" s="32" t="s">
        <v>41</v>
      </c>
      <c r="AF294" s="33" t="s">
        <v>56</v>
      </c>
      <c r="AG294" s="34">
        <v>4</v>
      </c>
      <c r="AH294" s="35">
        <v>150446</v>
      </c>
      <c r="AI294" s="35">
        <v>1931</v>
      </c>
      <c r="AJ294" s="35">
        <v>2122</v>
      </c>
      <c r="AK294" s="36">
        <v>206</v>
      </c>
      <c r="AL294" s="36">
        <v>204</v>
      </c>
    </row>
    <row r="295">
      <c r="A295" s="15"/>
      <c r="B295" s="16" t="s">
        <v>57</v>
      </c>
      <c r="C295" s="17" t="s">
        <v>67</v>
      </c>
      <c r="D295" s="18">
        <f t="shared" si="407"/>
      </c>
      <c r="E295" s="19">
        <f>412.02+0.55</f>
      </c>
      <c r="F295" s="20">
        <v>2358.98</v>
      </c>
      <c r="G295" s="20">
        <v>0</v>
      </c>
      <c r="H295" s="20">
        <v>0</v>
      </c>
      <c r="I295" s="20">
        <f t="shared" si="498"/>
      </c>
      <c r="J295" s="21">
        <v>0</v>
      </c>
      <c r="K295" s="22">
        <f t="shared" si="589"/>
      </c>
      <c r="L295" s="22">
        <f t="shared" si="259"/>
      </c>
      <c r="M295" s="23">
        <f t="shared" si="306"/>
      </c>
      <c r="N295" s="24">
        <f t="shared" si="325"/>
      </c>
      <c r="O295" s="25">
        <f t="shared" si="344"/>
      </c>
      <c r="P295" s="26">
        <f t="shared" si="29"/>
      </c>
      <c r="Q295" s="26">
        <f t="shared" si="48"/>
      </c>
      <c r="R295" s="26">
        <f t="shared" si="67"/>
      </c>
      <c r="S295" s="27">
        <f t="shared" si="86"/>
      </c>
      <c r="T295" s="28">
        <f t="shared" si="636"/>
      </c>
      <c r="U295" s="26">
        <f t="shared" si="674"/>
      </c>
      <c r="V295" s="29">
        <f t="shared" si="655"/>
      </c>
      <c r="W295" s="29">
        <f t="shared" si="693"/>
      </c>
      <c r="X295" s="26">
        <f t="shared" si="10"/>
      </c>
      <c r="Y295" s="30">
        <f t="shared" si="149"/>
      </c>
      <c r="Z295" s="30">
        <v>2</v>
      </c>
      <c r="AA295" s="30">
        <v>4</v>
      </c>
      <c r="AB295" s="31">
        <v>1126.4400000000005</v>
      </c>
      <c r="AC295" s="31">
        <v>7415.7</v>
      </c>
      <c r="AD295" s="27">
        <f t="shared" si="196"/>
      </c>
      <c r="AE295" s="32" t="s">
        <v>41</v>
      </c>
      <c r="AF295" s="33" t="s">
        <v>56</v>
      </c>
      <c r="AG295" s="34">
        <v>3</v>
      </c>
      <c r="AH295" s="35">
        <v>37027</v>
      </c>
      <c r="AI295" s="35">
        <v>975</v>
      </c>
      <c r="AJ295" s="35">
        <v>1048</v>
      </c>
      <c r="AK295" s="34">
        <v>119</v>
      </c>
      <c r="AL295" s="34">
        <v>85</v>
      </c>
    </row>
    <row r="296">
      <c r="A296" s="15"/>
      <c r="B296" s="38" t="s">
        <v>47</v>
      </c>
      <c r="C296" s="39">
        <v>4</v>
      </c>
      <c r="D296" s="40">
        <f>SUM(D292:D295)</f>
      </c>
      <c r="E296" s="40">
        <f>SUM(E292:E295)</f>
      </c>
      <c r="F296" s="40">
        <f>SUM(F292:F295)</f>
      </c>
      <c r="G296" s="40">
        <f>SUM(G292:G295)</f>
      </c>
      <c r="H296" s="40">
        <f>SUM(H292:H295)</f>
      </c>
      <c r="I296" s="40">
        <f>SUM(I292:I295)</f>
      </c>
      <c r="J296" s="40">
        <f>SUM(J292:J295)</f>
      </c>
      <c r="K296" s="40">
        <f>SUM(K292:K295)</f>
      </c>
      <c r="L296" s="40">
        <f>SUM(L292:L295)</f>
      </c>
      <c r="M296" s="41">
        <f t="shared" si="306"/>
      </c>
      <c r="N296" s="42">
        <f t="shared" si="325"/>
      </c>
      <c r="O296" s="42">
        <f t="shared" si="344"/>
      </c>
      <c r="P296" s="43">
        <f t="shared" si="29"/>
      </c>
      <c r="Q296" s="43">
        <f t="shared" si="48"/>
      </c>
      <c r="R296" s="43">
        <f t="shared" si="67"/>
      </c>
      <c r="S296" s="44">
        <f t="shared" si="86"/>
      </c>
      <c r="T296" s="44">
        <f t="shared" si="636"/>
      </c>
      <c r="U296" s="43">
        <f t="shared" si="674"/>
      </c>
      <c r="V296" s="44">
        <f t="shared" si="655"/>
      </c>
      <c r="W296" s="44">
        <f t="shared" si="693"/>
      </c>
      <c r="X296" s="43">
        <f t="shared" si="10"/>
      </c>
      <c r="Y296" s="40">
        <f>SUM(Y292:Y295)</f>
      </c>
      <c r="Z296" s="40">
        <f>SUM(Z292:Z295)</f>
      </c>
      <c r="AA296" s="40">
        <f>SUM(AA292:AA295)</f>
      </c>
      <c r="AB296" s="40">
        <f>SUM(AB292:AB295)</f>
      </c>
      <c r="AC296" s="40">
        <f>SUM(AC292:AC295)</f>
      </c>
      <c r="AD296" s="59">
        <f t="shared" si="196"/>
      </c>
      <c r="AE296" s="46"/>
      <c r="AF296" s="47"/>
      <c r="AG296" s="40">
        <f>SUM(AG292:AG295)</f>
      </c>
      <c r="AH296" s="40">
        <f>SUM(AH292:AH295)</f>
      </c>
      <c r="AI296" s="40">
        <f>SUM(AI292:AI295)</f>
      </c>
      <c r="AJ296" s="40">
        <f>SUM(AJ292:AJ295)</f>
      </c>
      <c r="AK296" s="40">
        <f>SUM(AK292:AK295)</f>
      </c>
      <c r="AL296" s="40">
        <f>SUM(AL292:AL295)</f>
      </c>
    </row>
    <row r="297">
      <c r="A297" s="15"/>
      <c r="B297" s="60" t="s">
        <v>47</v>
      </c>
      <c r="C297" s="61">
        <f>C277+C282+C285+C291+C296</f>
      </c>
      <c r="D297" s="62">
        <f>D277+D282+D285+D291+D296</f>
      </c>
      <c r="E297" s="61">
        <f>E277+E282+E285+E291+E296</f>
      </c>
      <c r="F297" s="61">
        <f>F277+F282+F285+F291+F296</f>
      </c>
      <c r="G297" s="61">
        <f>G277+G282+G285+G291+G296</f>
      </c>
      <c r="H297" s="61">
        <f>H277+H282+H285+H291+H296</f>
      </c>
      <c r="I297" s="62">
        <f>I277+I282+I285+I291+I296</f>
      </c>
      <c r="J297" s="61">
        <f>J277+J282+J285+J291+J296</f>
      </c>
      <c r="K297" s="61">
        <f>K277+K282+K285+K291+K296</f>
      </c>
      <c r="L297" s="61">
        <f>L277+L282+L285+L291+L296</f>
      </c>
      <c r="M297" s="63">
        <f t="shared" si="306"/>
      </c>
      <c r="N297" s="63">
        <f t="shared" si="325"/>
      </c>
      <c r="O297" s="63">
        <f t="shared" si="344"/>
      </c>
      <c r="P297" s="63">
        <f t="shared" si="29"/>
      </c>
      <c r="Q297" s="63">
        <f t="shared" si="48"/>
      </c>
      <c r="R297" s="63">
        <f t="shared" si="67"/>
      </c>
      <c r="S297" s="64">
        <f t="shared" si="86"/>
      </c>
      <c r="T297" s="64">
        <f t="shared" si="636"/>
      </c>
      <c r="U297" s="63">
        <f t="shared" si="674"/>
      </c>
      <c r="V297" s="64">
        <f t="shared" si="655"/>
      </c>
      <c r="W297" s="64">
        <f t="shared" si="693"/>
      </c>
      <c r="X297" s="63">
        <f t="shared" si="10"/>
      </c>
      <c r="Y297" s="61">
        <f>Y277+Y282+Y285+Y291+Y296</f>
      </c>
      <c r="Z297" s="61">
        <f>Z277+Z282+Z285+Z291+Z296</f>
      </c>
      <c r="AA297" s="62">
        <f>AA277+AA282+AA285+AA291+AA296</f>
      </c>
      <c r="AB297" s="61">
        <f>AB277+AB282+AB285+AB291+AB296</f>
      </c>
      <c r="AC297" s="65">
        <f>AC277+AC282+AC285+AC291+AC296</f>
      </c>
      <c r="AD297" s="66">
        <f t="shared" si="196"/>
      </c>
      <c r="AE297" s="67"/>
      <c r="AF297" s="60"/>
      <c r="AG297" s="61">
        <f>AG277+AG282+AG285+AG291+AG296</f>
      </c>
      <c r="AH297" s="61">
        <f>AH277+AH282+AH285+AH291+AH296</f>
      </c>
      <c r="AI297" s="61">
        <f>AI277+AI282+AI285+AI291+AI296</f>
      </c>
      <c r="AJ297" s="61">
        <f>AJ277+AJ282+AJ285+AJ291+AJ296</f>
      </c>
      <c r="AK297" s="61">
        <f>AK277+AK282+AK285+AK291+AK296</f>
      </c>
      <c r="AL297" s="61">
        <f>AL277+AL282+AL285+AL291+AL296</f>
      </c>
    </row>
    <row r="298">
      <c r="A298" s="1" t="s">
        <v>1</v>
      </c>
      <c r="B298" s="2" t="s">
        <v>2</v>
      </c>
      <c r="C298" s="2" t="s">
        <v>3</v>
      </c>
      <c r="D298" s="3" t="s">
        <v>4</v>
      </c>
      <c r="E298" s="2" t="s">
        <v>5</v>
      </c>
      <c r="F298" s="2" t="s">
        <v>6</v>
      </c>
      <c r="G298" s="4" t="s">
        <v>7</v>
      </c>
      <c r="H298" s="4" t="s">
        <v>8</v>
      </c>
      <c r="I298" s="3" t="s">
        <v>9</v>
      </c>
      <c r="J298" s="5" t="s">
        <v>10</v>
      </c>
      <c r="K298" s="6" t="s">
        <v>11</v>
      </c>
      <c r="L298" s="6" t="s">
        <v>12</v>
      </c>
      <c r="M298" s="7" t="s">
        <v>13</v>
      </c>
      <c r="N298" s="6" t="s">
        <v>14</v>
      </c>
      <c r="O298" s="2" t="s">
        <v>15</v>
      </c>
      <c r="P298" s="7" t="s">
        <v>16</v>
      </c>
      <c r="Q298" s="8" t="s">
        <v>17</v>
      </c>
      <c r="R298" s="8" t="s">
        <v>18</v>
      </c>
      <c r="S298" s="3" t="s">
        <v>19</v>
      </c>
      <c r="T298" s="9" t="s">
        <v>20</v>
      </c>
      <c r="U298" s="7" t="s">
        <v>21</v>
      </c>
      <c r="V298" s="10" t="s">
        <v>22</v>
      </c>
      <c r="W298" s="11" t="s">
        <v>23</v>
      </c>
      <c r="X298" s="7" t="s">
        <v>24</v>
      </c>
      <c r="Y298" s="12" t="s">
        <v>25</v>
      </c>
      <c r="Z298" s="13" t="s">
        <v>26</v>
      </c>
      <c r="AA298" s="12" t="s">
        <v>27</v>
      </c>
      <c r="AB298" s="14" t="s">
        <v>28</v>
      </c>
      <c r="AC298" s="14" t="s">
        <v>29</v>
      </c>
      <c r="AD298" s="6" t="s">
        <v>30</v>
      </c>
      <c r="AE298" s="5" t="s">
        <v>31</v>
      </c>
      <c r="AF298" s="6" t="s">
        <v>32</v>
      </c>
      <c r="AG298" s="5" t="s">
        <v>33</v>
      </c>
      <c r="AH298" s="5" t="s">
        <v>34</v>
      </c>
      <c r="AI298" s="6" t="s">
        <v>35</v>
      </c>
      <c r="AJ298" s="5" t="s">
        <v>36</v>
      </c>
      <c r="AK298" s="6" t="s">
        <v>37</v>
      </c>
      <c r="AL298" s="5" t="s">
        <v>38</v>
      </c>
    </row>
    <row r="299">
      <c r="A299" s="15">
        <v>46307</v>
      </c>
      <c r="B299" s="16" t="s">
        <v>68</v>
      </c>
      <c r="C299" s="17" t="s">
        <v>40</v>
      </c>
      <c r="D299" s="18">
        <f t="shared" ref="D299:D303" si="408">E299+F299+G299+H299</f>
      </c>
      <c r="E299" s="19">
        <v>1252.96</v>
      </c>
      <c r="F299" s="20">
        <v>7236.34</v>
      </c>
      <c r="G299" s="20">
        <v>0</v>
      </c>
      <c r="H299" s="20">
        <v>0</v>
      </c>
      <c r="I299" s="20">
        <f t="shared" ref="I299:I303" si="499">AB299+AC299</f>
      </c>
      <c r="J299" s="21">
        <f>1736.64+3697.92</f>
      </c>
      <c r="K299" s="22">
        <f t="shared" ref="K299:K303" si="590">I299-J299</f>
      </c>
      <c r="L299" s="22">
        <f t="shared" ref="L299:L303" si="260">(I299-AC299)/12+AC299</f>
      </c>
      <c r="M299" s="23">
        <f t="shared" ref="M299:M324" si="307">I299/D299</f>
      </c>
      <c r="N299" s="24">
        <f t="shared" ref="N299:N324" si="326">(I299-J299)/D299</f>
      </c>
      <c r="O299" s="25">
        <f t="shared" ref="O299:O324" si="345">(AC299+AB299/12)/D299</f>
      </c>
      <c r="P299" s="26">
        <f t="shared" ref="P299:P324" si="30">I299/AA299</f>
      </c>
      <c r="Q299" s="26">
        <f t="shared" ref="Q299:Q324" si="49">D299/AA299</f>
      </c>
      <c r="R299" s="26">
        <f t="shared" ref="R299:R324" si="68">D299/AG299</f>
      </c>
      <c r="S299" s="27">
        <f t="shared" ref="S299:S324" si="87">AA299/Y299</f>
      </c>
      <c r="T299" s="28">
        <f t="shared" ref="T299:T324" si="637">AI299/AH299</f>
      </c>
      <c r="U299" s="26">
        <f t="shared" ref="U299:U324" si="675">D299/AJ299</f>
      </c>
      <c r="V299" s="29">
        <f t="shared" ref="V299:V324" si="656">AK299/AJ299</f>
      </c>
      <c r="W299" s="29">
        <f t="shared" ref="W299:W324" si="694">AL299/AJ299</f>
      </c>
      <c r="X299" s="26">
        <f t="shared" ref="X299:X324" si="11">D299/AL299</f>
      </c>
      <c r="Y299" s="30">
        <f t="shared" ref="Y299:Y303" si="150">Z299+AA299</f>
      </c>
      <c r="Z299" s="30">
        <v>6</v>
      </c>
      <c r="AA299" s="30">
        <v>6</v>
      </c>
      <c r="AB299" s="31">
        <v>12840.12</v>
      </c>
      <c r="AC299" s="31">
        <v>0</v>
      </c>
      <c r="AD299" s="27">
        <f t="shared" ref="AD299:AD324" si="197">AC299/I299</f>
      </c>
      <c r="AE299" s="32" t="s">
        <v>41</v>
      </c>
      <c r="AF299" s="33" t="s">
        <v>42</v>
      </c>
      <c r="AG299" s="34">
        <v>5</v>
      </c>
      <c r="AH299" s="34">
        <v>107231</v>
      </c>
      <c r="AI299" s="35">
        <v>3131</v>
      </c>
      <c r="AJ299" s="35">
        <v>3614</v>
      </c>
      <c r="AK299" s="34">
        <v>313</v>
      </c>
      <c r="AL299" s="36">
        <v>289</v>
      </c>
    </row>
    <row r="300">
      <c r="A300" s="15"/>
      <c r="B300" s="16" t="s">
        <v>68</v>
      </c>
      <c r="C300" s="17" t="s">
        <v>43</v>
      </c>
      <c r="D300" s="18">
        <f t="shared" si="408"/>
      </c>
      <c r="E300" s="17">
        <v>1282.83</v>
      </c>
      <c r="F300" s="20">
        <v>6498.39</v>
      </c>
      <c r="G300" s="20">
        <v>0</v>
      </c>
      <c r="H300" s="20">
        <v>0</v>
      </c>
      <c r="I300" s="20">
        <f t="shared" si="499"/>
      </c>
      <c r="J300" s="21">
        <f>1609.56+1758.48+449.16+1290.6</f>
      </c>
      <c r="K300" s="22">
        <f t="shared" si="590"/>
      </c>
      <c r="L300" s="22">
        <f t="shared" si="260"/>
      </c>
      <c r="M300" s="23">
        <f t="shared" si="307"/>
      </c>
      <c r="N300" s="24">
        <f t="shared" si="326"/>
      </c>
      <c r="O300" s="25">
        <f t="shared" si="345"/>
      </c>
      <c r="P300" s="26">
        <f t="shared" si="30"/>
      </c>
      <c r="Q300" s="26">
        <f t="shared" si="49"/>
      </c>
      <c r="R300" s="26">
        <f t="shared" si="68"/>
      </c>
      <c r="S300" s="27">
        <f t="shared" si="87"/>
      </c>
      <c r="T300" s="28">
        <f t="shared" si="637"/>
      </c>
      <c r="U300" s="26">
        <f t="shared" si="675"/>
      </c>
      <c r="V300" s="29">
        <f t="shared" si="656"/>
      </c>
      <c r="W300" s="29">
        <f t="shared" si="694"/>
      </c>
      <c r="X300" s="26">
        <f t="shared" si="11"/>
      </c>
      <c r="Y300" s="30">
        <f t="shared" si="150"/>
      </c>
      <c r="Z300" s="30">
        <v>6</v>
      </c>
      <c r="AA300" s="30">
        <v>5</v>
      </c>
      <c r="AB300" s="31">
        <v>7707.360000000002</v>
      </c>
      <c r="AC300" s="31">
        <v>0</v>
      </c>
      <c r="AD300" s="27">
        <f t="shared" si="197"/>
      </c>
      <c r="AE300" s="32" t="s">
        <v>41</v>
      </c>
      <c r="AF300" s="33" t="s">
        <v>42</v>
      </c>
      <c r="AG300" s="34">
        <v>5</v>
      </c>
      <c r="AH300" s="35">
        <v>103313</v>
      </c>
      <c r="AI300" s="35">
        <v>2201</v>
      </c>
      <c r="AJ300" s="35">
        <v>2540</v>
      </c>
      <c r="AK300" s="36">
        <v>314</v>
      </c>
      <c r="AL300" s="36">
        <v>305</v>
      </c>
    </row>
    <row r="301">
      <c r="A301" s="15"/>
      <c r="B301" s="16" t="s">
        <v>68</v>
      </c>
      <c r="C301" s="17" t="s">
        <v>44</v>
      </c>
      <c r="D301" s="18">
        <f t="shared" si="408"/>
      </c>
      <c r="E301" s="17">
        <v>1391.02</v>
      </c>
      <c r="F301" s="20">
        <v>7862.46</v>
      </c>
      <c r="G301" s="20">
        <v>0</v>
      </c>
      <c r="H301" s="20">
        <v>0</v>
      </c>
      <c r="I301" s="20">
        <f t="shared" si="499"/>
      </c>
      <c r="J301" s="21">
        <f>1686.96+899+1149.12</f>
      </c>
      <c r="K301" s="22">
        <f t="shared" si="590"/>
      </c>
      <c r="L301" s="22">
        <f t="shared" si="260"/>
      </c>
      <c r="M301" s="23">
        <f t="shared" si="307"/>
      </c>
      <c r="N301" s="24">
        <f t="shared" si="326"/>
      </c>
      <c r="O301" s="25">
        <f t="shared" si="345"/>
      </c>
      <c r="P301" s="26">
        <f t="shared" si="30"/>
      </c>
      <c r="Q301" s="26">
        <f t="shared" si="49"/>
      </c>
      <c r="R301" s="26">
        <f t="shared" si="68"/>
      </c>
      <c r="S301" s="27">
        <f t="shared" si="87"/>
      </c>
      <c r="T301" s="28">
        <f t="shared" si="637"/>
      </c>
      <c r="U301" s="26">
        <f t="shared" si="675"/>
      </c>
      <c r="V301" s="29">
        <f t="shared" si="656"/>
      </c>
      <c r="W301" s="29">
        <f t="shared" si="694"/>
      </c>
      <c r="X301" s="26">
        <f t="shared" si="11"/>
      </c>
      <c r="Y301" s="30">
        <f t="shared" si="150"/>
      </c>
      <c r="Z301" s="30">
        <v>2</v>
      </c>
      <c r="AA301" s="30">
        <v>10</v>
      </c>
      <c r="AB301" s="31">
        <v>19505.999999999993</v>
      </c>
      <c r="AC301" s="31">
        <v>899.0000000000009</v>
      </c>
      <c r="AD301" s="27">
        <f t="shared" si="197"/>
      </c>
      <c r="AE301" s="32" t="s">
        <v>41</v>
      </c>
      <c r="AF301" s="33" t="s">
        <v>42</v>
      </c>
      <c r="AG301" s="36">
        <v>9</v>
      </c>
      <c r="AH301" s="35">
        <v>153463</v>
      </c>
      <c r="AI301" s="35">
        <v>2211</v>
      </c>
      <c r="AJ301" s="35">
        <v>2477</v>
      </c>
      <c r="AK301" s="36">
        <v>289</v>
      </c>
      <c r="AL301" s="36">
        <v>293</v>
      </c>
    </row>
    <row r="302">
      <c r="A302" s="15"/>
      <c r="B302" s="16" t="s">
        <v>68</v>
      </c>
      <c r="C302" s="17" t="s">
        <v>45</v>
      </c>
      <c r="D302" s="18">
        <f t="shared" si="408"/>
      </c>
      <c r="E302" s="17">
        <v>716.73</v>
      </c>
      <c r="F302" s="20">
        <v>7406.93</v>
      </c>
      <c r="G302" s="20">
        <v>0</v>
      </c>
      <c r="H302" s="20">
        <v>0</v>
      </c>
      <c r="I302" s="37">
        <f t="shared" si="499"/>
      </c>
      <c r="J302" s="21">
        <f>1608+1670.76+1291.68</f>
      </c>
      <c r="K302" s="22">
        <f t="shared" si="590"/>
      </c>
      <c r="L302" s="22">
        <f t="shared" si="260"/>
      </c>
      <c r="M302" s="23">
        <f t="shared" si="307"/>
      </c>
      <c r="N302" s="24">
        <f t="shared" si="326"/>
      </c>
      <c r="O302" s="25">
        <f t="shared" si="345"/>
      </c>
      <c r="P302" s="26">
        <f t="shared" si="30"/>
      </c>
      <c r="Q302" s="26">
        <f t="shared" si="49"/>
      </c>
      <c r="R302" s="26">
        <f t="shared" si="68"/>
      </c>
      <c r="S302" s="27">
        <f t="shared" si="87"/>
      </c>
      <c r="T302" s="28">
        <f t="shared" si="637"/>
      </c>
      <c r="U302" s="26">
        <f t="shared" si="675"/>
      </c>
      <c r="V302" s="29">
        <f t="shared" si="656"/>
      </c>
      <c r="W302" s="29">
        <f t="shared" si="694"/>
      </c>
      <c r="X302" s="26">
        <f t="shared" si="11"/>
      </c>
      <c r="Y302" s="30">
        <f t="shared" si="150"/>
      </c>
      <c r="Z302" s="30">
        <v>5</v>
      </c>
      <c r="AA302" s="30">
        <v>6</v>
      </c>
      <c r="AB302" s="31">
        <v>6458.4000000000015</v>
      </c>
      <c r="AC302" s="31">
        <v>3045</v>
      </c>
      <c r="AD302" s="27">
        <f t="shared" si="197"/>
      </c>
      <c r="AE302" s="32" t="s">
        <v>41</v>
      </c>
      <c r="AF302" s="33" t="s">
        <v>42</v>
      </c>
      <c r="AG302" s="34">
        <v>4</v>
      </c>
      <c r="AH302" s="35">
        <v>176197</v>
      </c>
      <c r="AI302" s="35">
        <v>1466</v>
      </c>
      <c r="AJ302" s="35">
        <v>1562</v>
      </c>
      <c r="AK302" s="36">
        <v>187</v>
      </c>
      <c r="AL302" s="36">
        <v>235</v>
      </c>
    </row>
    <row r="303">
      <c r="A303" s="15"/>
      <c r="B303" s="16" t="s">
        <v>68</v>
      </c>
      <c r="C303" s="17" t="s">
        <v>46</v>
      </c>
      <c r="D303" s="18">
        <f t="shared" si="408"/>
      </c>
      <c r="E303" s="17">
        <v>869.71</v>
      </c>
      <c r="F303" s="20">
        <v>7000.05</v>
      </c>
      <c r="G303" s="20">
        <v>0</v>
      </c>
      <c r="H303" s="20">
        <v>0</v>
      </c>
      <c r="I303" s="20">
        <f t="shared" si="499"/>
      </c>
      <c r="J303" s="21">
        <f>1863+3110.4</f>
      </c>
      <c r="K303" s="22">
        <f t="shared" si="590"/>
      </c>
      <c r="L303" s="22">
        <f t="shared" si="260"/>
      </c>
      <c r="M303" s="23">
        <f t="shared" si="307"/>
      </c>
      <c r="N303" s="24">
        <f t="shared" si="326"/>
      </c>
      <c r="O303" s="25">
        <f t="shared" si="345"/>
      </c>
      <c r="P303" s="26">
        <f t="shared" si="30"/>
      </c>
      <c r="Q303" s="26">
        <f t="shared" si="49"/>
      </c>
      <c r="R303" s="26">
        <f t="shared" si="68"/>
      </c>
      <c r="S303" s="27">
        <f t="shared" si="87"/>
      </c>
      <c r="T303" s="28">
        <f t="shared" si="637"/>
      </c>
      <c r="U303" s="26">
        <f t="shared" si="675"/>
      </c>
      <c r="V303" s="29">
        <f t="shared" si="656"/>
      </c>
      <c r="W303" s="29">
        <f t="shared" si="694"/>
      </c>
      <c r="X303" s="26">
        <f t="shared" si="11"/>
      </c>
      <c r="Y303" s="30">
        <f t="shared" si="150"/>
      </c>
      <c r="Z303" s="30">
        <v>4</v>
      </c>
      <c r="AA303" s="30">
        <v>7</v>
      </c>
      <c r="AB303" s="31">
        <f>7077.24+3532.68</f>
      </c>
      <c r="AC303" s="31">
        <v>1607</v>
      </c>
      <c r="AD303" s="27">
        <f t="shared" si="197"/>
      </c>
      <c r="AE303" s="32" t="s">
        <v>41</v>
      </c>
      <c r="AF303" s="33" t="s">
        <v>42</v>
      </c>
      <c r="AG303" s="34">
        <v>6</v>
      </c>
      <c r="AH303" s="35">
        <v>173585</v>
      </c>
      <c r="AI303" s="35">
        <v>1367</v>
      </c>
      <c r="AJ303" s="35">
        <v>1486</v>
      </c>
      <c r="AK303" s="34">
        <v>206</v>
      </c>
      <c r="AL303" s="34">
        <v>217</v>
      </c>
    </row>
    <row r="304">
      <c r="A304" s="15"/>
      <c r="B304" s="38" t="s">
        <v>47</v>
      </c>
      <c r="C304" s="39">
        <v>5</v>
      </c>
      <c r="D304" s="40">
        <f>SUM(D299:D303)</f>
      </c>
      <c r="E304" s="40">
        <f>SUM(E299:E303)</f>
      </c>
      <c r="F304" s="40">
        <f>SUM(F299:F303)</f>
      </c>
      <c r="G304" s="40">
        <f>SUM(G299:G303)</f>
      </c>
      <c r="H304" s="40">
        <f>SUM(H299:H303)</f>
      </c>
      <c r="I304" s="40">
        <f>SUM(I299:I303)</f>
      </c>
      <c r="J304" s="40">
        <f>SUM(J299:J303)</f>
      </c>
      <c r="K304" s="40">
        <f>SUM(K299:K303)</f>
      </c>
      <c r="L304" s="40">
        <f>SUM(L299:L303)</f>
      </c>
      <c r="M304" s="41">
        <f t="shared" si="307"/>
      </c>
      <c r="N304" s="42">
        <f t="shared" si="326"/>
      </c>
      <c r="O304" s="42">
        <f t="shared" si="345"/>
      </c>
      <c r="P304" s="43">
        <f t="shared" si="30"/>
      </c>
      <c r="Q304" s="43">
        <f t="shared" si="49"/>
      </c>
      <c r="R304" s="43">
        <f t="shared" si="68"/>
      </c>
      <c r="S304" s="44">
        <f t="shared" si="87"/>
      </c>
      <c r="T304" s="44">
        <f t="shared" si="637"/>
      </c>
      <c r="U304" s="43">
        <f t="shared" si="675"/>
      </c>
      <c r="V304" s="44">
        <f t="shared" si="656"/>
      </c>
      <c r="W304" s="44">
        <f t="shared" si="694"/>
      </c>
      <c r="X304" s="43">
        <f t="shared" si="11"/>
      </c>
      <c r="Y304" s="40">
        <f>SUM(Y299:Y303)</f>
      </c>
      <c r="Z304" s="40">
        <f>SUM(Z299:Z303)</f>
      </c>
      <c r="AA304" s="40">
        <f>SUM(AA299:AA303)</f>
      </c>
      <c r="AB304" s="40">
        <f>SUM(AB299:AB303)</f>
      </c>
      <c r="AC304" s="40">
        <f>SUM(AC299:AC303)</f>
      </c>
      <c r="AD304" s="45">
        <f t="shared" si="197"/>
      </c>
      <c r="AE304" s="46"/>
      <c r="AF304" s="47"/>
      <c r="AG304" s="40">
        <f>SUM(AG299:AG303)</f>
      </c>
      <c r="AH304" s="40">
        <f>SUM(AH299:AH303)</f>
      </c>
      <c r="AI304" s="40">
        <f>SUM(AI299:AI303)</f>
      </c>
      <c r="AJ304" s="40">
        <f>SUM(AJ299:AJ303)</f>
      </c>
      <c r="AK304" s="40">
        <f>SUM(AK299:AK303)</f>
      </c>
      <c r="AL304" s="40">
        <f>SUM(AL299:AL303)</f>
      </c>
    </row>
    <row r="305">
      <c r="A305" s="15"/>
      <c r="B305" s="16" t="s">
        <v>39</v>
      </c>
      <c r="C305" s="17" t="s">
        <v>49</v>
      </c>
      <c r="D305" s="18">
        <f t="shared" ref="D305:D308" si="409">E305+F305+G305+H305</f>
      </c>
      <c r="E305" s="19">
        <v>706.34</v>
      </c>
      <c r="F305" s="20">
        <v>6923.46</v>
      </c>
      <c r="G305" s="20">
        <v>0</v>
      </c>
      <c r="H305" s="20">
        <v>0</v>
      </c>
      <c r="I305" s="20">
        <f t="shared" ref="I305:I308" si="500">AB305+AC305</f>
      </c>
      <c r="J305" s="21">
        <f>1193.4+4461.48</f>
      </c>
      <c r="K305" s="22">
        <f t="shared" ref="K305:K308" si="591">I305-J305</f>
      </c>
      <c r="L305" s="22">
        <f t="shared" ref="L305:L308" si="261">(I305-AC305)/12+AC305</f>
      </c>
      <c r="M305" s="23">
        <f t="shared" si="307"/>
      </c>
      <c r="N305" s="24">
        <f t="shared" si="326"/>
      </c>
      <c r="O305" s="25">
        <f t="shared" si="345"/>
      </c>
      <c r="P305" s="26">
        <f t="shared" si="30"/>
      </c>
      <c r="Q305" s="26">
        <f t="shared" si="49"/>
      </c>
      <c r="R305" s="26">
        <f t="shared" si="68"/>
      </c>
      <c r="S305" s="27">
        <f t="shared" si="87"/>
      </c>
      <c r="T305" s="28">
        <f t="shared" si="637"/>
      </c>
      <c r="U305" s="26">
        <f t="shared" si="675"/>
      </c>
      <c r="V305" s="29">
        <f t="shared" si="656"/>
      </c>
      <c r="W305" s="29">
        <f t="shared" si="694"/>
      </c>
      <c r="X305" s="26">
        <f t="shared" si="11"/>
      </c>
      <c r="Y305" s="30">
        <f t="shared" ref="Y305:Y308" si="151">Z305+AA305</f>
      </c>
      <c r="Z305" s="30">
        <v>5</v>
      </c>
      <c r="AA305" s="30">
        <v>6</v>
      </c>
      <c r="AB305" s="31">
        <v>14772.96</v>
      </c>
      <c r="AC305" s="31">
        <v>0</v>
      </c>
      <c r="AD305" s="27">
        <f t="shared" si="197"/>
      </c>
      <c r="AE305" s="32" t="s">
        <v>41</v>
      </c>
      <c r="AF305" s="33" t="s">
        <v>42</v>
      </c>
      <c r="AG305" s="34">
        <v>6</v>
      </c>
      <c r="AH305" s="35">
        <v>142031</v>
      </c>
      <c r="AI305" s="35">
        <v>1203</v>
      </c>
      <c r="AJ305" s="35">
        <v>1287</v>
      </c>
      <c r="AK305" s="34">
        <v>172</v>
      </c>
      <c r="AL305" s="34">
        <v>216</v>
      </c>
    </row>
    <row r="306">
      <c r="A306" s="15"/>
      <c r="B306" s="16" t="s">
        <v>39</v>
      </c>
      <c r="C306" s="17" t="s">
        <v>50</v>
      </c>
      <c r="D306" s="18">
        <f t="shared" si="409"/>
      </c>
      <c r="E306" s="17">
        <v>567.73</v>
      </c>
      <c r="F306" s="20">
        <v>11911.66</v>
      </c>
      <c r="G306" s="20">
        <v>0</v>
      </c>
      <c r="H306" s="20">
        <v>0</v>
      </c>
      <c r="I306" s="20">
        <f t="shared" si="500"/>
      </c>
      <c r="J306" s="21">
        <f>2608.2+1172.88</f>
      </c>
      <c r="K306" s="22">
        <f t="shared" si="591"/>
      </c>
      <c r="L306" s="22">
        <f t="shared" si="261"/>
      </c>
      <c r="M306" s="23">
        <f t="shared" si="307"/>
      </c>
      <c r="N306" s="24">
        <f t="shared" si="326"/>
      </c>
      <c r="O306" s="25">
        <f t="shared" si="345"/>
      </c>
      <c r="P306" s="26">
        <f t="shared" si="30"/>
      </c>
      <c r="Q306" s="26">
        <f t="shared" si="49"/>
      </c>
      <c r="R306" s="26">
        <f t="shared" si="68"/>
      </c>
      <c r="S306" s="27">
        <f t="shared" si="87"/>
      </c>
      <c r="T306" s="28">
        <f t="shared" si="637"/>
      </c>
      <c r="U306" s="26">
        <f t="shared" si="675"/>
      </c>
      <c r="V306" s="29">
        <f t="shared" si="656"/>
      </c>
      <c r="W306" s="29">
        <f t="shared" si="694"/>
      </c>
      <c r="X306" s="26">
        <f t="shared" si="11"/>
      </c>
      <c r="Y306" s="30">
        <f t="shared" si="151"/>
      </c>
      <c r="Z306" s="30">
        <v>8</v>
      </c>
      <c r="AA306" s="30">
        <v>8</v>
      </c>
      <c r="AB306" s="31">
        <v>12930.839999999997</v>
      </c>
      <c r="AC306" s="31">
        <v>0</v>
      </c>
      <c r="AD306" s="27">
        <f t="shared" si="197"/>
      </c>
      <c r="AE306" s="32" t="s">
        <v>41</v>
      </c>
      <c r="AF306" s="33" t="s">
        <v>42</v>
      </c>
      <c r="AG306" s="34">
        <v>6</v>
      </c>
      <c r="AH306" s="35">
        <v>288343</v>
      </c>
      <c r="AI306" s="35">
        <v>1750</v>
      </c>
      <c r="AJ306" s="35">
        <v>1792</v>
      </c>
      <c r="AK306" s="36">
        <v>292</v>
      </c>
      <c r="AL306" s="36">
        <v>398</v>
      </c>
    </row>
    <row r="307">
      <c r="A307" s="15"/>
      <c r="B307" s="16" t="s">
        <v>39</v>
      </c>
      <c r="C307" s="17" t="s">
        <v>51</v>
      </c>
      <c r="D307" s="18">
        <f t="shared" si="409"/>
      </c>
      <c r="E307" s="17">
        <v>603.52</v>
      </c>
      <c r="F307" s="17">
        <v>10635.28</v>
      </c>
      <c r="G307" s="20">
        <v>0</v>
      </c>
      <c r="H307" s="20">
        <v>0</v>
      </c>
      <c r="I307" s="20">
        <f t="shared" si="500"/>
      </c>
      <c r="J307" s="21">
        <f>1509.84+1092.96</f>
      </c>
      <c r="K307" s="22">
        <f t="shared" si="591"/>
      </c>
      <c r="L307" s="22">
        <f t="shared" si="261"/>
      </c>
      <c r="M307" s="23">
        <f t="shared" si="307"/>
      </c>
      <c r="N307" s="24">
        <f t="shared" si="326"/>
      </c>
      <c r="O307" s="25">
        <f t="shared" si="345"/>
      </c>
      <c r="P307" s="26">
        <f t="shared" si="30"/>
      </c>
      <c r="Q307" s="26">
        <f t="shared" si="49"/>
      </c>
      <c r="R307" s="26">
        <f t="shared" si="68"/>
      </c>
      <c r="S307" s="27">
        <f t="shared" si="87"/>
      </c>
      <c r="T307" s="28">
        <f t="shared" si="637"/>
      </c>
      <c r="U307" s="26">
        <f t="shared" si="675"/>
      </c>
      <c r="V307" s="29">
        <f t="shared" si="656"/>
      </c>
      <c r="W307" s="29">
        <f t="shared" si="694"/>
      </c>
      <c r="X307" s="26">
        <f t="shared" si="11"/>
      </c>
      <c r="Y307" s="30">
        <f t="shared" si="151"/>
      </c>
      <c r="Z307" s="30">
        <v>7</v>
      </c>
      <c r="AA307" s="30">
        <v>10</v>
      </c>
      <c r="AB307" s="31">
        <v>13116.600000000006</v>
      </c>
      <c r="AC307" s="69">
        <v>0</v>
      </c>
      <c r="AD307" s="27">
        <f t="shared" si="197"/>
      </c>
      <c r="AE307" s="32" t="s">
        <v>41</v>
      </c>
      <c r="AF307" s="33" t="s">
        <v>42</v>
      </c>
      <c r="AG307" s="36">
        <v>9</v>
      </c>
      <c r="AH307" s="35">
        <v>205335</v>
      </c>
      <c r="AI307" s="35">
        <v>1683</v>
      </c>
      <c r="AJ307" s="35">
        <v>1788</v>
      </c>
      <c r="AK307" s="36">
        <v>302</v>
      </c>
      <c r="AL307" s="36">
        <v>396</v>
      </c>
    </row>
    <row r="308">
      <c r="A308" s="15"/>
      <c r="B308" s="16" t="s">
        <v>39</v>
      </c>
      <c r="C308" s="17" t="s">
        <v>52</v>
      </c>
      <c r="D308" s="18">
        <f t="shared" si="409"/>
      </c>
      <c r="E308" s="17">
        <v>1072.49</v>
      </c>
      <c r="F308" s="20">
        <v>9810.81</v>
      </c>
      <c r="G308" s="20">
        <v>0</v>
      </c>
      <c r="H308" s="20">
        <v>0</v>
      </c>
      <c r="I308" s="20">
        <f t="shared" si="500"/>
      </c>
      <c r="J308" s="21">
        <f>2603.88+2299.32</f>
      </c>
      <c r="K308" s="22">
        <f t="shared" si="591"/>
      </c>
      <c r="L308" s="22">
        <f t="shared" si="261"/>
      </c>
      <c r="M308" s="23">
        <f t="shared" si="307"/>
      </c>
      <c r="N308" s="24">
        <f t="shared" si="326"/>
      </c>
      <c r="O308" s="25">
        <f t="shared" si="345"/>
      </c>
      <c r="P308" s="26">
        <f t="shared" si="30"/>
      </c>
      <c r="Q308" s="26">
        <f t="shared" si="49"/>
      </c>
      <c r="R308" s="26">
        <f t="shared" si="68"/>
      </c>
      <c r="S308" s="27">
        <f t="shared" si="87"/>
      </c>
      <c r="T308" s="28">
        <f t="shared" si="637"/>
      </c>
      <c r="U308" s="26">
        <f t="shared" si="675"/>
      </c>
      <c r="V308" s="29">
        <f t="shared" si="656"/>
      </c>
      <c r="W308" s="29">
        <f t="shared" si="694"/>
      </c>
      <c r="X308" s="26">
        <f t="shared" si="11"/>
      </c>
      <c r="Y308" s="30">
        <f t="shared" si="151"/>
      </c>
      <c r="Z308" s="30">
        <v>6</v>
      </c>
      <c r="AA308" s="30">
        <v>16</v>
      </c>
      <c r="AB308" s="70">
        <f>23656.44+716.04+385.56</f>
      </c>
      <c r="AC308" s="74">
        <v>0</v>
      </c>
      <c r="AD308" s="72">
        <f t="shared" si="197"/>
      </c>
      <c r="AE308" s="32" t="s">
        <v>41</v>
      </c>
      <c r="AF308" s="33" t="s">
        <v>42</v>
      </c>
      <c r="AG308" s="34">
        <v>11</v>
      </c>
      <c r="AH308" s="35">
        <v>161500</v>
      </c>
      <c r="AI308" s="35">
        <v>1360</v>
      </c>
      <c r="AJ308" s="35">
        <v>1456</v>
      </c>
      <c r="AK308" s="36">
        <v>270</v>
      </c>
      <c r="AL308" s="36">
        <v>322</v>
      </c>
    </row>
    <row r="309">
      <c r="A309" s="15"/>
      <c r="B309" s="38" t="s">
        <v>47</v>
      </c>
      <c r="C309" s="39">
        <v>4</v>
      </c>
      <c r="D309" s="40">
        <f>SUM(D305:D308)</f>
      </c>
      <c r="E309" s="40">
        <f>SUM(E305:E308)</f>
      </c>
      <c r="F309" s="40">
        <f>SUM(F305:F308)</f>
      </c>
      <c r="G309" s="40">
        <f>SUM(G305:G308)</f>
      </c>
      <c r="H309" s="40">
        <f>SUM(H305:H308)</f>
      </c>
      <c r="I309" s="40">
        <f>SUM(I305:I308)</f>
      </c>
      <c r="J309" s="40">
        <f>SUM(J305:J308)</f>
      </c>
      <c r="K309" s="40">
        <f>SUM(K305:K308)</f>
      </c>
      <c r="L309" s="40">
        <f>SUM(L305:L308)</f>
      </c>
      <c r="M309" s="41">
        <f t="shared" si="307"/>
      </c>
      <c r="N309" s="42">
        <f t="shared" si="326"/>
      </c>
      <c r="O309" s="42">
        <f t="shared" si="345"/>
      </c>
      <c r="P309" s="43">
        <f t="shared" si="30"/>
      </c>
      <c r="Q309" s="43">
        <f t="shared" si="49"/>
      </c>
      <c r="R309" s="43">
        <f t="shared" si="68"/>
      </c>
      <c r="S309" s="44">
        <f t="shared" si="87"/>
      </c>
      <c r="T309" s="44">
        <f t="shared" si="637"/>
      </c>
      <c r="U309" s="43">
        <f t="shared" si="675"/>
      </c>
      <c r="V309" s="44">
        <f t="shared" si="656"/>
      </c>
      <c r="W309" s="44">
        <f t="shared" si="694"/>
      </c>
      <c r="X309" s="43">
        <f t="shared" si="11"/>
      </c>
      <c r="Y309" s="40">
        <f>SUM(Y305:Y308)</f>
      </c>
      <c r="Z309" s="40">
        <f>SUM(Z305:Z308)</f>
      </c>
      <c r="AA309" s="40">
        <f>SUM(AA305:AA308)</f>
      </c>
      <c r="AB309" s="40">
        <f>SUM(AB305:AB308)</f>
      </c>
      <c r="AC309" s="40">
        <f>SUM(AC305:AC308)</f>
      </c>
      <c r="AD309" s="45">
        <f t="shared" si="197"/>
      </c>
      <c r="AE309" s="46"/>
      <c r="AF309" s="47"/>
      <c r="AG309" s="40">
        <f>SUM(AG305:AG308)</f>
      </c>
      <c r="AH309" s="40">
        <f>SUM(AH305:AH308)</f>
      </c>
      <c r="AI309" s="40">
        <f>SUM(AI305:AI308)</f>
      </c>
      <c r="AJ309" s="40">
        <f>SUM(AJ305:AJ308)</f>
      </c>
      <c r="AK309" s="40">
        <f>SUM(AK305:AK308)</f>
      </c>
      <c r="AL309" s="40">
        <f>SUM(AL305:AL308)</f>
      </c>
    </row>
    <row r="310">
      <c r="A310" s="15"/>
      <c r="B310" s="16" t="s">
        <v>53</v>
      </c>
      <c r="C310" s="17" t="s">
        <v>54</v>
      </c>
      <c r="D310" s="18">
        <f t="shared" ref="D310:D312" si="410">E310+F310+G310+H310</f>
      </c>
      <c r="E310" s="17">
        <v>585.5</v>
      </c>
      <c r="F310" s="49">
        <v>7616.84</v>
      </c>
      <c r="G310" s="20">
        <v>0</v>
      </c>
      <c r="H310" s="20">
        <v>0</v>
      </c>
      <c r="I310" s="50">
        <f t="shared" ref="I310:I312" si="501">AB310+AC310</f>
      </c>
      <c r="J310" s="51">
        <f>1126.44+943.92+676.08+2703.24</f>
      </c>
      <c r="K310" s="22">
        <f t="shared" ref="K310:K312" si="592">I310-J310</f>
      </c>
      <c r="L310" s="22">
        <f t="shared" ref="L310:L312" si="262">(I310-AC310)/12+AC310</f>
      </c>
      <c r="M310" s="23">
        <f t="shared" si="307"/>
      </c>
      <c r="N310" s="24">
        <f t="shared" si="326"/>
      </c>
      <c r="O310" s="25">
        <f t="shared" si="345"/>
      </c>
      <c r="P310" s="26">
        <f t="shared" si="30"/>
      </c>
      <c r="Q310" s="26">
        <f t="shared" si="49"/>
      </c>
      <c r="R310" s="26">
        <f t="shared" si="68"/>
      </c>
      <c r="S310" s="27">
        <f t="shared" si="87"/>
      </c>
      <c r="T310" s="28">
        <f t="shared" si="637"/>
      </c>
      <c r="U310" s="26">
        <f t="shared" si="675"/>
      </c>
      <c r="V310" s="29">
        <f t="shared" si="656"/>
      </c>
      <c r="W310" s="29">
        <f t="shared" si="694"/>
      </c>
      <c r="X310" s="26">
        <f t="shared" si="11"/>
      </c>
      <c r="Y310" s="30">
        <f t="shared" ref="Y310:Y312" si="152">Z310+AA310</f>
      </c>
      <c r="Z310" s="30">
        <v>9</v>
      </c>
      <c r="AA310" s="30">
        <v>11</v>
      </c>
      <c r="AB310" s="31">
        <v>14650.200000000012</v>
      </c>
      <c r="AC310" s="31">
        <v>0</v>
      </c>
      <c r="AD310" s="27">
        <f t="shared" si="197"/>
      </c>
      <c r="AE310" s="32" t="s">
        <v>41</v>
      </c>
      <c r="AF310" s="33" t="s">
        <v>42</v>
      </c>
      <c r="AG310" s="34">
        <v>10</v>
      </c>
      <c r="AH310" s="35">
        <v>97094</v>
      </c>
      <c r="AI310" s="35">
        <v>1141</v>
      </c>
      <c r="AJ310" s="35">
        <v>1188</v>
      </c>
      <c r="AK310" s="36">
        <v>222</v>
      </c>
      <c r="AL310" s="36">
        <v>242</v>
      </c>
    </row>
    <row customHeight="true" ht="16.666666666666668" r="311">
      <c r="A311" s="15"/>
      <c r="B311" s="16" t="s">
        <v>53</v>
      </c>
      <c r="C311" s="17" t="s">
        <v>55</v>
      </c>
      <c r="D311" s="18">
        <f t="shared" si="410"/>
      </c>
      <c r="E311" s="17">
        <v>1510.24</v>
      </c>
      <c r="F311" s="49">
        <v>9651.42</v>
      </c>
      <c r="G311" s="20">
        <v>0</v>
      </c>
      <c r="H311" s="20">
        <v>0</v>
      </c>
      <c r="I311" s="50">
        <f t="shared" si="501"/>
      </c>
      <c r="J311" s="51">
        <f>733.32+3709.8+4683.96</f>
      </c>
      <c r="K311" s="22">
        <f t="shared" si="592"/>
      </c>
      <c r="L311" s="22">
        <f t="shared" si="262"/>
      </c>
      <c r="M311" s="23">
        <f t="shared" si="307"/>
      </c>
      <c r="N311" s="24">
        <f t="shared" si="326"/>
      </c>
      <c r="O311" s="25">
        <f t="shared" si="345"/>
      </c>
      <c r="P311" s="26">
        <f t="shared" si="30"/>
      </c>
      <c r="Q311" s="26">
        <f t="shared" si="49"/>
      </c>
      <c r="R311" s="26">
        <f t="shared" si="68"/>
      </c>
      <c r="S311" s="27">
        <f t="shared" si="87"/>
      </c>
      <c r="T311" s="28">
        <f t="shared" si="637"/>
      </c>
      <c r="U311" s="26">
        <f t="shared" si="675"/>
      </c>
      <c r="V311" s="29">
        <f t="shared" si="656"/>
      </c>
      <c r="W311" s="29">
        <f t="shared" si="694"/>
      </c>
      <c r="X311" s="26">
        <f t="shared" si="11"/>
      </c>
      <c r="Y311" s="30">
        <f t="shared" si="152"/>
      </c>
      <c r="Z311" s="30">
        <v>8</v>
      </c>
      <c r="AA311" s="30">
        <v>11</v>
      </c>
      <c r="AB311" s="31">
        <v>24720.120000000024</v>
      </c>
      <c r="AC311" s="31">
        <v>0</v>
      </c>
      <c r="AD311" s="27">
        <f t="shared" si="197"/>
      </c>
      <c r="AE311" s="32" t="s">
        <v>41</v>
      </c>
      <c r="AF311" s="33" t="s">
        <v>56</v>
      </c>
      <c r="AG311" s="36">
        <v>7</v>
      </c>
      <c r="AH311" s="35">
        <v>135863</v>
      </c>
      <c r="AI311" s="35">
        <v>1624</v>
      </c>
      <c r="AJ311" s="35">
        <v>1662</v>
      </c>
      <c r="AK311" s="36">
        <v>244</v>
      </c>
      <c r="AL311" s="36">
        <v>302</v>
      </c>
    </row>
    <row r="312">
      <c r="A312" s="15"/>
      <c r="B312" s="16" t="s">
        <v>53</v>
      </c>
      <c r="C312" s="17" t="s">
        <v>58</v>
      </c>
      <c r="D312" s="18">
        <f t="shared" si="410"/>
      </c>
      <c r="E312" s="52">
        <v>832.86</v>
      </c>
      <c r="F312" s="53">
        <v>5816.47</v>
      </c>
      <c r="G312" s="20">
        <v>0</v>
      </c>
      <c r="H312" s="20">
        <v>0</v>
      </c>
      <c r="I312" s="55">
        <f t="shared" si="501"/>
      </c>
      <c r="J312" s="51">
        <v>0</v>
      </c>
      <c r="K312" s="22">
        <f t="shared" si="592"/>
      </c>
      <c r="L312" s="22">
        <f t="shared" si="262"/>
      </c>
      <c r="M312" s="23">
        <f t="shared" si="307"/>
      </c>
      <c r="N312" s="24">
        <f t="shared" si="326"/>
      </c>
      <c r="O312" s="25">
        <f t="shared" si="345"/>
      </c>
      <c r="P312" s="26">
        <f t="shared" si="30"/>
      </c>
      <c r="Q312" s="26">
        <f t="shared" si="49"/>
      </c>
      <c r="R312" s="26">
        <f t="shared" si="68"/>
      </c>
      <c r="S312" s="27">
        <f t="shared" si="87"/>
      </c>
      <c r="T312" s="28">
        <f t="shared" si="637"/>
      </c>
      <c r="U312" s="26">
        <f t="shared" si="675"/>
      </c>
      <c r="V312" s="29">
        <f t="shared" si="656"/>
      </c>
      <c r="W312" s="29">
        <f t="shared" si="694"/>
      </c>
      <c r="X312" s="26">
        <f t="shared" si="11"/>
      </c>
      <c r="Y312" s="56">
        <f t="shared" si="152"/>
      </c>
      <c r="Z312" s="30">
        <v>5</v>
      </c>
      <c r="AA312" s="30">
        <v>8</v>
      </c>
      <c r="AB312" s="31">
        <f>10524.6+2114.64+2081.16</f>
      </c>
      <c r="AC312" s="31">
        <v>0</v>
      </c>
      <c r="AD312" s="27">
        <f t="shared" si="197"/>
      </c>
      <c r="AE312" s="32" t="s">
        <v>41</v>
      </c>
      <c r="AF312" s="33" t="s">
        <v>56</v>
      </c>
      <c r="AG312" s="36">
        <v>6</v>
      </c>
      <c r="AH312" s="35">
        <v>82913</v>
      </c>
      <c r="AI312" s="35">
        <v>1060</v>
      </c>
      <c r="AJ312" s="35">
        <v>1110</v>
      </c>
      <c r="AK312" s="36">
        <v>172</v>
      </c>
      <c r="AL312" s="36">
        <v>214</v>
      </c>
    </row>
    <row r="313">
      <c r="A313" s="15"/>
      <c r="B313" s="38" t="s">
        <v>47</v>
      </c>
      <c r="C313" s="39">
        <v>3</v>
      </c>
      <c r="D313" s="58">
        <f>SUM(D310:D312)</f>
      </c>
      <c r="E313" s="58">
        <f>SUM(E310:E312)</f>
      </c>
      <c r="F313" s="58">
        <f>SUM(F310:F312)</f>
      </c>
      <c r="G313" s="58">
        <f>SUM(G310:G312)</f>
      </c>
      <c r="H313" s="58">
        <f>SUM(H310:H312)</f>
      </c>
      <c r="I313" s="58">
        <f>SUM(I310:I312)</f>
      </c>
      <c r="J313" s="58">
        <f>SUM(J310:J312)</f>
      </c>
      <c r="K313" s="58">
        <f>SUM(K310:K312)</f>
      </c>
      <c r="L313" s="58">
        <f>SUM(L310:L312)</f>
      </c>
      <c r="M313" s="41">
        <f t="shared" si="307"/>
      </c>
      <c r="N313" s="42">
        <f t="shared" si="326"/>
      </c>
      <c r="O313" s="42">
        <f t="shared" si="345"/>
      </c>
      <c r="P313" s="43">
        <f t="shared" si="30"/>
      </c>
      <c r="Q313" s="43">
        <f t="shared" si="49"/>
      </c>
      <c r="R313" s="43">
        <f t="shared" si="68"/>
      </c>
      <c r="S313" s="44">
        <f t="shared" si="87"/>
      </c>
      <c r="T313" s="44">
        <f t="shared" si="637"/>
      </c>
      <c r="U313" s="43">
        <f t="shared" si="675"/>
      </c>
      <c r="V313" s="44">
        <f t="shared" si="656"/>
      </c>
      <c r="W313" s="44">
        <f t="shared" si="694"/>
      </c>
      <c r="X313" s="43">
        <f t="shared" si="11"/>
      </c>
      <c r="Y313" s="58">
        <f>SUM(Y310:Y312)</f>
      </c>
      <c r="Z313" s="58">
        <f>SUM(Z310:Z312)</f>
      </c>
      <c r="AA313" s="58">
        <f>SUM(AA310:AA312)</f>
      </c>
      <c r="AB313" s="58">
        <f>SUM(AB310:AB312)</f>
      </c>
      <c r="AC313" s="58">
        <f>SUM(AC310:AC312)</f>
      </c>
      <c r="AD313" s="45">
        <f t="shared" si="197"/>
      </c>
      <c r="AE313" s="46"/>
      <c r="AF313" s="47"/>
      <c r="AG313" s="58">
        <f>SUM(AG310:AG312)</f>
      </c>
      <c r="AH313" s="58">
        <f>SUM(AH310:AH312)</f>
      </c>
      <c r="AI313" s="58">
        <f>SUM(AI310:AI312)</f>
      </c>
      <c r="AJ313" s="58">
        <f>SUM(AJ310:AJ312)</f>
      </c>
      <c r="AK313" s="58">
        <f>SUM(AK310:AK312)</f>
      </c>
      <c r="AL313" s="58">
        <f>SUM(AL310:AL312)</f>
      </c>
    </row>
    <row r="314">
      <c r="A314" s="15"/>
      <c r="B314" s="16" t="s">
        <v>57</v>
      </c>
      <c r="C314" s="52" t="s">
        <v>59</v>
      </c>
      <c r="D314" s="18">
        <f t="shared" ref="D314:D317" si="411">E314+F314+G314+H314</f>
      </c>
      <c r="E314" s="17">
        <v>672.44</v>
      </c>
      <c r="F314" s="49">
        <v>5096.97</v>
      </c>
      <c r="G314" s="20">
        <v>0</v>
      </c>
      <c r="H314" s="20">
        <v>0</v>
      </c>
      <c r="I314" s="50">
        <f t="shared" ref="I314:I317" si="502">AB314+AC314</f>
      </c>
      <c r="J314" s="51">
        <v>899</v>
      </c>
      <c r="K314" s="22">
        <f t="shared" ref="K314:K317" si="593">I314-J314</f>
      </c>
      <c r="L314" s="22">
        <f t="shared" ref="L314:L317" si="263">(I314-AC314)/12+AC314</f>
      </c>
      <c r="M314" s="23">
        <f t="shared" si="307"/>
      </c>
      <c r="N314" s="24">
        <f t="shared" si="326"/>
      </c>
      <c r="O314" s="25">
        <f t="shared" si="345"/>
      </c>
      <c r="P314" s="26">
        <f t="shared" si="30"/>
      </c>
      <c r="Q314" s="26">
        <f t="shared" si="49"/>
      </c>
      <c r="R314" s="26">
        <f t="shared" si="68"/>
      </c>
      <c r="S314" s="27">
        <f t="shared" si="87"/>
      </c>
      <c r="T314" s="28">
        <f t="shared" si="637"/>
      </c>
      <c r="U314" s="26">
        <f t="shared" si="675"/>
      </c>
      <c r="V314" s="29">
        <f t="shared" si="656"/>
      </c>
      <c r="W314" s="29">
        <f t="shared" si="694"/>
      </c>
      <c r="X314" s="26">
        <f t="shared" si="11"/>
      </c>
      <c r="Y314" s="30">
        <f t="shared" ref="Y314:Y317" si="153">Z314+AA314</f>
      </c>
      <c r="Z314" s="30">
        <v>5</v>
      </c>
      <c r="AA314" s="30">
        <v>6</v>
      </c>
      <c r="AB314" s="31">
        <v>6542.639999999985</v>
      </c>
      <c r="AC314" s="31">
        <v>899</v>
      </c>
      <c r="AD314" s="27">
        <f t="shared" si="197"/>
      </c>
      <c r="AE314" s="32" t="s">
        <v>41</v>
      </c>
      <c r="AF314" s="33" t="s">
        <v>56</v>
      </c>
      <c r="AG314" s="34">
        <v>5</v>
      </c>
      <c r="AH314" s="35">
        <v>70834</v>
      </c>
      <c r="AI314" s="35">
        <v>968</v>
      </c>
      <c r="AJ314" s="35">
        <v>1027</v>
      </c>
      <c r="AK314" s="36">
        <v>164</v>
      </c>
      <c r="AL314" s="36">
        <v>202</v>
      </c>
    </row>
    <row r="315">
      <c r="A315" s="15"/>
      <c r="B315" s="16" t="s">
        <v>57</v>
      </c>
      <c r="C315" s="52" t="s">
        <v>60</v>
      </c>
      <c r="D315" s="18">
        <f t="shared" si="411"/>
      </c>
      <c r="E315" s="17">
        <v>658.19</v>
      </c>
      <c r="F315" s="49">
        <v>6174.95</v>
      </c>
      <c r="G315" s="20">
        <v>0</v>
      </c>
      <c r="H315" s="20">
        <v>0</v>
      </c>
      <c r="I315" s="50">
        <f t="shared" si="502"/>
      </c>
      <c r="J315" s="51">
        <v>638.28</v>
      </c>
      <c r="K315" s="22">
        <f t="shared" si="593"/>
      </c>
      <c r="L315" s="22">
        <f t="shared" si="263"/>
      </c>
      <c r="M315" s="23">
        <f t="shared" si="307"/>
      </c>
      <c r="N315" s="24">
        <f t="shared" si="326"/>
      </c>
      <c r="O315" s="25">
        <f t="shared" si="345"/>
      </c>
      <c r="P315" s="26">
        <f t="shared" si="30"/>
      </c>
      <c r="Q315" s="26">
        <f t="shared" si="49"/>
      </c>
      <c r="R315" s="26">
        <f t="shared" si="68"/>
      </c>
      <c r="S315" s="27">
        <f t="shared" si="87"/>
      </c>
      <c r="T315" s="28">
        <f t="shared" si="637"/>
      </c>
      <c r="U315" s="26">
        <f t="shared" si="675"/>
      </c>
      <c r="V315" s="29">
        <f t="shared" si="656"/>
      </c>
      <c r="W315" s="29">
        <f t="shared" si="694"/>
      </c>
      <c r="X315" s="26">
        <f t="shared" si="11"/>
      </c>
      <c r="Y315" s="30">
        <f t="shared" si="153"/>
      </c>
      <c r="Z315" s="30">
        <v>10</v>
      </c>
      <c r="AA315" s="30">
        <v>7</v>
      </c>
      <c r="AB315" s="31">
        <v>8622.720000000001</v>
      </c>
      <c r="AC315" s="31">
        <v>1664</v>
      </c>
      <c r="AD315" s="27">
        <f t="shared" si="197"/>
      </c>
      <c r="AE315" s="32" t="s">
        <v>41</v>
      </c>
      <c r="AF315" s="33" t="s">
        <v>56</v>
      </c>
      <c r="AG315" s="36">
        <v>5</v>
      </c>
      <c r="AH315" s="35">
        <v>100131</v>
      </c>
      <c r="AI315" s="35">
        <v>1282</v>
      </c>
      <c r="AJ315" s="35">
        <v>1387</v>
      </c>
      <c r="AK315" s="36">
        <v>221</v>
      </c>
      <c r="AL315" s="36">
        <v>258</v>
      </c>
    </row>
    <row r="316">
      <c r="A316" s="15"/>
      <c r="B316" s="16" t="s">
        <v>57</v>
      </c>
      <c r="C316" s="52" t="s">
        <v>61</v>
      </c>
      <c r="D316" s="18">
        <f t="shared" si="411"/>
      </c>
      <c r="E316" s="17">
        <v>483.25</v>
      </c>
      <c r="F316" s="49">
        <v>9281.02</v>
      </c>
      <c r="G316" s="20">
        <v>0</v>
      </c>
      <c r="H316" s="20">
        <v>0</v>
      </c>
      <c r="I316" s="50">
        <f t="shared" si="502"/>
      </c>
      <c r="J316" s="51">
        <v>1622.16</v>
      </c>
      <c r="K316" s="22">
        <f t="shared" si="593"/>
      </c>
      <c r="L316" s="22">
        <f t="shared" si="263"/>
      </c>
      <c r="M316" s="23">
        <f t="shared" si="307"/>
      </c>
      <c r="N316" s="24">
        <f t="shared" si="326"/>
      </c>
      <c r="O316" s="25">
        <f t="shared" si="345"/>
      </c>
      <c r="P316" s="26">
        <f t="shared" si="30"/>
      </c>
      <c r="Q316" s="26">
        <f t="shared" si="49"/>
      </c>
      <c r="R316" s="26">
        <f t="shared" si="68"/>
      </c>
      <c r="S316" s="27">
        <f t="shared" si="87"/>
      </c>
      <c r="T316" s="28">
        <f t="shared" si="637"/>
      </c>
      <c r="U316" s="26">
        <f t="shared" si="675"/>
      </c>
      <c r="V316" s="29">
        <f t="shared" si="656"/>
      </c>
      <c r="W316" s="29">
        <f t="shared" si="694"/>
      </c>
      <c r="X316" s="26">
        <f t="shared" si="11"/>
      </c>
      <c r="Y316" s="30">
        <f t="shared" si="153"/>
      </c>
      <c r="Z316" s="30">
        <v>3</v>
      </c>
      <c r="AA316" s="30">
        <v>12</v>
      </c>
      <c r="AB316" s="31">
        <v>17352.24000000002</v>
      </c>
      <c r="AC316" s="31">
        <v>0</v>
      </c>
      <c r="AD316" s="27">
        <f t="shared" si="197"/>
      </c>
      <c r="AE316" s="32" t="s">
        <v>41</v>
      </c>
      <c r="AF316" s="33" t="s">
        <v>56</v>
      </c>
      <c r="AG316" s="34">
        <v>10</v>
      </c>
      <c r="AH316" s="35">
        <v>126159</v>
      </c>
      <c r="AI316" s="35">
        <v>1665</v>
      </c>
      <c r="AJ316" s="35">
        <v>1724</v>
      </c>
      <c r="AK316" s="36">
        <v>255</v>
      </c>
      <c r="AL316" s="34">
        <v>309</v>
      </c>
    </row>
    <row r="317">
      <c r="A317" s="15"/>
      <c r="B317" s="16" t="s">
        <v>57</v>
      </c>
      <c r="C317" s="17" t="s">
        <v>63</v>
      </c>
      <c r="D317" s="18">
        <f t="shared" si="411"/>
      </c>
      <c r="E317" s="17">
        <v>566.93</v>
      </c>
      <c r="F317" s="49">
        <v>5986.02</v>
      </c>
      <c r="G317" s="20">
        <v>0</v>
      </c>
      <c r="H317" s="20">
        <v>0</v>
      </c>
      <c r="I317" s="50">
        <f t="shared" si="502"/>
      </c>
      <c r="J317" s="51">
        <v>0</v>
      </c>
      <c r="K317" s="22">
        <f t="shared" si="593"/>
      </c>
      <c r="L317" s="22">
        <f t="shared" si="263"/>
      </c>
      <c r="M317" s="23">
        <f t="shared" si="307"/>
      </c>
      <c r="N317" s="24">
        <f t="shared" si="326"/>
      </c>
      <c r="O317" s="25">
        <f t="shared" si="345"/>
      </c>
      <c r="P317" s="26">
        <f t="shared" si="30"/>
      </c>
      <c r="Q317" s="26">
        <f t="shared" si="49"/>
      </c>
      <c r="R317" s="26">
        <f t="shared" si="68"/>
      </c>
      <c r="S317" s="27">
        <f t="shared" si="87"/>
      </c>
      <c r="T317" s="28">
        <f t="shared" si="637"/>
      </c>
      <c r="U317" s="26">
        <f t="shared" si="675"/>
      </c>
      <c r="V317" s="29">
        <f t="shared" si="656"/>
      </c>
      <c r="W317" s="29">
        <f t="shared" si="694"/>
      </c>
      <c r="X317" s="26">
        <f t="shared" si="11"/>
      </c>
      <c r="Y317" s="30">
        <f t="shared" si="153"/>
      </c>
      <c r="Z317" s="30">
        <v>11</v>
      </c>
      <c r="AA317" s="30">
        <v>10</v>
      </c>
      <c r="AB317" s="31">
        <v>14852.159999999974</v>
      </c>
      <c r="AC317" s="31">
        <v>0</v>
      </c>
      <c r="AD317" s="27">
        <f t="shared" si="197"/>
      </c>
      <c r="AE317" s="32" t="s">
        <v>41</v>
      </c>
      <c r="AF317" s="33" t="s">
        <v>56</v>
      </c>
      <c r="AG317" s="34">
        <v>10</v>
      </c>
      <c r="AH317" s="35">
        <v>112557</v>
      </c>
      <c r="AI317" s="35">
        <v>1254</v>
      </c>
      <c r="AJ317" s="35">
        <v>1306</v>
      </c>
      <c r="AK317" s="36">
        <v>240</v>
      </c>
      <c r="AL317" s="34">
        <v>298</v>
      </c>
    </row>
    <row r="318">
      <c r="A318" s="15"/>
      <c r="B318" s="38" t="s">
        <v>47</v>
      </c>
      <c r="C318" s="39">
        <v>4</v>
      </c>
      <c r="D318" s="40">
        <f>SUM(D314:D317)</f>
      </c>
      <c r="E318" s="40">
        <f>SUM(E314:E317)</f>
      </c>
      <c r="F318" s="40">
        <f>SUM(F314:F317)</f>
      </c>
      <c r="G318" s="40">
        <f>SUM(G314:G317)</f>
      </c>
      <c r="H318" s="40">
        <f>SUM(H314:H317)</f>
      </c>
      <c r="I318" s="40">
        <f>SUM(I314:I317)</f>
      </c>
      <c r="J318" s="40">
        <f>SUM(J314:J317)</f>
      </c>
      <c r="K318" s="40">
        <f>SUM(K314:K317)</f>
      </c>
      <c r="L318" s="40">
        <f>SUM(L314:L317)</f>
      </c>
      <c r="M318" s="41">
        <f t="shared" si="307"/>
      </c>
      <c r="N318" s="42">
        <f t="shared" si="326"/>
      </c>
      <c r="O318" s="42">
        <f t="shared" si="345"/>
      </c>
      <c r="P318" s="43">
        <f t="shared" si="30"/>
      </c>
      <c r="Q318" s="43">
        <f t="shared" si="49"/>
      </c>
      <c r="R318" s="43">
        <f t="shared" si="68"/>
      </c>
      <c r="S318" s="44">
        <f t="shared" si="87"/>
      </c>
      <c r="T318" s="44">
        <f t="shared" si="637"/>
      </c>
      <c r="U318" s="43">
        <f t="shared" si="675"/>
      </c>
      <c r="V318" s="44">
        <f t="shared" si="656"/>
      </c>
      <c r="W318" s="44">
        <f t="shared" si="694"/>
      </c>
      <c r="X318" s="43">
        <f t="shared" si="11"/>
      </c>
      <c r="Y318" s="40">
        <f>SUM(Y314:Y317)</f>
      </c>
      <c r="Z318" s="40">
        <f>SUM(Z314:Z317)</f>
      </c>
      <c r="AA318" s="40">
        <f>SUM(AA314:AA317)</f>
      </c>
      <c r="AB318" s="40">
        <f>SUM(AB314:AB317)</f>
      </c>
      <c r="AC318" s="40">
        <f>SUM(AC314:AC317)</f>
      </c>
      <c r="AD318" s="45">
        <f t="shared" si="197"/>
      </c>
      <c r="AE318" s="46"/>
      <c r="AF318" s="47"/>
      <c r="AG318" s="40">
        <f>SUM(AG314:AG317)</f>
      </c>
      <c r="AH318" s="40">
        <f>SUM(AH314:AH317)</f>
      </c>
      <c r="AI318" s="40">
        <f>SUM(AI314:AI317)</f>
      </c>
      <c r="AJ318" s="40">
        <f>SUM(AJ314:AJ317)</f>
      </c>
      <c r="AK318" s="40">
        <f>SUM(AK314:AK317)</f>
      </c>
      <c r="AL318" s="40">
        <f>SUM(AL314:AL317)</f>
      </c>
    </row>
    <row r="319">
      <c r="A319" s="15"/>
      <c r="B319" s="16" t="s">
        <v>62</v>
      </c>
      <c r="C319" s="52" t="s">
        <v>64</v>
      </c>
      <c r="D319" s="18">
        <f t="shared" ref="D319:D322" si="412">E319+F319+G319+H319</f>
      </c>
      <c r="E319" s="17">
        <v>584.15</v>
      </c>
      <c r="F319" s="17">
        <v>7753.13</v>
      </c>
      <c r="G319" s="20">
        <v>0</v>
      </c>
      <c r="H319" s="20">
        <v>0</v>
      </c>
      <c r="I319" s="20">
        <f t="shared" ref="I319:I322" si="503">AB319+AC319</f>
      </c>
      <c r="J319" s="21">
        <v>0</v>
      </c>
      <c r="K319" s="22">
        <f t="shared" ref="K319:K322" si="594">I319-J319</f>
      </c>
      <c r="L319" s="22">
        <f t="shared" ref="L319:L322" si="264">(I319-AC319)/12+AC319</f>
      </c>
      <c r="M319" s="23">
        <f t="shared" si="307"/>
      </c>
      <c r="N319" s="24">
        <f t="shared" si="326"/>
      </c>
      <c r="O319" s="25">
        <f t="shared" si="345"/>
      </c>
      <c r="P319" s="26">
        <f t="shared" si="30"/>
      </c>
      <c r="Q319" s="26">
        <f t="shared" si="49"/>
      </c>
      <c r="R319" s="26">
        <f t="shared" si="68"/>
      </c>
      <c r="S319" s="27">
        <f t="shared" si="87"/>
      </c>
      <c r="T319" s="28">
        <f t="shared" si="637"/>
      </c>
      <c r="U319" s="26">
        <f t="shared" si="675"/>
      </c>
      <c r="V319" s="29">
        <f t="shared" si="656"/>
      </c>
      <c r="W319" s="29">
        <f t="shared" si="694"/>
      </c>
      <c r="X319" s="26">
        <f t="shared" si="11"/>
      </c>
      <c r="Y319" s="30">
        <f t="shared" ref="Y319:Y322" si="154">Z319+AA319</f>
      </c>
      <c r="Z319" s="30">
        <v>5</v>
      </c>
      <c r="AA319" s="30">
        <v>7</v>
      </c>
      <c r="AB319" s="31">
        <v>16295.040000000008</v>
      </c>
      <c r="AC319" s="31">
        <v>0</v>
      </c>
      <c r="AD319" s="27">
        <f t="shared" si="197"/>
      </c>
      <c r="AE319" s="32" t="s">
        <v>41</v>
      </c>
      <c r="AF319" s="33" t="s">
        <v>56</v>
      </c>
      <c r="AG319" s="36">
        <v>7</v>
      </c>
      <c r="AH319" s="35">
        <v>109546</v>
      </c>
      <c r="AI319" s="35">
        <v>1263</v>
      </c>
      <c r="AJ319" s="35">
        <v>1301</v>
      </c>
      <c r="AK319" s="36">
        <v>195</v>
      </c>
      <c r="AL319" s="36">
        <v>251</v>
      </c>
    </row>
    <row r="320">
      <c r="A320" s="15"/>
      <c r="B320" s="16" t="s">
        <v>62</v>
      </c>
      <c r="C320" s="52" t="s">
        <v>65</v>
      </c>
      <c r="D320" s="18">
        <f t="shared" si="412"/>
      </c>
      <c r="E320" s="17">
        <v>673.67</v>
      </c>
      <c r="F320" s="17">
        <v>12609.77</v>
      </c>
      <c r="G320" s="20">
        <v>0</v>
      </c>
      <c r="H320" s="20">
        <v>0</v>
      </c>
      <c r="I320" s="20">
        <f t="shared" si="503"/>
      </c>
      <c r="J320" s="21">
        <v>855.36</v>
      </c>
      <c r="K320" s="22">
        <f t="shared" si="594"/>
      </c>
      <c r="L320" s="22">
        <f t="shared" si="264"/>
      </c>
      <c r="M320" s="23">
        <f t="shared" si="307"/>
      </c>
      <c r="N320" s="24">
        <f t="shared" si="326"/>
      </c>
      <c r="O320" s="25">
        <f t="shared" si="345"/>
      </c>
      <c r="P320" s="26">
        <f t="shared" si="30"/>
      </c>
      <c r="Q320" s="26">
        <f t="shared" si="49"/>
      </c>
      <c r="R320" s="26">
        <f t="shared" si="68"/>
      </c>
      <c r="S320" s="27">
        <f t="shared" si="87"/>
      </c>
      <c r="T320" s="28">
        <f t="shared" si="637"/>
      </c>
      <c r="U320" s="26">
        <f t="shared" si="675"/>
      </c>
      <c r="V320" s="29">
        <f t="shared" si="656"/>
      </c>
      <c r="W320" s="29">
        <f t="shared" si="694"/>
      </c>
      <c r="X320" s="26">
        <f t="shared" si="11"/>
      </c>
      <c r="Y320" s="30">
        <f t="shared" si="154"/>
      </c>
      <c r="Z320" s="30">
        <v>11</v>
      </c>
      <c r="AA320" s="30">
        <v>14</v>
      </c>
      <c r="AB320" s="31">
        <v>13245.120000000024</v>
      </c>
      <c r="AC320" s="31">
        <v>3380.999999999999</v>
      </c>
      <c r="AD320" s="27">
        <f t="shared" si="197"/>
      </c>
      <c r="AE320" s="32" t="s">
        <v>41</v>
      </c>
      <c r="AF320" s="33" t="s">
        <v>56</v>
      </c>
      <c r="AG320" s="36">
        <v>13</v>
      </c>
      <c r="AH320" s="35">
        <v>207352</v>
      </c>
      <c r="AI320" s="35">
        <v>1858</v>
      </c>
      <c r="AJ320" s="35">
        <v>1849</v>
      </c>
      <c r="AK320" s="36">
        <v>304</v>
      </c>
      <c r="AL320" s="36">
        <v>375</v>
      </c>
    </row>
    <row r="321">
      <c r="A321" s="15"/>
      <c r="B321" s="16" t="s">
        <v>62</v>
      </c>
      <c r="C321" s="17" t="s">
        <v>66</v>
      </c>
      <c r="D321" s="18">
        <f t="shared" si="412"/>
      </c>
      <c r="E321" s="17">
        <v>919.69</v>
      </c>
      <c r="F321" s="20">
        <v>6535.18</v>
      </c>
      <c r="G321" s="20">
        <v>0</v>
      </c>
      <c r="H321" s="20">
        <v>0</v>
      </c>
      <c r="I321" s="37">
        <f t="shared" si="503"/>
      </c>
      <c r="J321" s="21">
        <v>0</v>
      </c>
      <c r="K321" s="22">
        <f t="shared" si="594"/>
      </c>
      <c r="L321" s="22">
        <f t="shared" si="264"/>
      </c>
      <c r="M321" s="23">
        <f t="shared" si="307"/>
      </c>
      <c r="N321" s="24">
        <f t="shared" si="326"/>
      </c>
      <c r="O321" s="25">
        <f t="shared" si="345"/>
      </c>
      <c r="P321" s="26">
        <f t="shared" si="30"/>
      </c>
      <c r="Q321" s="26">
        <f t="shared" si="49"/>
      </c>
      <c r="R321" s="26">
        <f t="shared" si="68"/>
      </c>
      <c r="S321" s="27">
        <f t="shared" si="87"/>
      </c>
      <c r="T321" s="28">
        <f t="shared" si="637"/>
      </c>
      <c r="U321" s="26">
        <f t="shared" si="675"/>
      </c>
      <c r="V321" s="29">
        <f t="shared" si="656"/>
      </c>
      <c r="W321" s="29">
        <f t="shared" si="694"/>
      </c>
      <c r="X321" s="26">
        <f t="shared" si="11"/>
      </c>
      <c r="Y321" s="30">
        <f t="shared" si="154"/>
      </c>
      <c r="Z321" s="30">
        <v>10</v>
      </c>
      <c r="AA321" s="30">
        <v>10</v>
      </c>
      <c r="AB321" s="31">
        <v>27512.52</v>
      </c>
      <c r="AC321" s="31">
        <v>0</v>
      </c>
      <c r="AD321" s="27">
        <f t="shared" si="197"/>
      </c>
      <c r="AE321" s="32" t="s">
        <v>41</v>
      </c>
      <c r="AF321" s="33" t="s">
        <v>56</v>
      </c>
      <c r="AG321" s="34">
        <v>8</v>
      </c>
      <c r="AH321" s="35">
        <v>144224</v>
      </c>
      <c r="AI321" s="35">
        <v>1458</v>
      </c>
      <c r="AJ321" s="35">
        <v>1534</v>
      </c>
      <c r="AK321" s="36">
        <v>205</v>
      </c>
      <c r="AL321" s="36">
        <v>225</v>
      </c>
    </row>
    <row r="322">
      <c r="A322" s="15"/>
      <c r="B322" s="16" t="s">
        <v>62</v>
      </c>
      <c r="C322" s="17" t="s">
        <v>67</v>
      </c>
      <c r="D322" s="18">
        <f t="shared" si="412"/>
      </c>
      <c r="E322" s="19">
        <v>349.12</v>
      </c>
      <c r="F322" s="20">
        <v>4354.15</v>
      </c>
      <c r="G322" s="20">
        <v>0</v>
      </c>
      <c r="H322" s="20">
        <v>0</v>
      </c>
      <c r="I322" s="20">
        <f t="shared" si="503"/>
      </c>
      <c r="J322" s="21">
        <v>0</v>
      </c>
      <c r="K322" s="22">
        <f t="shared" si="594"/>
      </c>
      <c r="L322" s="22">
        <f t="shared" si="264"/>
      </c>
      <c r="M322" s="23">
        <f t="shared" si="307"/>
      </c>
      <c r="N322" s="24">
        <f t="shared" si="326"/>
      </c>
      <c r="O322" s="25">
        <f t="shared" si="345"/>
      </c>
      <c r="P322" s="26">
        <f t="shared" si="30"/>
      </c>
      <c r="Q322" s="26">
        <f t="shared" si="49"/>
      </c>
      <c r="R322" s="26">
        <f t="shared" si="68"/>
      </c>
      <c r="S322" s="27">
        <f t="shared" si="87"/>
      </c>
      <c r="T322" s="28">
        <f t="shared" si="637"/>
      </c>
      <c r="U322" s="26">
        <f t="shared" si="675"/>
      </c>
      <c r="V322" s="29">
        <f t="shared" si="656"/>
      </c>
      <c r="W322" s="29">
        <f t="shared" si="694"/>
      </c>
      <c r="X322" s="26">
        <f t="shared" si="11"/>
      </c>
      <c r="Y322" s="30">
        <f t="shared" si="154"/>
      </c>
      <c r="Z322" s="30">
        <v>4</v>
      </c>
      <c r="AA322" s="30">
        <v>5</v>
      </c>
      <c r="AB322" s="31">
        <v>8018.999999999996</v>
      </c>
      <c r="AC322" s="31">
        <v>0</v>
      </c>
      <c r="AD322" s="27">
        <f t="shared" si="197"/>
      </c>
      <c r="AE322" s="32" t="s">
        <v>41</v>
      </c>
      <c r="AF322" s="33" t="s">
        <v>56</v>
      </c>
      <c r="AG322" s="34">
        <v>5</v>
      </c>
      <c r="AH322" s="35">
        <v>73282</v>
      </c>
      <c r="AI322" s="35">
        <v>1382</v>
      </c>
      <c r="AJ322" s="35">
        <v>1480</v>
      </c>
      <c r="AK322" s="34">
        <v>171</v>
      </c>
      <c r="AL322" s="34">
        <v>146</v>
      </c>
    </row>
    <row r="323">
      <c r="A323" s="15"/>
      <c r="B323" s="38" t="s">
        <v>47</v>
      </c>
      <c r="C323" s="39">
        <v>4</v>
      </c>
      <c r="D323" s="40">
        <f>SUM(D319:D322)</f>
      </c>
      <c r="E323" s="40">
        <f>SUM(E319:E322)</f>
      </c>
      <c r="F323" s="40">
        <f>SUM(F319:F322)</f>
      </c>
      <c r="G323" s="40">
        <f>SUM(G319:G322)</f>
      </c>
      <c r="H323" s="40">
        <f>SUM(H319:H322)</f>
      </c>
      <c r="I323" s="40">
        <f>SUM(I319:I322)</f>
      </c>
      <c r="J323" s="40">
        <f>SUM(J319:J322)</f>
      </c>
      <c r="K323" s="40">
        <f>SUM(K319:K322)</f>
      </c>
      <c r="L323" s="40">
        <f>SUM(L319:L322)</f>
      </c>
      <c r="M323" s="41">
        <f t="shared" si="307"/>
      </c>
      <c r="N323" s="42">
        <f t="shared" si="326"/>
      </c>
      <c r="O323" s="42">
        <f t="shared" si="345"/>
      </c>
      <c r="P323" s="43">
        <f t="shared" si="30"/>
      </c>
      <c r="Q323" s="43">
        <f t="shared" si="49"/>
      </c>
      <c r="R323" s="43">
        <f t="shared" si="68"/>
      </c>
      <c r="S323" s="44">
        <f t="shared" si="87"/>
      </c>
      <c r="T323" s="44">
        <f t="shared" si="637"/>
      </c>
      <c r="U323" s="43">
        <f t="shared" si="675"/>
      </c>
      <c r="V323" s="44">
        <f t="shared" si="656"/>
      </c>
      <c r="W323" s="44">
        <f t="shared" si="694"/>
      </c>
      <c r="X323" s="43">
        <f t="shared" si="11"/>
      </c>
      <c r="Y323" s="40">
        <f>SUM(Y319:Y322)</f>
      </c>
      <c r="Z323" s="40">
        <f>SUM(Z319:Z322)</f>
      </c>
      <c r="AA323" s="40">
        <f>SUM(AA319:AA322)</f>
      </c>
      <c r="AB323" s="40">
        <f>SUM(AB319:AB322)</f>
      </c>
      <c r="AC323" s="40">
        <f>SUM(AC319:AC322)</f>
      </c>
      <c r="AD323" s="59">
        <f t="shared" si="197"/>
      </c>
      <c r="AE323" s="46"/>
      <c r="AF323" s="47"/>
      <c r="AG323" s="40">
        <f>SUM(AG319:AG322)</f>
      </c>
      <c r="AH323" s="40">
        <f>SUM(AH319:AH322)</f>
      </c>
      <c r="AI323" s="40">
        <f>SUM(AI319:AI322)</f>
      </c>
      <c r="AJ323" s="40">
        <f>SUM(AJ319:AJ322)</f>
      </c>
      <c r="AK323" s="40">
        <f>SUM(AK319:AK322)</f>
      </c>
      <c r="AL323" s="40">
        <f>SUM(AL319:AL322)</f>
      </c>
    </row>
    <row r="324">
      <c r="A324" s="15"/>
      <c r="B324" s="60" t="s">
        <v>47</v>
      </c>
      <c r="C324" s="61">
        <f>C304+C309+C313+C318+C323</f>
      </c>
      <c r="D324" s="62">
        <f>D304+D309+D313+D318+D323</f>
      </c>
      <c r="E324" s="61">
        <f>E304+E309+E313+E318+E323</f>
      </c>
      <c r="F324" s="61">
        <f>F304+F309+F313+F318+F323</f>
      </c>
      <c r="G324" s="61">
        <f>G304+G309+G313+G318+G323</f>
      </c>
      <c r="H324" s="61">
        <f>H304+H309+H313+H318+H323</f>
      </c>
      <c r="I324" s="62">
        <f>I304+I309+I313+I318+I323</f>
      </c>
      <c r="J324" s="61">
        <f>J304+J309+J313+J318+J323</f>
      </c>
      <c r="K324" s="61">
        <f>K304+K309+K313+K318+K323</f>
      </c>
      <c r="L324" s="61">
        <f>L304+L309+L313+L318+L323</f>
      </c>
      <c r="M324" s="63">
        <f t="shared" si="307"/>
      </c>
      <c r="N324" s="63">
        <f t="shared" si="326"/>
      </c>
      <c r="O324" s="63">
        <f t="shared" si="345"/>
      </c>
      <c r="P324" s="63">
        <f t="shared" si="30"/>
      </c>
      <c r="Q324" s="63">
        <f t="shared" si="49"/>
      </c>
      <c r="R324" s="63">
        <f t="shared" si="68"/>
      </c>
      <c r="S324" s="64">
        <f t="shared" si="87"/>
      </c>
      <c r="T324" s="64">
        <f t="shared" si="637"/>
      </c>
      <c r="U324" s="63">
        <f t="shared" si="675"/>
      </c>
      <c r="V324" s="64">
        <f t="shared" si="656"/>
      </c>
      <c r="W324" s="64">
        <f t="shared" si="694"/>
      </c>
      <c r="X324" s="63">
        <f t="shared" si="11"/>
      </c>
      <c r="Y324" s="61">
        <f>Y304+Y309+Y313+Y318+Y323</f>
      </c>
      <c r="Z324" s="61">
        <f>Z304+Z309+Z313+Z318+Z323</f>
      </c>
      <c r="AA324" s="62">
        <f>AA304+AA309+AA313+AA318+AA323</f>
      </c>
      <c r="AB324" s="61">
        <f>AB304+AB309+AB313+AB318+AB323</f>
      </c>
      <c r="AC324" s="65">
        <f>AC304+AC309+AC313+AC318+AC323</f>
      </c>
      <c r="AD324" s="66">
        <f t="shared" si="197"/>
      </c>
      <c r="AE324" s="67"/>
      <c r="AF324" s="60"/>
      <c r="AG324" s="61">
        <f>AG304+AG309+AG313+AG318+AG323</f>
      </c>
      <c r="AH324" s="61">
        <f>AH304+AH309+AH313+AH318+AH323</f>
      </c>
      <c r="AI324" s="61">
        <f>AI304+AI309+AI313+AI318+AI323</f>
      </c>
      <c r="AJ324" s="61">
        <f>AJ304+AJ309+AJ313+AJ318+AJ323</f>
      </c>
      <c r="AK324" s="61">
        <f>AK304+AK309+AK313+AK318+AK323</f>
      </c>
      <c r="AL324" s="61">
        <f>AL304+AL309+AL313+AL318+AL323</f>
      </c>
    </row>
    <row r="325">
      <c r="A325" s="1" t="s">
        <v>1</v>
      </c>
      <c r="B325" s="2" t="s">
        <v>2</v>
      </c>
      <c r="C325" s="2" t="s">
        <v>3</v>
      </c>
      <c r="D325" s="3" t="s">
        <v>4</v>
      </c>
      <c r="E325" s="2" t="s">
        <v>5</v>
      </c>
      <c r="F325" s="2" t="s">
        <v>6</v>
      </c>
      <c r="G325" s="4" t="s">
        <v>7</v>
      </c>
      <c r="H325" s="4" t="s">
        <v>8</v>
      </c>
      <c r="I325" s="3" t="s">
        <v>9</v>
      </c>
      <c r="J325" s="5" t="s">
        <v>10</v>
      </c>
      <c r="K325" s="6" t="s">
        <v>11</v>
      </c>
      <c r="L325" s="6" t="s">
        <v>12</v>
      </c>
      <c r="M325" s="7" t="s">
        <v>13</v>
      </c>
      <c r="N325" s="6" t="s">
        <v>14</v>
      </c>
      <c r="O325" s="2" t="s">
        <v>15</v>
      </c>
      <c r="P325" s="7" t="s">
        <v>16</v>
      </c>
      <c r="Q325" s="8" t="s">
        <v>17</v>
      </c>
      <c r="R325" s="8" t="s">
        <v>18</v>
      </c>
      <c r="S325" s="3" t="s">
        <v>19</v>
      </c>
      <c r="T325" s="9" t="s">
        <v>20</v>
      </c>
      <c r="U325" s="7" t="s">
        <v>21</v>
      </c>
      <c r="V325" s="10" t="s">
        <v>22</v>
      </c>
      <c r="W325" s="11" t="s">
        <v>23</v>
      </c>
      <c r="X325" s="7" t="s">
        <v>24</v>
      </c>
      <c r="Y325" s="12" t="s">
        <v>25</v>
      </c>
      <c r="Z325" s="13" t="s">
        <v>26</v>
      </c>
      <c r="AA325" s="12" t="s">
        <v>27</v>
      </c>
      <c r="AB325" s="14" t="s">
        <v>28</v>
      </c>
      <c r="AC325" s="14" t="s">
        <v>29</v>
      </c>
      <c r="AD325" s="6" t="s">
        <v>30</v>
      </c>
      <c r="AE325" s="5" t="s">
        <v>31</v>
      </c>
      <c r="AF325" s="6" t="s">
        <v>32</v>
      </c>
      <c r="AG325" s="5" t="s">
        <v>33</v>
      </c>
      <c r="AH325" s="5" t="s">
        <v>34</v>
      </c>
      <c r="AI325" s="6" t="s">
        <v>35</v>
      </c>
      <c r="AJ325" s="5" t="s">
        <v>36</v>
      </c>
      <c r="AK325" s="6" t="s">
        <v>37</v>
      </c>
      <c r="AL325" s="5" t="s">
        <v>38</v>
      </c>
    </row>
    <row r="326">
      <c r="A326" s="15">
        <v>46308</v>
      </c>
      <c r="B326" s="16" t="s">
        <v>39</v>
      </c>
      <c r="C326" s="17" t="s">
        <v>40</v>
      </c>
      <c r="D326" s="18">
        <f t="shared" ref="D326:D330" si="413">E326+F326+G326+H326</f>
      </c>
      <c r="E326" s="19">
        <v>1755.74</v>
      </c>
      <c r="F326" s="20">
        <v>6845.68</v>
      </c>
      <c r="G326" s="20">
        <v>0</v>
      </c>
      <c r="H326" s="20">
        <v>0</v>
      </c>
      <c r="I326" s="20">
        <f t="shared" ref="I326:I330" si="504">AB326+AC326</f>
      </c>
      <c r="J326" s="21">
        <f>1217.16+4394.52</f>
      </c>
      <c r="K326" s="22">
        <f t="shared" ref="K326:K330" si="595">I326-J326</f>
      </c>
      <c r="L326" s="22">
        <f t="shared" ref="L326:L330" si="265">(I326-AC326)/12+AC326</f>
      </c>
      <c r="M326" s="23">
        <f t="shared" ref="M326:M351" si="308">I326/D326</f>
      </c>
      <c r="N326" s="24">
        <f t="shared" ref="N326:N351" si="327">(I326-J326)/D326</f>
      </c>
      <c r="O326" s="25">
        <f t="shared" ref="O326:O351" si="346">(AC326+AB326/12)/D326</f>
      </c>
      <c r="P326" s="26">
        <f t="shared" ref="P326:P351" si="31">I326/AA326</f>
      </c>
      <c r="Q326" s="26">
        <f t="shared" ref="Q326:Q351" si="50">D326/AA326</f>
      </c>
      <c r="R326" s="26">
        <f t="shared" ref="R326:R351" si="69">D326/AG326</f>
      </c>
      <c r="S326" s="27">
        <f t="shared" ref="S326:S351" si="88">AA326/Y326</f>
      </c>
      <c r="T326" s="28">
        <f t="shared" ref="T326:T351" si="638">AI326/AH326</f>
      </c>
      <c r="U326" s="26">
        <f t="shared" ref="U326:U351" si="676">D326/AJ326</f>
      </c>
      <c r="V326" s="29">
        <f t="shared" ref="V326:V351" si="657">AK326/AJ326</f>
      </c>
      <c r="W326" s="29">
        <f t="shared" ref="W326:W351" si="695">AL326/AJ326</f>
      </c>
      <c r="X326" s="26">
        <f t="shared" ref="X326:X351" si="12">D326/AL326</f>
      </c>
      <c r="Y326" s="30">
        <f t="shared" ref="Y326:Y330" si="155">Z326+AA326</f>
      </c>
      <c r="Z326" s="30">
        <v>4</v>
      </c>
      <c r="AA326" s="30">
        <v>6</v>
      </c>
      <c r="AB326" s="31">
        <v>11688.840000000004</v>
      </c>
      <c r="AC326" s="31">
        <v>0</v>
      </c>
      <c r="AD326" s="27">
        <f t="shared" ref="AD326:AD351" si="198">AC326/I326</f>
      </c>
      <c r="AE326" s="32" t="s">
        <v>41</v>
      </c>
      <c r="AF326" s="33" t="s">
        <v>42</v>
      </c>
      <c r="AG326" s="34">
        <v>6</v>
      </c>
      <c r="AH326" s="34">
        <v>112771</v>
      </c>
      <c r="AI326" s="35">
        <v>3574</v>
      </c>
      <c r="AJ326" s="35">
        <v>3841</v>
      </c>
      <c r="AK326" s="34">
        <v>328</v>
      </c>
      <c r="AL326" s="36">
        <v>290</v>
      </c>
    </row>
    <row r="327">
      <c r="A327" s="15"/>
      <c r="B327" s="16" t="s">
        <v>39</v>
      </c>
      <c r="C327" s="17" t="s">
        <v>43</v>
      </c>
      <c r="D327" s="18">
        <f t="shared" si="413"/>
      </c>
      <c r="E327" s="17">
        <v>1584.23</v>
      </c>
      <c r="F327" s="20">
        <v>4968.95</v>
      </c>
      <c r="G327" s="20">
        <v>0</v>
      </c>
      <c r="H327" s="20">
        <v>0</v>
      </c>
      <c r="I327" s="20">
        <f t="shared" si="504"/>
      </c>
      <c r="J327" s="21">
        <v>0</v>
      </c>
      <c r="K327" s="22">
        <f t="shared" si="595"/>
      </c>
      <c r="L327" s="22">
        <f t="shared" si="265"/>
      </c>
      <c r="M327" s="23">
        <f t="shared" si="308"/>
      </c>
      <c r="N327" s="24">
        <f t="shared" si="327"/>
      </c>
      <c r="O327" s="25">
        <f t="shared" si="346"/>
      </c>
      <c r="P327" s="26">
        <f t="shared" si="31"/>
      </c>
      <c r="Q327" s="26">
        <f t="shared" si="50"/>
      </c>
      <c r="R327" s="26">
        <f t="shared" si="69"/>
      </c>
      <c r="S327" s="27">
        <f t="shared" si="88"/>
      </c>
      <c r="T327" s="28">
        <f t="shared" si="638"/>
      </c>
      <c r="U327" s="26">
        <f t="shared" si="676"/>
      </c>
      <c r="V327" s="29">
        <f t="shared" si="657"/>
      </c>
      <c r="W327" s="29">
        <f t="shared" si="695"/>
      </c>
      <c r="X327" s="26">
        <f t="shared" si="12"/>
      </c>
      <c r="Y327" s="30">
        <f t="shared" si="155"/>
      </c>
      <c r="Z327" s="30">
        <v>5</v>
      </c>
      <c r="AA327" s="30">
        <v>5</v>
      </c>
      <c r="AB327" s="31">
        <v>9205.559999999998</v>
      </c>
      <c r="AC327" s="31">
        <v>0</v>
      </c>
      <c r="AD327" s="27">
        <f t="shared" si="198"/>
      </c>
      <c r="AE327" s="32" t="s">
        <v>41</v>
      </c>
      <c r="AF327" s="33" t="s">
        <v>42</v>
      </c>
      <c r="AG327" s="34">
        <v>4</v>
      </c>
      <c r="AH327" s="35">
        <v>89370</v>
      </c>
      <c r="AI327" s="35">
        <v>1760</v>
      </c>
      <c r="AJ327" s="35">
        <v>1969</v>
      </c>
      <c r="AK327" s="36">
        <v>258</v>
      </c>
      <c r="AL327" s="36">
        <v>249</v>
      </c>
    </row>
    <row r="328">
      <c r="A328" s="15"/>
      <c r="B328" s="16" t="s">
        <v>39</v>
      </c>
      <c r="C328" s="17" t="s">
        <v>44</v>
      </c>
      <c r="D328" s="18">
        <f t="shared" si="413"/>
      </c>
      <c r="E328" s="17">
        <v>1484.87</v>
      </c>
      <c r="F328" s="20">
        <v>4472.67</v>
      </c>
      <c r="G328" s="20">
        <v>0</v>
      </c>
      <c r="H328" s="20">
        <v>0</v>
      </c>
      <c r="I328" s="20">
        <f t="shared" si="504"/>
      </c>
      <c r="J328" s="21">
        <f>1126.44+3008.88</f>
      </c>
      <c r="K328" s="22">
        <f t="shared" si="595"/>
      </c>
      <c r="L328" s="22">
        <f t="shared" si="265"/>
      </c>
      <c r="M328" s="23">
        <f t="shared" si="308"/>
      </c>
      <c r="N328" s="24">
        <f t="shared" si="327"/>
      </c>
      <c r="O328" s="25">
        <f t="shared" si="346"/>
      </c>
      <c r="P328" s="26">
        <f t="shared" si="31"/>
      </c>
      <c r="Q328" s="26">
        <f t="shared" si="50"/>
      </c>
      <c r="R328" s="26">
        <f t="shared" si="69"/>
      </c>
      <c r="S328" s="27">
        <f t="shared" si="88"/>
      </c>
      <c r="T328" s="28">
        <f t="shared" si="638"/>
      </c>
      <c r="U328" s="26">
        <f t="shared" si="676"/>
      </c>
      <c r="V328" s="29">
        <f t="shared" si="657"/>
      </c>
      <c r="W328" s="29">
        <f t="shared" si="695"/>
      </c>
      <c r="X328" s="26">
        <f t="shared" si="12"/>
      </c>
      <c r="Y328" s="30">
        <f t="shared" si="155"/>
      </c>
      <c r="Z328" s="30">
        <v>3</v>
      </c>
      <c r="AA328" s="30">
        <v>5</v>
      </c>
      <c r="AB328" s="31">
        <v>7109.639999999999</v>
      </c>
      <c r="AC328" s="31">
        <v>0</v>
      </c>
      <c r="AD328" s="27">
        <f t="shared" si="198"/>
      </c>
      <c r="AE328" s="32" t="s">
        <v>41</v>
      </c>
      <c r="AF328" s="33" t="s">
        <v>42</v>
      </c>
      <c r="AG328" s="36">
        <v>4</v>
      </c>
      <c r="AH328" s="35">
        <v>71858</v>
      </c>
      <c r="AI328" s="35">
        <v>1066</v>
      </c>
      <c r="AJ328" s="35">
        <v>1353</v>
      </c>
      <c r="AK328" s="36">
        <v>221</v>
      </c>
      <c r="AL328" s="36">
        <v>221</v>
      </c>
    </row>
    <row r="329">
      <c r="A329" s="15"/>
      <c r="B329" s="16" t="s">
        <v>39</v>
      </c>
      <c r="C329" s="17" t="s">
        <v>45</v>
      </c>
      <c r="D329" s="18">
        <f t="shared" si="413"/>
      </c>
      <c r="E329" s="17">
        <v>1091.46</v>
      </c>
      <c r="F329" s="20">
        <v>5982.6</v>
      </c>
      <c r="G329" s="20">
        <v>0</v>
      </c>
      <c r="H329" s="20">
        <v>0</v>
      </c>
      <c r="I329" s="37">
        <f t="shared" si="504"/>
      </c>
      <c r="J329" s="21">
        <v>0</v>
      </c>
      <c r="K329" s="22">
        <f t="shared" si="595"/>
      </c>
      <c r="L329" s="22">
        <f t="shared" si="265"/>
      </c>
      <c r="M329" s="23">
        <f t="shared" si="308"/>
      </c>
      <c r="N329" s="24">
        <f t="shared" si="327"/>
      </c>
      <c r="O329" s="25">
        <f t="shared" si="346"/>
      </c>
      <c r="P329" s="26">
        <f t="shared" si="31"/>
      </c>
      <c r="Q329" s="26">
        <f t="shared" si="50"/>
      </c>
      <c r="R329" s="26">
        <f t="shared" si="69"/>
      </c>
      <c r="S329" s="27">
        <f t="shared" si="88"/>
      </c>
      <c r="T329" s="28">
        <f t="shared" si="638"/>
      </c>
      <c r="U329" s="26">
        <f t="shared" si="676"/>
      </c>
      <c r="V329" s="29">
        <f t="shared" si="657"/>
      </c>
      <c r="W329" s="29">
        <f t="shared" si="695"/>
      </c>
      <c r="X329" s="26">
        <f t="shared" si="12"/>
      </c>
      <c r="Y329" s="30">
        <f t="shared" si="155"/>
      </c>
      <c r="Z329" s="30">
        <v>6</v>
      </c>
      <c r="AA329" s="30">
        <v>5</v>
      </c>
      <c r="AB329" s="31">
        <v>5037.119999999995</v>
      </c>
      <c r="AC329" s="31">
        <v>0</v>
      </c>
      <c r="AD329" s="27">
        <f t="shared" si="198"/>
      </c>
      <c r="AE329" s="32" t="s">
        <v>41</v>
      </c>
      <c r="AF329" s="33" t="s">
        <v>42</v>
      </c>
      <c r="AG329" s="34">
        <v>4</v>
      </c>
      <c r="AH329" s="35">
        <v>89277</v>
      </c>
      <c r="AI329" s="35">
        <v>1103</v>
      </c>
      <c r="AJ329" s="35">
        <v>1361</v>
      </c>
      <c r="AK329" s="36">
        <v>201</v>
      </c>
      <c r="AL329" s="36">
        <v>202</v>
      </c>
    </row>
    <row r="330">
      <c r="A330" s="15"/>
      <c r="B330" s="16" t="s">
        <v>39</v>
      </c>
      <c r="C330" s="17" t="s">
        <v>46</v>
      </c>
      <c r="D330" s="18">
        <f t="shared" si="413"/>
      </c>
      <c r="E330" s="17">
        <v>826.2</v>
      </c>
      <c r="F330" s="20">
        <v>7957.39</v>
      </c>
      <c r="G330" s="20">
        <v>0</v>
      </c>
      <c r="H330" s="20">
        <v>0</v>
      </c>
      <c r="I330" s="20">
        <f t="shared" si="504"/>
      </c>
      <c r="J330" s="21">
        <f>1616.76+970.92+2081.16</f>
      </c>
      <c r="K330" s="22">
        <f t="shared" si="595"/>
      </c>
      <c r="L330" s="22">
        <f t="shared" si="265"/>
      </c>
      <c r="M330" s="23">
        <f t="shared" si="308"/>
      </c>
      <c r="N330" s="24">
        <f t="shared" si="327"/>
      </c>
      <c r="O330" s="25">
        <f t="shared" si="346"/>
      </c>
      <c r="P330" s="26">
        <f t="shared" si="31"/>
      </c>
      <c r="Q330" s="26">
        <f t="shared" si="50"/>
      </c>
      <c r="R330" s="26">
        <f t="shared" si="69"/>
      </c>
      <c r="S330" s="27">
        <f t="shared" si="88"/>
      </c>
      <c r="T330" s="28">
        <f t="shared" si="638"/>
      </c>
      <c r="U330" s="26">
        <f t="shared" si="676"/>
      </c>
      <c r="V330" s="29">
        <f t="shared" si="657"/>
      </c>
      <c r="W330" s="29">
        <f t="shared" si="695"/>
      </c>
      <c r="X330" s="26">
        <f t="shared" si="12"/>
      </c>
      <c r="Y330" s="30">
        <f t="shared" si="155"/>
      </c>
      <c r="Z330" s="30">
        <v>6</v>
      </c>
      <c r="AA330" s="30">
        <v>12</v>
      </c>
      <c r="AB330" s="31">
        <v>24883.20000000001</v>
      </c>
      <c r="AC330" s="31">
        <v>0</v>
      </c>
      <c r="AD330" s="27">
        <f t="shared" si="198"/>
      </c>
      <c r="AE330" s="32" t="s">
        <v>41</v>
      </c>
      <c r="AF330" s="33" t="s">
        <v>42</v>
      </c>
      <c r="AG330" s="34">
        <v>10</v>
      </c>
      <c r="AH330" s="35">
        <v>139355</v>
      </c>
      <c r="AI330" s="35">
        <v>1092</v>
      </c>
      <c r="AJ330" s="35">
        <v>1163</v>
      </c>
      <c r="AK330" s="34">
        <v>201</v>
      </c>
      <c r="AL330" s="34">
        <v>259</v>
      </c>
    </row>
    <row r="331">
      <c r="A331" s="15"/>
      <c r="B331" s="38" t="s">
        <v>47</v>
      </c>
      <c r="C331" s="39">
        <v>5</v>
      </c>
      <c r="D331" s="40">
        <f>SUM(D326:D330)</f>
      </c>
      <c r="E331" s="40">
        <f>SUM(E326:E330)</f>
      </c>
      <c r="F331" s="40">
        <f>SUM(F326:F330)</f>
      </c>
      <c r="G331" s="40">
        <f>SUM(G326:G330)</f>
      </c>
      <c r="H331" s="40">
        <f>SUM(H326:H330)</f>
      </c>
      <c r="I331" s="40">
        <f>SUM(I326:I330)</f>
      </c>
      <c r="J331" s="40">
        <f>SUM(J326:J330)</f>
      </c>
      <c r="K331" s="40">
        <f>SUM(K326:K330)</f>
      </c>
      <c r="L331" s="40">
        <f>SUM(L326:L330)</f>
      </c>
      <c r="M331" s="41">
        <f t="shared" si="308"/>
      </c>
      <c r="N331" s="42">
        <f t="shared" si="327"/>
      </c>
      <c r="O331" s="42">
        <f t="shared" si="346"/>
      </c>
      <c r="P331" s="43">
        <f t="shared" si="31"/>
      </c>
      <c r="Q331" s="43">
        <f t="shared" si="50"/>
      </c>
      <c r="R331" s="43">
        <f t="shared" si="69"/>
      </c>
      <c r="S331" s="44">
        <f t="shared" si="88"/>
      </c>
      <c r="T331" s="44">
        <f t="shared" si="638"/>
      </c>
      <c r="U331" s="43">
        <f t="shared" si="676"/>
      </c>
      <c r="V331" s="44">
        <f t="shared" si="657"/>
      </c>
      <c r="W331" s="44">
        <f t="shared" si="695"/>
      </c>
      <c r="X331" s="43">
        <f t="shared" si="12"/>
      </c>
      <c r="Y331" s="40">
        <f>SUM(Y326:Y330)</f>
      </c>
      <c r="Z331" s="40">
        <f>SUM(Z326:Z330)</f>
      </c>
      <c r="AA331" s="40">
        <f>SUM(AA326:AA330)</f>
      </c>
      <c r="AB331" s="40">
        <f>SUM(AB326:AB330)</f>
      </c>
      <c r="AC331" s="40">
        <f>SUM(AC326:AC330)</f>
      </c>
      <c r="AD331" s="45">
        <f t="shared" si="198"/>
      </c>
      <c r="AE331" s="46"/>
      <c r="AF331" s="47"/>
      <c r="AG331" s="40">
        <f>SUM(AG326:AG330)</f>
      </c>
      <c r="AH331" s="40">
        <f>SUM(AH326:AH330)</f>
      </c>
      <c r="AI331" s="40">
        <f>SUM(AI326:AI330)</f>
      </c>
      <c r="AJ331" s="40">
        <f>SUM(AJ326:AJ330)</f>
      </c>
      <c r="AK331" s="40">
        <f>SUM(AK326:AK330)</f>
      </c>
      <c r="AL331" s="40">
        <f>SUM(AL326:AL330)</f>
      </c>
    </row>
    <row r="332">
      <c r="A332" s="15"/>
      <c r="B332" s="16" t="s">
        <v>68</v>
      </c>
      <c r="C332" s="17" t="s">
        <v>49</v>
      </c>
      <c r="D332" s="18">
        <f t="shared" ref="D332:D335" si="414">E332+F332+G332+H332</f>
      </c>
      <c r="E332" s="19">
        <v>649.19</v>
      </c>
      <c r="F332" s="20">
        <v>6756.93</v>
      </c>
      <c r="G332" s="20">
        <v>0</v>
      </c>
      <c r="H332" s="20">
        <v>0</v>
      </c>
      <c r="I332" s="20">
        <f t="shared" ref="I332:I335" si="505">AB332+AC332</f>
      </c>
      <c r="J332" s="21">
        <v>582.12</v>
      </c>
      <c r="K332" s="22">
        <f t="shared" ref="K332:K335" si="596">I332-J332</f>
      </c>
      <c r="L332" s="22">
        <f t="shared" ref="L332:L335" si="266">(I332-AC332)/12+AC332</f>
      </c>
      <c r="M332" s="23">
        <f t="shared" si="308"/>
      </c>
      <c r="N332" s="24">
        <f t="shared" si="327"/>
      </c>
      <c r="O332" s="25">
        <f t="shared" si="346"/>
      </c>
      <c r="P332" s="26">
        <f t="shared" si="31"/>
      </c>
      <c r="Q332" s="26">
        <f t="shared" si="50"/>
      </c>
      <c r="R332" s="26">
        <f t="shared" si="69"/>
      </c>
      <c r="S332" s="27">
        <f t="shared" si="88"/>
      </c>
      <c r="T332" s="28">
        <f t="shared" si="638"/>
      </c>
      <c r="U332" s="26">
        <f t="shared" si="676"/>
      </c>
      <c r="V332" s="29">
        <f t="shared" si="657"/>
      </c>
      <c r="W332" s="29">
        <f t="shared" si="695"/>
      </c>
      <c r="X332" s="26">
        <f t="shared" si="12"/>
      </c>
      <c r="Y332" s="30">
        <f t="shared" ref="Y332:Y335" si="156">Z332+AA332</f>
      </c>
      <c r="Z332" s="30">
        <v>0</v>
      </c>
      <c r="AA332" s="30">
        <v>4</v>
      </c>
      <c r="AB332" s="31">
        <v>2425.679999999993</v>
      </c>
      <c r="AC332" s="31">
        <v>0</v>
      </c>
      <c r="AD332" s="27">
        <f t="shared" si="198"/>
      </c>
      <c r="AE332" s="32" t="s">
        <v>41</v>
      </c>
      <c r="AF332" s="33" t="s">
        <v>42</v>
      </c>
      <c r="AG332" s="34">
        <v>3</v>
      </c>
      <c r="AH332" s="35">
        <v>118918</v>
      </c>
      <c r="AI332" s="35">
        <v>926</v>
      </c>
      <c r="AJ332" s="35">
        <v>989</v>
      </c>
      <c r="AK332" s="34">
        <v>178</v>
      </c>
      <c r="AL332" s="34">
        <v>220</v>
      </c>
    </row>
    <row r="333">
      <c r="A333" s="15"/>
      <c r="B333" s="16" t="s">
        <v>68</v>
      </c>
      <c r="C333" s="17" t="s">
        <v>50</v>
      </c>
      <c r="D333" s="18">
        <f t="shared" si="414"/>
      </c>
      <c r="E333" s="17">
        <v>470.27</v>
      </c>
      <c r="F333" s="20">
        <v>7252.5</v>
      </c>
      <c r="G333" s="20">
        <v>0</v>
      </c>
      <c r="H333" s="20">
        <v>0</v>
      </c>
      <c r="I333" s="20">
        <f t="shared" si="505"/>
      </c>
      <c r="J333" s="21">
        <v>4729.32</v>
      </c>
      <c r="K333" s="22">
        <f t="shared" si="596"/>
      </c>
      <c r="L333" s="22">
        <f t="shared" si="266"/>
      </c>
      <c r="M333" s="23">
        <f t="shared" si="308"/>
      </c>
      <c r="N333" s="24">
        <f t="shared" si="327"/>
      </c>
      <c r="O333" s="25">
        <f t="shared" si="346"/>
      </c>
      <c r="P333" s="26">
        <f t="shared" si="31"/>
      </c>
      <c r="Q333" s="26">
        <f t="shared" si="50"/>
      </c>
      <c r="R333" s="26">
        <f t="shared" si="69"/>
      </c>
      <c r="S333" s="27">
        <f t="shared" si="88"/>
      </c>
      <c r="T333" s="28">
        <f t="shared" si="638"/>
      </c>
      <c r="U333" s="26">
        <f t="shared" si="676"/>
      </c>
      <c r="V333" s="29">
        <f t="shared" si="657"/>
      </c>
      <c r="W333" s="29">
        <f t="shared" si="695"/>
      </c>
      <c r="X333" s="26">
        <f t="shared" si="12"/>
      </c>
      <c r="Y333" s="30">
        <f t="shared" si="156"/>
      </c>
      <c r="Z333" s="30">
        <v>6</v>
      </c>
      <c r="AA333" s="30">
        <v>6</v>
      </c>
      <c r="AB333" s="31">
        <v>14107.19999999999</v>
      </c>
      <c r="AC333" s="31">
        <v>0</v>
      </c>
      <c r="AD333" s="27">
        <f t="shared" si="198"/>
      </c>
      <c r="AE333" s="32" t="s">
        <v>41</v>
      </c>
      <c r="AF333" s="33" t="s">
        <v>42</v>
      </c>
      <c r="AG333" s="34">
        <v>4</v>
      </c>
      <c r="AH333" s="35">
        <v>118575</v>
      </c>
      <c r="AI333" s="35">
        <v>1180</v>
      </c>
      <c r="AJ333" s="35">
        <v>1251</v>
      </c>
      <c r="AK333" s="36">
        <v>189</v>
      </c>
      <c r="AL333" s="36">
        <v>272</v>
      </c>
    </row>
    <row r="334">
      <c r="A334" s="15"/>
      <c r="B334" s="16" t="s">
        <v>68</v>
      </c>
      <c r="C334" s="17" t="s">
        <v>51</v>
      </c>
      <c r="D334" s="18">
        <f t="shared" si="414"/>
      </c>
      <c r="E334" s="17">
        <v>573.68</v>
      </c>
      <c r="F334" s="17">
        <v>4003.21</v>
      </c>
      <c r="G334" s="20">
        <v>0</v>
      </c>
      <c r="H334" s="20">
        <v>0</v>
      </c>
      <c r="I334" s="20">
        <f t="shared" si="505"/>
      </c>
      <c r="J334" s="21">
        <f>2081.16+2703.24+1591.92</f>
      </c>
      <c r="K334" s="22">
        <f t="shared" si="596"/>
      </c>
      <c r="L334" s="22">
        <f t="shared" si="266"/>
      </c>
      <c r="M334" s="23">
        <f t="shared" si="308"/>
      </c>
      <c r="N334" s="24">
        <f t="shared" si="327"/>
      </c>
      <c r="O334" s="25">
        <f t="shared" si="346"/>
      </c>
      <c r="P334" s="26">
        <f t="shared" si="31"/>
      </c>
      <c r="Q334" s="26">
        <f t="shared" si="50"/>
      </c>
      <c r="R334" s="26">
        <f t="shared" si="69"/>
      </c>
      <c r="S334" s="27">
        <f t="shared" si="88"/>
      </c>
      <c r="T334" s="28">
        <f t="shared" si="638"/>
      </c>
      <c r="U334" s="26">
        <f t="shared" si="676"/>
      </c>
      <c r="V334" s="29">
        <f t="shared" si="657"/>
      </c>
      <c r="W334" s="29">
        <f t="shared" si="695"/>
      </c>
      <c r="X334" s="26">
        <f t="shared" si="12"/>
      </c>
      <c r="Y334" s="30">
        <f t="shared" si="156"/>
      </c>
      <c r="Z334" s="30">
        <v>7</v>
      </c>
      <c r="AA334" s="30">
        <v>10</v>
      </c>
      <c r="AB334" s="31">
        <v>12330.360000000015</v>
      </c>
      <c r="AC334" s="69">
        <v>0</v>
      </c>
      <c r="AD334" s="27">
        <f t="shared" si="198"/>
      </c>
      <c r="AE334" s="32" t="s">
        <v>41</v>
      </c>
      <c r="AF334" s="33" t="s">
        <v>42</v>
      </c>
      <c r="AG334" s="36">
        <v>8</v>
      </c>
      <c r="AH334" s="35">
        <v>58411</v>
      </c>
      <c r="AI334" s="35">
        <v>858</v>
      </c>
      <c r="AJ334" s="35">
        <v>972</v>
      </c>
      <c r="AK334" s="36">
        <v>188</v>
      </c>
      <c r="AL334" s="36">
        <v>190</v>
      </c>
    </row>
    <row r="335">
      <c r="A335" s="15"/>
      <c r="B335" s="16" t="s">
        <v>68</v>
      </c>
      <c r="C335" s="17" t="s">
        <v>52</v>
      </c>
      <c r="D335" s="18">
        <f t="shared" si="414"/>
      </c>
      <c r="E335" s="17">
        <v>780.49</v>
      </c>
      <c r="F335" s="20">
        <v>7477.23</v>
      </c>
      <c r="G335" s="20">
        <v>0</v>
      </c>
      <c r="H335" s="20">
        <v>0</v>
      </c>
      <c r="I335" s="20">
        <f t="shared" si="505"/>
      </c>
      <c r="J335" s="21">
        <v>0</v>
      </c>
      <c r="K335" s="22">
        <f t="shared" si="596"/>
      </c>
      <c r="L335" s="22">
        <f t="shared" si="266"/>
      </c>
      <c r="M335" s="23">
        <f t="shared" si="308"/>
      </c>
      <c r="N335" s="24">
        <f t="shared" si="327"/>
      </c>
      <c r="O335" s="25">
        <f t="shared" si="346"/>
      </c>
      <c r="P335" s="26">
        <f t="shared" si="31"/>
      </c>
      <c r="Q335" s="26">
        <f t="shared" si="50"/>
      </c>
      <c r="R335" s="26">
        <f t="shared" si="69"/>
      </c>
      <c r="S335" s="27">
        <f t="shared" si="88"/>
      </c>
      <c r="T335" s="28">
        <f t="shared" si="638"/>
      </c>
      <c r="U335" s="26">
        <f t="shared" si="676"/>
      </c>
      <c r="V335" s="29">
        <f t="shared" si="657"/>
      </c>
      <c r="W335" s="29">
        <f t="shared" si="695"/>
      </c>
      <c r="X335" s="26">
        <f t="shared" si="12"/>
      </c>
      <c r="Y335" s="30">
        <f t="shared" si="156"/>
      </c>
      <c r="Z335" s="30">
        <v>3</v>
      </c>
      <c r="AA335" s="30">
        <v>3</v>
      </c>
      <c r="AB335" s="70">
        <f>1200.95999999999+1622.16</f>
      </c>
      <c r="AC335" s="74">
        <v>0</v>
      </c>
      <c r="AD335" s="72">
        <f t="shared" si="198"/>
      </c>
      <c r="AE335" s="32" t="s">
        <v>41</v>
      </c>
      <c r="AF335" s="33" t="s">
        <v>42</v>
      </c>
      <c r="AG335" s="34">
        <v>2</v>
      </c>
      <c r="AH335" s="35">
        <v>130651</v>
      </c>
      <c r="AI335" s="35">
        <v>1134</v>
      </c>
      <c r="AJ335" s="35">
        <v>1205</v>
      </c>
      <c r="AK335" s="36">
        <v>221</v>
      </c>
      <c r="AL335" s="36">
        <v>272</v>
      </c>
    </row>
    <row r="336">
      <c r="A336" s="15"/>
      <c r="B336" s="38" t="s">
        <v>47</v>
      </c>
      <c r="C336" s="39">
        <v>4</v>
      </c>
      <c r="D336" s="40">
        <f>SUM(D332:D335)</f>
      </c>
      <c r="E336" s="40">
        <f>SUM(E332:E335)</f>
      </c>
      <c r="F336" s="40">
        <f>SUM(F332:F335)</f>
      </c>
      <c r="G336" s="40">
        <f>SUM(G332:G335)</f>
      </c>
      <c r="H336" s="40">
        <f>SUM(H332:H335)</f>
      </c>
      <c r="I336" s="40">
        <f>SUM(I332:I335)</f>
      </c>
      <c r="J336" s="40">
        <f>SUM(J332:J335)</f>
      </c>
      <c r="K336" s="40">
        <f>SUM(K332:K335)</f>
      </c>
      <c r="L336" s="40">
        <f>SUM(L332:L335)</f>
      </c>
      <c r="M336" s="41">
        <f t="shared" si="308"/>
      </c>
      <c r="N336" s="42">
        <f t="shared" si="327"/>
      </c>
      <c r="O336" s="42">
        <f t="shared" si="346"/>
      </c>
      <c r="P336" s="43">
        <f t="shared" si="31"/>
      </c>
      <c r="Q336" s="43">
        <f t="shared" si="50"/>
      </c>
      <c r="R336" s="43">
        <f t="shared" si="69"/>
      </c>
      <c r="S336" s="44">
        <f t="shared" si="88"/>
      </c>
      <c r="T336" s="44">
        <f t="shared" si="638"/>
      </c>
      <c r="U336" s="43">
        <f t="shared" si="676"/>
      </c>
      <c r="V336" s="44">
        <f t="shared" si="657"/>
      </c>
      <c r="W336" s="44">
        <f t="shared" si="695"/>
      </c>
      <c r="X336" s="43">
        <f t="shared" si="12"/>
      </c>
      <c r="Y336" s="40">
        <f>SUM(Y332:Y335)</f>
      </c>
      <c r="Z336" s="40">
        <f>SUM(Z332:Z335)</f>
      </c>
      <c r="AA336" s="40">
        <f>SUM(AA332:AA335)</f>
      </c>
      <c r="AB336" s="40">
        <f>SUM(AB332:AB335)</f>
      </c>
      <c r="AC336" s="40">
        <f>SUM(AC332:AC335)</f>
      </c>
      <c r="AD336" s="45">
        <f t="shared" si="198"/>
      </c>
      <c r="AE336" s="46"/>
      <c r="AF336" s="47"/>
      <c r="AG336" s="40">
        <f>SUM(AG332:AG335)</f>
      </c>
      <c r="AH336" s="40">
        <f>SUM(AH332:AH335)</f>
      </c>
      <c r="AI336" s="40">
        <f>SUM(AI332:AI335)</f>
      </c>
      <c r="AJ336" s="40">
        <f>SUM(AJ332:AJ335)</f>
      </c>
      <c r="AK336" s="40">
        <f>SUM(AK332:AK335)</f>
      </c>
      <c r="AL336" s="40">
        <f>SUM(AL332:AL335)</f>
      </c>
    </row>
    <row r="337">
      <c r="A337" s="15"/>
      <c r="B337" s="16" t="s">
        <v>69</v>
      </c>
      <c r="C337" s="17" t="s">
        <v>54</v>
      </c>
      <c r="D337" s="18">
        <f t="shared" ref="D337:D339" si="415">E337+F337+G337+H337</f>
      </c>
      <c r="E337" s="17">
        <v>941.16</v>
      </c>
      <c r="F337" s="49">
        <v>8277.28</v>
      </c>
      <c r="G337" s="20">
        <v>0</v>
      </c>
      <c r="H337" s="20">
        <v>0</v>
      </c>
      <c r="I337" s="50">
        <f t="shared" ref="I337:I339" si="506">AB337+AC337</f>
      </c>
      <c r="J337" s="51">
        <v>1245.24</v>
      </c>
      <c r="K337" s="22">
        <f t="shared" ref="K337:K339" si="597">I337-J337</f>
      </c>
      <c r="L337" s="22">
        <f t="shared" ref="L337:L339" si="267">(I337-AC337)/12+AC337</f>
      </c>
      <c r="M337" s="23">
        <f t="shared" si="308"/>
      </c>
      <c r="N337" s="24">
        <f t="shared" si="327"/>
      </c>
      <c r="O337" s="25">
        <f t="shared" si="346"/>
      </c>
      <c r="P337" s="26">
        <f t="shared" si="31"/>
      </c>
      <c r="Q337" s="26">
        <f t="shared" si="50"/>
      </c>
      <c r="R337" s="26">
        <f t="shared" si="69"/>
      </c>
      <c r="S337" s="27">
        <f t="shared" si="88"/>
      </c>
      <c r="T337" s="28">
        <f t="shared" si="638"/>
      </c>
      <c r="U337" s="26">
        <f t="shared" si="676"/>
      </c>
      <c r="V337" s="29">
        <f t="shared" si="657"/>
      </c>
      <c r="W337" s="29">
        <f t="shared" si="695"/>
      </c>
      <c r="X337" s="26">
        <f t="shared" si="12"/>
      </c>
      <c r="Y337" s="30">
        <f t="shared" ref="Y337:Y339" si="157">Z337+AA337</f>
      </c>
      <c r="Z337" s="30">
        <v>6</v>
      </c>
      <c r="AA337" s="30">
        <v>3</v>
      </c>
      <c r="AB337" s="31">
        <v>4776.8399999999965</v>
      </c>
      <c r="AC337" s="31">
        <v>0</v>
      </c>
      <c r="AD337" s="27">
        <f t="shared" si="198"/>
      </c>
      <c r="AE337" s="32" t="s">
        <v>41</v>
      </c>
      <c r="AF337" s="33" t="s">
        <v>42</v>
      </c>
      <c r="AG337" s="34">
        <v>1</v>
      </c>
      <c r="AH337" s="35">
        <v>139630</v>
      </c>
      <c r="AI337" s="35">
        <v>1408</v>
      </c>
      <c r="AJ337" s="35">
        <v>1534</v>
      </c>
      <c r="AK337" s="36">
        <v>258</v>
      </c>
      <c r="AL337" s="36">
        <v>323</v>
      </c>
    </row>
    <row r="338">
      <c r="A338" s="15"/>
      <c r="B338" s="16" t="s">
        <v>69</v>
      </c>
      <c r="C338" s="17" t="s">
        <v>55</v>
      </c>
      <c r="D338" s="18">
        <f t="shared" si="415"/>
      </c>
      <c r="E338" s="17">
        <v>1041.77</v>
      </c>
      <c r="F338" s="49">
        <v>4640.16</v>
      </c>
      <c r="G338" s="20">
        <v>0</v>
      </c>
      <c r="H338" s="20">
        <v>0</v>
      </c>
      <c r="I338" s="50">
        <f t="shared" si="506"/>
      </c>
      <c r="J338" s="51">
        <f>2819.88+1562</f>
      </c>
      <c r="K338" s="22">
        <f t="shared" si="597"/>
      </c>
      <c r="L338" s="22">
        <f t="shared" si="267"/>
      </c>
      <c r="M338" s="23">
        <f t="shared" si="308"/>
      </c>
      <c r="N338" s="24">
        <f t="shared" si="327"/>
      </c>
      <c r="O338" s="25">
        <f t="shared" si="346"/>
      </c>
      <c r="P338" s="26">
        <f t="shared" si="31"/>
      </c>
      <c r="Q338" s="26">
        <f t="shared" si="50"/>
      </c>
      <c r="R338" s="26">
        <f t="shared" si="69"/>
      </c>
      <c r="S338" s="27">
        <f t="shared" si="88"/>
      </c>
      <c r="T338" s="28">
        <f t="shared" si="638"/>
      </c>
      <c r="U338" s="26">
        <f t="shared" si="676"/>
      </c>
      <c r="V338" s="29">
        <f t="shared" si="657"/>
      </c>
      <c r="W338" s="29">
        <f t="shared" si="695"/>
      </c>
      <c r="X338" s="26">
        <f t="shared" si="12"/>
      </c>
      <c r="Y338" s="30">
        <f t="shared" si="157"/>
      </c>
      <c r="Z338" s="30">
        <v>6</v>
      </c>
      <c r="AA338" s="30">
        <v>5</v>
      </c>
      <c r="AB338" s="31">
        <v>5893.560000000027</v>
      </c>
      <c r="AC338" s="31">
        <v>3520</v>
      </c>
      <c r="AD338" s="27">
        <f t="shared" si="198"/>
      </c>
      <c r="AE338" s="32" t="s">
        <v>41</v>
      </c>
      <c r="AF338" s="33" t="s">
        <v>56</v>
      </c>
      <c r="AG338" s="36">
        <v>4</v>
      </c>
      <c r="AH338" s="35">
        <v>77236</v>
      </c>
      <c r="AI338" s="35">
        <v>999</v>
      </c>
      <c r="AJ338" s="35">
        <v>1097</v>
      </c>
      <c r="AK338" s="36">
        <v>159</v>
      </c>
      <c r="AL338" s="36">
        <v>207</v>
      </c>
    </row>
    <row r="339">
      <c r="A339" s="15"/>
      <c r="B339" s="16" t="s">
        <v>69</v>
      </c>
      <c r="C339" s="17" t="s">
        <v>58</v>
      </c>
      <c r="D339" s="18">
        <f t="shared" si="415"/>
      </c>
      <c r="E339" s="52">
        <v>568.48</v>
      </c>
      <c r="F339" s="53">
        <v>4029.95</v>
      </c>
      <c r="G339" s="20">
        <v>0</v>
      </c>
      <c r="H339" s="20">
        <v>0</v>
      </c>
      <c r="I339" s="55">
        <f t="shared" si="506"/>
      </c>
      <c r="J339" s="51">
        <f>864+1172.88</f>
      </c>
      <c r="K339" s="22">
        <f t="shared" si="597"/>
      </c>
      <c r="L339" s="22">
        <f t="shared" si="267"/>
      </c>
      <c r="M339" s="23">
        <f t="shared" si="308"/>
      </c>
      <c r="N339" s="24">
        <f t="shared" si="327"/>
      </c>
      <c r="O339" s="25">
        <f t="shared" si="346"/>
      </c>
      <c r="P339" s="26">
        <f t="shared" si="31"/>
      </c>
      <c r="Q339" s="26">
        <f t="shared" si="50"/>
      </c>
      <c r="R339" s="26">
        <f t="shared" si="69"/>
      </c>
      <c r="S339" s="27">
        <f t="shared" si="88"/>
      </c>
      <c r="T339" s="28">
        <f t="shared" si="638"/>
      </c>
      <c r="U339" s="26">
        <f t="shared" si="676"/>
      </c>
      <c r="V339" s="29">
        <f t="shared" si="657"/>
      </c>
      <c r="W339" s="29">
        <f t="shared" si="695"/>
      </c>
      <c r="X339" s="26">
        <f t="shared" si="12"/>
      </c>
      <c r="Y339" s="56">
        <f t="shared" si="157"/>
      </c>
      <c r="Z339" s="30">
        <v>1</v>
      </c>
      <c r="AA339" s="30">
        <v>5</v>
      </c>
      <c r="AB339" s="31">
        <f>2417.04+1172.88+646.92</f>
      </c>
      <c r="AC339" s="31">
        <v>0</v>
      </c>
      <c r="AD339" s="27">
        <f t="shared" si="198"/>
      </c>
      <c r="AE339" s="32" t="s">
        <v>41</v>
      </c>
      <c r="AF339" s="33" t="s">
        <v>56</v>
      </c>
      <c r="AG339" s="36">
        <v>3</v>
      </c>
      <c r="AH339" s="35">
        <v>66999</v>
      </c>
      <c r="AI339" s="35">
        <v>844</v>
      </c>
      <c r="AJ339" s="35">
        <v>945</v>
      </c>
      <c r="AK339" s="36">
        <v>118</v>
      </c>
      <c r="AL339" s="36">
        <v>152</v>
      </c>
    </row>
    <row r="340">
      <c r="A340" s="15"/>
      <c r="B340" s="38" t="s">
        <v>47</v>
      </c>
      <c r="C340" s="39">
        <v>3</v>
      </c>
      <c r="D340" s="58">
        <f>SUM(D337:D339)</f>
      </c>
      <c r="E340" s="58">
        <f>SUM(E337:E339)</f>
      </c>
      <c r="F340" s="58">
        <f>SUM(F337:F339)</f>
      </c>
      <c r="G340" s="58">
        <f>SUM(G337:G339)</f>
      </c>
      <c r="H340" s="58">
        <f>SUM(H337:H339)</f>
      </c>
      <c r="I340" s="58">
        <f>SUM(I337:I339)</f>
      </c>
      <c r="J340" s="58">
        <f>SUM(J337:J339)</f>
      </c>
      <c r="K340" s="58">
        <f>SUM(K337:K339)</f>
      </c>
      <c r="L340" s="58">
        <f>SUM(L337:L339)</f>
      </c>
      <c r="M340" s="41">
        <f t="shared" si="308"/>
      </c>
      <c r="N340" s="42">
        <f t="shared" si="327"/>
      </c>
      <c r="O340" s="42">
        <f t="shared" si="346"/>
      </c>
      <c r="P340" s="43">
        <f t="shared" si="31"/>
      </c>
      <c r="Q340" s="43">
        <f t="shared" si="50"/>
      </c>
      <c r="R340" s="43">
        <f t="shared" si="69"/>
      </c>
      <c r="S340" s="44">
        <f t="shared" si="88"/>
      </c>
      <c r="T340" s="44">
        <f t="shared" si="638"/>
      </c>
      <c r="U340" s="43">
        <f t="shared" si="676"/>
      </c>
      <c r="V340" s="44">
        <f t="shared" si="657"/>
      </c>
      <c r="W340" s="44">
        <f t="shared" si="695"/>
      </c>
      <c r="X340" s="43">
        <f t="shared" si="12"/>
      </c>
      <c r="Y340" s="58">
        <f>SUM(Y337:Y339)</f>
      </c>
      <c r="Z340" s="58">
        <f>SUM(Z337:Z339)</f>
      </c>
      <c r="AA340" s="58">
        <f>SUM(AA337:AA339)</f>
      </c>
      <c r="AB340" s="58">
        <f>SUM(AB337:AB339)</f>
      </c>
      <c r="AC340" s="58">
        <f>SUM(AC337:AC339)</f>
      </c>
      <c r="AD340" s="45">
        <f t="shared" si="198"/>
      </c>
      <c r="AE340" s="46"/>
      <c r="AF340" s="47"/>
      <c r="AG340" s="58">
        <f>SUM(AG337:AG339)</f>
      </c>
      <c r="AH340" s="58">
        <f>SUM(AH337:AH339)</f>
      </c>
      <c r="AI340" s="58">
        <f>SUM(AI337:AI339)</f>
      </c>
      <c r="AJ340" s="58">
        <f>SUM(AJ337:AJ339)</f>
      </c>
      <c r="AK340" s="58">
        <f>SUM(AK337:AK339)</f>
      </c>
      <c r="AL340" s="58">
        <f>SUM(AL337:AL339)</f>
      </c>
    </row>
    <row r="341">
      <c r="A341" s="15"/>
      <c r="B341" s="16" t="s">
        <v>48</v>
      </c>
      <c r="C341" s="52" t="s">
        <v>59</v>
      </c>
      <c r="D341" s="18">
        <f t="shared" ref="D341:D344" si="416">E341+F341+G341+H341</f>
      </c>
      <c r="E341" s="17">
        <v>878.85</v>
      </c>
      <c r="F341" s="49">
        <v>2440.17</v>
      </c>
      <c r="G341" s="20">
        <v>0</v>
      </c>
      <c r="H341" s="20">
        <v>0</v>
      </c>
      <c r="I341" s="50">
        <f t="shared" ref="I341:I344" si="507">AB341+AC341</f>
      </c>
      <c r="J341" s="51">
        <v>0</v>
      </c>
      <c r="K341" s="22">
        <f t="shared" ref="K341:K344" si="598">I341-J341</f>
      </c>
      <c r="L341" s="22">
        <f t="shared" ref="L341:L344" si="268">(I341-AC341)/12+AC341</f>
      </c>
      <c r="M341" s="23">
        <f t="shared" si="308"/>
      </c>
      <c r="N341" s="24">
        <f t="shared" si="327"/>
      </c>
      <c r="O341" s="25">
        <f t="shared" si="346"/>
      </c>
      <c r="P341" s="26">
        <f t="shared" si="31"/>
      </c>
      <c r="Q341" s="26">
        <f t="shared" si="50"/>
      </c>
      <c r="R341" s="26">
        <f t="shared" si="69"/>
      </c>
      <c r="S341" s="27">
        <f t="shared" si="88"/>
      </c>
      <c r="T341" s="28">
        <f t="shared" si="638"/>
      </c>
      <c r="U341" s="26">
        <f t="shared" si="676"/>
      </c>
      <c r="V341" s="29">
        <f t="shared" si="657"/>
      </c>
      <c r="W341" s="29">
        <f t="shared" si="695"/>
      </c>
      <c r="X341" s="26">
        <f t="shared" si="12"/>
      </c>
      <c r="Y341" s="30">
        <f t="shared" ref="Y341:Y344" si="158">Z341+AA341</f>
      </c>
      <c r="Z341" s="30">
        <v>0</v>
      </c>
      <c r="AA341" s="30">
        <v>2</v>
      </c>
      <c r="AB341" s="31">
        <v>6692.75999999998</v>
      </c>
      <c r="AC341" s="31">
        <v>0</v>
      </c>
      <c r="AD341" s="27">
        <f t="shared" si="198"/>
      </c>
      <c r="AE341" s="32" t="s">
        <v>41</v>
      </c>
      <c r="AF341" s="33" t="s">
        <v>56</v>
      </c>
      <c r="AG341" s="34">
        <v>3</v>
      </c>
      <c r="AH341" s="35">
        <v>32317</v>
      </c>
      <c r="AI341" s="35">
        <v>987</v>
      </c>
      <c r="AJ341" s="35">
        <v>1089</v>
      </c>
      <c r="AK341" s="36">
        <v>111</v>
      </c>
      <c r="AL341" s="36">
        <v>120</v>
      </c>
    </row>
    <row r="342">
      <c r="A342" s="15"/>
      <c r="B342" s="16" t="s">
        <v>48</v>
      </c>
      <c r="C342" s="52" t="s">
        <v>60</v>
      </c>
      <c r="D342" s="18">
        <f t="shared" si="416"/>
      </c>
      <c r="E342" s="17">
        <v>1018.53</v>
      </c>
      <c r="F342" s="49">
        <v>2639.58</v>
      </c>
      <c r="G342" s="20">
        <v>0</v>
      </c>
      <c r="H342" s="20">
        <v>0</v>
      </c>
      <c r="I342" s="50">
        <f t="shared" si="507"/>
      </c>
      <c r="J342" s="51">
        <v>0</v>
      </c>
      <c r="K342" s="22">
        <f t="shared" si="598"/>
      </c>
      <c r="L342" s="22">
        <f t="shared" si="268"/>
      </c>
      <c r="M342" s="23">
        <f t="shared" si="308"/>
      </c>
      <c r="N342" s="24">
        <f t="shared" si="327"/>
      </c>
      <c r="O342" s="25">
        <f t="shared" si="346"/>
      </c>
      <c r="P342" s="26">
        <f t="shared" si="31"/>
      </c>
      <c r="Q342" s="26">
        <f t="shared" si="50"/>
      </c>
      <c r="R342" s="26">
        <f t="shared" si="69"/>
      </c>
      <c r="S342" s="27">
        <f t="shared" si="88"/>
      </c>
      <c r="T342" s="28">
        <f t="shared" si="638"/>
      </c>
      <c r="U342" s="26">
        <f t="shared" si="676"/>
      </c>
      <c r="V342" s="29">
        <f t="shared" si="657"/>
      </c>
      <c r="W342" s="29">
        <f t="shared" si="695"/>
      </c>
      <c r="X342" s="26">
        <f t="shared" si="12"/>
      </c>
      <c r="Y342" s="30">
        <f t="shared" si="158"/>
      </c>
      <c r="Z342" s="30">
        <v>5</v>
      </c>
      <c r="AA342" s="30">
        <v>0</v>
      </c>
      <c r="AB342" s="31">
        <v>0</v>
      </c>
      <c r="AC342" s="31">
        <v>0</v>
      </c>
      <c r="AD342" s="27">
        <f t="shared" si="198"/>
      </c>
      <c r="AE342" s="32" t="s">
        <v>41</v>
      </c>
      <c r="AF342" s="33" t="s">
        <v>56</v>
      </c>
      <c r="AG342" s="36">
        <v>0</v>
      </c>
      <c r="AH342" s="35">
        <v>42448</v>
      </c>
      <c r="AI342" s="35">
        <v>1372</v>
      </c>
      <c r="AJ342" s="35">
        <v>1547</v>
      </c>
      <c r="AK342" s="36">
        <v>137</v>
      </c>
      <c r="AL342" s="36">
        <v>154</v>
      </c>
    </row>
    <row r="343">
      <c r="A343" s="15"/>
      <c r="B343" s="16" t="s">
        <v>48</v>
      </c>
      <c r="C343" s="52" t="s">
        <v>61</v>
      </c>
      <c r="D343" s="18">
        <f t="shared" si="416"/>
      </c>
      <c r="E343" s="17">
        <v>1659.03</v>
      </c>
      <c r="F343" s="49">
        <v>8523.63</v>
      </c>
      <c r="G343" s="20">
        <v>0</v>
      </c>
      <c r="H343" s="20">
        <v>0</v>
      </c>
      <c r="I343" s="50">
        <f t="shared" si="507"/>
      </c>
      <c r="J343" s="51">
        <v>0</v>
      </c>
      <c r="K343" s="22">
        <f t="shared" si="598"/>
      </c>
      <c r="L343" s="22">
        <f t="shared" si="268"/>
      </c>
      <c r="M343" s="23">
        <f t="shared" si="308"/>
      </c>
      <c r="N343" s="24">
        <f t="shared" si="327"/>
      </c>
      <c r="O343" s="25">
        <f t="shared" si="346"/>
      </c>
      <c r="P343" s="26">
        <f t="shared" si="31"/>
      </c>
      <c r="Q343" s="26">
        <f t="shared" si="50"/>
      </c>
      <c r="R343" s="26">
        <f t="shared" si="69"/>
      </c>
      <c r="S343" s="27">
        <f t="shared" si="88"/>
      </c>
      <c r="T343" s="28">
        <f t="shared" si="638"/>
      </c>
      <c r="U343" s="26">
        <f t="shared" si="676"/>
      </c>
      <c r="V343" s="29">
        <f t="shared" si="657"/>
      </c>
      <c r="W343" s="29">
        <f t="shared" si="695"/>
      </c>
      <c r="X343" s="26">
        <f t="shared" si="12"/>
      </c>
      <c r="Y343" s="30">
        <f t="shared" si="158"/>
      </c>
      <c r="Z343" s="30">
        <v>4</v>
      </c>
      <c r="AA343" s="30">
        <v>10</v>
      </c>
      <c r="AB343" s="31">
        <v>18255.72</v>
      </c>
      <c r="AC343" s="31">
        <v>4344</v>
      </c>
      <c r="AD343" s="27">
        <f t="shared" si="198"/>
      </c>
      <c r="AE343" s="32" t="s">
        <v>41</v>
      </c>
      <c r="AF343" s="33" t="s">
        <v>56</v>
      </c>
      <c r="AG343" s="34">
        <v>9</v>
      </c>
      <c r="AH343" s="35">
        <v>113891</v>
      </c>
      <c r="AI343" s="35">
        <v>1922</v>
      </c>
      <c r="AJ343" s="35">
        <v>1928</v>
      </c>
      <c r="AK343" s="36">
        <v>247</v>
      </c>
      <c r="AL343" s="34">
        <v>321</v>
      </c>
    </row>
    <row r="344">
      <c r="A344" s="15"/>
      <c r="B344" s="16" t="s">
        <v>48</v>
      </c>
      <c r="C344" s="17" t="s">
        <v>63</v>
      </c>
      <c r="D344" s="18">
        <f t="shared" si="416"/>
      </c>
      <c r="E344" s="17">
        <v>1886.59</v>
      </c>
      <c r="F344" s="49">
        <v>6126.25</v>
      </c>
      <c r="G344" s="20">
        <v>0</v>
      </c>
      <c r="H344" s="20">
        <v>0</v>
      </c>
      <c r="I344" s="50">
        <f t="shared" si="507"/>
      </c>
      <c r="J344" s="51">
        <v>0</v>
      </c>
      <c r="K344" s="22">
        <f t="shared" si="598"/>
      </c>
      <c r="L344" s="22">
        <f t="shared" si="268"/>
      </c>
      <c r="M344" s="23">
        <f t="shared" si="308"/>
      </c>
      <c r="N344" s="24">
        <f t="shared" si="327"/>
      </c>
      <c r="O344" s="25">
        <f t="shared" si="346"/>
      </c>
      <c r="P344" s="26">
        <f t="shared" si="31"/>
      </c>
      <c r="Q344" s="26">
        <f t="shared" si="50"/>
      </c>
      <c r="R344" s="26">
        <f t="shared" si="69"/>
      </c>
      <c r="S344" s="27">
        <f t="shared" si="88"/>
      </c>
      <c r="T344" s="28">
        <f t="shared" si="638"/>
      </c>
      <c r="U344" s="26">
        <f t="shared" si="676"/>
      </c>
      <c r="V344" s="29">
        <f t="shared" si="657"/>
      </c>
      <c r="W344" s="29">
        <f t="shared" si="695"/>
      </c>
      <c r="X344" s="26">
        <f t="shared" si="12"/>
      </c>
      <c r="Y344" s="30">
        <f t="shared" si="158"/>
      </c>
      <c r="Z344" s="30">
        <v>8</v>
      </c>
      <c r="AA344" s="30">
        <v>13</v>
      </c>
      <c r="AB344" s="31">
        <v>37048.44</v>
      </c>
      <c r="AC344" s="31">
        <v>656</v>
      </c>
      <c r="AD344" s="27">
        <f t="shared" si="198"/>
      </c>
      <c r="AE344" s="32" t="s">
        <v>41</v>
      </c>
      <c r="AF344" s="33" t="s">
        <v>56</v>
      </c>
      <c r="AG344" s="34">
        <v>11</v>
      </c>
      <c r="AH344" s="35">
        <v>103093</v>
      </c>
      <c r="AI344" s="35">
        <v>2098</v>
      </c>
      <c r="AJ344" s="35">
        <v>2240</v>
      </c>
      <c r="AK344" s="36">
        <v>256</v>
      </c>
      <c r="AL344" s="34">
        <v>289</v>
      </c>
    </row>
    <row r="345">
      <c r="A345" s="15"/>
      <c r="B345" s="38" t="s">
        <v>47</v>
      </c>
      <c r="C345" s="39">
        <v>4</v>
      </c>
      <c r="D345" s="40">
        <f>SUM(D341:D344)</f>
      </c>
      <c r="E345" s="40">
        <f>SUM(E341:E344)</f>
      </c>
      <c r="F345" s="40">
        <f>SUM(F341:F344)</f>
      </c>
      <c r="G345" s="40">
        <f>SUM(G341:G344)</f>
      </c>
      <c r="H345" s="40">
        <f>SUM(H341:H344)</f>
      </c>
      <c r="I345" s="40">
        <f>SUM(I341:I344)</f>
      </c>
      <c r="J345" s="40">
        <f>SUM(J341:J344)</f>
      </c>
      <c r="K345" s="40">
        <f>SUM(K341:K344)</f>
      </c>
      <c r="L345" s="40">
        <f>SUM(L341:L344)</f>
      </c>
      <c r="M345" s="41">
        <f t="shared" si="308"/>
      </c>
      <c r="N345" s="42">
        <f t="shared" si="327"/>
      </c>
      <c r="O345" s="42">
        <f t="shared" si="346"/>
      </c>
      <c r="P345" s="43">
        <f t="shared" si="31"/>
      </c>
      <c r="Q345" s="43">
        <f t="shared" si="50"/>
      </c>
      <c r="R345" s="43">
        <f t="shared" si="69"/>
      </c>
      <c r="S345" s="44">
        <f t="shared" si="88"/>
      </c>
      <c r="T345" s="44">
        <f t="shared" si="638"/>
      </c>
      <c r="U345" s="43">
        <f t="shared" si="676"/>
      </c>
      <c r="V345" s="44">
        <f t="shared" si="657"/>
      </c>
      <c r="W345" s="44">
        <f t="shared" si="695"/>
      </c>
      <c r="X345" s="43">
        <f t="shared" si="12"/>
      </c>
      <c r="Y345" s="40">
        <f>SUM(Y341:Y344)</f>
      </c>
      <c r="Z345" s="40">
        <f>SUM(Z341:Z344)</f>
      </c>
      <c r="AA345" s="40">
        <f>SUM(AA341:AA344)</f>
      </c>
      <c r="AB345" s="40">
        <f>SUM(AB341:AB344)</f>
      </c>
      <c r="AC345" s="40">
        <f>SUM(AC341:AC344)</f>
      </c>
      <c r="AD345" s="45">
        <f t="shared" si="198"/>
      </c>
      <c r="AE345" s="46"/>
      <c r="AF345" s="47"/>
      <c r="AG345" s="40">
        <f>SUM(AG341:AG344)</f>
      </c>
      <c r="AH345" s="40">
        <f>SUM(AH341:AH344)</f>
      </c>
      <c r="AI345" s="40">
        <f>SUM(AI341:AI344)</f>
      </c>
      <c r="AJ345" s="40">
        <f>SUM(AJ341:AJ344)</f>
      </c>
      <c r="AK345" s="40">
        <f>SUM(AK341:AK344)</f>
      </c>
      <c r="AL345" s="40">
        <f>SUM(AL341:AL344)</f>
      </c>
    </row>
    <row r="346">
      <c r="A346" s="15"/>
      <c r="B346" s="16" t="s">
        <v>62</v>
      </c>
      <c r="C346" s="52" t="s">
        <v>64</v>
      </c>
      <c r="D346" s="18">
        <f t="shared" ref="D346:D349" si="417">E346+F346+G346+H346</f>
      </c>
      <c r="E346" s="17">
        <v>1902.97</v>
      </c>
      <c r="F346" s="17">
        <v>7382.12</v>
      </c>
      <c r="G346" s="20">
        <v>0</v>
      </c>
      <c r="H346" s="20">
        <v>0</v>
      </c>
      <c r="I346" s="20">
        <f t="shared" ref="I346:I349" si="508">AB346+AC346</f>
      </c>
      <c r="J346" s="21">
        <v>1290.6</v>
      </c>
      <c r="K346" s="22">
        <f t="shared" ref="K346:K349" si="599">I346-J346</f>
      </c>
      <c r="L346" s="22">
        <f t="shared" ref="L346:L349" si="269">(I346-AC346)/12+AC346</f>
      </c>
      <c r="M346" s="23">
        <f t="shared" si="308"/>
      </c>
      <c r="N346" s="24">
        <f t="shared" si="327"/>
      </c>
      <c r="O346" s="25">
        <f t="shared" si="346"/>
      </c>
      <c r="P346" s="26">
        <f t="shared" si="31"/>
      </c>
      <c r="Q346" s="26">
        <f t="shared" si="50"/>
      </c>
      <c r="R346" s="26">
        <f t="shared" si="69"/>
      </c>
      <c r="S346" s="27">
        <f t="shared" si="88"/>
      </c>
      <c r="T346" s="28">
        <f t="shared" si="638"/>
      </c>
      <c r="U346" s="26">
        <f t="shared" si="676"/>
      </c>
      <c r="V346" s="29">
        <f t="shared" si="657"/>
      </c>
      <c r="W346" s="29">
        <f t="shared" si="695"/>
      </c>
      <c r="X346" s="26">
        <f t="shared" si="12"/>
      </c>
      <c r="Y346" s="30">
        <f t="shared" ref="Y346:Y349" si="159">Z346+AA346</f>
      </c>
      <c r="Z346" s="30">
        <v>6</v>
      </c>
      <c r="AA346" s="30">
        <v>7</v>
      </c>
      <c r="AB346" s="31">
        <v>9759.959999999992</v>
      </c>
      <c r="AC346" s="31">
        <v>0</v>
      </c>
      <c r="AD346" s="27">
        <f t="shared" si="198"/>
      </c>
      <c r="AE346" s="32" t="s">
        <v>41</v>
      </c>
      <c r="AF346" s="33" t="s">
        <v>56</v>
      </c>
      <c r="AG346" s="36">
        <v>7</v>
      </c>
      <c r="AH346" s="35">
        <v>122250</v>
      </c>
      <c r="AI346" s="35">
        <v>2133</v>
      </c>
      <c r="AJ346" s="35">
        <v>2211</v>
      </c>
      <c r="AK346" s="36">
        <v>259</v>
      </c>
      <c r="AL346" s="36">
        <v>281</v>
      </c>
    </row>
    <row r="347">
      <c r="A347" s="15"/>
      <c r="B347" s="16" t="s">
        <v>62</v>
      </c>
      <c r="C347" s="52" t="s">
        <v>65</v>
      </c>
      <c r="D347" s="18">
        <f t="shared" si="417"/>
      </c>
      <c r="E347" s="17">
        <v>1722.85</v>
      </c>
      <c r="F347" s="17">
        <v>6512.8</v>
      </c>
      <c r="G347" s="20">
        <v>0</v>
      </c>
      <c r="H347" s="20">
        <v>0</v>
      </c>
      <c r="I347" s="20">
        <f t="shared" si="508"/>
      </c>
      <c r="J347" s="21">
        <v>0</v>
      </c>
      <c r="K347" s="22">
        <f t="shared" si="599"/>
      </c>
      <c r="L347" s="22">
        <f t="shared" si="269"/>
      </c>
      <c r="M347" s="23">
        <f t="shared" si="308"/>
      </c>
      <c r="N347" s="24">
        <f t="shared" si="327"/>
      </c>
      <c r="O347" s="25">
        <f t="shared" si="346"/>
      </c>
      <c r="P347" s="26">
        <f t="shared" si="31"/>
      </c>
      <c r="Q347" s="26">
        <f t="shared" si="50"/>
      </c>
      <c r="R347" s="26">
        <f t="shared" si="69"/>
      </c>
      <c r="S347" s="27">
        <f t="shared" si="88"/>
      </c>
      <c r="T347" s="28">
        <f t="shared" si="638"/>
      </c>
      <c r="U347" s="26">
        <f t="shared" si="676"/>
      </c>
      <c r="V347" s="29">
        <f t="shared" si="657"/>
      </c>
      <c r="W347" s="29">
        <f t="shared" si="695"/>
      </c>
      <c r="X347" s="26">
        <f t="shared" si="12"/>
      </c>
      <c r="Y347" s="30">
        <f t="shared" si="159"/>
      </c>
      <c r="Z347" s="30">
        <v>4</v>
      </c>
      <c r="AA347" s="30">
        <v>9</v>
      </c>
      <c r="AB347" s="31">
        <v>13229.280000000028</v>
      </c>
      <c r="AC347" s="31">
        <v>0</v>
      </c>
      <c r="AD347" s="27">
        <f t="shared" si="198"/>
      </c>
      <c r="AE347" s="32" t="s">
        <v>41</v>
      </c>
      <c r="AF347" s="33" t="s">
        <v>56</v>
      </c>
      <c r="AG347" s="36">
        <v>9</v>
      </c>
      <c r="AH347" s="35">
        <v>101881</v>
      </c>
      <c r="AI347" s="35">
        <v>1874</v>
      </c>
      <c r="AJ347" s="35">
        <v>1924</v>
      </c>
      <c r="AK347" s="36">
        <v>235</v>
      </c>
      <c r="AL347" s="36">
        <v>247</v>
      </c>
    </row>
    <row r="348">
      <c r="A348" s="15"/>
      <c r="B348" s="16" t="s">
        <v>62</v>
      </c>
      <c r="C348" s="17" t="s">
        <v>66</v>
      </c>
      <c r="D348" s="18">
        <f t="shared" si="417"/>
      </c>
      <c r="E348" s="17">
        <v>936.51</v>
      </c>
      <c r="F348" s="20">
        <v>4922.15</v>
      </c>
      <c r="G348" s="20">
        <v>0</v>
      </c>
      <c r="H348" s="20">
        <v>0</v>
      </c>
      <c r="I348" s="37">
        <f t="shared" si="508"/>
      </c>
      <c r="J348" s="21">
        <v>0</v>
      </c>
      <c r="K348" s="22">
        <f t="shared" si="599"/>
      </c>
      <c r="L348" s="22">
        <f t="shared" si="269"/>
      </c>
      <c r="M348" s="23">
        <f t="shared" si="308"/>
      </c>
      <c r="N348" s="24">
        <f t="shared" si="327"/>
      </c>
      <c r="O348" s="25">
        <f t="shared" si="346"/>
      </c>
      <c r="P348" s="26">
        <f t="shared" si="31"/>
      </c>
      <c r="Q348" s="26">
        <f t="shared" si="50"/>
      </c>
      <c r="R348" s="26">
        <f t="shared" si="69"/>
      </c>
      <c r="S348" s="27">
        <f t="shared" si="88"/>
      </c>
      <c r="T348" s="28">
        <f t="shared" si="638"/>
      </c>
      <c r="U348" s="26">
        <f t="shared" si="676"/>
      </c>
      <c r="V348" s="29">
        <f t="shared" si="657"/>
      </c>
      <c r="W348" s="29">
        <f t="shared" si="695"/>
      </c>
      <c r="X348" s="26">
        <f t="shared" si="12"/>
      </c>
      <c r="Y348" s="30">
        <f t="shared" si="159"/>
      </c>
      <c r="Z348" s="30">
        <v>10</v>
      </c>
      <c r="AA348" s="30">
        <v>4</v>
      </c>
      <c r="AB348" s="31">
        <v>5790</v>
      </c>
      <c r="AC348" s="31">
        <v>3117.9</v>
      </c>
      <c r="AD348" s="27">
        <f t="shared" si="198"/>
      </c>
      <c r="AE348" s="32" t="s">
        <v>41</v>
      </c>
      <c r="AF348" s="33" t="s">
        <v>56</v>
      </c>
      <c r="AG348" s="34">
        <v>4</v>
      </c>
      <c r="AH348" s="35">
        <v>85524</v>
      </c>
      <c r="AI348" s="35">
        <v>1575</v>
      </c>
      <c r="AJ348" s="35">
        <v>1660</v>
      </c>
      <c r="AK348" s="36">
        <v>152</v>
      </c>
      <c r="AL348" s="36">
        <v>169</v>
      </c>
    </row>
    <row r="349">
      <c r="A349" s="15"/>
      <c r="B349" s="16" t="s">
        <v>62</v>
      </c>
      <c r="C349" s="17" t="s">
        <v>67</v>
      </c>
      <c r="D349" s="18">
        <f t="shared" si="417"/>
      </c>
      <c r="E349" s="19">
        <v>286.21</v>
      </c>
      <c r="F349" s="20">
        <v>3197.28</v>
      </c>
      <c r="G349" s="20">
        <v>0</v>
      </c>
      <c r="H349" s="20">
        <v>0</v>
      </c>
      <c r="I349" s="20">
        <f t="shared" si="508"/>
      </c>
      <c r="J349" s="21">
        <v>0</v>
      </c>
      <c r="K349" s="22">
        <f t="shared" si="599"/>
      </c>
      <c r="L349" s="22">
        <f t="shared" si="269"/>
      </c>
      <c r="M349" s="23">
        <f t="shared" si="308"/>
      </c>
      <c r="N349" s="24">
        <f t="shared" si="327"/>
      </c>
      <c r="O349" s="25">
        <f t="shared" si="346"/>
      </c>
      <c r="P349" s="26">
        <f t="shared" si="31"/>
      </c>
      <c r="Q349" s="26">
        <f t="shared" si="50"/>
      </c>
      <c r="R349" s="26">
        <f t="shared" si="69"/>
      </c>
      <c r="S349" s="27">
        <f t="shared" si="88"/>
      </c>
      <c r="T349" s="28">
        <f t="shared" si="638"/>
      </c>
      <c r="U349" s="26">
        <f t="shared" si="676"/>
      </c>
      <c r="V349" s="29">
        <f t="shared" si="657"/>
      </c>
      <c r="W349" s="29">
        <f t="shared" si="695"/>
      </c>
      <c r="X349" s="26">
        <f t="shared" si="12"/>
      </c>
      <c r="Y349" s="30">
        <f t="shared" si="159"/>
      </c>
      <c r="Z349" s="30">
        <v>3</v>
      </c>
      <c r="AA349" s="30">
        <v>4</v>
      </c>
      <c r="AB349" s="31">
        <v>5520.959999999999</v>
      </c>
      <c r="AC349" s="31">
        <v>0</v>
      </c>
      <c r="AD349" s="27">
        <f t="shared" si="198"/>
      </c>
      <c r="AE349" s="32" t="s">
        <v>41</v>
      </c>
      <c r="AF349" s="33" t="s">
        <v>56</v>
      </c>
      <c r="AG349" s="34">
        <v>3</v>
      </c>
      <c r="AH349" s="35">
        <v>54860</v>
      </c>
      <c r="AI349" s="35">
        <v>934</v>
      </c>
      <c r="AJ349" s="35">
        <v>1019</v>
      </c>
      <c r="AK349" s="34">
        <v>101</v>
      </c>
      <c r="AL349" s="34">
        <v>119</v>
      </c>
    </row>
    <row r="350">
      <c r="A350" s="15"/>
      <c r="B350" s="38" t="s">
        <v>47</v>
      </c>
      <c r="C350" s="39">
        <v>4</v>
      </c>
      <c r="D350" s="40">
        <f>SUM(D346:D349)</f>
      </c>
      <c r="E350" s="40">
        <f>SUM(E346:E349)</f>
      </c>
      <c r="F350" s="40">
        <f>SUM(F346:F349)</f>
      </c>
      <c r="G350" s="40">
        <f>SUM(G346:G349)</f>
      </c>
      <c r="H350" s="40">
        <f>SUM(H346:H349)</f>
      </c>
      <c r="I350" s="40">
        <f>SUM(I346:I349)</f>
      </c>
      <c r="J350" s="40">
        <f>SUM(J346:J349)</f>
      </c>
      <c r="K350" s="40">
        <f>SUM(K346:K349)</f>
      </c>
      <c r="L350" s="40">
        <f>SUM(L346:L349)</f>
      </c>
      <c r="M350" s="41">
        <f t="shared" si="308"/>
      </c>
      <c r="N350" s="42">
        <f t="shared" si="327"/>
      </c>
      <c r="O350" s="42">
        <f t="shared" si="346"/>
      </c>
      <c r="P350" s="43">
        <f t="shared" si="31"/>
      </c>
      <c r="Q350" s="43">
        <f t="shared" si="50"/>
      </c>
      <c r="R350" s="43">
        <f t="shared" si="69"/>
      </c>
      <c r="S350" s="44">
        <f t="shared" si="88"/>
      </c>
      <c r="T350" s="44">
        <f t="shared" si="638"/>
      </c>
      <c r="U350" s="43">
        <f t="shared" si="676"/>
      </c>
      <c r="V350" s="44">
        <f t="shared" si="657"/>
      </c>
      <c r="W350" s="44">
        <f t="shared" si="695"/>
      </c>
      <c r="X350" s="43">
        <f t="shared" si="12"/>
      </c>
      <c r="Y350" s="40">
        <f>SUM(Y346:Y349)</f>
      </c>
      <c r="Z350" s="40">
        <f>SUM(Z346:Z349)</f>
      </c>
      <c r="AA350" s="40">
        <f>SUM(AA346:AA349)</f>
      </c>
      <c r="AB350" s="40">
        <f>SUM(AB346:AB349)</f>
      </c>
      <c r="AC350" s="40">
        <f>SUM(AC346:AC349)</f>
      </c>
      <c r="AD350" s="59">
        <f t="shared" si="198"/>
      </c>
      <c r="AE350" s="46"/>
      <c r="AF350" s="47"/>
      <c r="AG350" s="40">
        <f>SUM(AG346:AG349)</f>
      </c>
      <c r="AH350" s="40">
        <f>SUM(AH346:AH349)</f>
      </c>
      <c r="AI350" s="40">
        <f>SUM(AI346:AI349)</f>
      </c>
      <c r="AJ350" s="40">
        <f>SUM(AJ346:AJ349)</f>
      </c>
      <c r="AK350" s="40">
        <f>SUM(AK346:AK349)</f>
      </c>
      <c r="AL350" s="40">
        <f>SUM(AL346:AL349)</f>
      </c>
    </row>
    <row r="351">
      <c r="A351" s="15"/>
      <c r="B351" s="60" t="s">
        <v>47</v>
      </c>
      <c r="C351" s="61">
        <f>C331+C336+C340+C345+C350</f>
      </c>
      <c r="D351" s="62">
        <f>D331+D336+D340+D345+D350</f>
      </c>
      <c r="E351" s="61">
        <f>E331+E336+E340+E345+E350</f>
      </c>
      <c r="F351" s="61">
        <f>F331+F336+F340+F345+F350</f>
      </c>
      <c r="G351" s="61">
        <f>G331+G336+G340+G345+G350</f>
      </c>
      <c r="H351" s="61">
        <f>H331+H336+H340+H345+H350</f>
      </c>
      <c r="I351" s="62">
        <f>I331+I336+I340+I345+I350</f>
      </c>
      <c r="J351" s="61">
        <f>J331+J336+J340+J345+J350</f>
      </c>
      <c r="K351" s="61">
        <f>K331+K336+K340+K345+K350</f>
      </c>
      <c r="L351" s="61">
        <f>L331+L336+L340+L345+L350</f>
      </c>
      <c r="M351" s="63">
        <f t="shared" si="308"/>
      </c>
      <c r="N351" s="63">
        <f t="shared" si="327"/>
      </c>
      <c r="O351" s="63">
        <f t="shared" si="346"/>
      </c>
      <c r="P351" s="63">
        <f t="shared" si="31"/>
      </c>
      <c r="Q351" s="63">
        <f t="shared" si="50"/>
      </c>
      <c r="R351" s="63">
        <f t="shared" si="69"/>
      </c>
      <c r="S351" s="64">
        <f t="shared" si="88"/>
      </c>
      <c r="T351" s="64">
        <f t="shared" si="638"/>
      </c>
      <c r="U351" s="63">
        <f t="shared" si="676"/>
      </c>
      <c r="V351" s="64">
        <f t="shared" si="657"/>
      </c>
      <c r="W351" s="64">
        <f t="shared" si="695"/>
      </c>
      <c r="X351" s="63">
        <f t="shared" si="12"/>
      </c>
      <c r="Y351" s="61">
        <f>Y331+Y336+Y340+Y345+Y350</f>
      </c>
      <c r="Z351" s="61">
        <f>Z331+Z336+Z340+Z345+Z350</f>
      </c>
      <c r="AA351" s="62">
        <f>AA331+AA336+AA340+AA345+AA350</f>
      </c>
      <c r="AB351" s="61">
        <f>AB331+AB336+AB340+AB345+AB350</f>
      </c>
      <c r="AC351" s="65">
        <f>AC331+AC336+AC340+AC345+AC350</f>
      </c>
      <c r="AD351" s="66">
        <f t="shared" si="198"/>
      </c>
      <c r="AE351" s="67"/>
      <c r="AF351" s="60"/>
      <c r="AG351" s="61">
        <f>AG331+AG336+AG340+AG345+AG350</f>
      </c>
      <c r="AH351" s="61">
        <f>AH331+AH336+AH340+AH345+AH350</f>
      </c>
      <c r="AI351" s="61">
        <f>AI331+AI336+AI340+AI345+AI350</f>
      </c>
      <c r="AJ351" s="61">
        <f>AJ331+AJ336+AJ340+AJ345+AJ350</f>
      </c>
      <c r="AK351" s="61">
        <f>AK331+AK336+AK340+AK345+AK350</f>
      </c>
      <c r="AL351" s="61">
        <f>AL331+AL336+AL340+AL345+AL350</f>
      </c>
    </row>
    <row r="352">
      <c r="A352" s="1" t="s">
        <v>1</v>
      </c>
      <c r="B352" s="2" t="s">
        <v>2</v>
      </c>
      <c r="C352" s="2" t="s">
        <v>3</v>
      </c>
      <c r="D352" s="3" t="s">
        <v>4</v>
      </c>
      <c r="E352" s="2" t="s">
        <v>5</v>
      </c>
      <c r="F352" s="2" t="s">
        <v>6</v>
      </c>
      <c r="G352" s="4" t="s">
        <v>7</v>
      </c>
      <c r="H352" s="4" t="s">
        <v>8</v>
      </c>
      <c r="I352" s="3" t="s">
        <v>9</v>
      </c>
      <c r="J352" s="5" t="s">
        <v>10</v>
      </c>
      <c r="K352" s="6" t="s">
        <v>11</v>
      </c>
      <c r="L352" s="6" t="s">
        <v>12</v>
      </c>
      <c r="M352" s="7" t="s">
        <v>13</v>
      </c>
      <c r="N352" s="6" t="s">
        <v>14</v>
      </c>
      <c r="O352" s="2" t="s">
        <v>15</v>
      </c>
      <c r="P352" s="7" t="s">
        <v>16</v>
      </c>
      <c r="Q352" s="8" t="s">
        <v>17</v>
      </c>
      <c r="R352" s="8" t="s">
        <v>18</v>
      </c>
      <c r="S352" s="3" t="s">
        <v>19</v>
      </c>
      <c r="T352" s="9" t="s">
        <v>20</v>
      </c>
      <c r="U352" s="7" t="s">
        <v>21</v>
      </c>
      <c r="V352" s="10" t="s">
        <v>22</v>
      </c>
      <c r="W352" s="11" t="s">
        <v>23</v>
      </c>
      <c r="X352" s="7" t="s">
        <v>24</v>
      </c>
      <c r="Y352" s="12" t="s">
        <v>25</v>
      </c>
      <c r="Z352" s="13" t="s">
        <v>26</v>
      </c>
      <c r="AA352" s="12" t="s">
        <v>27</v>
      </c>
      <c r="AB352" s="14" t="s">
        <v>28</v>
      </c>
      <c r="AC352" s="14" t="s">
        <v>29</v>
      </c>
      <c r="AD352" s="6" t="s">
        <v>30</v>
      </c>
      <c r="AE352" s="5" t="s">
        <v>31</v>
      </c>
      <c r="AF352" s="6" t="s">
        <v>32</v>
      </c>
      <c r="AG352" s="5" t="s">
        <v>33</v>
      </c>
      <c r="AH352" s="5" t="s">
        <v>34</v>
      </c>
      <c r="AI352" s="6" t="s">
        <v>35</v>
      </c>
      <c r="AJ352" s="5" t="s">
        <v>36</v>
      </c>
      <c r="AK352" s="6" t="s">
        <v>37</v>
      </c>
      <c r="AL352" s="5" t="s">
        <v>38</v>
      </c>
    </row>
    <row r="353">
      <c r="A353" s="15">
        <v>46309</v>
      </c>
      <c r="B353" s="16" t="s">
        <v>39</v>
      </c>
      <c r="C353" s="17" t="s">
        <v>40</v>
      </c>
      <c r="D353" s="18">
        <f t="shared" ref="D353:D357" si="418">E353+F353+G353+H353</f>
      </c>
      <c r="E353" s="19">
        <v>1202.08</v>
      </c>
      <c r="F353" s="20">
        <v>6507.4</v>
      </c>
      <c r="G353" s="20">
        <v>0</v>
      </c>
      <c r="H353" s="20">
        <v>0</v>
      </c>
      <c r="I353" s="20">
        <f t="shared" ref="I353:I357" si="509">AB353+AC353</f>
      </c>
      <c r="J353" s="21">
        <f>351+2039.04+1016.28</f>
      </c>
      <c r="K353" s="22">
        <f t="shared" ref="K353:K357" si="600">I353-J353</f>
      </c>
      <c r="L353" s="22">
        <f t="shared" ref="L353:L357" si="270">(I353-AC353)/12+AC353</f>
      </c>
      <c r="M353" s="23">
        <f t="shared" ref="M353:M378" si="309">I353/D353</f>
      </c>
      <c r="N353" s="24">
        <f t="shared" ref="N353:N378" si="328">(I353-J353)/D353</f>
      </c>
      <c r="O353" s="25">
        <f t="shared" ref="O353:O378" si="347">(AC353+AB353/12)/D353</f>
      </c>
      <c r="P353" s="26">
        <f t="shared" ref="P353:P378" si="32">I353/AA353</f>
      </c>
      <c r="Q353" s="26">
        <f t="shared" ref="Q353:Q378" si="51">D353/AA353</f>
      </c>
      <c r="R353" s="26">
        <f t="shared" ref="R353:R378" si="70">D353/AG353</f>
      </c>
      <c r="S353" s="27">
        <f t="shared" ref="S353:S378" si="89">AA353/Y353</f>
      </c>
      <c r="T353" s="28">
        <f t="shared" ref="T353:T378" si="639">AI353/AH353</f>
      </c>
      <c r="U353" s="26">
        <f t="shared" ref="U353:U378" si="677">D353/AJ353</f>
      </c>
      <c r="V353" s="29">
        <f t="shared" ref="V353:V378" si="658">AK353/AJ353</f>
      </c>
      <c r="W353" s="29">
        <f t="shared" ref="W353:W378" si="696">AL353/AJ353</f>
      </c>
      <c r="X353" s="26">
        <f t="shared" ref="X353:X378" si="13">D353/AL353</f>
      </c>
      <c r="Y353" s="30">
        <f t="shared" ref="Y353:Y357" si="160">Z353+AA353</f>
      </c>
      <c r="Z353" s="30">
        <v>3</v>
      </c>
      <c r="AA353" s="30">
        <v>5</v>
      </c>
      <c r="AB353" s="31">
        <v>5134.32</v>
      </c>
      <c r="AC353" s="31">
        <v>0</v>
      </c>
      <c r="AD353" s="27">
        <f t="shared" ref="AD353:AD378" si="199">AC353/I353</f>
      </c>
      <c r="AE353" s="32" t="s">
        <v>41</v>
      </c>
      <c r="AF353" s="33" t="s">
        <v>42</v>
      </c>
      <c r="AG353" s="34">
        <v>5</v>
      </c>
      <c r="AH353" s="34">
        <v>110357</v>
      </c>
      <c r="AI353" s="35">
        <v>2134</v>
      </c>
      <c r="AJ353" s="35">
        <v>2313</v>
      </c>
      <c r="AK353" s="34">
        <v>252</v>
      </c>
      <c r="AL353" s="36">
        <v>261</v>
      </c>
    </row>
    <row r="354">
      <c r="A354" s="15"/>
      <c r="B354" s="16" t="s">
        <v>39</v>
      </c>
      <c r="C354" s="17" t="s">
        <v>43</v>
      </c>
      <c r="D354" s="18">
        <f t="shared" si="418"/>
      </c>
      <c r="E354" s="17">
        <v>1082.19</v>
      </c>
      <c r="F354" s="20">
        <v>6272.55</v>
      </c>
      <c r="G354" s="20">
        <v>0</v>
      </c>
      <c r="H354" s="20">
        <v>0</v>
      </c>
      <c r="I354" s="20">
        <f t="shared" si="509"/>
      </c>
      <c r="J354" s="21">
        <v>923.4</v>
      </c>
      <c r="K354" s="22">
        <f t="shared" si="600"/>
      </c>
      <c r="L354" s="22">
        <f t="shared" si="270"/>
      </c>
      <c r="M354" s="23">
        <f t="shared" si="309"/>
      </c>
      <c r="N354" s="24">
        <f t="shared" si="328"/>
      </c>
      <c r="O354" s="25">
        <f t="shared" si="347"/>
      </c>
      <c r="P354" s="26">
        <f t="shared" si="32"/>
      </c>
      <c r="Q354" s="26">
        <f t="shared" si="51"/>
      </c>
      <c r="R354" s="26">
        <f t="shared" si="70"/>
      </c>
      <c r="S354" s="27">
        <f t="shared" si="89"/>
      </c>
      <c r="T354" s="28">
        <f t="shared" si="639"/>
      </c>
      <c r="U354" s="26">
        <f t="shared" si="677"/>
      </c>
      <c r="V354" s="29">
        <f t="shared" si="658"/>
      </c>
      <c r="W354" s="29">
        <f t="shared" si="696"/>
      </c>
      <c r="X354" s="26">
        <f t="shared" si="13"/>
      </c>
      <c r="Y354" s="30">
        <f t="shared" si="160"/>
      </c>
      <c r="Z354" s="30">
        <v>1</v>
      </c>
      <c r="AA354" s="30">
        <v>5</v>
      </c>
      <c r="AB354" s="31">
        <v>6780.240000000002</v>
      </c>
      <c r="AC354" s="31">
        <v>1397.9999999999995</v>
      </c>
      <c r="AD354" s="27">
        <f t="shared" si="199"/>
      </c>
      <c r="AE354" s="32" t="s">
        <v>41</v>
      </c>
      <c r="AF354" s="33" t="s">
        <v>42</v>
      </c>
      <c r="AG354" s="34">
        <v>4</v>
      </c>
      <c r="AH354" s="35">
        <v>109955</v>
      </c>
      <c r="AI354" s="35">
        <v>1598</v>
      </c>
      <c r="AJ354" s="35">
        <v>1806</v>
      </c>
      <c r="AK354" s="36">
        <v>227</v>
      </c>
      <c r="AL354" s="36">
        <v>252</v>
      </c>
    </row>
    <row r="355">
      <c r="A355" s="15"/>
      <c r="B355" s="16" t="s">
        <v>39</v>
      </c>
      <c r="C355" s="17" t="s">
        <v>44</v>
      </c>
      <c r="D355" s="18">
        <f t="shared" si="418"/>
      </c>
      <c r="E355" s="17">
        <v>685.65</v>
      </c>
      <c r="F355" s="20">
        <v>5051.81</v>
      </c>
      <c r="G355" s="20">
        <v>0</v>
      </c>
      <c r="H355" s="20">
        <v>0</v>
      </c>
      <c r="I355" s="20">
        <f t="shared" si="509"/>
      </c>
      <c r="J355" s="21">
        <v>1149.12</v>
      </c>
      <c r="K355" s="22">
        <f t="shared" si="600"/>
      </c>
      <c r="L355" s="22">
        <f t="shared" si="270"/>
      </c>
      <c r="M355" s="23">
        <f t="shared" si="309"/>
      </c>
      <c r="N355" s="24">
        <f t="shared" si="328"/>
      </c>
      <c r="O355" s="25">
        <f t="shared" si="347"/>
      </c>
      <c r="P355" s="26">
        <f t="shared" si="32"/>
      </c>
      <c r="Q355" s="26">
        <f t="shared" si="51"/>
      </c>
      <c r="R355" s="26">
        <f t="shared" si="70"/>
      </c>
      <c r="S355" s="27">
        <f t="shared" si="89"/>
      </c>
      <c r="T355" s="28">
        <f t="shared" si="639"/>
      </c>
      <c r="U355" s="26">
        <f t="shared" si="677"/>
      </c>
      <c r="V355" s="29">
        <f t="shared" si="658"/>
      </c>
      <c r="W355" s="29">
        <f t="shared" si="696"/>
      </c>
      <c r="X355" s="26">
        <f t="shared" si="13"/>
      </c>
      <c r="Y355" s="30">
        <f t="shared" si="160"/>
      </c>
      <c r="Z355" s="30">
        <v>7</v>
      </c>
      <c r="AA355" s="30">
        <v>4</v>
      </c>
      <c r="AB355" s="31">
        <v>4281.119999999999</v>
      </c>
      <c r="AC355" s="31">
        <v>0</v>
      </c>
      <c r="AD355" s="27">
        <f t="shared" si="199"/>
      </c>
      <c r="AE355" s="32" t="s">
        <v>41</v>
      </c>
      <c r="AF355" s="33" t="s">
        <v>42</v>
      </c>
      <c r="AG355" s="36">
        <v>4</v>
      </c>
      <c r="AH355" s="35">
        <v>72577</v>
      </c>
      <c r="AI355" s="35">
        <v>914</v>
      </c>
      <c r="AJ355" s="35">
        <v>1045</v>
      </c>
      <c r="AK355" s="36">
        <v>174</v>
      </c>
      <c r="AL355" s="36">
        <v>224</v>
      </c>
    </row>
    <row r="356">
      <c r="A356" s="15"/>
      <c r="B356" s="16" t="s">
        <v>39</v>
      </c>
      <c r="C356" s="17" t="s">
        <v>45</v>
      </c>
      <c r="D356" s="18">
        <f t="shared" si="418"/>
      </c>
      <c r="E356" s="17">
        <v>795.44</v>
      </c>
      <c r="F356" s="20">
        <v>6560.14</v>
      </c>
      <c r="G356" s="20">
        <v>0</v>
      </c>
      <c r="H356" s="20">
        <v>0</v>
      </c>
      <c r="I356" s="37">
        <f t="shared" si="509"/>
      </c>
      <c r="J356" s="21">
        <f>1217.16+1736.64</f>
      </c>
      <c r="K356" s="22">
        <f t="shared" si="600"/>
      </c>
      <c r="L356" s="22">
        <f t="shared" si="270"/>
      </c>
      <c r="M356" s="23">
        <f t="shared" si="309"/>
      </c>
      <c r="N356" s="24">
        <f t="shared" si="328"/>
      </c>
      <c r="O356" s="25">
        <f t="shared" si="347"/>
      </c>
      <c r="P356" s="26">
        <f t="shared" si="32"/>
      </c>
      <c r="Q356" s="26">
        <f t="shared" si="51"/>
      </c>
      <c r="R356" s="26">
        <f t="shared" si="70"/>
      </c>
      <c r="S356" s="27">
        <f t="shared" si="89"/>
      </c>
      <c r="T356" s="28">
        <f t="shared" si="639"/>
      </c>
      <c r="U356" s="26">
        <f t="shared" si="677"/>
      </c>
      <c r="V356" s="29">
        <f t="shared" si="658"/>
      </c>
      <c r="W356" s="29">
        <f t="shared" si="696"/>
      </c>
      <c r="X356" s="26">
        <f t="shared" si="13"/>
      </c>
      <c r="Y356" s="30">
        <f t="shared" si="160"/>
      </c>
      <c r="Z356" s="30">
        <v>2</v>
      </c>
      <c r="AA356" s="30">
        <v>6</v>
      </c>
      <c r="AB356" s="31">
        <v>8086.32</v>
      </c>
      <c r="AC356" s="31">
        <v>645</v>
      </c>
      <c r="AD356" s="27">
        <f t="shared" si="199"/>
      </c>
      <c r="AE356" s="32" t="s">
        <v>41</v>
      </c>
      <c r="AF356" s="33" t="s">
        <v>42</v>
      </c>
      <c r="AG356" s="34">
        <v>4</v>
      </c>
      <c r="AH356" s="35">
        <v>104236</v>
      </c>
      <c r="AI356" s="35">
        <v>1214</v>
      </c>
      <c r="AJ356" s="35">
        <v>1334</v>
      </c>
      <c r="AK356" s="36">
        <v>194</v>
      </c>
      <c r="AL356" s="36">
        <v>237</v>
      </c>
    </row>
    <row r="357">
      <c r="A357" s="15"/>
      <c r="B357" s="16" t="s">
        <v>39</v>
      </c>
      <c r="C357" s="17" t="s">
        <v>46</v>
      </c>
      <c r="D357" s="18">
        <f t="shared" si="418"/>
      </c>
      <c r="E357" s="17">
        <v>719.43</v>
      </c>
      <c r="F357" s="20">
        <v>5955.59</v>
      </c>
      <c r="G357" s="20">
        <v>0</v>
      </c>
      <c r="H357" s="20">
        <v>0</v>
      </c>
      <c r="I357" s="20">
        <f t="shared" si="509"/>
      </c>
      <c r="J357" s="21">
        <f>453.6+2095.2+3110.4</f>
      </c>
      <c r="K357" s="22">
        <f t="shared" si="600"/>
      </c>
      <c r="L357" s="22">
        <f t="shared" si="270"/>
      </c>
      <c r="M357" s="23">
        <f t="shared" si="309"/>
      </c>
      <c r="N357" s="24">
        <f t="shared" si="328"/>
      </c>
      <c r="O357" s="25">
        <f t="shared" si="347"/>
      </c>
      <c r="P357" s="26">
        <f t="shared" si="32"/>
      </c>
      <c r="Q357" s="26">
        <f t="shared" si="51"/>
      </c>
      <c r="R357" s="26">
        <f t="shared" si="70"/>
      </c>
      <c r="S357" s="27">
        <f t="shared" si="89"/>
      </c>
      <c r="T357" s="28">
        <f t="shared" si="639"/>
      </c>
      <c r="U357" s="26">
        <f t="shared" si="677"/>
      </c>
      <c r="V357" s="29">
        <f t="shared" si="658"/>
      </c>
      <c r="W357" s="29">
        <f t="shared" si="696"/>
      </c>
      <c r="X357" s="26">
        <f t="shared" si="13"/>
      </c>
      <c r="Y357" s="30">
        <f t="shared" si="160"/>
      </c>
      <c r="Z357" s="30">
        <v>8</v>
      </c>
      <c r="AA357" s="30">
        <v>6</v>
      </c>
      <c r="AB357" s="31">
        <f>5292+2095.2+1300.32</f>
      </c>
      <c r="AC357" s="31">
        <v>0</v>
      </c>
      <c r="AD357" s="27">
        <f t="shared" si="199"/>
      </c>
      <c r="AE357" s="32" t="s">
        <v>41</v>
      </c>
      <c r="AF357" s="33" t="s">
        <v>42</v>
      </c>
      <c r="AG357" s="34">
        <v>3</v>
      </c>
      <c r="AH357" s="35">
        <v>78804</v>
      </c>
      <c r="AI357" s="35">
        <v>932</v>
      </c>
      <c r="AJ357" s="35">
        <v>1026</v>
      </c>
      <c r="AK357" s="34">
        <v>161</v>
      </c>
      <c r="AL357" s="34">
        <v>206</v>
      </c>
    </row>
    <row r="358">
      <c r="A358" s="15"/>
      <c r="B358" s="38" t="s">
        <v>47</v>
      </c>
      <c r="C358" s="39">
        <v>5</v>
      </c>
      <c r="D358" s="40">
        <f>SUM(D353:D357)</f>
      </c>
      <c r="E358" s="40">
        <f>SUM(E353:E357)</f>
      </c>
      <c r="F358" s="40">
        <f>SUM(F353:F357)</f>
      </c>
      <c r="G358" s="40">
        <f>SUM(G353:G357)</f>
      </c>
      <c r="H358" s="40">
        <f>SUM(H353:H357)</f>
      </c>
      <c r="I358" s="40">
        <f>SUM(I353:I357)</f>
      </c>
      <c r="J358" s="40">
        <f>SUM(J353:J357)</f>
      </c>
      <c r="K358" s="40">
        <f>SUM(K353:K357)</f>
      </c>
      <c r="L358" s="40">
        <f>SUM(L353:L357)</f>
      </c>
      <c r="M358" s="41">
        <f t="shared" si="309"/>
      </c>
      <c r="N358" s="42">
        <f t="shared" si="328"/>
      </c>
      <c r="O358" s="42">
        <f t="shared" si="347"/>
      </c>
      <c r="P358" s="43">
        <f t="shared" si="32"/>
      </c>
      <c r="Q358" s="43">
        <f t="shared" si="51"/>
      </c>
      <c r="R358" s="43">
        <f t="shared" si="70"/>
      </c>
      <c r="S358" s="44">
        <f t="shared" si="89"/>
      </c>
      <c r="T358" s="44">
        <f t="shared" si="639"/>
      </c>
      <c r="U358" s="43">
        <f t="shared" si="677"/>
      </c>
      <c r="V358" s="44">
        <f t="shared" si="658"/>
      </c>
      <c r="W358" s="44">
        <f t="shared" si="696"/>
      </c>
      <c r="X358" s="43">
        <f t="shared" si="13"/>
      </c>
      <c r="Y358" s="40">
        <f>SUM(Y353:Y357)</f>
      </c>
      <c r="Z358" s="40">
        <f>SUM(Z353:Z357)</f>
      </c>
      <c r="AA358" s="40">
        <f>SUM(AA353:AA357)</f>
      </c>
      <c r="AB358" s="40">
        <f>SUM(AB353:AB357)</f>
      </c>
      <c r="AC358" s="40">
        <f>SUM(AC353:AC357)</f>
      </c>
      <c r="AD358" s="45">
        <f t="shared" si="199"/>
      </c>
      <c r="AE358" s="46"/>
      <c r="AF358" s="47"/>
      <c r="AG358" s="40">
        <f>SUM(AG353:AG357)</f>
      </c>
      <c r="AH358" s="40">
        <f>SUM(AH353:AH357)</f>
      </c>
      <c r="AI358" s="40">
        <f>SUM(AI353:AI357)</f>
      </c>
      <c r="AJ358" s="40">
        <f>SUM(AJ353:AJ357)</f>
      </c>
      <c r="AK358" s="40">
        <f>SUM(AK353:AK357)</f>
      </c>
      <c r="AL358" s="40">
        <f>SUM(AL353:AL357)</f>
      </c>
    </row>
    <row r="359">
      <c r="A359" s="15"/>
      <c r="B359" s="16" t="s">
        <v>68</v>
      </c>
      <c r="C359" s="17" t="s">
        <v>49</v>
      </c>
      <c r="D359" s="18">
        <f t="shared" ref="D359:D362" si="419">E359+F359+G359+H359</f>
      </c>
      <c r="E359" s="19">
        <v>531.5</v>
      </c>
      <c r="F359" s="20">
        <v>4218.06</v>
      </c>
      <c r="G359" s="20">
        <v>0</v>
      </c>
      <c r="H359" s="20">
        <v>0</v>
      </c>
      <c r="I359" s="20">
        <f t="shared" ref="I359:I362" si="510">AB359+AC359</f>
      </c>
      <c r="J359" s="21">
        <f>1474.32+1434.24+2059.56</f>
      </c>
      <c r="K359" s="22">
        <f t="shared" ref="K359:K362" si="601">I359-J359</f>
      </c>
      <c r="L359" s="22">
        <f t="shared" ref="L359:L362" si="271">(I359-AC359)/12+AC359</f>
      </c>
      <c r="M359" s="23">
        <f t="shared" si="309"/>
      </c>
      <c r="N359" s="24">
        <f t="shared" si="328"/>
      </c>
      <c r="O359" s="25">
        <f t="shared" si="347"/>
      </c>
      <c r="P359" s="26">
        <f t="shared" si="32"/>
      </c>
      <c r="Q359" s="26">
        <f t="shared" si="51"/>
      </c>
      <c r="R359" s="26">
        <f t="shared" si="70"/>
      </c>
      <c r="S359" s="27">
        <f t="shared" si="89"/>
      </c>
      <c r="T359" s="28">
        <f t="shared" si="639"/>
      </c>
      <c r="U359" s="26">
        <f t="shared" si="677"/>
      </c>
      <c r="V359" s="29">
        <f t="shared" si="658"/>
      </c>
      <c r="W359" s="29">
        <f t="shared" si="696"/>
      </c>
      <c r="X359" s="26">
        <f t="shared" si="13"/>
      </c>
      <c r="Y359" s="30">
        <f t="shared" ref="Y359:Y362" si="161">Z359+AA359</f>
      </c>
      <c r="Z359" s="30">
        <v>7</v>
      </c>
      <c r="AA359" s="30">
        <v>2</v>
      </c>
      <c r="AB359" s="31">
        <v>4968.119999999995</v>
      </c>
      <c r="AC359" s="31">
        <v>0</v>
      </c>
      <c r="AD359" s="27">
        <f t="shared" si="199"/>
      </c>
      <c r="AE359" s="32" t="s">
        <v>41</v>
      </c>
      <c r="AF359" s="33" t="s">
        <v>42</v>
      </c>
      <c r="AG359" s="34">
        <v>4</v>
      </c>
      <c r="AH359" s="35">
        <v>61336</v>
      </c>
      <c r="AI359" s="35">
        <v>757</v>
      </c>
      <c r="AJ359" s="35">
        <v>869</v>
      </c>
      <c r="AK359" s="34">
        <v>140</v>
      </c>
      <c r="AL359" s="34">
        <v>169</v>
      </c>
    </row>
    <row r="360">
      <c r="A360" s="15"/>
      <c r="B360" s="16" t="s">
        <v>68</v>
      </c>
      <c r="C360" s="17" t="s">
        <v>50</v>
      </c>
      <c r="D360" s="18">
        <f t="shared" si="419"/>
      </c>
      <c r="E360" s="17">
        <v>1033.08</v>
      </c>
      <c r="F360" s="20">
        <v>5133.34</v>
      </c>
      <c r="G360" s="20">
        <v>0</v>
      </c>
      <c r="H360" s="20">
        <v>0</v>
      </c>
      <c r="I360" s="20">
        <f t="shared" si="510"/>
      </c>
      <c r="J360" s="21">
        <v>0</v>
      </c>
      <c r="K360" s="22">
        <f t="shared" si="601"/>
      </c>
      <c r="L360" s="22">
        <f t="shared" si="271"/>
      </c>
      <c r="M360" s="23">
        <f t="shared" si="309"/>
      </c>
      <c r="N360" s="24">
        <f t="shared" si="328"/>
      </c>
      <c r="O360" s="25">
        <f t="shared" si="347"/>
      </c>
      <c r="P360" s="26">
        <f t="shared" si="32"/>
      </c>
      <c r="Q360" s="26">
        <f t="shared" si="51"/>
      </c>
      <c r="R360" s="26">
        <f t="shared" si="70"/>
      </c>
      <c r="S360" s="27">
        <f t="shared" si="89"/>
      </c>
      <c r="T360" s="28">
        <f t="shared" si="639"/>
      </c>
      <c r="U360" s="26">
        <f t="shared" si="677"/>
      </c>
      <c r="V360" s="29">
        <f t="shared" si="658"/>
      </c>
      <c r="W360" s="29">
        <f t="shared" si="696"/>
      </c>
      <c r="X360" s="26">
        <f t="shared" si="13"/>
      </c>
      <c r="Y360" s="30">
        <f t="shared" si="161"/>
      </c>
      <c r="Z360" s="30">
        <v>2</v>
      </c>
      <c r="AA360" s="30">
        <v>4</v>
      </c>
      <c r="AB360" s="31">
        <v>5672.1600000000035</v>
      </c>
      <c r="AC360" s="31">
        <v>0</v>
      </c>
      <c r="AD360" s="27">
        <f t="shared" si="199"/>
      </c>
      <c r="AE360" s="32" t="s">
        <v>41</v>
      </c>
      <c r="AF360" s="33" t="s">
        <v>42</v>
      </c>
      <c r="AG360" s="34">
        <v>4</v>
      </c>
      <c r="AH360" s="35">
        <v>88911</v>
      </c>
      <c r="AI360" s="35">
        <v>1157</v>
      </c>
      <c r="AJ360" s="35">
        <v>1271</v>
      </c>
      <c r="AK360" s="36">
        <v>148</v>
      </c>
      <c r="AL360" s="36">
        <v>188</v>
      </c>
    </row>
    <row r="361">
      <c r="A361" s="15"/>
      <c r="B361" s="16" t="s">
        <v>68</v>
      </c>
      <c r="C361" s="17" t="s">
        <v>51</v>
      </c>
      <c r="D361" s="18">
        <f t="shared" si="419"/>
      </c>
      <c r="E361" s="17">
        <v>662.06</v>
      </c>
      <c r="F361" s="17">
        <v>11024.45</v>
      </c>
      <c r="G361" s="20">
        <v>0</v>
      </c>
      <c r="H361" s="20">
        <v>0</v>
      </c>
      <c r="I361" s="20">
        <f t="shared" si="510"/>
      </c>
      <c r="J361" s="21">
        <f>1871.64+1105.92+2896.32</f>
      </c>
      <c r="K361" s="22">
        <f t="shared" si="601"/>
      </c>
      <c r="L361" s="22">
        <f t="shared" si="271"/>
      </c>
      <c r="M361" s="23">
        <f t="shared" si="309"/>
      </c>
      <c r="N361" s="24">
        <f t="shared" si="328"/>
      </c>
      <c r="O361" s="25">
        <f t="shared" si="347"/>
      </c>
      <c r="P361" s="26">
        <f t="shared" si="32"/>
      </c>
      <c r="Q361" s="26">
        <f t="shared" si="51"/>
      </c>
      <c r="R361" s="26">
        <f t="shared" si="70"/>
      </c>
      <c r="S361" s="27">
        <f t="shared" si="89"/>
      </c>
      <c r="T361" s="28">
        <f t="shared" si="639"/>
      </c>
      <c r="U361" s="26">
        <f t="shared" si="677"/>
      </c>
      <c r="V361" s="29">
        <f t="shared" si="658"/>
      </c>
      <c r="W361" s="29">
        <f t="shared" si="696"/>
      </c>
      <c r="X361" s="26">
        <f t="shared" si="13"/>
      </c>
      <c r="Y361" s="30">
        <f t="shared" si="161"/>
      </c>
      <c r="Z361" s="30">
        <v>7</v>
      </c>
      <c r="AA361" s="30">
        <v>6</v>
      </c>
      <c r="AB361" s="31">
        <v>8764.68</v>
      </c>
      <c r="AC361" s="69">
        <v>0</v>
      </c>
      <c r="AD361" s="27">
        <f t="shared" si="199"/>
      </c>
      <c r="AE361" s="32" t="s">
        <v>41</v>
      </c>
      <c r="AF361" s="33" t="s">
        <v>42</v>
      </c>
      <c r="AG361" s="36">
        <v>5</v>
      </c>
      <c r="AH361" s="35">
        <v>177556</v>
      </c>
      <c r="AI361" s="35">
        <v>2024</v>
      </c>
      <c r="AJ361" s="35">
        <v>2103</v>
      </c>
      <c r="AK361" s="36">
        <v>243</v>
      </c>
      <c r="AL361" s="36">
        <v>366</v>
      </c>
    </row>
    <row r="362">
      <c r="A362" s="15"/>
      <c r="B362" s="16" t="s">
        <v>68</v>
      </c>
      <c r="C362" s="17" t="s">
        <v>52</v>
      </c>
      <c r="D362" s="18">
        <f t="shared" si="419"/>
      </c>
      <c r="E362" s="17">
        <v>712.68</v>
      </c>
      <c r="F362" s="20">
        <v>3437.08</v>
      </c>
      <c r="G362" s="20">
        <v>0</v>
      </c>
      <c r="H362" s="20">
        <v>0</v>
      </c>
      <c r="I362" s="20">
        <f t="shared" si="510"/>
      </c>
      <c r="J362" s="21">
        <v>0</v>
      </c>
      <c r="K362" s="22">
        <f t="shared" si="601"/>
      </c>
      <c r="L362" s="22">
        <f t="shared" si="271"/>
      </c>
      <c r="M362" s="23">
        <f t="shared" si="309"/>
      </c>
      <c r="N362" s="24">
        <f t="shared" si="328"/>
      </c>
      <c r="O362" s="25">
        <f t="shared" si="347"/>
      </c>
      <c r="P362" s="26">
        <f t="shared" si="32"/>
      </c>
      <c r="Q362" s="26">
        <f t="shared" si="51"/>
      </c>
      <c r="R362" s="26">
        <f t="shared" si="70"/>
      </c>
      <c r="S362" s="27">
        <f t="shared" si="89"/>
      </c>
      <c r="T362" s="28">
        <f t="shared" si="639"/>
      </c>
      <c r="U362" s="26">
        <f t="shared" si="677"/>
      </c>
      <c r="V362" s="29">
        <f t="shared" si="658"/>
      </c>
      <c r="W362" s="29">
        <f t="shared" si="696"/>
      </c>
      <c r="X362" s="26">
        <f t="shared" si="13"/>
      </c>
      <c r="Y362" s="30">
        <f t="shared" si="161"/>
      </c>
      <c r="Z362" s="30">
        <v>8</v>
      </c>
      <c r="AA362" s="30">
        <v>9</v>
      </c>
      <c r="AB362" s="70">
        <f>7070.76+1146</f>
      </c>
      <c r="AC362" s="74">
        <v>1314</v>
      </c>
      <c r="AD362" s="72">
        <f t="shared" si="199"/>
      </c>
      <c r="AE362" s="32" t="s">
        <v>41</v>
      </c>
      <c r="AF362" s="33" t="s">
        <v>42</v>
      </c>
      <c r="AG362" s="34">
        <v>6</v>
      </c>
      <c r="AH362" s="35">
        <v>69494</v>
      </c>
      <c r="AI362" s="35">
        <v>919</v>
      </c>
      <c r="AJ362" s="35">
        <v>1060</v>
      </c>
      <c r="AK362" s="36">
        <v>163</v>
      </c>
      <c r="AL362" s="36">
        <v>185</v>
      </c>
    </row>
    <row r="363">
      <c r="A363" s="15"/>
      <c r="B363" s="38" t="s">
        <v>47</v>
      </c>
      <c r="C363" s="39">
        <v>4</v>
      </c>
      <c r="D363" s="40">
        <f>SUM(D359:D362)</f>
      </c>
      <c r="E363" s="40">
        <f>SUM(E359:E362)</f>
      </c>
      <c r="F363" s="40">
        <f>SUM(F359:F362)</f>
      </c>
      <c r="G363" s="40">
        <f>SUM(G359:G362)</f>
      </c>
      <c r="H363" s="40">
        <f>SUM(H359:H362)</f>
      </c>
      <c r="I363" s="40">
        <f>SUM(I359:I362)</f>
      </c>
      <c r="J363" s="40">
        <f>SUM(J359:J362)</f>
      </c>
      <c r="K363" s="40">
        <f>SUM(K359:K362)</f>
      </c>
      <c r="L363" s="40">
        <f>SUM(L359:L362)</f>
      </c>
      <c r="M363" s="41">
        <f t="shared" si="309"/>
      </c>
      <c r="N363" s="42">
        <f t="shared" si="328"/>
      </c>
      <c r="O363" s="42">
        <f t="shared" si="347"/>
      </c>
      <c r="P363" s="43">
        <f t="shared" si="32"/>
      </c>
      <c r="Q363" s="43">
        <f t="shared" si="51"/>
      </c>
      <c r="R363" s="43">
        <f t="shared" si="70"/>
      </c>
      <c r="S363" s="44">
        <f t="shared" si="89"/>
      </c>
      <c r="T363" s="44">
        <f t="shared" si="639"/>
      </c>
      <c r="U363" s="43">
        <f t="shared" si="677"/>
      </c>
      <c r="V363" s="44">
        <f t="shared" si="658"/>
      </c>
      <c r="W363" s="44">
        <f t="shared" si="696"/>
      </c>
      <c r="X363" s="43">
        <f t="shared" si="13"/>
      </c>
      <c r="Y363" s="40">
        <f>SUM(Y359:Y362)</f>
      </c>
      <c r="Z363" s="40">
        <f>SUM(Z359:Z362)</f>
      </c>
      <c r="AA363" s="40">
        <f>SUM(AA359:AA362)</f>
      </c>
      <c r="AB363" s="40">
        <f>SUM(AB359:AB362)</f>
      </c>
      <c r="AC363" s="40">
        <f>SUM(AC359:AC362)</f>
      </c>
      <c r="AD363" s="45">
        <f t="shared" si="199"/>
      </c>
      <c r="AE363" s="46"/>
      <c r="AF363" s="47"/>
      <c r="AG363" s="40">
        <f>SUM(AG359:AG362)</f>
      </c>
      <c r="AH363" s="40">
        <f>SUM(AH359:AH362)</f>
      </c>
      <c r="AI363" s="40">
        <f>SUM(AI359:AI362)</f>
      </c>
      <c r="AJ363" s="40">
        <f>SUM(AJ359:AJ362)</f>
      </c>
      <c r="AK363" s="40">
        <f>SUM(AK359:AK362)</f>
      </c>
      <c r="AL363" s="40">
        <f>SUM(AL359:AL362)</f>
      </c>
    </row>
    <row r="364">
      <c r="A364" s="15"/>
      <c r="B364" s="16" t="s">
        <v>53</v>
      </c>
      <c r="C364" s="17" t="s">
        <v>54</v>
      </c>
      <c r="D364" s="18">
        <f t="shared" ref="D364:D366" si="420">E364+F364+G364+H364</f>
      </c>
      <c r="E364" s="17">
        <v>776.36</v>
      </c>
      <c r="F364" s="49">
        <v>3463.33</v>
      </c>
      <c r="G364" s="20">
        <v>0</v>
      </c>
      <c r="H364" s="20">
        <v>0</v>
      </c>
      <c r="I364" s="50">
        <f t="shared" ref="I364:I366" si="511">AB364+AC364</f>
      </c>
      <c r="J364" s="51">
        <v>0</v>
      </c>
      <c r="K364" s="22">
        <f t="shared" ref="K364:K366" si="602">I364-J364</f>
      </c>
      <c r="L364" s="22">
        <f t="shared" ref="L364:L366" si="272">(I364-AC364)/12+AC364</f>
      </c>
      <c r="M364" s="23">
        <f t="shared" si="309"/>
      </c>
      <c r="N364" s="24">
        <f t="shared" si="328"/>
      </c>
      <c r="O364" s="25">
        <f t="shared" si="347"/>
      </c>
      <c r="P364" s="26">
        <f t="shared" si="32"/>
      </c>
      <c r="Q364" s="26">
        <f t="shared" si="51"/>
      </c>
      <c r="R364" s="26">
        <f t="shared" si="70"/>
      </c>
      <c r="S364" s="27">
        <f t="shared" si="89"/>
      </c>
      <c r="T364" s="28">
        <f t="shared" si="639"/>
      </c>
      <c r="U364" s="26">
        <f t="shared" si="677"/>
      </c>
      <c r="V364" s="29">
        <f t="shared" si="658"/>
      </c>
      <c r="W364" s="29">
        <f t="shared" si="696"/>
      </c>
      <c r="X364" s="26">
        <f t="shared" si="13"/>
      </c>
      <c r="Y364" s="30">
        <f t="shared" ref="Y364:Y366" si="162">Z364+AA364</f>
      </c>
      <c r="Z364" s="30">
        <v>3</v>
      </c>
      <c r="AA364" s="30">
        <v>0</v>
      </c>
      <c r="AB364" s="31">
        <v>0</v>
      </c>
      <c r="AC364" s="31">
        <v>0</v>
      </c>
      <c r="AD364" s="27">
        <f t="shared" si="199"/>
      </c>
      <c r="AE364" s="32" t="s">
        <v>41</v>
      </c>
      <c r="AF364" s="33" t="s">
        <v>42</v>
      </c>
      <c r="AG364" s="34">
        <v>1</v>
      </c>
      <c r="AH364" s="35">
        <v>40155</v>
      </c>
      <c r="AI364" s="35">
        <v>751</v>
      </c>
      <c r="AJ364" s="35">
        <v>808</v>
      </c>
      <c r="AK364" s="36">
        <v>124</v>
      </c>
      <c r="AL364" s="36">
        <v>157</v>
      </c>
    </row>
    <row r="365">
      <c r="A365" s="15"/>
      <c r="B365" s="16" t="s">
        <v>53</v>
      </c>
      <c r="C365" s="17" t="s">
        <v>55</v>
      </c>
      <c r="D365" s="18">
        <f t="shared" si="420"/>
      </c>
      <c r="E365" s="17">
        <v>537.54</v>
      </c>
      <c r="F365" s="49">
        <v>4115.6</v>
      </c>
      <c r="G365" s="20">
        <v>0</v>
      </c>
      <c r="H365" s="20">
        <v>0</v>
      </c>
      <c r="I365" s="50">
        <f t="shared" si="511"/>
      </c>
      <c r="J365" s="51">
        <v>676.08</v>
      </c>
      <c r="K365" s="22">
        <f t="shared" si="602"/>
      </c>
      <c r="L365" s="22">
        <f t="shared" si="272"/>
      </c>
      <c r="M365" s="23">
        <f t="shared" si="309"/>
      </c>
      <c r="N365" s="24">
        <f t="shared" si="328"/>
      </c>
      <c r="O365" s="25">
        <f t="shared" si="347"/>
      </c>
      <c r="P365" s="26">
        <f t="shared" si="32"/>
      </c>
      <c r="Q365" s="26">
        <f t="shared" si="51"/>
      </c>
      <c r="R365" s="26">
        <f t="shared" si="70"/>
      </c>
      <c r="S365" s="27">
        <f t="shared" si="89"/>
      </c>
      <c r="T365" s="28">
        <f t="shared" si="639"/>
      </c>
      <c r="U365" s="26">
        <f t="shared" si="677"/>
      </c>
      <c r="V365" s="29">
        <f t="shared" si="658"/>
      </c>
      <c r="W365" s="29">
        <f t="shared" si="696"/>
      </c>
      <c r="X365" s="26">
        <f t="shared" si="13"/>
      </c>
      <c r="Y365" s="30">
        <f t="shared" si="162"/>
      </c>
      <c r="Z365" s="30">
        <v>0</v>
      </c>
      <c r="AA365" s="30">
        <v>3</v>
      </c>
      <c r="AB365" s="31">
        <v>3345.8399999999892</v>
      </c>
      <c r="AC365" s="31">
        <v>0</v>
      </c>
      <c r="AD365" s="27">
        <f t="shared" si="199"/>
      </c>
      <c r="AE365" s="32" t="s">
        <v>41</v>
      </c>
      <c r="AF365" s="33" t="s">
        <v>56</v>
      </c>
      <c r="AG365" s="36">
        <v>3</v>
      </c>
      <c r="AH365" s="35">
        <v>49142</v>
      </c>
      <c r="AI365" s="35">
        <v>768</v>
      </c>
      <c r="AJ365" s="35">
        <v>832</v>
      </c>
      <c r="AK365" s="36">
        <v>125</v>
      </c>
      <c r="AL365" s="36">
        <v>160</v>
      </c>
    </row>
    <row r="366">
      <c r="A366" s="15"/>
      <c r="B366" s="16" t="s">
        <v>53</v>
      </c>
      <c r="C366" s="17" t="s">
        <v>58</v>
      </c>
      <c r="D366" s="18">
        <f t="shared" si="420"/>
      </c>
      <c r="E366" s="52">
        <v>420.47</v>
      </c>
      <c r="F366" s="53">
        <v>4399.94</v>
      </c>
      <c r="G366" s="20">
        <v>0</v>
      </c>
      <c r="H366" s="20">
        <v>0</v>
      </c>
      <c r="I366" s="55">
        <f t="shared" si="511"/>
      </c>
      <c r="J366" s="51">
        <f>2703.24+1480.68</f>
      </c>
      <c r="K366" s="22">
        <f t="shared" si="602"/>
      </c>
      <c r="L366" s="22">
        <f t="shared" si="272"/>
      </c>
      <c r="M366" s="23">
        <f t="shared" si="309"/>
      </c>
      <c r="N366" s="24">
        <f t="shared" si="328"/>
      </c>
      <c r="O366" s="25">
        <f t="shared" si="347"/>
      </c>
      <c r="P366" s="26">
        <f t="shared" si="32"/>
      </c>
      <c r="Q366" s="26">
        <f t="shared" si="51"/>
      </c>
      <c r="R366" s="26">
        <f t="shared" si="70"/>
      </c>
      <c r="S366" s="27">
        <f t="shared" si="89"/>
      </c>
      <c r="T366" s="28">
        <f t="shared" si="639"/>
      </c>
      <c r="U366" s="26">
        <f t="shared" si="677"/>
      </c>
      <c r="V366" s="29">
        <f t="shared" si="658"/>
      </c>
      <c r="W366" s="29">
        <f t="shared" si="696"/>
      </c>
      <c r="X366" s="26">
        <f t="shared" si="13"/>
      </c>
      <c r="Y366" s="56">
        <f t="shared" si="162"/>
      </c>
      <c r="Z366" s="30">
        <v>1</v>
      </c>
      <c r="AA366" s="30">
        <v>5</v>
      </c>
      <c r="AB366" s="31">
        <v>6125.760000000002</v>
      </c>
      <c r="AC366" s="31">
        <v>325</v>
      </c>
      <c r="AD366" s="27">
        <f t="shared" si="199"/>
      </c>
      <c r="AE366" s="32" t="s">
        <v>41</v>
      </c>
      <c r="AF366" s="33" t="s">
        <v>56</v>
      </c>
      <c r="AG366" s="36">
        <v>5</v>
      </c>
      <c r="AH366" s="35">
        <v>63944</v>
      </c>
      <c r="AI366" s="35">
        <v>645</v>
      </c>
      <c r="AJ366" s="35">
        <v>678</v>
      </c>
      <c r="AK366" s="36">
        <v>138</v>
      </c>
      <c r="AL366" s="36">
        <v>187</v>
      </c>
    </row>
    <row r="367">
      <c r="A367" s="15"/>
      <c r="B367" s="38" t="s">
        <v>47</v>
      </c>
      <c r="C367" s="39">
        <v>3</v>
      </c>
      <c r="D367" s="58">
        <f>SUM(D364:D366)</f>
      </c>
      <c r="E367" s="58">
        <f>SUM(E364:E366)</f>
      </c>
      <c r="F367" s="58">
        <f>SUM(F364:F366)</f>
      </c>
      <c r="G367" s="58">
        <f>SUM(G364:G366)</f>
      </c>
      <c r="H367" s="58">
        <f>SUM(H364:H366)</f>
      </c>
      <c r="I367" s="58">
        <f>SUM(I364:I366)</f>
      </c>
      <c r="J367" s="58">
        <f>SUM(J364:J366)</f>
      </c>
      <c r="K367" s="58">
        <f>SUM(K364:K366)</f>
      </c>
      <c r="L367" s="58">
        <f>SUM(L364:L366)</f>
      </c>
      <c r="M367" s="41">
        <f t="shared" si="309"/>
      </c>
      <c r="N367" s="42">
        <f t="shared" si="328"/>
      </c>
      <c r="O367" s="42">
        <f t="shared" si="347"/>
      </c>
      <c r="P367" s="43">
        <f t="shared" si="32"/>
      </c>
      <c r="Q367" s="43">
        <f t="shared" si="51"/>
      </c>
      <c r="R367" s="43">
        <f t="shared" si="70"/>
      </c>
      <c r="S367" s="44">
        <f t="shared" si="89"/>
      </c>
      <c r="T367" s="44">
        <f t="shared" si="639"/>
      </c>
      <c r="U367" s="43">
        <f t="shared" si="677"/>
      </c>
      <c r="V367" s="44">
        <f t="shared" si="658"/>
      </c>
      <c r="W367" s="44">
        <f t="shared" si="696"/>
      </c>
      <c r="X367" s="43">
        <f t="shared" si="13"/>
      </c>
      <c r="Y367" s="58">
        <f>SUM(Y364:Y366)</f>
      </c>
      <c r="Z367" s="58">
        <f>SUM(Z364:Z366)</f>
      </c>
      <c r="AA367" s="58">
        <f>SUM(AA364:AA366)</f>
      </c>
      <c r="AB367" s="58">
        <f>SUM(AB364:AB366)</f>
      </c>
      <c r="AC367" s="58">
        <f>SUM(AC364:AC366)</f>
      </c>
      <c r="AD367" s="45">
        <f t="shared" si="199"/>
      </c>
      <c r="AE367" s="46"/>
      <c r="AF367" s="47"/>
      <c r="AG367" s="58">
        <f>SUM(AG364:AG366)</f>
      </c>
      <c r="AH367" s="58">
        <f>SUM(AH364:AH366)</f>
      </c>
      <c r="AI367" s="58">
        <f>SUM(AI364:AI366)</f>
      </c>
      <c r="AJ367" s="58">
        <f>SUM(AJ364:AJ366)</f>
      </c>
      <c r="AK367" s="58">
        <f>SUM(AK364:AK366)</f>
      </c>
      <c r="AL367" s="58">
        <f>SUM(AL364:AL366)</f>
      </c>
    </row>
    <row r="368">
      <c r="A368" s="15"/>
      <c r="B368" s="16" t="s">
        <v>57</v>
      </c>
      <c r="C368" s="52" t="s">
        <v>59</v>
      </c>
      <c r="D368" s="18">
        <f t="shared" ref="D368:D371" si="421">E368+F368+G368+H368</f>
      </c>
      <c r="E368" s="17">
        <v>496.48</v>
      </c>
      <c r="F368" s="49">
        <v>3259.22</v>
      </c>
      <c r="G368" s="20">
        <v>0</v>
      </c>
      <c r="H368" s="20">
        <v>0</v>
      </c>
      <c r="I368" s="50">
        <f t="shared" ref="I368:I371" si="512">AB368+AC368</f>
      </c>
      <c r="J368" s="51">
        <v>2823</v>
      </c>
      <c r="K368" s="22">
        <f t="shared" ref="K368:K371" si="603">I368-J368</f>
      </c>
      <c r="L368" s="22">
        <f t="shared" ref="L368:L371" si="273">(I368-AC368)/12+AC368</f>
      </c>
      <c r="M368" s="23">
        <f t="shared" si="309"/>
      </c>
      <c r="N368" s="24">
        <f t="shared" si="328"/>
      </c>
      <c r="O368" s="25">
        <f t="shared" si="347"/>
      </c>
      <c r="P368" s="26">
        <f t="shared" si="32"/>
      </c>
      <c r="Q368" s="26">
        <f t="shared" si="51"/>
      </c>
      <c r="R368" s="26">
        <f t="shared" si="70"/>
      </c>
      <c r="S368" s="27">
        <f t="shared" si="89"/>
      </c>
      <c r="T368" s="28">
        <f t="shared" si="639"/>
      </c>
      <c r="U368" s="26">
        <f t="shared" si="677"/>
      </c>
      <c r="V368" s="29">
        <f t="shared" si="658"/>
      </c>
      <c r="W368" s="29">
        <f t="shared" si="696"/>
      </c>
      <c r="X368" s="26">
        <f t="shared" si="13"/>
      </c>
      <c r="Y368" s="30">
        <f t="shared" ref="Y368:Y371" si="163">Z368+AA368</f>
      </c>
      <c r="Z368" s="30">
        <v>5</v>
      </c>
      <c r="AA368" s="30">
        <v>3</v>
      </c>
      <c r="AB368" s="31">
        <v>3539.399999999994</v>
      </c>
      <c r="AC368" s="31">
        <v>2823.0000000000005</v>
      </c>
      <c r="AD368" s="27">
        <f t="shared" si="199"/>
      </c>
      <c r="AE368" s="32" t="s">
        <v>41</v>
      </c>
      <c r="AF368" s="33" t="s">
        <v>56</v>
      </c>
      <c r="AG368" s="34">
        <v>2</v>
      </c>
      <c r="AH368" s="35">
        <v>37890</v>
      </c>
      <c r="AI368" s="35">
        <v>623</v>
      </c>
      <c r="AJ368" s="35">
        <v>657</v>
      </c>
      <c r="AK368" s="36">
        <v>95</v>
      </c>
      <c r="AL368" s="36">
        <v>133</v>
      </c>
    </row>
    <row r="369">
      <c r="A369" s="15"/>
      <c r="B369" s="16" t="s">
        <v>57</v>
      </c>
      <c r="C369" s="52" t="s">
        <v>60</v>
      </c>
      <c r="D369" s="18">
        <f t="shared" si="421"/>
      </c>
      <c r="E369" s="17">
        <v>531.57</v>
      </c>
      <c r="F369" s="49">
        <v>3339.95</v>
      </c>
      <c r="G369" s="20">
        <v>0</v>
      </c>
      <c r="H369" s="20">
        <v>0</v>
      </c>
      <c r="I369" s="50">
        <f t="shared" si="512"/>
      </c>
      <c r="J369" s="51">
        <v>3881.52</v>
      </c>
      <c r="K369" s="22">
        <f t="shared" si="603"/>
      </c>
      <c r="L369" s="22">
        <f t="shared" si="273"/>
      </c>
      <c r="M369" s="23">
        <f t="shared" si="309"/>
      </c>
      <c r="N369" s="24">
        <f t="shared" si="328"/>
      </c>
      <c r="O369" s="25">
        <f t="shared" si="347"/>
      </c>
      <c r="P369" s="26">
        <f t="shared" si="32"/>
      </c>
      <c r="Q369" s="26">
        <f t="shared" si="51"/>
      </c>
      <c r="R369" s="26">
        <f t="shared" si="70"/>
      </c>
      <c r="S369" s="27">
        <f t="shared" si="89"/>
      </c>
      <c r="T369" s="28">
        <f t="shared" si="639"/>
      </c>
      <c r="U369" s="26">
        <f t="shared" si="677"/>
      </c>
      <c r="V369" s="29">
        <f t="shared" si="658"/>
      </c>
      <c r="W369" s="29">
        <f t="shared" si="696"/>
      </c>
      <c r="X369" s="26">
        <f t="shared" si="13"/>
      </c>
      <c r="Y369" s="30">
        <f t="shared" si="163"/>
      </c>
      <c r="Z369" s="30">
        <v>3</v>
      </c>
      <c r="AA369" s="30">
        <v>3</v>
      </c>
      <c r="AB369" s="31">
        <v>4489.559999999998</v>
      </c>
      <c r="AC369" s="31">
        <v>2823</v>
      </c>
      <c r="AD369" s="27">
        <f t="shared" si="199"/>
      </c>
      <c r="AE369" s="32" t="s">
        <v>41</v>
      </c>
      <c r="AF369" s="33" t="s">
        <v>56</v>
      </c>
      <c r="AG369" s="36">
        <v>2</v>
      </c>
      <c r="AH369" s="35">
        <v>48688</v>
      </c>
      <c r="AI369" s="35">
        <v>833</v>
      </c>
      <c r="AJ369" s="35">
        <v>889</v>
      </c>
      <c r="AK369" s="36">
        <v>125</v>
      </c>
      <c r="AL369" s="36">
        <v>158</v>
      </c>
    </row>
    <row r="370">
      <c r="A370" s="15"/>
      <c r="B370" s="16" t="s">
        <v>57</v>
      </c>
      <c r="C370" s="52" t="s">
        <v>61</v>
      </c>
      <c r="D370" s="18">
        <f t="shared" si="421"/>
      </c>
      <c r="E370" s="17">
        <v>633.15</v>
      </c>
      <c r="F370" s="49">
        <v>2670.46</v>
      </c>
      <c r="G370" s="20">
        <v>0</v>
      </c>
      <c r="H370" s="20">
        <v>0</v>
      </c>
      <c r="I370" s="50">
        <f t="shared" si="512"/>
      </c>
      <c r="J370" s="51">
        <v>0</v>
      </c>
      <c r="K370" s="22">
        <f t="shared" si="603"/>
      </c>
      <c r="L370" s="22">
        <f t="shared" si="273"/>
      </c>
      <c r="M370" s="23">
        <f t="shared" si="309"/>
      </c>
      <c r="N370" s="24">
        <f t="shared" si="328"/>
      </c>
      <c r="O370" s="25">
        <f t="shared" si="347"/>
      </c>
      <c r="P370" s="26">
        <f t="shared" si="32"/>
      </c>
      <c r="Q370" s="26">
        <f t="shared" si="51"/>
      </c>
      <c r="R370" s="26">
        <f t="shared" si="70"/>
      </c>
      <c r="S370" s="27">
        <f t="shared" si="89"/>
      </c>
      <c r="T370" s="28">
        <f t="shared" si="639"/>
      </c>
      <c r="U370" s="26">
        <f t="shared" si="677"/>
      </c>
      <c r="V370" s="29">
        <f t="shared" si="658"/>
      </c>
      <c r="W370" s="29">
        <f t="shared" si="696"/>
      </c>
      <c r="X370" s="26">
        <f t="shared" si="13"/>
      </c>
      <c r="Y370" s="30">
        <f t="shared" si="163"/>
      </c>
      <c r="Z370" s="30">
        <v>1</v>
      </c>
      <c r="AA370" s="30">
        <v>1</v>
      </c>
      <c r="AB370" s="31">
        <v>1149.1200000000244</v>
      </c>
      <c r="AC370" s="31">
        <v>0</v>
      </c>
      <c r="AD370" s="27">
        <f t="shared" si="199"/>
      </c>
      <c r="AE370" s="32" t="s">
        <v>41</v>
      </c>
      <c r="AF370" s="33" t="s">
        <v>56</v>
      </c>
      <c r="AG370" s="34">
        <v>1</v>
      </c>
      <c r="AH370" s="35">
        <v>38951</v>
      </c>
      <c r="AI370" s="35">
        <v>888</v>
      </c>
      <c r="AJ370" s="35">
        <v>951</v>
      </c>
      <c r="AK370" s="36">
        <v>110</v>
      </c>
      <c r="AL370" s="34">
        <v>104</v>
      </c>
    </row>
    <row r="371">
      <c r="A371" s="15"/>
      <c r="B371" s="16" t="s">
        <v>57</v>
      </c>
      <c r="C371" s="17" t="s">
        <v>63</v>
      </c>
      <c r="D371" s="18">
        <f t="shared" si="421"/>
      </c>
      <c r="E371" s="17">
        <v>633.63</v>
      </c>
      <c r="F371" s="49">
        <v>3476.62</v>
      </c>
      <c r="G371" s="20">
        <v>0</v>
      </c>
      <c r="H371" s="20">
        <v>0</v>
      </c>
      <c r="I371" s="50">
        <f t="shared" si="512"/>
      </c>
      <c r="J371" s="51">
        <v>0</v>
      </c>
      <c r="K371" s="22">
        <f t="shared" si="603"/>
      </c>
      <c r="L371" s="22">
        <f t="shared" si="273"/>
      </c>
      <c r="M371" s="23">
        <f t="shared" si="309"/>
      </c>
      <c r="N371" s="24">
        <f t="shared" si="328"/>
      </c>
      <c r="O371" s="25">
        <f t="shared" si="347"/>
      </c>
      <c r="P371" s="26">
        <f t="shared" si="32"/>
      </c>
      <c r="Q371" s="26">
        <f t="shared" si="51"/>
      </c>
      <c r="R371" s="26">
        <f t="shared" si="70"/>
      </c>
      <c r="S371" s="27">
        <f t="shared" si="89"/>
      </c>
      <c r="T371" s="28">
        <f t="shared" si="639"/>
      </c>
      <c r="U371" s="26">
        <f t="shared" si="677"/>
      </c>
      <c r="V371" s="29">
        <f t="shared" si="658"/>
      </c>
      <c r="W371" s="29">
        <f t="shared" si="696"/>
      </c>
      <c r="X371" s="26">
        <f t="shared" si="13"/>
      </c>
      <c r="Y371" s="30">
        <f t="shared" si="163"/>
      </c>
      <c r="Z371" s="30">
        <v>6</v>
      </c>
      <c r="AA371" s="30">
        <v>3</v>
      </c>
      <c r="AB371" s="31">
        <f>2957.04+4394.52</f>
      </c>
      <c r="AC371" s="31">
        <v>0</v>
      </c>
      <c r="AD371" s="27">
        <f t="shared" si="199"/>
      </c>
      <c r="AE371" s="32" t="s">
        <v>41</v>
      </c>
      <c r="AF371" s="33" t="s">
        <v>56</v>
      </c>
      <c r="AG371" s="34">
        <v>2</v>
      </c>
      <c r="AH371" s="35">
        <v>42774</v>
      </c>
      <c r="AI371" s="35">
        <v>866</v>
      </c>
      <c r="AJ371" s="35">
        <v>941</v>
      </c>
      <c r="AK371" s="36">
        <v>111</v>
      </c>
      <c r="AL371" s="34">
        <v>138</v>
      </c>
    </row>
    <row r="372">
      <c r="A372" s="15"/>
      <c r="B372" s="38" t="s">
        <v>47</v>
      </c>
      <c r="C372" s="39">
        <v>4</v>
      </c>
      <c r="D372" s="40">
        <f>SUM(D368:D371)</f>
      </c>
      <c r="E372" s="40">
        <f>SUM(E368:E371)</f>
      </c>
      <c r="F372" s="40">
        <f>SUM(F368:F371)</f>
      </c>
      <c r="G372" s="40">
        <f>SUM(G368:G371)</f>
      </c>
      <c r="H372" s="40">
        <f>SUM(H368:H371)</f>
      </c>
      <c r="I372" s="40">
        <f>SUM(I368:I371)</f>
      </c>
      <c r="J372" s="40">
        <f>SUM(J368:J371)</f>
      </c>
      <c r="K372" s="40">
        <f>SUM(K368:K371)</f>
      </c>
      <c r="L372" s="40">
        <f>SUM(L368:L371)</f>
      </c>
      <c r="M372" s="41">
        <f t="shared" si="309"/>
      </c>
      <c r="N372" s="42">
        <f t="shared" si="328"/>
      </c>
      <c r="O372" s="42">
        <f t="shared" si="347"/>
      </c>
      <c r="P372" s="43">
        <f t="shared" si="32"/>
      </c>
      <c r="Q372" s="43">
        <f t="shared" si="51"/>
      </c>
      <c r="R372" s="43">
        <f t="shared" si="70"/>
      </c>
      <c r="S372" s="44">
        <f t="shared" si="89"/>
      </c>
      <c r="T372" s="44">
        <f t="shared" si="639"/>
      </c>
      <c r="U372" s="43">
        <f t="shared" si="677"/>
      </c>
      <c r="V372" s="44">
        <f t="shared" si="658"/>
      </c>
      <c r="W372" s="44">
        <f t="shared" si="696"/>
      </c>
      <c r="X372" s="43">
        <f t="shared" si="13"/>
      </c>
      <c r="Y372" s="40">
        <f>SUM(Y368:Y371)</f>
      </c>
      <c r="Z372" s="40">
        <f>SUM(Z368:Z371)</f>
      </c>
      <c r="AA372" s="40">
        <f>SUM(AA368:AA371)</f>
      </c>
      <c r="AB372" s="40">
        <f>SUM(AB368:AB371)</f>
      </c>
      <c r="AC372" s="40">
        <f>SUM(AC368:AC371)</f>
      </c>
      <c r="AD372" s="45">
        <f t="shared" si="199"/>
      </c>
      <c r="AE372" s="46"/>
      <c r="AF372" s="47"/>
      <c r="AG372" s="40">
        <f>SUM(AG368:AG371)</f>
      </c>
      <c r="AH372" s="40">
        <f>SUM(AH368:AH371)</f>
      </c>
      <c r="AI372" s="40">
        <f>SUM(AI368:AI371)</f>
      </c>
      <c r="AJ372" s="40">
        <f>SUM(AJ368:AJ371)</f>
      </c>
      <c r="AK372" s="40">
        <f>SUM(AK368:AK371)</f>
      </c>
      <c r="AL372" s="40">
        <f>SUM(AL368:AL371)</f>
      </c>
    </row>
    <row r="373">
      <c r="A373" s="15"/>
      <c r="B373" s="16" t="s">
        <v>62</v>
      </c>
      <c r="C373" s="52" t="s">
        <v>64</v>
      </c>
      <c r="D373" s="18">
        <f t="shared" ref="D373:D376" si="422">E373+F373+G373+H373</f>
      </c>
      <c r="E373" s="17">
        <v>515.56</v>
      </c>
      <c r="F373" s="17">
        <v>3560.24</v>
      </c>
      <c r="G373" s="20">
        <v>0</v>
      </c>
      <c r="H373" s="20">
        <v>0</v>
      </c>
      <c r="I373" s="20">
        <f t="shared" ref="I373:I376" si="513">AB373+AC373</f>
      </c>
      <c r="J373" s="21">
        <v>685.8</v>
      </c>
      <c r="K373" s="22">
        <f t="shared" ref="K373:K376" si="604">I373-J373</f>
      </c>
      <c r="L373" s="22">
        <f t="shared" ref="L373:L376" si="274">(I373-AC373)/12+AC373</f>
      </c>
      <c r="M373" s="23">
        <f t="shared" si="309"/>
      </c>
      <c r="N373" s="24">
        <f t="shared" si="328"/>
      </c>
      <c r="O373" s="25">
        <f t="shared" si="347"/>
      </c>
      <c r="P373" s="26">
        <f t="shared" si="32"/>
      </c>
      <c r="Q373" s="26">
        <f t="shared" si="51"/>
      </c>
      <c r="R373" s="26">
        <f t="shared" si="70"/>
      </c>
      <c r="S373" s="27">
        <f t="shared" si="89"/>
      </c>
      <c r="T373" s="28">
        <f t="shared" si="639"/>
      </c>
      <c r="U373" s="26">
        <f t="shared" si="677"/>
      </c>
      <c r="V373" s="29">
        <f t="shared" si="658"/>
      </c>
      <c r="W373" s="29">
        <f t="shared" si="696"/>
      </c>
      <c r="X373" s="26">
        <f t="shared" si="13"/>
      </c>
      <c r="Y373" s="30">
        <f t="shared" ref="Y373:Y376" si="164">Z373+AA373</f>
      </c>
      <c r="Z373" s="30">
        <v>6</v>
      </c>
      <c r="AA373" s="30">
        <v>5</v>
      </c>
      <c r="AB373" s="31">
        <v>12387.599999999977</v>
      </c>
      <c r="AC373" s="31">
        <v>0</v>
      </c>
      <c r="AD373" s="27">
        <f t="shared" si="199"/>
      </c>
      <c r="AE373" s="32" t="s">
        <v>41</v>
      </c>
      <c r="AF373" s="33" t="s">
        <v>56</v>
      </c>
      <c r="AG373" s="36">
        <v>5</v>
      </c>
      <c r="AH373" s="35">
        <v>45108</v>
      </c>
      <c r="AI373" s="35">
        <v>889</v>
      </c>
      <c r="AJ373" s="35">
        <v>1006</v>
      </c>
      <c r="AK373" s="36">
        <v>133</v>
      </c>
      <c r="AL373" s="36">
        <v>157</v>
      </c>
    </row>
    <row r="374">
      <c r="A374" s="15"/>
      <c r="B374" s="16" t="s">
        <v>62</v>
      </c>
      <c r="C374" s="52" t="s">
        <v>65</v>
      </c>
      <c r="D374" s="18">
        <f t="shared" si="422"/>
      </c>
      <c r="E374" s="17">
        <v>829.25</v>
      </c>
      <c r="F374" s="17">
        <v>3433.44</v>
      </c>
      <c r="G374" s="20">
        <v>0</v>
      </c>
      <c r="H374" s="20">
        <v>0</v>
      </c>
      <c r="I374" s="20">
        <f t="shared" si="513"/>
      </c>
      <c r="J374" s="21">
        <v>0</v>
      </c>
      <c r="K374" s="22">
        <f t="shared" si="604"/>
      </c>
      <c r="L374" s="22">
        <f t="shared" si="274"/>
      </c>
      <c r="M374" s="23">
        <f t="shared" si="309"/>
      </c>
      <c r="N374" s="24">
        <f t="shared" si="328"/>
      </c>
      <c r="O374" s="25">
        <f t="shared" si="347"/>
      </c>
      <c r="P374" s="26">
        <f t="shared" si="32"/>
      </c>
      <c r="Q374" s="26">
        <f t="shared" si="51"/>
      </c>
      <c r="R374" s="26">
        <f t="shared" si="70"/>
      </c>
      <c r="S374" s="27">
        <f t="shared" si="89"/>
      </c>
      <c r="T374" s="28">
        <f t="shared" si="639"/>
      </c>
      <c r="U374" s="26">
        <f t="shared" si="677"/>
      </c>
      <c r="V374" s="29">
        <f t="shared" si="658"/>
      </c>
      <c r="W374" s="29">
        <f t="shared" si="696"/>
      </c>
      <c r="X374" s="26">
        <f t="shared" si="13"/>
      </c>
      <c r="Y374" s="30">
        <f t="shared" si="164"/>
      </c>
      <c r="Z374" s="30">
        <v>1</v>
      </c>
      <c r="AA374" s="30">
        <v>9</v>
      </c>
      <c r="AB374" s="31">
        <v>18913.920000000013</v>
      </c>
      <c r="AC374" s="31">
        <v>0</v>
      </c>
      <c r="AD374" s="27">
        <f t="shared" si="199"/>
      </c>
      <c r="AE374" s="32" t="s">
        <v>41</v>
      </c>
      <c r="AF374" s="33" t="s">
        <v>56</v>
      </c>
      <c r="AG374" s="36">
        <v>7</v>
      </c>
      <c r="AH374" s="35">
        <v>46225</v>
      </c>
      <c r="AI374" s="35">
        <v>1022</v>
      </c>
      <c r="AJ374" s="35">
        <v>1133</v>
      </c>
      <c r="AK374" s="36">
        <v>138</v>
      </c>
      <c r="AL374" s="36">
        <v>178</v>
      </c>
    </row>
    <row r="375">
      <c r="A375" s="15"/>
      <c r="B375" s="16" t="s">
        <v>62</v>
      </c>
      <c r="C375" s="17" t="s">
        <v>66</v>
      </c>
      <c r="D375" s="18">
        <f t="shared" si="422"/>
      </c>
      <c r="E375" s="17">
        <v>755.76</v>
      </c>
      <c r="F375" s="20">
        <v>4216.04</v>
      </c>
      <c r="G375" s="20">
        <v>0</v>
      </c>
      <c r="H375" s="20">
        <v>0</v>
      </c>
      <c r="I375" s="37">
        <f t="shared" si="513"/>
      </c>
      <c r="J375" s="21">
        <v>0</v>
      </c>
      <c r="K375" s="22">
        <f t="shared" si="604"/>
      </c>
      <c r="L375" s="22">
        <f t="shared" si="274"/>
      </c>
      <c r="M375" s="23">
        <f t="shared" si="309"/>
      </c>
      <c r="N375" s="24">
        <f t="shared" si="328"/>
      </c>
      <c r="O375" s="25">
        <f t="shared" si="347"/>
      </c>
      <c r="P375" s="26">
        <f t="shared" si="32"/>
      </c>
      <c r="Q375" s="26">
        <f t="shared" si="51"/>
      </c>
      <c r="R375" s="26">
        <f t="shared" si="70"/>
      </c>
      <c r="S375" s="27">
        <f t="shared" si="89"/>
      </c>
      <c r="T375" s="28">
        <f t="shared" si="639"/>
      </c>
      <c r="U375" s="26">
        <f t="shared" si="677"/>
      </c>
      <c r="V375" s="29">
        <f t="shared" si="658"/>
      </c>
      <c r="W375" s="29">
        <f t="shared" si="696"/>
      </c>
      <c r="X375" s="26">
        <f t="shared" si="13"/>
      </c>
      <c r="Y375" s="30">
        <f t="shared" si="164"/>
      </c>
      <c r="Z375" s="30">
        <v>6</v>
      </c>
      <c r="AA375" s="30">
        <v>4</v>
      </c>
      <c r="AB375" s="31">
        <v>4169.88</v>
      </c>
      <c r="AC375" s="31">
        <v>0</v>
      </c>
      <c r="AD375" s="27">
        <f t="shared" si="199"/>
      </c>
      <c r="AE375" s="32" t="s">
        <v>41</v>
      </c>
      <c r="AF375" s="33" t="s">
        <v>56</v>
      </c>
      <c r="AG375" s="34">
        <v>4</v>
      </c>
      <c r="AH375" s="35">
        <v>62224</v>
      </c>
      <c r="AI375" s="35">
        <v>1864</v>
      </c>
      <c r="AJ375" s="35">
        <v>1974</v>
      </c>
      <c r="AK375" s="36">
        <v>129</v>
      </c>
      <c r="AL375" s="36">
        <v>154</v>
      </c>
    </row>
    <row r="376">
      <c r="A376" s="15"/>
      <c r="B376" s="16" t="s">
        <v>62</v>
      </c>
      <c r="C376" s="17" t="s">
        <v>67</v>
      </c>
      <c r="D376" s="18">
        <f t="shared" si="422"/>
      </c>
      <c r="E376" s="19">
        <v>153.12</v>
      </c>
      <c r="F376" s="20">
        <v>1369.69</v>
      </c>
      <c r="G376" s="20">
        <v>0</v>
      </c>
      <c r="H376" s="20">
        <v>0</v>
      </c>
      <c r="I376" s="20">
        <f t="shared" si="513"/>
      </c>
      <c r="J376" s="21">
        <v>0</v>
      </c>
      <c r="K376" s="22">
        <f t="shared" si="604"/>
      </c>
      <c r="L376" s="22">
        <f t="shared" si="274"/>
      </c>
      <c r="M376" s="23">
        <f t="shared" si="309"/>
      </c>
      <c r="N376" s="24">
        <f t="shared" si="328"/>
      </c>
      <c r="O376" s="25">
        <f t="shared" si="347"/>
      </c>
      <c r="P376" s="26">
        <f t="shared" si="32"/>
      </c>
      <c r="Q376" s="26">
        <f t="shared" si="51"/>
      </c>
      <c r="R376" s="26">
        <f t="shared" si="70"/>
      </c>
      <c r="S376" s="27">
        <f t="shared" si="89"/>
      </c>
      <c r="T376" s="28">
        <f t="shared" si="639"/>
      </c>
      <c r="U376" s="26">
        <f t="shared" si="677"/>
      </c>
      <c r="V376" s="29">
        <f t="shared" si="658"/>
      </c>
      <c r="W376" s="29">
        <f t="shared" si="696"/>
      </c>
      <c r="X376" s="26">
        <f t="shared" si="13"/>
      </c>
      <c r="Y376" s="30">
        <f t="shared" si="164"/>
      </c>
      <c r="Z376" s="30">
        <v>1</v>
      </c>
      <c r="AA376" s="30">
        <v>1</v>
      </c>
      <c r="AB376" s="31">
        <v>1205.2799999999997</v>
      </c>
      <c r="AC376" s="31">
        <v>0</v>
      </c>
      <c r="AD376" s="27">
        <f t="shared" si="199"/>
      </c>
      <c r="AE376" s="32" t="s">
        <v>41</v>
      </c>
      <c r="AF376" s="33" t="s">
        <v>56</v>
      </c>
      <c r="AG376" s="34">
        <v>1</v>
      </c>
      <c r="AH376" s="35">
        <v>23694</v>
      </c>
      <c r="AI376" s="35">
        <v>772</v>
      </c>
      <c r="AJ376" s="35">
        <v>854</v>
      </c>
      <c r="AK376" s="34">
        <v>63</v>
      </c>
      <c r="AL376" s="34">
        <v>59</v>
      </c>
    </row>
    <row r="377">
      <c r="A377" s="15"/>
      <c r="B377" s="38" t="s">
        <v>47</v>
      </c>
      <c r="C377" s="39">
        <v>4</v>
      </c>
      <c r="D377" s="40">
        <f>SUM(D373:D376)</f>
      </c>
      <c r="E377" s="40">
        <f>SUM(E373:E376)</f>
      </c>
      <c r="F377" s="40">
        <f>SUM(F373:F376)</f>
      </c>
      <c r="G377" s="40">
        <f>SUM(G373:G376)</f>
      </c>
      <c r="H377" s="40">
        <f>SUM(H373:H376)</f>
      </c>
      <c r="I377" s="40">
        <f>SUM(I373:I376)</f>
      </c>
      <c r="J377" s="40">
        <f>SUM(J373:J376)</f>
      </c>
      <c r="K377" s="40">
        <f>SUM(K373:K376)</f>
      </c>
      <c r="L377" s="40">
        <f>SUM(L373:L376)</f>
      </c>
      <c r="M377" s="41">
        <f t="shared" si="309"/>
      </c>
      <c r="N377" s="42">
        <f t="shared" si="328"/>
      </c>
      <c r="O377" s="42">
        <f t="shared" si="347"/>
      </c>
      <c r="P377" s="43">
        <f t="shared" si="32"/>
      </c>
      <c r="Q377" s="43">
        <f t="shared" si="51"/>
      </c>
      <c r="R377" s="43">
        <f t="shared" si="70"/>
      </c>
      <c r="S377" s="44">
        <f t="shared" si="89"/>
      </c>
      <c r="T377" s="44">
        <f t="shared" si="639"/>
      </c>
      <c r="U377" s="43">
        <f t="shared" si="677"/>
      </c>
      <c r="V377" s="44">
        <f t="shared" si="658"/>
      </c>
      <c r="W377" s="44">
        <f t="shared" si="696"/>
      </c>
      <c r="X377" s="43">
        <f t="shared" si="13"/>
      </c>
      <c r="Y377" s="40">
        <f>SUM(Y373:Y376)</f>
      </c>
      <c r="Z377" s="40">
        <f>SUM(Z373:Z376)</f>
      </c>
      <c r="AA377" s="40">
        <f>SUM(AA373:AA376)</f>
      </c>
      <c r="AB377" s="40">
        <f>SUM(AB373:AB376)</f>
      </c>
      <c r="AC377" s="40">
        <f>SUM(AC373:AC376)</f>
      </c>
      <c r="AD377" s="59">
        <f t="shared" si="199"/>
      </c>
      <c r="AE377" s="46"/>
      <c r="AF377" s="47"/>
      <c r="AG377" s="40">
        <f>SUM(AG373:AG376)</f>
      </c>
      <c r="AH377" s="40">
        <f>SUM(AH373:AH376)</f>
      </c>
      <c r="AI377" s="40">
        <f>SUM(AI373:AI376)</f>
      </c>
      <c r="AJ377" s="40">
        <f>SUM(AJ373:AJ376)</f>
      </c>
      <c r="AK377" s="40">
        <f>SUM(AK373:AK376)</f>
      </c>
      <c r="AL377" s="40">
        <f>SUM(AL373:AL376)</f>
      </c>
    </row>
    <row r="378">
      <c r="A378" s="15"/>
      <c r="B378" s="60" t="s">
        <v>47</v>
      </c>
      <c r="C378" s="61">
        <f>C358+C363+C367+C372+C377</f>
      </c>
      <c r="D378" s="62">
        <f>D358+D363+D367+D372+D377</f>
      </c>
      <c r="E378" s="61">
        <f>E358+E363+E367+E372+E377</f>
      </c>
      <c r="F378" s="61">
        <f>F358+F363+F367+F372+F377</f>
      </c>
      <c r="G378" s="61">
        <f>G358+G363+G367+G372+G377</f>
      </c>
      <c r="H378" s="61">
        <f>H358+H363+H367+H372+H377</f>
      </c>
      <c r="I378" s="62">
        <f>I358+I363+I367+I372+I377</f>
      </c>
      <c r="J378" s="61">
        <f>J358+J363+J367+J372+J377</f>
      </c>
      <c r="K378" s="61">
        <f>K358+K363+K367+K372+K377</f>
      </c>
      <c r="L378" s="61">
        <f>L358+L363+L367+L372+L377</f>
      </c>
      <c r="M378" s="63">
        <f t="shared" si="309"/>
      </c>
      <c r="N378" s="63">
        <f t="shared" si="328"/>
      </c>
      <c r="O378" s="63">
        <f t="shared" si="347"/>
      </c>
      <c r="P378" s="63">
        <f t="shared" si="32"/>
      </c>
      <c r="Q378" s="63">
        <f t="shared" si="51"/>
      </c>
      <c r="R378" s="63">
        <f t="shared" si="70"/>
      </c>
      <c r="S378" s="64">
        <f t="shared" si="89"/>
      </c>
      <c r="T378" s="64">
        <f t="shared" si="639"/>
      </c>
      <c r="U378" s="63">
        <f t="shared" si="677"/>
      </c>
      <c r="V378" s="64">
        <f t="shared" si="658"/>
      </c>
      <c r="W378" s="64">
        <f t="shared" si="696"/>
      </c>
      <c r="X378" s="63">
        <f t="shared" si="13"/>
      </c>
      <c r="Y378" s="61">
        <f>Y358+Y363+Y367+Y372+Y377</f>
      </c>
      <c r="Z378" s="61">
        <f>Z358+Z363+Z367+Z372+Z377</f>
      </c>
      <c r="AA378" s="62">
        <f>AA358+AA363+AA367+AA372+AA377</f>
      </c>
      <c r="AB378" s="61">
        <f>AB358+AB363+AB367+AB372+AB377</f>
      </c>
      <c r="AC378" s="65">
        <f>AC358+AC363+AC367+AC372+AC377</f>
      </c>
      <c r="AD378" s="66">
        <f t="shared" si="199"/>
      </c>
      <c r="AE378" s="67"/>
      <c r="AF378" s="60"/>
      <c r="AG378" s="61">
        <f>AG358+AG363+AG367+AG372+AG377</f>
      </c>
      <c r="AH378" s="61">
        <f>AH358+AH363+AH367+AH372+AH377</f>
      </c>
      <c r="AI378" s="61">
        <f>AI358+AI363+AI367+AI372+AI377</f>
      </c>
      <c r="AJ378" s="61">
        <f>AJ358+AJ363+AJ367+AJ372+AJ377</f>
      </c>
      <c r="AK378" s="61">
        <f>AK358+AK363+AK367+AK372+AK377</f>
      </c>
      <c r="AL378" s="61">
        <f>AL358+AL363+AL367+AL372+AL377</f>
      </c>
    </row>
    <row r="379">
      <c r="A379" s="1" t="s">
        <v>1</v>
      </c>
      <c r="B379" s="2" t="s">
        <v>2</v>
      </c>
      <c r="C379" s="2" t="s">
        <v>3</v>
      </c>
      <c r="D379" s="3" t="s">
        <v>4</v>
      </c>
      <c r="E379" s="2" t="s">
        <v>5</v>
      </c>
      <c r="F379" s="2" t="s">
        <v>6</v>
      </c>
      <c r="G379" s="4" t="s">
        <v>7</v>
      </c>
      <c r="H379" s="4" t="s">
        <v>8</v>
      </c>
      <c r="I379" s="3" t="s">
        <v>9</v>
      </c>
      <c r="J379" s="5" t="s">
        <v>10</v>
      </c>
      <c r="K379" s="6" t="s">
        <v>11</v>
      </c>
      <c r="L379" s="6" t="s">
        <v>12</v>
      </c>
      <c r="M379" s="7" t="s">
        <v>13</v>
      </c>
      <c r="N379" s="6" t="s">
        <v>14</v>
      </c>
      <c r="O379" s="2" t="s">
        <v>15</v>
      </c>
      <c r="P379" s="7" t="s">
        <v>16</v>
      </c>
      <c r="Q379" s="8" t="s">
        <v>17</v>
      </c>
      <c r="R379" s="8" t="s">
        <v>18</v>
      </c>
      <c r="S379" s="3" t="s">
        <v>19</v>
      </c>
      <c r="T379" s="9" t="s">
        <v>20</v>
      </c>
      <c r="U379" s="7" t="s">
        <v>21</v>
      </c>
      <c r="V379" s="10" t="s">
        <v>22</v>
      </c>
      <c r="W379" s="11" t="s">
        <v>23</v>
      </c>
      <c r="X379" s="7" t="s">
        <v>24</v>
      </c>
      <c r="Y379" s="12" t="s">
        <v>25</v>
      </c>
      <c r="Z379" s="13" t="s">
        <v>26</v>
      </c>
      <c r="AA379" s="12" t="s">
        <v>27</v>
      </c>
      <c r="AB379" s="14" t="s">
        <v>28</v>
      </c>
      <c r="AC379" s="14" t="s">
        <v>29</v>
      </c>
      <c r="AD379" s="6" t="s">
        <v>30</v>
      </c>
      <c r="AE379" s="5" t="s">
        <v>31</v>
      </c>
      <c r="AF379" s="6" t="s">
        <v>32</v>
      </c>
      <c r="AG379" s="5" t="s">
        <v>33</v>
      </c>
      <c r="AH379" s="5" t="s">
        <v>34</v>
      </c>
      <c r="AI379" s="6" t="s">
        <v>35</v>
      </c>
      <c r="AJ379" s="5" t="s">
        <v>36</v>
      </c>
      <c r="AK379" s="6" t="s">
        <v>37</v>
      </c>
      <c r="AL379" s="5" t="s">
        <v>38</v>
      </c>
    </row>
    <row r="380">
      <c r="A380" s="15">
        <v>46310</v>
      </c>
      <c r="B380" s="16" t="s">
        <v>73</v>
      </c>
      <c r="C380" s="17" t="s">
        <v>40</v>
      </c>
      <c r="D380" s="18">
        <f t="shared" ref="D380:D384" si="423">E380+F380+G380+H380</f>
      </c>
      <c r="E380" s="19">
        <v>780.37</v>
      </c>
      <c r="F380" s="20">
        <v>4464.14</v>
      </c>
      <c r="G380" s="20">
        <v>0</v>
      </c>
      <c r="H380" s="20">
        <v>0</v>
      </c>
      <c r="I380" s="20">
        <f t="shared" ref="I380:I384" si="514">AB380+AC380</f>
      </c>
      <c r="J380" s="21">
        <f>4725+3406.32</f>
      </c>
      <c r="K380" s="22">
        <f t="shared" ref="K380:K384" si="605">I380-J380</f>
      </c>
      <c r="L380" s="22">
        <f t="shared" ref="L380:L384" si="275">(I380-AC380)/12+AC380</f>
      </c>
      <c r="M380" s="23">
        <f t="shared" ref="M380:M405" si="310">I380/D380</f>
      </c>
      <c r="N380" s="24">
        <f t="shared" ref="N380:N405" si="329">(I380-J380)/D380</f>
      </c>
      <c r="O380" s="25">
        <f t="shared" ref="O380:O405" si="348">(AC380+AB380/12)/D380</f>
      </c>
      <c r="P380" s="26">
        <f t="shared" ref="P380:P405" si="33">I380/AA380</f>
      </c>
      <c r="Q380" s="26">
        <f t="shared" ref="Q380:Q405" si="52">D380/AA380</f>
      </c>
      <c r="R380" s="26">
        <f t="shared" ref="R380:R405" si="71">D380/AG380</f>
      </c>
      <c r="S380" s="27">
        <f t="shared" ref="S380:S405" si="90">AA380/Y380</f>
      </c>
      <c r="T380" s="28">
        <f t="shared" ref="T380:T405" si="640">AI380/AH380</f>
      </c>
      <c r="U380" s="26">
        <f t="shared" ref="U380:U405" si="678">D380/AJ380</f>
      </c>
      <c r="V380" s="29">
        <f t="shared" ref="V380:V405" si="659">AK380/AJ380</f>
      </c>
      <c r="W380" s="29">
        <f t="shared" ref="W380:W405" si="697">AL380/AJ380</f>
      </c>
      <c r="X380" s="26">
        <f t="shared" ref="X380:X405" si="14">D380/AL380</f>
      </c>
      <c r="Y380" s="30">
        <f t="shared" ref="Y380:Y384" si="165">Z380+AA380</f>
      </c>
      <c r="Z380" s="30">
        <v>3</v>
      </c>
      <c r="AA380" s="30">
        <v>5</v>
      </c>
      <c r="AB380" s="31">
        <v>17547.84</v>
      </c>
      <c r="AC380" s="31">
        <v>0</v>
      </c>
      <c r="AD380" s="27">
        <f t="shared" ref="AD380:AD405" si="200">AC380/I380</f>
      </c>
      <c r="AE380" s="32" t="s">
        <v>41</v>
      </c>
      <c r="AF380" s="33" t="s">
        <v>72</v>
      </c>
      <c r="AG380" s="34">
        <v>5</v>
      </c>
      <c r="AH380" s="34">
        <v>86893</v>
      </c>
      <c r="AI380" s="35">
        <v>1819</v>
      </c>
      <c r="AJ380" s="35">
        <v>1957</v>
      </c>
      <c r="AK380" s="34">
        <v>202</v>
      </c>
      <c r="AL380" s="36">
        <v>205</v>
      </c>
    </row>
    <row r="381">
      <c r="A381" s="15"/>
      <c r="B381" s="16" t="s">
        <v>73</v>
      </c>
      <c r="C381" s="17" t="s">
        <v>43</v>
      </c>
      <c r="D381" s="18">
        <f t="shared" si="423"/>
      </c>
      <c r="E381" s="17">
        <v>726.63</v>
      </c>
      <c r="F381" s="20">
        <v>7330.4</v>
      </c>
      <c r="G381" s="20">
        <v>0</v>
      </c>
      <c r="H381" s="20">
        <v>0</v>
      </c>
      <c r="I381" s="20">
        <f t="shared" si="514"/>
      </c>
      <c r="J381" s="21">
        <v>2703.24</v>
      </c>
      <c r="K381" s="22">
        <f t="shared" si="605"/>
      </c>
      <c r="L381" s="22">
        <f t="shared" si="275"/>
      </c>
      <c r="M381" s="23">
        <f t="shared" si="310"/>
      </c>
      <c r="N381" s="24">
        <f t="shared" si="329"/>
      </c>
      <c r="O381" s="25">
        <f t="shared" si="348"/>
      </c>
      <c r="P381" s="26">
        <f t="shared" si="33"/>
      </c>
      <c r="Q381" s="26">
        <f t="shared" si="52"/>
      </c>
      <c r="R381" s="26">
        <f t="shared" si="71"/>
      </c>
      <c r="S381" s="27">
        <f t="shared" si="90"/>
      </c>
      <c r="T381" s="28">
        <f t="shared" si="640"/>
      </c>
      <c r="U381" s="26">
        <f t="shared" si="678"/>
      </c>
      <c r="V381" s="29">
        <f t="shared" si="659"/>
      </c>
      <c r="W381" s="29">
        <f t="shared" si="697"/>
      </c>
      <c r="X381" s="26">
        <f t="shared" si="14"/>
      </c>
      <c r="Y381" s="30">
        <f t="shared" si="165"/>
      </c>
      <c r="Z381" s="30">
        <v>5</v>
      </c>
      <c r="AA381" s="30">
        <v>4</v>
      </c>
      <c r="AB381" s="31">
        <v>8333.279999999999</v>
      </c>
      <c r="AC381" s="31">
        <v>0</v>
      </c>
      <c r="AD381" s="27">
        <f t="shared" si="200"/>
      </c>
      <c r="AE381" s="32" t="s">
        <v>41</v>
      </c>
      <c r="AF381" s="33" t="s">
        <v>72</v>
      </c>
      <c r="AG381" s="34">
        <v>4</v>
      </c>
      <c r="AH381" s="35">
        <v>99182</v>
      </c>
      <c r="AI381" s="35">
        <v>1479</v>
      </c>
      <c r="AJ381" s="35">
        <v>1636</v>
      </c>
      <c r="AK381" s="36">
        <v>211</v>
      </c>
      <c r="AL381" s="36">
        <v>237</v>
      </c>
    </row>
    <row r="382">
      <c r="A382" s="15"/>
      <c r="B382" s="16" t="s">
        <v>73</v>
      </c>
      <c r="C382" s="17" t="s">
        <v>44</v>
      </c>
      <c r="D382" s="18">
        <f t="shared" si="423"/>
      </c>
      <c r="E382" s="17">
        <v>312.85</v>
      </c>
      <c r="F382" s="20">
        <v>5627.95</v>
      </c>
      <c r="G382" s="20">
        <v>0</v>
      </c>
      <c r="H382" s="20">
        <v>0</v>
      </c>
      <c r="I382" s="20">
        <f t="shared" si="514"/>
      </c>
      <c r="J382" s="21">
        <v>351</v>
      </c>
      <c r="K382" s="22">
        <f t="shared" si="605"/>
      </c>
      <c r="L382" s="22">
        <f t="shared" si="275"/>
      </c>
      <c r="M382" s="23">
        <f t="shared" si="310"/>
      </c>
      <c r="N382" s="24">
        <f t="shared" si="329"/>
      </c>
      <c r="O382" s="25">
        <f t="shared" si="348"/>
      </c>
      <c r="P382" s="26">
        <f t="shared" si="33"/>
      </c>
      <c r="Q382" s="26">
        <f t="shared" si="52"/>
      </c>
      <c r="R382" s="26">
        <f t="shared" si="71"/>
      </c>
      <c r="S382" s="27">
        <f t="shared" si="90"/>
      </c>
      <c r="T382" s="28">
        <f t="shared" si="640"/>
      </c>
      <c r="U382" s="26">
        <f t="shared" si="678"/>
      </c>
      <c r="V382" s="29">
        <f t="shared" si="659"/>
      </c>
      <c r="W382" s="29">
        <f t="shared" si="697"/>
      </c>
      <c r="X382" s="26">
        <f t="shared" si="14"/>
      </c>
      <c r="Y382" s="30">
        <f t="shared" si="165"/>
      </c>
      <c r="Z382" s="30">
        <v>5</v>
      </c>
      <c r="AA382" s="30">
        <v>2</v>
      </c>
      <c r="AB382" s="31">
        <v>2078.279999999999</v>
      </c>
      <c r="AC382" s="31">
        <v>0</v>
      </c>
      <c r="AD382" s="27">
        <f t="shared" si="200"/>
      </c>
      <c r="AE382" s="32" t="s">
        <v>41</v>
      </c>
      <c r="AF382" s="33" t="s">
        <v>72</v>
      </c>
      <c r="AG382" s="36">
        <v>2</v>
      </c>
      <c r="AH382" s="35">
        <v>71004</v>
      </c>
      <c r="AI382" s="35">
        <v>862</v>
      </c>
      <c r="AJ382" s="35">
        <v>976</v>
      </c>
      <c r="AK382" s="36">
        <v>129</v>
      </c>
      <c r="AL382" s="36">
        <v>178</v>
      </c>
    </row>
    <row r="383">
      <c r="A383" s="15"/>
      <c r="B383" s="16" t="s">
        <v>73</v>
      </c>
      <c r="C383" s="17" t="s">
        <v>45</v>
      </c>
      <c r="D383" s="18">
        <f t="shared" si="423"/>
      </c>
      <c r="E383" s="17">
        <v>276.97</v>
      </c>
      <c r="F383" s="20">
        <v>3147.35</v>
      </c>
      <c r="G383" s="20">
        <v>0</v>
      </c>
      <c r="H383" s="20">
        <v>0</v>
      </c>
      <c r="I383" s="37">
        <f t="shared" si="514"/>
      </c>
      <c r="J383" s="21">
        <v>1871.64</v>
      </c>
      <c r="K383" s="22">
        <f t="shared" si="605"/>
      </c>
      <c r="L383" s="22">
        <f t="shared" si="275"/>
      </c>
      <c r="M383" s="23">
        <f t="shared" si="310"/>
      </c>
      <c r="N383" s="24">
        <f t="shared" si="329"/>
      </c>
      <c r="O383" s="25">
        <f t="shared" si="348"/>
      </c>
      <c r="P383" s="26">
        <f t="shared" si="33"/>
      </c>
      <c r="Q383" s="26">
        <f t="shared" si="52"/>
      </c>
      <c r="R383" s="26">
        <f t="shared" si="71"/>
      </c>
      <c r="S383" s="27">
        <f t="shared" si="90"/>
      </c>
      <c r="T383" s="28">
        <f t="shared" si="640"/>
      </c>
      <c r="U383" s="26">
        <f t="shared" si="678"/>
      </c>
      <c r="V383" s="29">
        <f t="shared" si="659"/>
      </c>
      <c r="W383" s="29">
        <f t="shared" si="697"/>
      </c>
      <c r="X383" s="26">
        <f t="shared" si="14"/>
      </c>
      <c r="Y383" s="30">
        <f t="shared" si="165"/>
      </c>
      <c r="Z383" s="30">
        <v>0</v>
      </c>
      <c r="AA383" s="30">
        <v>2</v>
      </c>
      <c r="AB383" s="31">
        <v>2287.4400000000023</v>
      </c>
      <c r="AC383" s="31">
        <v>0</v>
      </c>
      <c r="AD383" s="27">
        <f t="shared" si="200"/>
      </c>
      <c r="AE383" s="32" t="s">
        <v>41</v>
      </c>
      <c r="AF383" s="33" t="s">
        <v>72</v>
      </c>
      <c r="AG383" s="34">
        <v>1</v>
      </c>
      <c r="AH383" s="35">
        <v>26343</v>
      </c>
      <c r="AI383" s="35">
        <v>448</v>
      </c>
      <c r="AJ383" s="35">
        <v>483</v>
      </c>
      <c r="AK383" s="36">
        <v>79</v>
      </c>
      <c r="AL383" s="36">
        <v>93</v>
      </c>
    </row>
    <row r="384">
      <c r="A384" s="15"/>
      <c r="B384" s="16" t="s">
        <v>73</v>
      </c>
      <c r="C384" s="17" t="s">
        <v>46</v>
      </c>
      <c r="D384" s="18">
        <f t="shared" si="423"/>
      </c>
      <c r="E384" s="17">
        <v>423.73</v>
      </c>
      <c r="F384" s="20">
        <v>3118.21</v>
      </c>
      <c r="G384" s="20">
        <v>0</v>
      </c>
      <c r="H384" s="20">
        <v>0</v>
      </c>
      <c r="I384" s="20">
        <f t="shared" si="514"/>
      </c>
      <c r="J384" s="21">
        <f>9843.12+546.48</f>
      </c>
      <c r="K384" s="22">
        <f t="shared" si="605"/>
      </c>
      <c r="L384" s="22">
        <f t="shared" si="275"/>
      </c>
      <c r="M384" s="23">
        <f t="shared" si="310"/>
      </c>
      <c r="N384" s="24">
        <f t="shared" si="329"/>
      </c>
      <c r="O384" s="25">
        <f t="shared" si="348"/>
      </c>
      <c r="P384" s="26">
        <f t="shared" si="33"/>
      </c>
      <c r="Q384" s="26">
        <f t="shared" si="52"/>
      </c>
      <c r="R384" s="26">
        <f t="shared" si="71"/>
      </c>
      <c r="S384" s="27">
        <f t="shared" si="90"/>
      </c>
      <c r="T384" s="28">
        <f t="shared" si="640"/>
      </c>
      <c r="U384" s="26">
        <f t="shared" si="678"/>
      </c>
      <c r="V384" s="29">
        <f t="shared" si="659"/>
      </c>
      <c r="W384" s="29">
        <f t="shared" si="697"/>
      </c>
      <c r="X384" s="26">
        <f t="shared" si="14"/>
      </c>
      <c r="Y384" s="30">
        <f t="shared" si="165"/>
      </c>
      <c r="Z384" s="30">
        <v>3</v>
      </c>
      <c r="AA384" s="30">
        <v>7</v>
      </c>
      <c r="AB384" s="31">
        <v>13259.16</v>
      </c>
      <c r="AC384" s="31">
        <v>0</v>
      </c>
      <c r="AD384" s="27">
        <f t="shared" si="200"/>
      </c>
      <c r="AE384" s="32" t="s">
        <v>41</v>
      </c>
      <c r="AF384" s="33" t="s">
        <v>72</v>
      </c>
      <c r="AG384" s="34">
        <v>3</v>
      </c>
      <c r="AH384" s="35">
        <v>26526</v>
      </c>
      <c r="AI384" s="35">
        <v>651</v>
      </c>
      <c r="AJ384" s="35">
        <v>733</v>
      </c>
      <c r="AK384" s="34">
        <v>99</v>
      </c>
      <c r="AL384" s="34">
        <v>120</v>
      </c>
    </row>
    <row r="385">
      <c r="A385" s="15"/>
      <c r="B385" s="38" t="s">
        <v>47</v>
      </c>
      <c r="C385" s="39">
        <v>5</v>
      </c>
      <c r="D385" s="40">
        <f>SUM(D380:D384)</f>
      </c>
      <c r="E385" s="40">
        <f>SUM(E380:E384)</f>
      </c>
      <c r="F385" s="40">
        <f>SUM(F380:F384)</f>
      </c>
      <c r="G385" s="40">
        <f>SUM(G380:G384)</f>
      </c>
      <c r="H385" s="40">
        <f>SUM(H380:H384)</f>
      </c>
      <c r="I385" s="40">
        <f>SUM(I380:I384)</f>
      </c>
      <c r="J385" s="40">
        <f>SUM(J380:J384)</f>
      </c>
      <c r="K385" s="40">
        <f>SUM(K380:K384)</f>
      </c>
      <c r="L385" s="40">
        <f>SUM(L380:L384)</f>
      </c>
      <c r="M385" s="41">
        <f t="shared" si="310"/>
      </c>
      <c r="N385" s="42">
        <f t="shared" si="329"/>
      </c>
      <c r="O385" s="42">
        <f t="shared" si="348"/>
      </c>
      <c r="P385" s="43">
        <f t="shared" si="33"/>
      </c>
      <c r="Q385" s="43">
        <f t="shared" si="52"/>
      </c>
      <c r="R385" s="43">
        <f t="shared" si="71"/>
      </c>
      <c r="S385" s="44">
        <f t="shared" si="90"/>
      </c>
      <c r="T385" s="44">
        <f t="shared" si="640"/>
      </c>
      <c r="U385" s="43">
        <f t="shared" si="678"/>
      </c>
      <c r="V385" s="44">
        <f t="shared" si="659"/>
      </c>
      <c r="W385" s="44">
        <f t="shared" si="697"/>
      </c>
      <c r="X385" s="43">
        <f t="shared" si="14"/>
      </c>
      <c r="Y385" s="40">
        <f>SUM(Y380:Y384)</f>
      </c>
      <c r="Z385" s="40">
        <f>SUM(Z380:Z384)</f>
      </c>
      <c r="AA385" s="40">
        <f>SUM(AA380:AA384)</f>
      </c>
      <c r="AB385" s="40">
        <f>SUM(AB380:AB384)</f>
      </c>
      <c r="AC385" s="40">
        <f>SUM(AC380:AC384)</f>
      </c>
      <c r="AD385" s="45">
        <f t="shared" si="200"/>
      </c>
      <c r="AE385" s="46"/>
      <c r="AF385" s="47"/>
      <c r="AG385" s="40">
        <f>SUM(AG380:AG384)</f>
      </c>
      <c r="AH385" s="40">
        <f>SUM(AH380:AH384)</f>
      </c>
      <c r="AI385" s="40">
        <f>SUM(AI380:AI384)</f>
      </c>
      <c r="AJ385" s="40">
        <f>SUM(AJ380:AJ384)</f>
      </c>
      <c r="AK385" s="40">
        <f>SUM(AK380:AK384)</f>
      </c>
      <c r="AL385" s="40">
        <f>SUM(AL380:AL384)</f>
      </c>
    </row>
    <row r="386">
      <c r="A386" s="15"/>
      <c r="B386" s="16" t="s">
        <v>48</v>
      </c>
      <c r="C386" s="17" t="s">
        <v>49</v>
      </c>
      <c r="D386" s="18">
        <f t="shared" ref="D386:D389" si="424">E386+F386+G386+H386</f>
      </c>
      <c r="E386" s="19">
        <v>556.16</v>
      </c>
      <c r="F386" s="20">
        <v>3168.86</v>
      </c>
      <c r="G386" s="20">
        <v>0</v>
      </c>
      <c r="H386" s="20">
        <v>0</v>
      </c>
      <c r="I386" s="20">
        <f t="shared" ref="I386:I389" si="515">AB386+AC386</f>
      </c>
      <c r="J386" s="21">
        <v>590.76</v>
      </c>
      <c r="K386" s="22">
        <f t="shared" ref="K386:K389" si="606">I386-J386</f>
      </c>
      <c r="L386" s="22">
        <f t="shared" ref="L386:L389" si="276">(I386-AC386)/12+AC386</f>
      </c>
      <c r="M386" s="23">
        <f t="shared" si="310"/>
      </c>
      <c r="N386" s="24">
        <f t="shared" si="329"/>
      </c>
      <c r="O386" s="25">
        <f t="shared" si="348"/>
      </c>
      <c r="P386" s="26">
        <f t="shared" si="33"/>
      </c>
      <c r="Q386" s="26">
        <f t="shared" si="52"/>
      </c>
      <c r="R386" s="26">
        <f t="shared" si="71"/>
      </c>
      <c r="S386" s="27">
        <f t="shared" si="90"/>
      </c>
      <c r="T386" s="28">
        <f t="shared" si="640"/>
      </c>
      <c r="U386" s="26">
        <f t="shared" si="678"/>
      </c>
      <c r="V386" s="29">
        <f t="shared" si="659"/>
      </c>
      <c r="W386" s="29">
        <f t="shared" si="697"/>
      </c>
      <c r="X386" s="26">
        <f t="shared" si="14"/>
      </c>
      <c r="Y386" s="30">
        <f t="shared" ref="Y386:Y389" si="166">Z386+AA386</f>
      </c>
      <c r="Z386" s="30">
        <v>1</v>
      </c>
      <c r="AA386" s="30">
        <v>4</v>
      </c>
      <c r="AB386" s="31">
        <v>7036.199999999997</v>
      </c>
      <c r="AC386" s="31">
        <v>0</v>
      </c>
      <c r="AD386" s="27">
        <f t="shared" si="200"/>
      </c>
      <c r="AE386" s="32" t="s">
        <v>41</v>
      </c>
      <c r="AF386" s="33" t="s">
        <v>72</v>
      </c>
      <c r="AG386" s="34">
        <v>4</v>
      </c>
      <c r="AH386" s="35">
        <v>27297</v>
      </c>
      <c r="AI386" s="35">
        <v>475</v>
      </c>
      <c r="AJ386" s="35">
        <v>558</v>
      </c>
      <c r="AK386" s="34">
        <v>86</v>
      </c>
      <c r="AL386" s="34">
        <v>104</v>
      </c>
    </row>
    <row r="387">
      <c r="A387" s="15"/>
      <c r="B387" s="16" t="s">
        <v>48</v>
      </c>
      <c r="C387" s="17" t="s">
        <v>50</v>
      </c>
      <c r="D387" s="18">
        <f t="shared" si="424"/>
      </c>
      <c r="E387" s="17">
        <v>421.14</v>
      </c>
      <c r="F387" s="20">
        <v>5019.64</v>
      </c>
      <c r="G387" s="20">
        <v>0</v>
      </c>
      <c r="H387" s="20">
        <v>0</v>
      </c>
      <c r="I387" s="20">
        <f t="shared" si="515"/>
      </c>
      <c r="J387" s="21">
        <v>1670.76</v>
      </c>
      <c r="K387" s="22">
        <f t="shared" si="606"/>
      </c>
      <c r="L387" s="22">
        <f t="shared" si="276"/>
      </c>
      <c r="M387" s="23">
        <f t="shared" si="310"/>
      </c>
      <c r="N387" s="24">
        <f t="shared" si="329"/>
      </c>
      <c r="O387" s="25">
        <f t="shared" si="348"/>
      </c>
      <c r="P387" s="26">
        <f t="shared" si="33"/>
      </c>
      <c r="Q387" s="26">
        <f t="shared" si="52"/>
      </c>
      <c r="R387" s="26">
        <f t="shared" si="71"/>
      </c>
      <c r="S387" s="27">
        <f t="shared" si="90"/>
      </c>
      <c r="T387" s="28">
        <f t="shared" si="640"/>
      </c>
      <c r="U387" s="26">
        <f t="shared" si="678"/>
      </c>
      <c r="V387" s="29">
        <f t="shared" si="659"/>
      </c>
      <c r="W387" s="29">
        <f t="shared" si="697"/>
      </c>
      <c r="X387" s="26">
        <f t="shared" si="14"/>
      </c>
      <c r="Y387" s="30">
        <f t="shared" si="166"/>
      </c>
      <c r="Z387" s="30">
        <v>5</v>
      </c>
      <c r="AA387" s="30">
        <v>3</v>
      </c>
      <c r="AB387" s="31">
        <v>12371.64</v>
      </c>
      <c r="AC387" s="31">
        <v>0</v>
      </c>
      <c r="AD387" s="27">
        <f t="shared" si="200"/>
      </c>
      <c r="AE387" s="32" t="s">
        <v>41</v>
      </c>
      <c r="AF387" s="33" t="s">
        <v>72</v>
      </c>
      <c r="AG387" s="34">
        <v>3</v>
      </c>
      <c r="AH387" s="35">
        <v>53032</v>
      </c>
      <c r="AI387" s="35">
        <v>714</v>
      </c>
      <c r="AJ387" s="35">
        <v>770</v>
      </c>
      <c r="AK387" s="36">
        <v>147</v>
      </c>
      <c r="AL387" s="36">
        <v>174</v>
      </c>
    </row>
    <row r="388">
      <c r="A388" s="15"/>
      <c r="B388" s="16" t="s">
        <v>48</v>
      </c>
      <c r="C388" s="17" t="s">
        <v>51</v>
      </c>
      <c r="D388" s="18">
        <f t="shared" si="424"/>
      </c>
      <c r="E388" s="17">
        <v>317.61</v>
      </c>
      <c r="F388" s="17">
        <v>3118.68</v>
      </c>
      <c r="G388" s="20">
        <v>0</v>
      </c>
      <c r="H388" s="20">
        <v>0</v>
      </c>
      <c r="I388" s="20">
        <f t="shared" si="515"/>
      </c>
      <c r="J388" s="21">
        <v>0</v>
      </c>
      <c r="K388" s="22">
        <f t="shared" si="606"/>
      </c>
      <c r="L388" s="22">
        <f t="shared" si="276"/>
      </c>
      <c r="M388" s="23">
        <f t="shared" si="310"/>
      </c>
      <c r="N388" s="24">
        <f t="shared" si="329"/>
      </c>
      <c r="O388" s="25">
        <f t="shared" si="348"/>
      </c>
      <c r="P388" s="26">
        <f t="shared" si="33"/>
      </c>
      <c r="Q388" s="26">
        <f t="shared" si="52"/>
      </c>
      <c r="R388" s="26">
        <f t="shared" si="71"/>
      </c>
      <c r="S388" s="27">
        <f t="shared" si="90"/>
      </c>
      <c r="T388" s="28">
        <f t="shared" si="640"/>
      </c>
      <c r="U388" s="26">
        <f t="shared" si="678"/>
      </c>
      <c r="V388" s="29">
        <f t="shared" si="659"/>
      </c>
      <c r="W388" s="29">
        <f t="shared" si="697"/>
      </c>
      <c r="X388" s="26">
        <f t="shared" si="14"/>
      </c>
      <c r="Y388" s="30">
        <f t="shared" si="166"/>
      </c>
      <c r="Z388" s="30">
        <v>3</v>
      </c>
      <c r="AA388" s="30">
        <v>5</v>
      </c>
      <c r="AB388" s="31">
        <v>6390.960000000006</v>
      </c>
      <c r="AC388" s="69">
        <v>0</v>
      </c>
      <c r="AD388" s="27">
        <f t="shared" si="200"/>
      </c>
      <c r="AE388" s="32" t="s">
        <v>41</v>
      </c>
      <c r="AF388" s="33" t="s">
        <v>72</v>
      </c>
      <c r="AG388" s="36">
        <v>2</v>
      </c>
      <c r="AH388" s="35">
        <v>34812</v>
      </c>
      <c r="AI388" s="35">
        <v>475</v>
      </c>
      <c r="AJ388" s="35">
        <v>511</v>
      </c>
      <c r="AK388" s="36">
        <v>101</v>
      </c>
      <c r="AL388" s="36">
        <v>127</v>
      </c>
    </row>
    <row r="389">
      <c r="A389" s="15"/>
      <c r="B389" s="16" t="s">
        <v>48</v>
      </c>
      <c r="C389" s="17" t="s">
        <v>52</v>
      </c>
      <c r="D389" s="18">
        <f t="shared" si="424"/>
      </c>
      <c r="E389" s="17">
        <v>320.87</v>
      </c>
      <c r="F389" s="20">
        <v>2220.82</v>
      </c>
      <c r="G389" s="20">
        <v>0</v>
      </c>
      <c r="H389" s="20">
        <v>0</v>
      </c>
      <c r="I389" s="20">
        <f t="shared" si="515"/>
      </c>
      <c r="J389" s="21">
        <v>3218.4</v>
      </c>
      <c r="K389" s="22">
        <f t="shared" si="606"/>
      </c>
      <c r="L389" s="22">
        <f t="shared" si="276"/>
      </c>
      <c r="M389" s="23">
        <f t="shared" si="310"/>
      </c>
      <c r="N389" s="24">
        <f t="shared" si="329"/>
      </c>
      <c r="O389" s="25">
        <f t="shared" si="348"/>
      </c>
      <c r="P389" s="26">
        <f t="shared" si="33"/>
      </c>
      <c r="Q389" s="26">
        <f t="shared" si="52"/>
      </c>
      <c r="R389" s="26">
        <f t="shared" si="71"/>
      </c>
      <c r="S389" s="27">
        <f t="shared" si="90"/>
      </c>
      <c r="T389" s="28">
        <f t="shared" si="640"/>
      </c>
      <c r="U389" s="26">
        <f t="shared" si="678"/>
      </c>
      <c r="V389" s="29">
        <f t="shared" si="659"/>
      </c>
      <c r="W389" s="29">
        <f t="shared" si="697"/>
      </c>
      <c r="X389" s="26">
        <f t="shared" si="14"/>
      </c>
      <c r="Y389" s="30">
        <f t="shared" si="166"/>
      </c>
      <c r="Z389" s="30">
        <v>0</v>
      </c>
      <c r="AA389" s="30">
        <v>3</v>
      </c>
      <c r="AB389" s="70">
        <v>6813.719999999987</v>
      </c>
      <c r="AC389" s="74">
        <v>0</v>
      </c>
      <c r="AD389" s="72">
        <f t="shared" si="200"/>
      </c>
      <c r="AE389" s="32" t="s">
        <v>41</v>
      </c>
      <c r="AF389" s="33" t="s">
        <v>72</v>
      </c>
      <c r="AG389" s="34">
        <v>2</v>
      </c>
      <c r="AH389" s="35">
        <v>24043</v>
      </c>
      <c r="AI389" s="35">
        <v>501</v>
      </c>
      <c r="AJ389" s="35">
        <v>574</v>
      </c>
      <c r="AK389" s="36">
        <v>71</v>
      </c>
      <c r="AL389" s="36">
        <v>112</v>
      </c>
    </row>
    <row r="390">
      <c r="A390" s="15"/>
      <c r="B390" s="38" t="s">
        <v>47</v>
      </c>
      <c r="C390" s="39">
        <v>4</v>
      </c>
      <c r="D390" s="40">
        <f>SUM(D386:D389)</f>
      </c>
      <c r="E390" s="40">
        <f>SUM(E386:E389)</f>
      </c>
      <c r="F390" s="40">
        <f>SUM(F386:F389)</f>
      </c>
      <c r="G390" s="40">
        <f>SUM(G386:G389)</f>
      </c>
      <c r="H390" s="40">
        <f>SUM(H386:H389)</f>
      </c>
      <c r="I390" s="40">
        <f>SUM(I386:I389)</f>
      </c>
      <c r="J390" s="40">
        <f>SUM(J386:J389)</f>
      </c>
      <c r="K390" s="40">
        <f>SUM(K386:K389)</f>
      </c>
      <c r="L390" s="40">
        <f>SUM(L386:L389)</f>
      </c>
      <c r="M390" s="41">
        <f t="shared" si="310"/>
      </c>
      <c r="N390" s="42">
        <f t="shared" si="329"/>
      </c>
      <c r="O390" s="42">
        <f t="shared" si="348"/>
      </c>
      <c r="P390" s="43">
        <f t="shared" si="33"/>
      </c>
      <c r="Q390" s="43">
        <f t="shared" si="52"/>
      </c>
      <c r="R390" s="43">
        <f t="shared" si="71"/>
      </c>
      <c r="S390" s="44">
        <f t="shared" si="90"/>
      </c>
      <c r="T390" s="44">
        <f t="shared" si="640"/>
      </c>
      <c r="U390" s="43">
        <f t="shared" si="678"/>
      </c>
      <c r="V390" s="44">
        <f t="shared" si="659"/>
      </c>
      <c r="W390" s="44">
        <f t="shared" si="697"/>
      </c>
      <c r="X390" s="43">
        <f t="shared" si="14"/>
      </c>
      <c r="Y390" s="40">
        <f>SUM(Y386:Y389)</f>
      </c>
      <c r="Z390" s="40">
        <f>SUM(Z386:Z389)</f>
      </c>
      <c r="AA390" s="40">
        <f>SUM(AA386:AA389)</f>
      </c>
      <c r="AB390" s="40">
        <f>SUM(AB386:AB389)</f>
      </c>
      <c r="AC390" s="40">
        <f>SUM(AC386:AC389)</f>
      </c>
      <c r="AD390" s="45">
        <f t="shared" si="200"/>
      </c>
      <c r="AE390" s="46"/>
      <c r="AF390" s="47"/>
      <c r="AG390" s="40">
        <f>SUM(AG386:AG389)</f>
      </c>
      <c r="AH390" s="40">
        <f>SUM(AH386:AH389)</f>
      </c>
      <c r="AI390" s="40">
        <f>SUM(AI386:AI389)</f>
      </c>
      <c r="AJ390" s="40">
        <f>SUM(AJ386:AJ389)</f>
      </c>
      <c r="AK390" s="40">
        <f>SUM(AK386:AK389)</f>
      </c>
      <c r="AL390" s="40">
        <f>SUM(AL386:AL389)</f>
      </c>
    </row>
    <row r="391">
      <c r="A391" s="15"/>
      <c r="B391" s="16" t="s">
        <v>53</v>
      </c>
      <c r="C391" s="17" t="s">
        <v>54</v>
      </c>
      <c r="D391" s="18">
        <f t="shared" ref="D391:D393" si="425">E391+F391+G391+H391</f>
      </c>
      <c r="E391" s="17">
        <v>453.1</v>
      </c>
      <c r="F391" s="49">
        <v>3094.01</v>
      </c>
      <c r="G391" s="20">
        <v>0</v>
      </c>
      <c r="H391" s="20">
        <v>0</v>
      </c>
      <c r="I391" s="50">
        <f t="shared" ref="I391:I393" si="516">AB391+AC391</f>
      </c>
      <c r="J391" s="51">
        <v>638.28</v>
      </c>
      <c r="K391" s="22">
        <f t="shared" ref="K391:K393" si="607">I391-J391</f>
      </c>
      <c r="L391" s="22">
        <f t="shared" ref="L391:L393" si="277">(I391-AC391)/12+AC391</f>
      </c>
      <c r="M391" s="23">
        <f t="shared" si="310"/>
      </c>
      <c r="N391" s="24">
        <f t="shared" si="329"/>
      </c>
      <c r="O391" s="25">
        <f t="shared" si="348"/>
      </c>
      <c r="P391" s="26">
        <f t="shared" si="33"/>
      </c>
      <c r="Q391" s="26">
        <f t="shared" si="52"/>
      </c>
      <c r="R391" s="26">
        <f t="shared" si="71"/>
      </c>
      <c r="S391" s="27">
        <f t="shared" si="90"/>
      </c>
      <c r="T391" s="28">
        <f t="shared" si="640"/>
      </c>
      <c r="U391" s="26">
        <f t="shared" si="678"/>
      </c>
      <c r="V391" s="29">
        <f t="shared" si="659"/>
      </c>
      <c r="W391" s="29">
        <f t="shared" si="697"/>
      </c>
      <c r="X391" s="26">
        <f t="shared" si="14"/>
      </c>
      <c r="Y391" s="30">
        <f t="shared" ref="Y391:Y393" si="167">Z391+AA391</f>
      </c>
      <c r="Z391" s="30">
        <v>4</v>
      </c>
      <c r="AA391" s="30">
        <v>4</v>
      </c>
      <c r="AB391" s="31">
        <v>2141.640000000014</v>
      </c>
      <c r="AC391" s="31">
        <v>0</v>
      </c>
      <c r="AD391" s="27">
        <f t="shared" si="200"/>
      </c>
      <c r="AE391" s="32" t="s">
        <v>41</v>
      </c>
      <c r="AF391" s="33" t="s">
        <v>72</v>
      </c>
      <c r="AG391" s="34">
        <v>4</v>
      </c>
      <c r="AH391" s="35">
        <v>31200</v>
      </c>
      <c r="AI391" s="35">
        <v>667</v>
      </c>
      <c r="AJ391" s="35">
        <v>727</v>
      </c>
      <c r="AK391" s="36">
        <v>121</v>
      </c>
      <c r="AL391" s="36">
        <v>112</v>
      </c>
    </row>
    <row r="392">
      <c r="A392" s="15"/>
      <c r="B392" s="16" t="s">
        <v>53</v>
      </c>
      <c r="C392" s="17" t="s">
        <v>55</v>
      </c>
      <c r="D392" s="18">
        <f t="shared" si="425"/>
      </c>
      <c r="E392" s="17">
        <v>372.34</v>
      </c>
      <c r="F392" s="49">
        <v>5373.5</v>
      </c>
      <c r="G392" s="20">
        <v>0</v>
      </c>
      <c r="H392" s="20">
        <v>0</v>
      </c>
      <c r="I392" s="50">
        <f t="shared" si="516"/>
      </c>
      <c r="J392" s="51">
        <v>1341.36</v>
      </c>
      <c r="K392" s="22">
        <f t="shared" si="607"/>
      </c>
      <c r="L392" s="22">
        <f t="shared" si="277"/>
      </c>
      <c r="M392" s="23">
        <f t="shared" si="310"/>
      </c>
      <c r="N392" s="24">
        <f t="shared" si="329"/>
      </c>
      <c r="O392" s="25">
        <f t="shared" si="348"/>
      </c>
      <c r="P392" s="26">
        <f t="shared" si="33"/>
      </c>
      <c r="Q392" s="26">
        <f t="shared" si="52"/>
      </c>
      <c r="R392" s="26">
        <f t="shared" si="71"/>
      </c>
      <c r="S392" s="27">
        <f t="shared" si="90"/>
      </c>
      <c r="T392" s="28">
        <f t="shared" si="640"/>
      </c>
      <c r="U392" s="26">
        <f t="shared" si="678"/>
      </c>
      <c r="V392" s="29">
        <f t="shared" si="659"/>
      </c>
      <c r="W392" s="29">
        <f t="shared" si="697"/>
      </c>
      <c r="X392" s="26">
        <f t="shared" si="14"/>
      </c>
      <c r="Y392" s="30">
        <f t="shared" si="167"/>
      </c>
      <c r="Z392" s="30">
        <v>1</v>
      </c>
      <c r="AA392" s="30">
        <v>8</v>
      </c>
      <c r="AB392" s="31">
        <v>8802</v>
      </c>
      <c r="AC392" s="31">
        <v>663</v>
      </c>
      <c r="AD392" s="27">
        <f t="shared" si="200"/>
      </c>
      <c r="AE392" s="32" t="s">
        <v>41</v>
      </c>
      <c r="AF392" s="33" t="s">
        <v>56</v>
      </c>
      <c r="AG392" s="36">
        <v>8</v>
      </c>
      <c r="AH392" s="35">
        <v>58965</v>
      </c>
      <c r="AI392" s="35">
        <v>778</v>
      </c>
      <c r="AJ392" s="35">
        <v>803</v>
      </c>
      <c r="AK392" s="36">
        <v>158</v>
      </c>
      <c r="AL392" s="36">
        <v>200</v>
      </c>
    </row>
    <row r="393">
      <c r="A393" s="15"/>
      <c r="B393" s="16" t="s">
        <v>53</v>
      </c>
      <c r="C393" s="17" t="s">
        <v>58</v>
      </c>
      <c r="D393" s="18">
        <f t="shared" si="425"/>
      </c>
      <c r="E393" s="52">
        <v>372.67</v>
      </c>
      <c r="F393" s="53">
        <v>4741.49</v>
      </c>
      <c r="G393" s="20">
        <v>0</v>
      </c>
      <c r="H393" s="20">
        <v>0</v>
      </c>
      <c r="I393" s="55">
        <f t="shared" si="516"/>
      </c>
      <c r="J393" s="51">
        <f>630.72+1217.16</f>
      </c>
      <c r="K393" s="22">
        <f t="shared" si="607"/>
      </c>
      <c r="L393" s="22">
        <f t="shared" si="277"/>
      </c>
      <c r="M393" s="23">
        <f t="shared" si="310"/>
      </c>
      <c r="N393" s="24">
        <f t="shared" si="329"/>
      </c>
      <c r="O393" s="25">
        <f t="shared" si="348"/>
      </c>
      <c r="P393" s="26">
        <f t="shared" si="33"/>
      </c>
      <c r="Q393" s="26">
        <f t="shared" si="52"/>
      </c>
      <c r="R393" s="26">
        <f t="shared" si="71"/>
      </c>
      <c r="S393" s="27">
        <f t="shared" si="90"/>
      </c>
      <c r="T393" s="28">
        <f t="shared" si="640"/>
      </c>
      <c r="U393" s="26">
        <f t="shared" si="678"/>
      </c>
      <c r="V393" s="29">
        <f t="shared" si="659"/>
      </c>
      <c r="W393" s="29">
        <f t="shared" si="697"/>
      </c>
      <c r="X393" s="26">
        <f t="shared" si="14"/>
      </c>
      <c r="Y393" s="56">
        <f t="shared" si="167"/>
      </c>
      <c r="Z393" s="30">
        <v>10</v>
      </c>
      <c r="AA393" s="30">
        <v>5</v>
      </c>
      <c r="AB393" s="31">
        <f>6259.68+4503.6</f>
      </c>
      <c r="AC393" s="31">
        <v>0</v>
      </c>
      <c r="AD393" s="27">
        <f t="shared" si="200"/>
      </c>
      <c r="AE393" s="32" t="s">
        <v>41</v>
      </c>
      <c r="AF393" s="33" t="s">
        <v>56</v>
      </c>
      <c r="AG393" s="36">
        <v>4</v>
      </c>
      <c r="AH393" s="35">
        <v>55977</v>
      </c>
      <c r="AI393" s="35">
        <v>668</v>
      </c>
      <c r="AJ393" s="35">
        <v>678</v>
      </c>
      <c r="AK393" s="36">
        <v>150</v>
      </c>
      <c r="AL393" s="36">
        <v>179</v>
      </c>
    </row>
    <row r="394">
      <c r="A394" s="15"/>
      <c r="B394" s="38" t="s">
        <v>47</v>
      </c>
      <c r="C394" s="39">
        <v>3</v>
      </c>
      <c r="D394" s="58">
        <f>SUM(D391:D393)</f>
      </c>
      <c r="E394" s="58">
        <f>SUM(E391:E393)</f>
      </c>
      <c r="F394" s="58">
        <f>SUM(F391:F393)</f>
      </c>
      <c r="G394" s="58">
        <f>SUM(G391:G393)</f>
      </c>
      <c r="H394" s="58">
        <f>SUM(H391:H393)</f>
      </c>
      <c r="I394" s="58">
        <f>SUM(I391:I393)</f>
      </c>
      <c r="J394" s="58">
        <f>SUM(J391:J393)</f>
      </c>
      <c r="K394" s="58">
        <f>SUM(K391:K393)</f>
      </c>
      <c r="L394" s="58">
        <f>SUM(L391:L393)</f>
      </c>
      <c r="M394" s="41">
        <f t="shared" si="310"/>
      </c>
      <c r="N394" s="42">
        <f t="shared" si="329"/>
      </c>
      <c r="O394" s="42">
        <f t="shared" si="348"/>
      </c>
      <c r="P394" s="43">
        <f t="shared" si="33"/>
      </c>
      <c r="Q394" s="43">
        <f t="shared" si="52"/>
      </c>
      <c r="R394" s="43">
        <f t="shared" si="71"/>
      </c>
      <c r="S394" s="44">
        <f t="shared" si="90"/>
      </c>
      <c r="T394" s="44">
        <f t="shared" si="640"/>
      </c>
      <c r="U394" s="43">
        <f t="shared" si="678"/>
      </c>
      <c r="V394" s="44">
        <f t="shared" si="659"/>
      </c>
      <c r="W394" s="44">
        <f t="shared" si="697"/>
      </c>
      <c r="X394" s="43">
        <f t="shared" si="14"/>
      </c>
      <c r="Y394" s="58">
        <f>SUM(Y391:Y393)</f>
      </c>
      <c r="Z394" s="58">
        <f>SUM(Z391:Z393)</f>
      </c>
      <c r="AA394" s="58">
        <f>SUM(AA391:AA393)</f>
      </c>
      <c r="AB394" s="58">
        <f>SUM(AB391:AB393)</f>
      </c>
      <c r="AC394" s="58">
        <f>SUM(AC391:AC393)</f>
      </c>
      <c r="AD394" s="45">
        <f t="shared" si="200"/>
      </c>
      <c r="AE394" s="46"/>
      <c r="AF394" s="47"/>
      <c r="AG394" s="58">
        <f>SUM(AG391:AG393)</f>
      </c>
      <c r="AH394" s="58">
        <f>SUM(AH391:AH393)</f>
      </c>
      <c r="AI394" s="58">
        <f>SUM(AI391:AI393)</f>
      </c>
      <c r="AJ394" s="58">
        <f>SUM(AJ391:AJ393)</f>
      </c>
      <c r="AK394" s="58">
        <f>SUM(AK391:AK393)</f>
      </c>
      <c r="AL394" s="58">
        <f>SUM(AL391:AL393)</f>
      </c>
    </row>
    <row r="395">
      <c r="A395" s="15"/>
      <c r="B395" s="16" t="s">
        <v>62</v>
      </c>
      <c r="C395" s="52" t="s">
        <v>59</v>
      </c>
      <c r="D395" s="18">
        <f t="shared" ref="D395:D398" si="426">E395+F395+G395+H395</f>
      </c>
      <c r="E395" s="17">
        <v>176.9</v>
      </c>
      <c r="F395" s="49">
        <v>5003.84</v>
      </c>
      <c r="G395" s="20">
        <v>0</v>
      </c>
      <c r="H395" s="20">
        <v>0</v>
      </c>
      <c r="I395" s="50">
        <f t="shared" ref="I395:I398" si="517">AB395+AC395</f>
      </c>
      <c r="J395" s="51">
        <v>0</v>
      </c>
      <c r="K395" s="22">
        <f t="shared" ref="K395:K398" si="608">I395-J395</f>
      </c>
      <c r="L395" s="22">
        <f t="shared" ref="L395:L398" si="278">(I395-AC395)/12+AC395</f>
      </c>
      <c r="M395" s="23">
        <f t="shared" si="310"/>
      </c>
      <c r="N395" s="24">
        <f t="shared" si="329"/>
      </c>
      <c r="O395" s="25">
        <f t="shared" si="348"/>
      </c>
      <c r="P395" s="26">
        <f t="shared" si="33"/>
      </c>
      <c r="Q395" s="26">
        <f t="shared" si="52"/>
      </c>
      <c r="R395" s="26">
        <f t="shared" si="71"/>
      </c>
      <c r="S395" s="27">
        <f t="shared" si="90"/>
      </c>
      <c r="T395" s="28">
        <f t="shared" si="640"/>
      </c>
      <c r="U395" s="26">
        <f t="shared" si="678"/>
      </c>
      <c r="V395" s="29">
        <f t="shared" si="659"/>
      </c>
      <c r="W395" s="29">
        <f t="shared" si="697"/>
      </c>
      <c r="X395" s="26">
        <f t="shared" si="14"/>
      </c>
      <c r="Y395" s="30">
        <f t="shared" ref="Y395:Y398" si="168">Z395+AA395</f>
      </c>
      <c r="Z395" s="30">
        <v>3</v>
      </c>
      <c r="AA395" s="30">
        <v>5</v>
      </c>
      <c r="AB395" s="31">
        <v>6122.5199999999895</v>
      </c>
      <c r="AC395" s="31">
        <v>0</v>
      </c>
      <c r="AD395" s="27">
        <f t="shared" si="200"/>
      </c>
      <c r="AE395" s="32" t="s">
        <v>41</v>
      </c>
      <c r="AF395" s="33" t="s">
        <v>56</v>
      </c>
      <c r="AG395" s="34">
        <v>5</v>
      </c>
      <c r="AH395" s="35">
        <v>60144</v>
      </c>
      <c r="AI395" s="35">
        <v>690</v>
      </c>
      <c r="AJ395" s="35">
        <v>691</v>
      </c>
      <c r="AK395" s="36">
        <v>114</v>
      </c>
      <c r="AL395" s="36">
        <v>153</v>
      </c>
    </row>
    <row r="396">
      <c r="A396" s="15"/>
      <c r="B396" s="16" t="s">
        <v>62</v>
      </c>
      <c r="C396" s="52" t="s">
        <v>60</v>
      </c>
      <c r="D396" s="18">
        <f t="shared" si="426"/>
      </c>
      <c r="E396" s="17">
        <v>371.31</v>
      </c>
      <c r="F396" s="49">
        <v>7251.47</v>
      </c>
      <c r="G396" s="20">
        <v>0</v>
      </c>
      <c r="H396" s="20">
        <v>0</v>
      </c>
      <c r="I396" s="50">
        <f t="shared" si="517"/>
      </c>
      <c r="J396" s="51">
        <v>3881.52</v>
      </c>
      <c r="K396" s="22">
        <f t="shared" si="608"/>
      </c>
      <c r="L396" s="22">
        <f t="shared" si="278"/>
      </c>
      <c r="M396" s="23">
        <f t="shared" si="310"/>
      </c>
      <c r="N396" s="24">
        <f t="shared" si="329"/>
      </c>
      <c r="O396" s="25">
        <f t="shared" si="348"/>
      </c>
      <c r="P396" s="26">
        <f t="shared" si="33"/>
      </c>
      <c r="Q396" s="26">
        <f t="shared" si="52"/>
      </c>
      <c r="R396" s="26">
        <f t="shared" si="71"/>
      </c>
      <c r="S396" s="27">
        <f t="shared" si="90"/>
      </c>
      <c r="T396" s="28">
        <f t="shared" si="640"/>
      </c>
      <c r="U396" s="26">
        <f t="shared" si="678"/>
      </c>
      <c r="V396" s="29">
        <f t="shared" si="659"/>
      </c>
      <c r="W396" s="29">
        <f t="shared" si="697"/>
      </c>
      <c r="X396" s="26">
        <f t="shared" si="14"/>
      </c>
      <c r="Y396" s="30">
        <f t="shared" si="168"/>
      </c>
      <c r="Z396" s="30">
        <v>8</v>
      </c>
      <c r="AA396" s="30">
        <v>7</v>
      </c>
      <c r="AB396" s="31">
        <v>9356.040000000008</v>
      </c>
      <c r="AC396" s="31">
        <v>1656</v>
      </c>
      <c r="AD396" s="27">
        <f t="shared" si="200"/>
      </c>
      <c r="AE396" s="32" t="s">
        <v>41</v>
      </c>
      <c r="AF396" s="33" t="s">
        <v>56</v>
      </c>
      <c r="AG396" s="36">
        <v>6</v>
      </c>
      <c r="AH396" s="35">
        <v>92483</v>
      </c>
      <c r="AI396" s="35">
        <v>1120</v>
      </c>
      <c r="AJ396" s="35">
        <v>1135</v>
      </c>
      <c r="AK396" s="36">
        <v>196</v>
      </c>
      <c r="AL396" s="36">
        <v>251</v>
      </c>
    </row>
    <row r="397">
      <c r="A397" s="15"/>
      <c r="B397" s="16" t="s">
        <v>62</v>
      </c>
      <c r="C397" s="52" t="s">
        <v>61</v>
      </c>
      <c r="D397" s="18">
        <f t="shared" si="426"/>
      </c>
      <c r="E397" s="17">
        <v>438.27</v>
      </c>
      <c r="F397" s="49">
        <v>9215.8</v>
      </c>
      <c r="G397" s="20">
        <v>0</v>
      </c>
      <c r="H397" s="20">
        <v>0</v>
      </c>
      <c r="I397" s="50">
        <f t="shared" si="517"/>
      </c>
      <c r="J397" s="51">
        <v>0</v>
      </c>
      <c r="K397" s="22">
        <f t="shared" si="608"/>
      </c>
      <c r="L397" s="22">
        <f t="shared" si="278"/>
      </c>
      <c r="M397" s="23">
        <f t="shared" si="310"/>
      </c>
      <c r="N397" s="24">
        <f t="shared" si="329"/>
      </c>
      <c r="O397" s="25">
        <f t="shared" si="348"/>
      </c>
      <c r="P397" s="26">
        <f t="shared" si="33"/>
      </c>
      <c r="Q397" s="26">
        <f t="shared" si="52"/>
      </c>
      <c r="R397" s="26">
        <f t="shared" si="71"/>
      </c>
      <c r="S397" s="27">
        <f t="shared" si="90"/>
      </c>
      <c r="T397" s="28">
        <f t="shared" si="640"/>
      </c>
      <c r="U397" s="26">
        <f t="shared" si="678"/>
      </c>
      <c r="V397" s="29">
        <f t="shared" si="659"/>
      </c>
      <c r="W397" s="29">
        <f t="shared" si="697"/>
      </c>
      <c r="X397" s="26">
        <f t="shared" si="14"/>
      </c>
      <c r="Y397" s="30">
        <f t="shared" si="168"/>
      </c>
      <c r="Z397" s="30">
        <v>2</v>
      </c>
      <c r="AA397" s="30">
        <v>8</v>
      </c>
      <c r="AB397" s="31">
        <v>25876.79999999999</v>
      </c>
      <c r="AC397" s="31">
        <v>0</v>
      </c>
      <c r="AD397" s="27">
        <f t="shared" si="200"/>
      </c>
      <c r="AE397" s="32" t="s">
        <v>41</v>
      </c>
      <c r="AF397" s="33" t="s">
        <v>56</v>
      </c>
      <c r="AG397" s="34">
        <v>8</v>
      </c>
      <c r="AH397" s="35">
        <v>129658</v>
      </c>
      <c r="AI397" s="35">
        <v>1413</v>
      </c>
      <c r="AJ397" s="35">
        <v>1456</v>
      </c>
      <c r="AK397" s="36">
        <v>251</v>
      </c>
      <c r="AL397" s="34">
        <v>292</v>
      </c>
    </row>
    <row r="398">
      <c r="A398" s="15"/>
      <c r="B398" s="16" t="s">
        <v>62</v>
      </c>
      <c r="C398" s="17" t="s">
        <v>63</v>
      </c>
      <c r="D398" s="18">
        <f t="shared" si="426"/>
      </c>
      <c r="E398" s="17">
        <v>290.87</v>
      </c>
      <c r="F398" s="49">
        <v>9105.67</v>
      </c>
      <c r="G398" s="20">
        <v>0</v>
      </c>
      <c r="H398" s="20">
        <v>0</v>
      </c>
      <c r="I398" s="50">
        <f t="shared" si="517"/>
      </c>
      <c r="J398" s="51">
        <v>0</v>
      </c>
      <c r="K398" s="22">
        <f t="shared" si="608"/>
      </c>
      <c r="L398" s="22">
        <f t="shared" si="278"/>
      </c>
      <c r="M398" s="23">
        <f t="shared" si="310"/>
      </c>
      <c r="N398" s="24">
        <f t="shared" si="329"/>
      </c>
      <c r="O398" s="25">
        <f t="shared" si="348"/>
      </c>
      <c r="P398" s="26">
        <f t="shared" si="33"/>
      </c>
      <c r="Q398" s="26">
        <f t="shared" si="52"/>
      </c>
      <c r="R398" s="26">
        <f t="shared" si="71"/>
      </c>
      <c r="S398" s="27">
        <f t="shared" si="90"/>
      </c>
      <c r="T398" s="28">
        <f t="shared" si="640"/>
      </c>
      <c r="U398" s="26">
        <f t="shared" si="678"/>
      </c>
      <c r="V398" s="29">
        <f t="shared" si="659"/>
      </c>
      <c r="W398" s="29">
        <f t="shared" si="697"/>
      </c>
      <c r="X398" s="26">
        <f t="shared" si="14"/>
      </c>
      <c r="Y398" s="30">
        <f t="shared" si="168"/>
      </c>
      <c r="Z398" s="30">
        <v>9</v>
      </c>
      <c r="AA398" s="30">
        <v>12</v>
      </c>
      <c r="AB398" s="31">
        <f>21498.48+2819.88</f>
      </c>
      <c r="AC398" s="31">
        <v>0</v>
      </c>
      <c r="AD398" s="27">
        <f t="shared" si="200"/>
      </c>
      <c r="AE398" s="32" t="s">
        <v>41</v>
      </c>
      <c r="AF398" s="33" t="s">
        <v>56</v>
      </c>
      <c r="AG398" s="34">
        <v>10</v>
      </c>
      <c r="AH398" s="35">
        <v>130779</v>
      </c>
      <c r="AI398" s="35">
        <v>1515</v>
      </c>
      <c r="AJ398" s="35">
        <v>1506</v>
      </c>
      <c r="AK398" s="36">
        <v>222</v>
      </c>
      <c r="AL398" s="34">
        <v>262</v>
      </c>
    </row>
    <row r="399">
      <c r="A399" s="15"/>
      <c r="B399" s="38" t="s">
        <v>47</v>
      </c>
      <c r="C399" s="39">
        <v>4</v>
      </c>
      <c r="D399" s="40">
        <f>SUM(D395:D398)</f>
      </c>
      <c r="E399" s="40">
        <f>SUM(E395:E398)</f>
      </c>
      <c r="F399" s="40">
        <f>SUM(F395:F398)</f>
      </c>
      <c r="G399" s="40">
        <f>SUM(G395:G398)</f>
      </c>
      <c r="H399" s="40">
        <f>SUM(H395:H398)</f>
      </c>
      <c r="I399" s="40">
        <f>SUM(I395:I398)</f>
      </c>
      <c r="J399" s="40">
        <f>SUM(J395:J398)</f>
      </c>
      <c r="K399" s="40">
        <f>SUM(K395:K398)</f>
      </c>
      <c r="L399" s="40">
        <f>SUM(L395:L398)</f>
      </c>
      <c r="M399" s="41">
        <f t="shared" si="310"/>
      </c>
      <c r="N399" s="42">
        <f t="shared" si="329"/>
      </c>
      <c r="O399" s="42">
        <f t="shared" si="348"/>
      </c>
      <c r="P399" s="43">
        <f t="shared" si="33"/>
      </c>
      <c r="Q399" s="43">
        <f t="shared" si="52"/>
      </c>
      <c r="R399" s="43">
        <f t="shared" si="71"/>
      </c>
      <c r="S399" s="44">
        <f t="shared" si="90"/>
      </c>
      <c r="T399" s="44">
        <f t="shared" si="640"/>
      </c>
      <c r="U399" s="43">
        <f t="shared" si="678"/>
      </c>
      <c r="V399" s="44">
        <f t="shared" si="659"/>
      </c>
      <c r="W399" s="44">
        <f t="shared" si="697"/>
      </c>
      <c r="X399" s="43">
        <f t="shared" si="14"/>
      </c>
      <c r="Y399" s="40">
        <f>SUM(Y395:Y398)</f>
      </c>
      <c r="Z399" s="40">
        <f>SUM(Z395:Z398)</f>
      </c>
      <c r="AA399" s="40">
        <f>SUM(AA395:AA398)</f>
      </c>
      <c r="AB399" s="40">
        <f>SUM(AB395:AB398)</f>
      </c>
      <c r="AC399" s="40">
        <f>SUM(AC395:AC398)</f>
      </c>
      <c r="AD399" s="45">
        <f t="shared" si="200"/>
      </c>
      <c r="AE399" s="46"/>
      <c r="AF399" s="47"/>
      <c r="AG399" s="40">
        <f>SUM(AG395:AG398)</f>
      </c>
      <c r="AH399" s="40">
        <f>SUM(AH395:AH398)</f>
      </c>
      <c r="AI399" s="40">
        <f>SUM(AI395:AI398)</f>
      </c>
      <c r="AJ399" s="40">
        <f>SUM(AJ395:AJ398)</f>
      </c>
      <c r="AK399" s="40">
        <f>SUM(AK395:AK398)</f>
      </c>
      <c r="AL399" s="40">
        <f>SUM(AL395:AL398)</f>
      </c>
    </row>
    <row r="400">
      <c r="A400" s="15"/>
      <c r="B400" s="16" t="s">
        <v>57</v>
      </c>
      <c r="C400" s="52" t="s">
        <v>64</v>
      </c>
      <c r="D400" s="18">
        <f t="shared" ref="D400:D403" si="427">E400+F400+G400+H400</f>
      </c>
      <c r="E400" s="17">
        <v>503.06</v>
      </c>
      <c r="F400" s="17">
        <v>8534.16</v>
      </c>
      <c r="G400" s="20">
        <v>0</v>
      </c>
      <c r="H400" s="20">
        <v>0</v>
      </c>
      <c r="I400" s="20">
        <f t="shared" ref="I400:I403" si="518">AB400+AC400</f>
      </c>
      <c r="J400" s="21">
        <v>0</v>
      </c>
      <c r="K400" s="22">
        <f t="shared" ref="K400:K403" si="609">I400-J400</f>
      </c>
      <c r="L400" s="22">
        <f t="shared" ref="L400:L403" si="279">(I400-AC400)/12+AC400</f>
      </c>
      <c r="M400" s="23">
        <f t="shared" si="310"/>
      </c>
      <c r="N400" s="24">
        <f t="shared" si="329"/>
      </c>
      <c r="O400" s="25">
        <f t="shared" si="348"/>
      </c>
      <c r="P400" s="26">
        <f t="shared" si="33"/>
      </c>
      <c r="Q400" s="26">
        <f t="shared" si="52"/>
      </c>
      <c r="R400" s="26">
        <f t="shared" si="71"/>
      </c>
      <c r="S400" s="27">
        <f t="shared" si="90"/>
      </c>
      <c r="T400" s="28">
        <f t="shared" si="640"/>
      </c>
      <c r="U400" s="26">
        <f t="shared" si="678"/>
      </c>
      <c r="V400" s="29">
        <f t="shared" si="659"/>
      </c>
      <c r="W400" s="29">
        <f t="shared" si="697"/>
      </c>
      <c r="X400" s="26">
        <f t="shared" si="14"/>
      </c>
      <c r="Y400" s="30">
        <f t="shared" ref="Y400:Y403" si="169">Z400+AA400</f>
      </c>
      <c r="Z400" s="30">
        <v>11</v>
      </c>
      <c r="AA400" s="30">
        <v>5</v>
      </c>
      <c r="AB400" s="31">
        <v>15939.120000000024</v>
      </c>
      <c r="AC400" s="31">
        <v>0</v>
      </c>
      <c r="AD400" s="27">
        <f t="shared" si="200"/>
      </c>
      <c r="AE400" s="32" t="s">
        <v>41</v>
      </c>
      <c r="AF400" s="33" t="s">
        <v>56</v>
      </c>
      <c r="AG400" s="36">
        <v>5</v>
      </c>
      <c r="AH400" s="35">
        <v>149887</v>
      </c>
      <c r="AI400" s="35">
        <v>1832</v>
      </c>
      <c r="AJ400" s="35">
        <v>1881</v>
      </c>
      <c r="AK400" s="36">
        <v>257</v>
      </c>
      <c r="AL400" s="36">
        <v>284</v>
      </c>
    </row>
    <row r="401">
      <c r="A401" s="15"/>
      <c r="B401" s="16" t="s">
        <v>57</v>
      </c>
      <c r="C401" s="52" t="s">
        <v>65</v>
      </c>
      <c r="D401" s="18">
        <f t="shared" si="427"/>
      </c>
      <c r="E401" s="17">
        <v>457.72</v>
      </c>
      <c r="F401" s="17">
        <v>6969.84</v>
      </c>
      <c r="G401" s="20">
        <v>0</v>
      </c>
      <c r="H401" s="20">
        <v>0</v>
      </c>
      <c r="I401" s="20">
        <f t="shared" si="518"/>
      </c>
      <c r="J401" s="21">
        <v>0</v>
      </c>
      <c r="K401" s="22">
        <f t="shared" si="609"/>
      </c>
      <c r="L401" s="22">
        <f t="shared" si="279"/>
      </c>
      <c r="M401" s="23">
        <f t="shared" si="310"/>
      </c>
      <c r="N401" s="24">
        <f t="shared" si="329"/>
      </c>
      <c r="O401" s="25">
        <f t="shared" si="348"/>
      </c>
      <c r="P401" s="26">
        <f t="shared" si="33"/>
      </c>
      <c r="Q401" s="26">
        <f t="shared" si="52"/>
      </c>
      <c r="R401" s="26">
        <f t="shared" si="71"/>
      </c>
      <c r="S401" s="27">
        <f t="shared" si="90"/>
      </c>
      <c r="T401" s="28">
        <f t="shared" si="640"/>
      </c>
      <c r="U401" s="26">
        <f t="shared" si="678"/>
      </c>
      <c r="V401" s="29">
        <f t="shared" si="659"/>
      </c>
      <c r="W401" s="29">
        <f t="shared" si="697"/>
      </c>
      <c r="X401" s="26">
        <f t="shared" si="14"/>
      </c>
      <c r="Y401" s="30">
        <f t="shared" si="169"/>
      </c>
      <c r="Z401" s="30">
        <v>10</v>
      </c>
      <c r="AA401" s="30">
        <v>11</v>
      </c>
      <c r="AB401" s="31">
        <v>20513.51999999999</v>
      </c>
      <c r="AC401" s="31">
        <v>0</v>
      </c>
      <c r="AD401" s="27">
        <f t="shared" si="200"/>
      </c>
      <c r="AE401" s="32" t="s">
        <v>41</v>
      </c>
      <c r="AF401" s="33" t="s">
        <v>56</v>
      </c>
      <c r="AG401" s="36">
        <v>7</v>
      </c>
      <c r="AH401" s="35">
        <v>119212</v>
      </c>
      <c r="AI401" s="35">
        <v>1533</v>
      </c>
      <c r="AJ401" s="35">
        <v>1537</v>
      </c>
      <c r="AK401" s="36">
        <v>205</v>
      </c>
      <c r="AL401" s="36">
        <v>251</v>
      </c>
    </row>
    <row r="402">
      <c r="A402" s="15"/>
      <c r="B402" s="16" t="s">
        <v>57</v>
      </c>
      <c r="C402" s="17" t="s">
        <v>66</v>
      </c>
      <c r="D402" s="18">
        <f t="shared" si="427"/>
      </c>
      <c r="E402" s="17">
        <v>457.96</v>
      </c>
      <c r="F402" s="20">
        <v>4434.47</v>
      </c>
      <c r="G402" s="20">
        <v>0</v>
      </c>
      <c r="H402" s="20">
        <v>0</v>
      </c>
      <c r="I402" s="37">
        <f t="shared" si="518"/>
      </c>
      <c r="J402" s="21">
        <v>0</v>
      </c>
      <c r="K402" s="22">
        <f t="shared" si="609"/>
      </c>
      <c r="L402" s="22">
        <f t="shared" si="279"/>
      </c>
      <c r="M402" s="23">
        <f t="shared" si="310"/>
      </c>
      <c r="N402" s="24">
        <f t="shared" si="329"/>
      </c>
      <c r="O402" s="25">
        <f t="shared" si="348"/>
      </c>
      <c r="P402" s="26">
        <f t="shared" si="33"/>
      </c>
      <c r="Q402" s="26">
        <f t="shared" si="52"/>
      </c>
      <c r="R402" s="26">
        <f t="shared" si="71"/>
      </c>
      <c r="S402" s="27">
        <f t="shared" si="90"/>
      </c>
      <c r="T402" s="28">
        <f t="shared" si="640"/>
      </c>
      <c r="U402" s="26">
        <f t="shared" si="678"/>
      </c>
      <c r="V402" s="29">
        <f t="shared" si="659"/>
      </c>
      <c r="W402" s="29">
        <f t="shared" si="697"/>
      </c>
      <c r="X402" s="26">
        <f t="shared" si="14"/>
      </c>
      <c r="Y402" s="30">
        <f t="shared" si="169"/>
      </c>
      <c r="Z402" s="30">
        <v>6</v>
      </c>
      <c r="AA402" s="30">
        <v>4</v>
      </c>
      <c r="AB402" s="31">
        <v>7990.92</v>
      </c>
      <c r="AC402" s="31">
        <v>0</v>
      </c>
      <c r="AD402" s="27">
        <f t="shared" si="200"/>
      </c>
      <c r="AE402" s="32" t="s">
        <v>41</v>
      </c>
      <c r="AF402" s="33" t="s">
        <v>56</v>
      </c>
      <c r="AG402" s="34">
        <v>4</v>
      </c>
      <c r="AH402" s="35">
        <v>79611</v>
      </c>
      <c r="AI402" s="35">
        <v>1223</v>
      </c>
      <c r="AJ402" s="35">
        <v>1302</v>
      </c>
      <c r="AK402" s="36">
        <v>159</v>
      </c>
      <c r="AL402" s="36">
        <v>168</v>
      </c>
    </row>
    <row r="403">
      <c r="A403" s="15"/>
      <c r="B403" s="16" t="s">
        <v>57</v>
      </c>
      <c r="C403" s="17" t="s">
        <v>67</v>
      </c>
      <c r="D403" s="18">
        <f t="shared" si="427"/>
      </c>
      <c r="E403" s="19">
        <v>276.36</v>
      </c>
      <c r="F403" s="20">
        <v>1179.47</v>
      </c>
      <c r="G403" s="20">
        <v>0</v>
      </c>
      <c r="H403" s="20">
        <v>0</v>
      </c>
      <c r="I403" s="20">
        <f t="shared" si="518"/>
      </c>
      <c r="J403" s="21">
        <v>0</v>
      </c>
      <c r="K403" s="22">
        <f t="shared" si="609"/>
      </c>
      <c r="L403" s="22">
        <f t="shared" si="279"/>
      </c>
      <c r="M403" s="23">
        <f t="shared" si="310"/>
      </c>
      <c r="N403" s="24">
        <f t="shared" si="329"/>
      </c>
      <c r="O403" s="25">
        <f t="shared" si="348"/>
      </c>
      <c r="P403" s="26">
        <f t="shared" si="33"/>
      </c>
      <c r="Q403" s="26">
        <f t="shared" si="52"/>
      </c>
      <c r="R403" s="26">
        <f t="shared" si="71"/>
      </c>
      <c r="S403" s="27">
        <f t="shared" si="90"/>
      </c>
      <c r="T403" s="28">
        <f t="shared" si="640"/>
      </c>
      <c r="U403" s="26">
        <f t="shared" si="678"/>
      </c>
      <c r="V403" s="29">
        <f t="shared" si="659"/>
      </c>
      <c r="W403" s="29">
        <f t="shared" si="697"/>
      </c>
      <c r="X403" s="26">
        <f t="shared" si="14"/>
      </c>
      <c r="Y403" s="30">
        <f t="shared" si="169"/>
      </c>
      <c r="Z403" s="30">
        <v>5</v>
      </c>
      <c r="AA403" s="30">
        <v>4</v>
      </c>
      <c r="AB403" s="31">
        <f>2475.36+1734</f>
      </c>
      <c r="AC403" s="31">
        <v>11176.65</v>
      </c>
      <c r="AD403" s="27">
        <f t="shared" si="200"/>
      </c>
      <c r="AE403" s="32" t="s">
        <v>41</v>
      </c>
      <c r="AF403" s="33" t="s">
        <v>56</v>
      </c>
      <c r="AG403" s="34">
        <v>3</v>
      </c>
      <c r="AH403" s="35">
        <v>16672</v>
      </c>
      <c r="AI403" s="35">
        <v>432</v>
      </c>
      <c r="AJ403" s="35">
        <v>470</v>
      </c>
      <c r="AK403" s="34">
        <v>76</v>
      </c>
      <c r="AL403" s="34">
        <v>73</v>
      </c>
    </row>
    <row r="404">
      <c r="A404" s="15"/>
      <c r="B404" s="38" t="s">
        <v>47</v>
      </c>
      <c r="C404" s="39">
        <v>4</v>
      </c>
      <c r="D404" s="40">
        <f>SUM(D400:D403)</f>
      </c>
      <c r="E404" s="40">
        <f>SUM(E400:E403)</f>
      </c>
      <c r="F404" s="40">
        <f>SUM(F400:F403)</f>
      </c>
      <c r="G404" s="40">
        <f>SUM(G400:G403)</f>
      </c>
      <c r="H404" s="40">
        <f>SUM(H400:H403)</f>
      </c>
      <c r="I404" s="40">
        <f>SUM(I400:I403)</f>
      </c>
      <c r="J404" s="40">
        <f>SUM(J400:J403)</f>
      </c>
      <c r="K404" s="40">
        <f>SUM(K400:K403)</f>
      </c>
      <c r="L404" s="40">
        <f>SUM(L400:L403)</f>
      </c>
      <c r="M404" s="41">
        <f t="shared" si="310"/>
      </c>
      <c r="N404" s="42">
        <f t="shared" si="329"/>
      </c>
      <c r="O404" s="42">
        <f t="shared" si="348"/>
      </c>
      <c r="P404" s="43">
        <f t="shared" si="33"/>
      </c>
      <c r="Q404" s="43">
        <f t="shared" si="52"/>
      </c>
      <c r="R404" s="43">
        <f t="shared" si="71"/>
      </c>
      <c r="S404" s="44">
        <f t="shared" si="90"/>
      </c>
      <c r="T404" s="44">
        <f t="shared" si="640"/>
      </c>
      <c r="U404" s="43">
        <f t="shared" si="678"/>
      </c>
      <c r="V404" s="44">
        <f t="shared" si="659"/>
      </c>
      <c r="W404" s="44">
        <f t="shared" si="697"/>
      </c>
      <c r="X404" s="43">
        <f t="shared" si="14"/>
      </c>
      <c r="Y404" s="40">
        <f>SUM(Y400:Y403)</f>
      </c>
      <c r="Z404" s="40">
        <f>SUM(Z400:Z403)</f>
      </c>
      <c r="AA404" s="40">
        <f>SUM(AA400:AA403)</f>
      </c>
      <c r="AB404" s="40">
        <f>SUM(AB400:AB403)</f>
      </c>
      <c r="AC404" s="40">
        <f>SUM(AC400:AC403)</f>
      </c>
      <c r="AD404" s="59">
        <f t="shared" si="200"/>
      </c>
      <c r="AE404" s="46"/>
      <c r="AF404" s="47"/>
      <c r="AG404" s="40">
        <f>SUM(AG400:AG403)</f>
      </c>
      <c r="AH404" s="40">
        <f>SUM(AH400:AH403)</f>
      </c>
      <c r="AI404" s="40">
        <f>SUM(AI400:AI403)</f>
      </c>
      <c r="AJ404" s="40">
        <f>SUM(AJ400:AJ403)</f>
      </c>
      <c r="AK404" s="40">
        <f>SUM(AK400:AK403)</f>
      </c>
      <c r="AL404" s="40">
        <f>SUM(AL400:AL403)</f>
      </c>
    </row>
    <row r="405">
      <c r="A405" s="15"/>
      <c r="B405" s="60" t="s">
        <v>47</v>
      </c>
      <c r="C405" s="61">
        <f>C385+C390+C394+C399+C404</f>
      </c>
      <c r="D405" s="62">
        <f>D385+D390+D394+D399+D404</f>
      </c>
      <c r="E405" s="61">
        <f>E385+E390+E394+E399+E404</f>
      </c>
      <c r="F405" s="61">
        <f>F385+F390+F394+F399+F404</f>
      </c>
      <c r="G405" s="61">
        <f>G385+G390+G394+G399+G404</f>
      </c>
      <c r="H405" s="61">
        <f>H385+H390+H394+H399+H404</f>
      </c>
      <c r="I405" s="62">
        <f>I385+I390+I394+I399+I404</f>
      </c>
      <c r="J405" s="61">
        <f>J385+J390+J394+J399+J404</f>
      </c>
      <c r="K405" s="61">
        <f>K385+K390+K394+K399+K404</f>
      </c>
      <c r="L405" s="61">
        <f>L385+L390+L394+L399+L404</f>
      </c>
      <c r="M405" s="63">
        <f t="shared" si="310"/>
      </c>
      <c r="N405" s="63">
        <f t="shared" si="329"/>
      </c>
      <c r="O405" s="63">
        <f t="shared" si="348"/>
      </c>
      <c r="P405" s="63">
        <f t="shared" si="33"/>
      </c>
      <c r="Q405" s="63">
        <f t="shared" si="52"/>
      </c>
      <c r="R405" s="63">
        <f t="shared" si="71"/>
      </c>
      <c r="S405" s="64">
        <f t="shared" si="90"/>
      </c>
      <c r="T405" s="64">
        <f t="shared" si="640"/>
      </c>
      <c r="U405" s="63">
        <f t="shared" si="678"/>
      </c>
      <c r="V405" s="64">
        <f t="shared" si="659"/>
      </c>
      <c r="W405" s="64">
        <f t="shared" si="697"/>
      </c>
      <c r="X405" s="63">
        <f t="shared" si="14"/>
      </c>
      <c r="Y405" s="61">
        <f>Y385+Y390+Y394+Y399+Y404</f>
      </c>
      <c r="Z405" s="61">
        <f>Z385+Z390+Z394+Z399+Z404</f>
      </c>
      <c r="AA405" s="62">
        <f>AA385+AA390+AA394+AA399+AA404</f>
      </c>
      <c r="AB405" s="61">
        <f>AB385+AB390+AB394+AB399+AB404</f>
      </c>
      <c r="AC405" s="65">
        <f>AC385+AC390+AC394+AC399+AC404</f>
      </c>
      <c r="AD405" s="66">
        <f t="shared" si="200"/>
      </c>
      <c r="AE405" s="67"/>
      <c r="AF405" s="60"/>
      <c r="AG405" s="61">
        <f>AG385+AG390+AG394+AG399+AG404</f>
      </c>
      <c r="AH405" s="61">
        <f>AH385+AH390+AH394+AH399+AH404</f>
      </c>
      <c r="AI405" s="61">
        <f>AI385+AI390+AI394+AI399+AI404</f>
      </c>
      <c r="AJ405" s="61">
        <f>AJ385+AJ390+AJ394+AJ399+AJ404</f>
      </c>
      <c r="AK405" s="61">
        <f>AK385+AK390+AK394+AK399+AK404</f>
      </c>
      <c r="AL405" s="61">
        <f>AL385+AL390+AL394+AL399+AL404</f>
      </c>
    </row>
    <row r="406">
      <c r="A406" s="1" t="s">
        <v>1</v>
      </c>
      <c r="B406" s="2" t="s">
        <v>2</v>
      </c>
      <c r="C406" s="2" t="s">
        <v>3</v>
      </c>
      <c r="D406" s="3" t="s">
        <v>4</v>
      </c>
      <c r="E406" s="2" t="s">
        <v>5</v>
      </c>
      <c r="F406" s="2" t="s">
        <v>6</v>
      </c>
      <c r="G406" s="4" t="s">
        <v>7</v>
      </c>
      <c r="H406" s="4" t="s">
        <v>8</v>
      </c>
      <c r="I406" s="3" t="s">
        <v>9</v>
      </c>
      <c r="J406" s="5" t="s">
        <v>10</v>
      </c>
      <c r="K406" s="6" t="s">
        <v>11</v>
      </c>
      <c r="L406" s="6" t="s">
        <v>12</v>
      </c>
      <c r="M406" s="7" t="s">
        <v>13</v>
      </c>
      <c r="N406" s="6" t="s">
        <v>14</v>
      </c>
      <c r="O406" s="2" t="s">
        <v>15</v>
      </c>
      <c r="P406" s="7" t="s">
        <v>16</v>
      </c>
      <c r="Q406" s="8" t="s">
        <v>17</v>
      </c>
      <c r="R406" s="8" t="s">
        <v>18</v>
      </c>
      <c r="S406" s="3" t="s">
        <v>19</v>
      </c>
      <c r="T406" s="9" t="s">
        <v>20</v>
      </c>
      <c r="U406" s="7" t="s">
        <v>21</v>
      </c>
      <c r="V406" s="10" t="s">
        <v>22</v>
      </c>
      <c r="W406" s="11" t="s">
        <v>23</v>
      </c>
      <c r="X406" s="7" t="s">
        <v>24</v>
      </c>
      <c r="Y406" s="12" t="s">
        <v>25</v>
      </c>
      <c r="Z406" s="13" t="s">
        <v>26</v>
      </c>
      <c r="AA406" s="12" t="s">
        <v>27</v>
      </c>
      <c r="AB406" s="14" t="s">
        <v>28</v>
      </c>
      <c r="AC406" s="14" t="s">
        <v>29</v>
      </c>
      <c r="AD406" s="6" t="s">
        <v>30</v>
      </c>
      <c r="AE406" s="5" t="s">
        <v>31</v>
      </c>
      <c r="AF406" s="6" t="s">
        <v>32</v>
      </c>
      <c r="AG406" s="5" t="s">
        <v>33</v>
      </c>
      <c r="AH406" s="5" t="s">
        <v>34</v>
      </c>
      <c r="AI406" s="6" t="s">
        <v>35</v>
      </c>
      <c r="AJ406" s="5" t="s">
        <v>36</v>
      </c>
      <c r="AK406" s="6" t="s">
        <v>37</v>
      </c>
      <c r="AL406" s="5" t="s">
        <v>38</v>
      </c>
    </row>
    <row r="407">
      <c r="A407" s="15">
        <v>46311</v>
      </c>
      <c r="B407" s="16" t="s">
        <v>73</v>
      </c>
      <c r="C407" s="17" t="s">
        <v>40</v>
      </c>
      <c r="D407" s="18">
        <f t="shared" ref="D407:D411" si="428">E407+F407+G407+H407</f>
      </c>
      <c r="E407" s="19">
        <v>486.18</v>
      </c>
      <c r="F407" s="20">
        <v>10395.58</v>
      </c>
      <c r="G407" s="20">
        <v>0</v>
      </c>
      <c r="H407" s="20">
        <v>0</v>
      </c>
      <c r="I407" s="20">
        <f t="shared" ref="I407:I411" si="519">AB407+AC407</f>
      </c>
      <c r="J407" s="21">
        <f>2514.24+4394.52</f>
      </c>
      <c r="K407" s="22">
        <f t="shared" ref="K407:K411" si="610">I407-J407</f>
      </c>
      <c r="L407" s="22">
        <f t="shared" ref="L407:L411" si="280">(I407-AC407)/12+AC407</f>
      </c>
      <c r="M407" s="23">
        <f t="shared" ref="M407:M431" si="311">I407/D407</f>
      </c>
      <c r="N407" s="24">
        <f t="shared" ref="N407:N431" si="330">(I407-J407)/D407</f>
      </c>
      <c r="O407" s="25">
        <f t="shared" ref="O407:O431" si="349">(AC407+AB407/12)/D407</f>
      </c>
      <c r="P407" s="26">
        <f t="shared" ref="P407:P431" si="34">I407/AA407</f>
      </c>
      <c r="Q407" s="26">
        <f t="shared" ref="Q407:Q431" si="53">D407/AA407</f>
      </c>
      <c r="R407" s="26">
        <f t="shared" ref="R407:R431" si="72">D407/AG407</f>
      </c>
      <c r="S407" s="27">
        <f t="shared" ref="S407:S431" si="91">AA407/Y407</f>
      </c>
      <c r="T407" s="28">
        <f t="shared" ref="T407:T431" si="641">AI407/AH407</f>
      </c>
      <c r="U407" s="26">
        <f t="shared" ref="U407:U431" si="679">D407/AJ407</f>
      </c>
      <c r="V407" s="29">
        <f t="shared" ref="V407:V431" si="660">AK407/AJ407</f>
      </c>
      <c r="W407" s="29">
        <f t="shared" ref="W407:W431" si="698">AL407/AJ407</f>
      </c>
      <c r="X407" s="26">
        <f t="shared" ref="X407:X431" si="15">D407/AL407</f>
      </c>
      <c r="Y407" s="30">
        <f t="shared" ref="Y407:Y411" si="170">Z407+AA407</f>
      </c>
      <c r="Z407" s="30">
        <v>6</v>
      </c>
      <c r="AA407" s="30">
        <v>10</v>
      </c>
      <c r="AB407" s="31">
        <v>21261</v>
      </c>
      <c r="AC407" s="31">
        <v>440</v>
      </c>
      <c r="AD407" s="27">
        <f t="shared" ref="AD407:AD431" si="201">AC407/I407</f>
      </c>
      <c r="AE407" s="32" t="s">
        <v>41</v>
      </c>
      <c r="AF407" s="33" t="s">
        <v>42</v>
      </c>
      <c r="AG407" s="34">
        <v>9</v>
      </c>
      <c r="AH407" s="34">
        <v>128388</v>
      </c>
      <c r="AI407" s="35">
        <v>1971</v>
      </c>
      <c r="AJ407" s="35">
        <v>2087</v>
      </c>
      <c r="AK407" s="34">
        <v>269</v>
      </c>
      <c r="AL407" s="36">
        <v>324</v>
      </c>
    </row>
    <row r="408">
      <c r="A408" s="15"/>
      <c r="B408" s="16" t="s">
        <v>73</v>
      </c>
      <c r="C408" s="17" t="s">
        <v>43</v>
      </c>
      <c r="D408" s="18">
        <f t="shared" si="428"/>
      </c>
      <c r="E408" s="17">
        <v>755.38</v>
      </c>
      <c r="F408" s="20">
        <v>5924.12</v>
      </c>
      <c r="G408" s="20">
        <v>0</v>
      </c>
      <c r="H408" s="20">
        <v>0</v>
      </c>
      <c r="I408" s="20">
        <f t="shared" si="519"/>
      </c>
      <c r="J408" s="21">
        <v>733.32</v>
      </c>
      <c r="K408" s="22">
        <f t="shared" si="610"/>
      </c>
      <c r="L408" s="22">
        <f t="shared" si="280"/>
      </c>
      <c r="M408" s="23">
        <f t="shared" si="311"/>
      </c>
      <c r="N408" s="24">
        <f t="shared" si="330"/>
      </c>
      <c r="O408" s="25">
        <f t="shared" si="349"/>
      </c>
      <c r="P408" s="26">
        <f t="shared" si="34"/>
      </c>
      <c r="Q408" s="26">
        <f t="shared" si="53"/>
      </c>
      <c r="R408" s="26">
        <f t="shared" si="72"/>
      </c>
      <c r="S408" s="27">
        <f t="shared" si="91"/>
      </c>
      <c r="T408" s="28">
        <f t="shared" si="641"/>
      </c>
      <c r="U408" s="26">
        <f t="shared" si="679"/>
      </c>
      <c r="V408" s="29">
        <f t="shared" si="660"/>
      </c>
      <c r="W408" s="29">
        <f t="shared" si="698"/>
      </c>
      <c r="X408" s="26">
        <f t="shared" si="15"/>
      </c>
      <c r="Y408" s="30">
        <f t="shared" si="170"/>
      </c>
      <c r="Z408" s="30">
        <v>5</v>
      </c>
      <c r="AA408" s="30">
        <v>4</v>
      </c>
      <c r="AB408" s="31">
        <v>7036.440000000002</v>
      </c>
      <c r="AC408" s="31">
        <v>0</v>
      </c>
      <c r="AD408" s="27">
        <f t="shared" si="201"/>
      </c>
      <c r="AE408" s="32" t="s">
        <v>41</v>
      </c>
      <c r="AF408" s="33" t="s">
        <v>42</v>
      </c>
      <c r="AG408" s="34">
        <v>3</v>
      </c>
      <c r="AH408" s="35">
        <v>82093</v>
      </c>
      <c r="AI408" s="35">
        <v>1392</v>
      </c>
      <c r="AJ408" s="35">
        <v>1485</v>
      </c>
      <c r="AK408" s="36">
        <v>204</v>
      </c>
      <c r="AL408" s="36">
        <v>230</v>
      </c>
    </row>
    <row r="409">
      <c r="A409" s="15"/>
      <c r="B409" s="16" t="s">
        <v>73</v>
      </c>
      <c r="C409" s="17" t="s">
        <v>44</v>
      </c>
      <c r="D409" s="18">
        <f t="shared" si="428"/>
      </c>
      <c r="E409" s="17">
        <v>722.64</v>
      </c>
      <c r="F409" s="20">
        <v>6341.89</v>
      </c>
      <c r="G409" s="20">
        <v>0</v>
      </c>
      <c r="H409" s="20">
        <v>0</v>
      </c>
      <c r="I409" s="20">
        <f t="shared" si="519"/>
      </c>
      <c r="J409" s="21">
        <f>443.88+1149.12+1503.72+1396.8</f>
      </c>
      <c r="K409" s="22">
        <f t="shared" si="610"/>
      </c>
      <c r="L409" s="22">
        <f t="shared" si="280"/>
      </c>
      <c r="M409" s="23">
        <f t="shared" si="311"/>
      </c>
      <c r="N409" s="24">
        <f t="shared" si="330"/>
      </c>
      <c r="O409" s="25">
        <f t="shared" si="349"/>
      </c>
      <c r="P409" s="26">
        <f t="shared" si="34"/>
      </c>
      <c r="Q409" s="26">
        <f t="shared" si="53"/>
      </c>
      <c r="R409" s="26">
        <f t="shared" si="72"/>
      </c>
      <c r="S409" s="27">
        <f t="shared" si="91"/>
      </c>
      <c r="T409" s="28">
        <f t="shared" si="641"/>
      </c>
      <c r="U409" s="26">
        <f t="shared" si="679"/>
      </c>
      <c r="V409" s="29">
        <f t="shared" si="660"/>
      </c>
      <c r="W409" s="29">
        <f t="shared" si="698"/>
      </c>
      <c r="X409" s="26">
        <f t="shared" si="15"/>
      </c>
      <c r="Y409" s="30">
        <f t="shared" si="170"/>
      </c>
      <c r="Z409" s="30">
        <v>3</v>
      </c>
      <c r="AA409" s="30">
        <v>11</v>
      </c>
      <c r="AB409" s="31">
        <v>15731.64</v>
      </c>
      <c r="AC409" s="31">
        <v>0</v>
      </c>
      <c r="AD409" s="27">
        <f t="shared" si="201"/>
      </c>
      <c r="AE409" s="32" t="s">
        <v>41</v>
      </c>
      <c r="AF409" s="33" t="s">
        <v>42</v>
      </c>
      <c r="AG409" s="36">
        <v>8</v>
      </c>
      <c r="AH409" s="35">
        <v>66255</v>
      </c>
      <c r="AI409" s="35">
        <v>1042</v>
      </c>
      <c r="AJ409" s="35">
        <v>1072</v>
      </c>
      <c r="AK409" s="36">
        <v>174</v>
      </c>
      <c r="AL409" s="36">
        <v>203</v>
      </c>
    </row>
    <row r="410">
      <c r="A410" s="15"/>
      <c r="B410" s="16" t="s">
        <v>73</v>
      </c>
      <c r="C410" s="17" t="s">
        <v>45</v>
      </c>
      <c r="D410" s="18">
        <f t="shared" si="428"/>
      </c>
      <c r="E410" s="17">
        <v>944.91</v>
      </c>
      <c r="F410" s="20">
        <v>7289.55</v>
      </c>
      <c r="G410" s="20">
        <v>0</v>
      </c>
      <c r="H410" s="20">
        <v>0</v>
      </c>
      <c r="I410" s="37">
        <f t="shared" si="519"/>
      </c>
      <c r="J410" s="21">
        <f>1871.64</f>
      </c>
      <c r="K410" s="22">
        <f t="shared" si="610"/>
      </c>
      <c r="L410" s="22">
        <f t="shared" si="280"/>
      </c>
      <c r="M410" s="23">
        <f t="shared" si="311"/>
      </c>
      <c r="N410" s="24">
        <f t="shared" si="330"/>
      </c>
      <c r="O410" s="25">
        <f t="shared" si="349"/>
      </c>
      <c r="P410" s="26">
        <f t="shared" si="34"/>
      </c>
      <c r="Q410" s="26">
        <f t="shared" si="53"/>
      </c>
      <c r="R410" s="26">
        <f t="shared" si="72"/>
      </c>
      <c r="S410" s="27">
        <f t="shared" si="91"/>
      </c>
      <c r="T410" s="28">
        <f t="shared" si="641"/>
      </c>
      <c r="U410" s="26">
        <f t="shared" si="679"/>
      </c>
      <c r="V410" s="29">
        <f t="shared" si="660"/>
      </c>
      <c r="W410" s="29">
        <f t="shared" si="698"/>
      </c>
      <c r="X410" s="26">
        <f t="shared" si="15"/>
      </c>
      <c r="Y410" s="30">
        <f t="shared" si="170"/>
      </c>
      <c r="Z410" s="30">
        <v>5</v>
      </c>
      <c r="AA410" s="30">
        <v>10</v>
      </c>
      <c r="AB410" s="31">
        <v>16450.559999999998</v>
      </c>
      <c r="AC410" s="31">
        <v>0</v>
      </c>
      <c r="AD410" s="27">
        <f t="shared" si="201"/>
      </c>
      <c r="AE410" s="32" t="s">
        <v>41</v>
      </c>
      <c r="AF410" s="33" t="s">
        <v>42</v>
      </c>
      <c r="AG410" s="34">
        <v>10</v>
      </c>
      <c r="AH410" s="35">
        <v>92174</v>
      </c>
      <c r="AI410" s="35">
        <v>1022</v>
      </c>
      <c r="AJ410" s="35">
        <v>1071</v>
      </c>
      <c r="AK410" s="36">
        <v>170</v>
      </c>
      <c r="AL410" s="36">
        <v>214</v>
      </c>
    </row>
    <row r="411">
      <c r="A411" s="15"/>
      <c r="B411" s="16" t="s">
        <v>73</v>
      </c>
      <c r="C411" s="17" t="s">
        <v>46</v>
      </c>
      <c r="D411" s="18">
        <f t="shared" si="428"/>
      </c>
      <c r="E411" s="17">
        <v>782.62</v>
      </c>
      <c r="F411" s="20">
        <v>7296.79</v>
      </c>
      <c r="G411" s="20">
        <v>0</v>
      </c>
      <c r="H411" s="20">
        <v>0</v>
      </c>
      <c r="I411" s="20">
        <f t="shared" si="519"/>
      </c>
      <c r="J411" s="21">
        <f>3218.4+3697.92+1622.16+2299.32</f>
      </c>
      <c r="K411" s="22">
        <f t="shared" si="610"/>
      </c>
      <c r="L411" s="22">
        <f t="shared" si="280"/>
      </c>
      <c r="M411" s="23">
        <f t="shared" si="311"/>
      </c>
      <c r="N411" s="24">
        <f t="shared" si="330"/>
      </c>
      <c r="O411" s="25">
        <f t="shared" si="349"/>
      </c>
      <c r="P411" s="26">
        <f t="shared" si="34"/>
      </c>
      <c r="Q411" s="26">
        <f t="shared" si="53"/>
      </c>
      <c r="R411" s="26">
        <f t="shared" si="72"/>
      </c>
      <c r="S411" s="27">
        <f t="shared" si="91"/>
      </c>
      <c r="T411" s="28">
        <f t="shared" si="641"/>
      </c>
      <c r="U411" s="26">
        <f t="shared" si="679"/>
      </c>
      <c r="V411" s="29">
        <f t="shared" si="660"/>
      </c>
      <c r="W411" s="29">
        <f t="shared" si="698"/>
      </c>
      <c r="X411" s="26">
        <f t="shared" si="15"/>
      </c>
      <c r="Y411" s="30">
        <f t="shared" si="170"/>
      </c>
      <c r="Z411" s="30">
        <v>5</v>
      </c>
      <c r="AA411" s="30">
        <v>10</v>
      </c>
      <c r="AB411" s="31">
        <v>18096.479999999996</v>
      </c>
      <c r="AC411" s="31">
        <f>480+701+718</f>
      </c>
      <c r="AD411" s="27">
        <f t="shared" si="201"/>
      </c>
      <c r="AE411" s="32" t="s">
        <v>41</v>
      </c>
      <c r="AF411" s="33" t="s">
        <v>42</v>
      </c>
      <c r="AG411" s="34">
        <v>6</v>
      </c>
      <c r="AH411" s="35">
        <v>89590</v>
      </c>
      <c r="AI411" s="35">
        <v>1006</v>
      </c>
      <c r="AJ411" s="35">
        <v>1064</v>
      </c>
      <c r="AK411" s="34">
        <v>177</v>
      </c>
      <c r="AL411" s="34">
        <v>218</v>
      </c>
    </row>
    <row r="412">
      <c r="A412" s="15"/>
      <c r="B412" s="38" t="s">
        <v>47</v>
      </c>
      <c r="C412" s="39">
        <v>5</v>
      </c>
      <c r="D412" s="40">
        <f>SUM(D407:D411)</f>
      </c>
      <c r="E412" s="40">
        <f>SUM(E407:E411)</f>
      </c>
      <c r="F412" s="40">
        <f>SUM(F407:F411)</f>
      </c>
      <c r="G412" s="40">
        <f>SUM(G407:G411)</f>
      </c>
      <c r="H412" s="40">
        <f>SUM(H407:H411)</f>
      </c>
      <c r="I412" s="40">
        <f>SUM(I407:I411)</f>
      </c>
      <c r="J412" s="40">
        <f>SUM(J407:J411)</f>
      </c>
      <c r="K412" s="40">
        <f>SUM(K407:K411)</f>
      </c>
      <c r="L412" s="40">
        <f>SUM(L407:L411)</f>
      </c>
      <c r="M412" s="41">
        <f t="shared" si="311"/>
      </c>
      <c r="N412" s="42">
        <f t="shared" si="330"/>
      </c>
      <c r="O412" s="42">
        <f t="shared" si="349"/>
      </c>
      <c r="P412" s="43">
        <f t="shared" si="34"/>
      </c>
      <c r="Q412" s="43">
        <f t="shared" si="53"/>
      </c>
      <c r="R412" s="43">
        <f t="shared" si="72"/>
      </c>
      <c r="S412" s="44">
        <f t="shared" si="91"/>
      </c>
      <c r="T412" s="44">
        <f t="shared" si="641"/>
      </c>
      <c r="U412" s="43">
        <f t="shared" si="679"/>
      </c>
      <c r="V412" s="44">
        <f t="shared" si="660"/>
      </c>
      <c r="W412" s="44">
        <f t="shared" si="698"/>
      </c>
      <c r="X412" s="43">
        <f t="shared" si="15"/>
      </c>
      <c r="Y412" s="40">
        <f>SUM(Y407:Y411)</f>
      </c>
      <c r="Z412" s="40">
        <f>SUM(Z407:Z411)</f>
      </c>
      <c r="AA412" s="40">
        <f>SUM(AA407:AA411)</f>
      </c>
      <c r="AB412" s="40">
        <f>SUM(AB407:AB411)</f>
      </c>
      <c r="AC412" s="40">
        <f>SUM(AC407:AC411)</f>
      </c>
      <c r="AD412" s="45">
        <f t="shared" si="201"/>
      </c>
      <c r="AE412" s="46"/>
      <c r="AF412" s="47"/>
      <c r="AG412" s="40">
        <f>SUM(AG407:AG411)</f>
      </c>
      <c r="AH412" s="40">
        <f>SUM(AH407:AH411)</f>
      </c>
      <c r="AI412" s="40">
        <f>SUM(AI407:AI411)</f>
      </c>
      <c r="AJ412" s="40">
        <f>SUM(AJ407:AJ411)</f>
      </c>
      <c r="AK412" s="40">
        <f>SUM(AK407:AK411)</f>
      </c>
      <c r="AL412" s="40">
        <f>SUM(AL407:AL411)</f>
      </c>
    </row>
    <row r="413">
      <c r="A413" s="15"/>
      <c r="B413" s="16" t="s">
        <v>48</v>
      </c>
      <c r="C413" s="17" t="s">
        <v>49</v>
      </c>
      <c r="D413" s="18">
        <f t="shared" ref="D413:D417" si="429">E413+F413+G413+H413</f>
      </c>
      <c r="E413" s="19">
        <v>690.21</v>
      </c>
      <c r="F413" s="20">
        <v>7774.34</v>
      </c>
      <c r="G413" s="20">
        <v>0</v>
      </c>
      <c r="H413" s="20">
        <v>0</v>
      </c>
      <c r="I413" s="20">
        <f t="shared" ref="I413:I417" si="520">AB413+AC413</f>
      </c>
      <c r="J413" s="21">
        <v>1670.76</v>
      </c>
      <c r="K413" s="22">
        <f t="shared" ref="K413:K417" si="611">I413-J413</f>
      </c>
      <c r="L413" s="22">
        <f t="shared" ref="L413:L417" si="281">(I413-AC413)/12+AC413</f>
      </c>
      <c r="M413" s="23">
        <f t="shared" si="311"/>
      </c>
      <c r="N413" s="24">
        <f t="shared" si="330"/>
      </c>
      <c r="O413" s="25">
        <f t="shared" si="349"/>
      </c>
      <c r="P413" s="26">
        <f t="shared" si="34"/>
      </c>
      <c r="Q413" s="26">
        <f t="shared" si="53"/>
      </c>
      <c r="R413" s="26">
        <f t="shared" si="72"/>
      </c>
      <c r="S413" s="27">
        <f t="shared" si="91"/>
      </c>
      <c r="T413" s="28">
        <f t="shared" si="641"/>
      </c>
      <c r="U413" s="26">
        <f t="shared" si="679"/>
      </c>
      <c r="V413" s="29">
        <f t="shared" si="660"/>
      </c>
      <c r="W413" s="29">
        <f t="shared" si="698"/>
      </c>
      <c r="X413" s="26">
        <f t="shared" si="15"/>
      </c>
      <c r="Y413" s="30">
        <f t="shared" ref="Y413:Y417" si="171">Z413+AA413</f>
      </c>
      <c r="Z413" s="30">
        <v>3</v>
      </c>
      <c r="AA413" s="30">
        <v>9</v>
      </c>
      <c r="AB413" s="31">
        <f>13665.48+970.92</f>
      </c>
      <c r="AC413" s="31">
        <v>0</v>
      </c>
      <c r="AD413" s="27">
        <f t="shared" si="201"/>
      </c>
      <c r="AE413" s="32" t="s">
        <v>41</v>
      </c>
      <c r="AF413" s="33" t="s">
        <v>42</v>
      </c>
      <c r="AG413" s="34">
        <v>7</v>
      </c>
      <c r="AH413" s="35">
        <v>87278</v>
      </c>
      <c r="AI413" s="35">
        <v>1035</v>
      </c>
      <c r="AJ413" s="35">
        <v>1079</v>
      </c>
      <c r="AK413" s="34">
        <v>181</v>
      </c>
      <c r="AL413" s="34">
        <v>223</v>
      </c>
    </row>
    <row r="414">
      <c r="A414" s="15"/>
      <c r="B414" s="16" t="s">
        <v>48</v>
      </c>
      <c r="C414" s="17" t="s">
        <v>50</v>
      </c>
      <c r="D414" s="18">
        <f t="shared" si="429"/>
      </c>
      <c r="E414" s="17">
        <v>415.05</v>
      </c>
      <c r="F414" s="20">
        <v>10277.82</v>
      </c>
      <c r="G414" s="20">
        <v>0</v>
      </c>
      <c r="H414" s="20">
        <v>0</v>
      </c>
      <c r="I414" s="20">
        <f t="shared" si="520"/>
      </c>
      <c r="J414" s="21">
        <f>1512.24+1587.24+4461.48+1337.04</f>
      </c>
      <c r="K414" s="22">
        <f t="shared" si="611"/>
      </c>
      <c r="L414" s="22">
        <f t="shared" si="281"/>
      </c>
      <c r="M414" s="23">
        <f t="shared" si="311"/>
      </c>
      <c r="N414" s="24">
        <f t="shared" si="330"/>
      </c>
      <c r="O414" s="25">
        <f t="shared" si="349"/>
      </c>
      <c r="P414" s="26">
        <f t="shared" si="34"/>
      </c>
      <c r="Q414" s="26">
        <f t="shared" si="53"/>
      </c>
      <c r="R414" s="26">
        <f t="shared" si="72"/>
      </c>
      <c r="S414" s="27">
        <f t="shared" si="91"/>
      </c>
      <c r="T414" s="28">
        <f t="shared" si="641"/>
      </c>
      <c r="U414" s="26">
        <f t="shared" si="679"/>
      </c>
      <c r="V414" s="29">
        <f t="shared" si="660"/>
      </c>
      <c r="W414" s="29">
        <f t="shared" si="698"/>
      </c>
      <c r="X414" s="26">
        <f t="shared" si="15"/>
      </c>
      <c r="Y414" s="30">
        <f t="shared" si="171"/>
      </c>
      <c r="Z414" s="30">
        <v>5</v>
      </c>
      <c r="AA414" s="30">
        <v>11</v>
      </c>
      <c r="AB414" s="31">
        <v>19226.040000000008</v>
      </c>
      <c r="AC414" s="31">
        <v>1020</v>
      </c>
      <c r="AD414" s="27">
        <f t="shared" si="201"/>
      </c>
      <c r="AE414" s="32" t="s">
        <v>41</v>
      </c>
      <c r="AF414" s="33" t="s">
        <v>42</v>
      </c>
      <c r="AG414" s="34">
        <v>8</v>
      </c>
      <c r="AH414" s="35">
        <v>122795</v>
      </c>
      <c r="AI414" s="35">
        <v>1303</v>
      </c>
      <c r="AJ414" s="35">
        <v>1297</v>
      </c>
      <c r="AK414" s="36">
        <v>236</v>
      </c>
      <c r="AL414" s="36">
        <v>286</v>
      </c>
    </row>
    <row r="415">
      <c r="A415" s="15"/>
      <c r="B415" s="16" t="s">
        <v>48</v>
      </c>
      <c r="C415" s="17" t="s">
        <v>51</v>
      </c>
      <c r="D415" s="18">
        <f t="shared" si="429"/>
      </c>
      <c r="E415" s="17">
        <v>321.39</v>
      </c>
      <c r="F415" s="17">
        <v>10129.07</v>
      </c>
      <c r="G415" s="20">
        <v>0</v>
      </c>
      <c r="H415" s="20">
        <v>0</v>
      </c>
      <c r="I415" s="20">
        <f t="shared" si="520"/>
      </c>
      <c r="J415" s="21">
        <f>2082.24+1172.88+411.48+1126.44</f>
      </c>
      <c r="K415" s="22">
        <f t="shared" si="611"/>
      </c>
      <c r="L415" s="22">
        <f t="shared" si="281"/>
      </c>
      <c r="M415" s="23">
        <f t="shared" si="311"/>
      </c>
      <c r="N415" s="24">
        <f t="shared" si="330"/>
      </c>
      <c r="O415" s="25">
        <f t="shared" si="349"/>
      </c>
      <c r="P415" s="26">
        <f t="shared" si="34"/>
      </c>
      <c r="Q415" s="26">
        <f t="shared" si="53"/>
      </c>
      <c r="R415" s="26">
        <f t="shared" si="72"/>
      </c>
      <c r="S415" s="27">
        <f t="shared" si="91"/>
      </c>
      <c r="T415" s="28">
        <f t="shared" si="641"/>
      </c>
      <c r="U415" s="26">
        <f t="shared" si="679"/>
      </c>
      <c r="V415" s="29">
        <f t="shared" si="660"/>
      </c>
      <c r="W415" s="29">
        <f t="shared" si="698"/>
      </c>
      <c r="X415" s="26">
        <f t="shared" si="15"/>
      </c>
      <c r="Y415" s="30">
        <f t="shared" si="171"/>
      </c>
      <c r="Z415" s="30">
        <v>10</v>
      </c>
      <c r="AA415" s="30">
        <v>12</v>
      </c>
      <c r="AB415" s="31">
        <v>13763.51999999999</v>
      </c>
      <c r="AC415" s="69">
        <v>0</v>
      </c>
      <c r="AD415" s="27">
        <f t="shared" si="201"/>
      </c>
      <c r="AE415" s="32" t="s">
        <v>41</v>
      </c>
      <c r="AF415" s="33" t="s">
        <v>42</v>
      </c>
      <c r="AG415" s="36">
        <v>8</v>
      </c>
      <c r="AH415" s="35">
        <v>130063</v>
      </c>
      <c r="AI415" s="35">
        <v>1483</v>
      </c>
      <c r="AJ415" s="35">
        <v>1489</v>
      </c>
      <c r="AK415" s="36">
        <v>233</v>
      </c>
      <c r="AL415" s="36">
        <v>330</v>
      </c>
    </row>
    <row customHeight="true" ht="16.666666666666668" r="416">
      <c r="A416" s="15"/>
      <c r="B416" s="16" t="s">
        <v>48</v>
      </c>
      <c r="C416" s="17" t="s">
        <v>52</v>
      </c>
      <c r="D416" s="18">
        <f t="shared" si="429"/>
      </c>
      <c r="E416" s="17">
        <v>590.21</v>
      </c>
      <c r="F416" s="17">
        <v>8754.79</v>
      </c>
      <c r="G416" s="20">
        <v>0</v>
      </c>
      <c r="H416" s="20">
        <v>0</v>
      </c>
      <c r="I416" s="20">
        <f t="shared" si="520"/>
      </c>
      <c r="J416" s="21">
        <v>395.28</v>
      </c>
      <c r="K416" s="22">
        <f t="shared" si="611"/>
      </c>
      <c r="L416" s="22">
        <f t="shared" si="281"/>
      </c>
      <c r="M416" s="23">
        <f t="shared" si="311"/>
      </c>
      <c r="N416" s="24">
        <f t="shared" si="330"/>
      </c>
      <c r="O416" s="25">
        <f t="shared" si="349"/>
      </c>
      <c r="P416" s="26">
        <f t="shared" si="34"/>
      </c>
      <c r="Q416" s="26">
        <f t="shared" si="53"/>
      </c>
      <c r="R416" s="26">
        <f t="shared" si="72"/>
      </c>
      <c r="S416" s="27">
        <f t="shared" si="91"/>
      </c>
      <c r="T416" s="28">
        <f t="shared" si="641"/>
      </c>
      <c r="U416" s="26">
        <f t="shared" si="679"/>
      </c>
      <c r="V416" s="29">
        <f t="shared" si="660"/>
      </c>
      <c r="W416" s="29">
        <f t="shared" si="698"/>
      </c>
      <c r="X416" s="26">
        <f t="shared" si="15"/>
      </c>
      <c r="Y416" s="30">
        <f t="shared" si="171"/>
      </c>
      <c r="Z416" s="30">
        <v>8</v>
      </c>
      <c r="AA416" s="30">
        <v>7</v>
      </c>
      <c r="AB416" s="31">
        <v>13507.680000000022</v>
      </c>
      <c r="AC416" s="69">
        <v>366</v>
      </c>
      <c r="AD416" s="27">
        <f t="shared" si="201"/>
      </c>
      <c r="AE416" s="32" t="s">
        <v>41</v>
      </c>
      <c r="AF416" s="33" t="s">
        <v>42</v>
      </c>
      <c r="AG416" s="36">
        <v>6</v>
      </c>
      <c r="AH416" s="35">
        <v>106581</v>
      </c>
      <c r="AI416" s="35">
        <v>1303</v>
      </c>
      <c r="AJ416" s="35">
        <v>1329</v>
      </c>
      <c r="AK416" s="36">
        <v>201</v>
      </c>
      <c r="AL416" s="36">
        <v>266</v>
      </c>
    </row>
    <row r="417">
      <c r="A417" s="15"/>
      <c r="B417" s="16" t="s">
        <v>48</v>
      </c>
      <c r="C417" s="17" t="s">
        <v>54</v>
      </c>
      <c r="D417" s="18">
        <f t="shared" si="429"/>
      </c>
      <c r="E417" s="17">
        <v>338.33</v>
      </c>
      <c r="F417" s="20">
        <v>7144.99</v>
      </c>
      <c r="G417" s="20">
        <v>0</v>
      </c>
      <c r="H417" s="20">
        <v>0</v>
      </c>
      <c r="I417" s="20">
        <f t="shared" si="520"/>
      </c>
      <c r="J417" s="21">
        <f>3450.6+657.72+1159.92</f>
      </c>
      <c r="K417" s="22">
        <f t="shared" si="611"/>
      </c>
      <c r="L417" s="22">
        <f t="shared" si="281"/>
      </c>
      <c r="M417" s="23">
        <f t="shared" si="311"/>
      </c>
      <c r="N417" s="24">
        <f t="shared" si="330"/>
      </c>
      <c r="O417" s="25">
        <f t="shared" si="349"/>
      </c>
      <c r="P417" s="26">
        <f t="shared" si="34"/>
      </c>
      <c r="Q417" s="26">
        <f t="shared" si="53"/>
      </c>
      <c r="R417" s="26">
        <f t="shared" si="72"/>
      </c>
      <c r="S417" s="27">
        <f t="shared" si="91"/>
      </c>
      <c r="T417" s="28">
        <f t="shared" si="641"/>
      </c>
      <c r="U417" s="26">
        <f t="shared" si="679"/>
      </c>
      <c r="V417" s="29">
        <f t="shared" si="660"/>
      </c>
      <c r="W417" s="29">
        <f t="shared" si="698"/>
      </c>
      <c r="X417" s="26">
        <f t="shared" si="15"/>
      </c>
      <c r="Y417" s="30">
        <f t="shared" si="171"/>
      </c>
      <c r="Z417" s="30">
        <v>5</v>
      </c>
      <c r="AA417" s="30">
        <v>7</v>
      </c>
      <c r="AB417" s="70">
        <f>8885.28+696.6</f>
      </c>
      <c r="AC417" s="74">
        <v>1027</v>
      </c>
      <c r="AD417" s="72">
        <f t="shared" si="201"/>
      </c>
      <c r="AE417" s="32" t="s">
        <v>41</v>
      </c>
      <c r="AF417" s="33" t="s">
        <v>42</v>
      </c>
      <c r="AG417" s="34">
        <v>5</v>
      </c>
      <c r="AH417" s="35">
        <v>83702</v>
      </c>
      <c r="AI417" s="35">
        <v>1049</v>
      </c>
      <c r="AJ417" s="35">
        <v>1100</v>
      </c>
      <c r="AK417" s="36">
        <v>189</v>
      </c>
      <c r="AL417" s="36">
        <v>224</v>
      </c>
    </row>
    <row r="418">
      <c r="A418" s="15"/>
      <c r="B418" s="38" t="s">
        <v>47</v>
      </c>
      <c r="C418" s="39">
        <v>5</v>
      </c>
      <c r="D418" s="40">
        <f>SUM(D413:D417)</f>
      </c>
      <c r="E418" s="40">
        <f>SUM(E413:E417)</f>
      </c>
      <c r="F418" s="40">
        <f>SUM(F413:F417)</f>
      </c>
      <c r="G418" s="40">
        <f>SUM(G413:G417)</f>
      </c>
      <c r="H418" s="40">
        <f>SUM(H413:H417)</f>
      </c>
      <c r="I418" s="40">
        <f>SUM(I413:I417)</f>
      </c>
      <c r="J418" s="40">
        <f>SUM(J413:J417)</f>
      </c>
      <c r="K418" s="40">
        <f>SUM(K413:K417)</f>
      </c>
      <c r="L418" s="40">
        <f>SUM(L413:L417)</f>
      </c>
      <c r="M418" s="41">
        <f t="shared" si="311"/>
      </c>
      <c r="N418" s="42">
        <f t="shared" si="330"/>
      </c>
      <c r="O418" s="42">
        <f t="shared" si="349"/>
      </c>
      <c r="P418" s="43">
        <f t="shared" si="34"/>
      </c>
      <c r="Q418" s="43">
        <f t="shared" si="53"/>
      </c>
      <c r="R418" s="43">
        <f t="shared" si="72"/>
      </c>
      <c r="S418" s="44">
        <f t="shared" si="91"/>
      </c>
      <c r="T418" s="44">
        <f t="shared" si="641"/>
      </c>
      <c r="U418" s="43">
        <f t="shared" si="679"/>
      </c>
      <c r="V418" s="44">
        <f t="shared" si="660"/>
      </c>
      <c r="W418" s="44">
        <f t="shared" si="698"/>
      </c>
      <c r="X418" s="43">
        <f t="shared" si="15"/>
      </c>
      <c r="Y418" s="40">
        <f>SUM(Y413:Y417)</f>
      </c>
      <c r="Z418" s="40">
        <f>SUM(Z413:Z417)</f>
      </c>
      <c r="AA418" s="40">
        <f>SUM(AA413:AA417)</f>
      </c>
      <c r="AB418" s="40">
        <f>SUM(AB413:AB417)</f>
      </c>
      <c r="AC418" s="40">
        <f>SUM(AC413:AC417)</f>
      </c>
      <c r="AD418" s="45">
        <f t="shared" si="201"/>
      </c>
      <c r="AE418" s="46"/>
      <c r="AF418" s="47"/>
      <c r="AG418" s="40">
        <f>SUM(AG413:AG417)</f>
      </c>
      <c r="AH418" s="40">
        <f>SUM(AH413:AH417)</f>
      </c>
      <c r="AI418" s="40">
        <f>SUM(AI413:AI417)</f>
      </c>
      <c r="AJ418" s="40">
        <f>SUM(AJ413:AJ417)</f>
      </c>
      <c r="AK418" s="40">
        <f>SUM(AK413:AK417)</f>
      </c>
      <c r="AL418" s="40">
        <f>SUM(AL413:AL417)</f>
      </c>
    </row>
    <row r="419">
      <c r="A419" s="15"/>
      <c r="B419" s="16" t="s">
        <v>53</v>
      </c>
      <c r="C419" s="17" t="s">
        <v>55</v>
      </c>
      <c r="D419" s="18">
        <f t="shared" ref="D419:D423" si="430">E419+F419+G419+H419</f>
      </c>
      <c r="E419" s="17">
        <v>387.45</v>
      </c>
      <c r="F419" s="49">
        <v>8923.78</v>
      </c>
      <c r="G419" s="20">
        <v>0</v>
      </c>
      <c r="H419" s="20">
        <v>0</v>
      </c>
      <c r="I419" s="50">
        <f t="shared" ref="I419:I423" si="521">AB419+AC419</f>
      </c>
      <c r="J419" s="51">
        <f>2603.88+1551.96</f>
      </c>
      <c r="K419" s="22">
        <f t="shared" ref="K419:K423" si="612">I419-J419</f>
      </c>
      <c r="L419" s="22">
        <f t="shared" ref="L419:L423" si="282">(I419-AC419)/12+AC419</f>
      </c>
      <c r="M419" s="23">
        <f t="shared" si="311"/>
      </c>
      <c r="N419" s="24">
        <f t="shared" si="330"/>
      </c>
      <c r="O419" s="25">
        <f t="shared" si="349"/>
      </c>
      <c r="P419" s="26">
        <f t="shared" si="34"/>
      </c>
      <c r="Q419" s="26">
        <f t="shared" si="53"/>
      </c>
      <c r="R419" s="26">
        <f t="shared" si="72"/>
      </c>
      <c r="S419" s="27">
        <f t="shared" si="91"/>
      </c>
      <c r="T419" s="28">
        <f t="shared" si="641"/>
      </c>
      <c r="U419" s="26">
        <f t="shared" si="679"/>
      </c>
      <c r="V419" s="29">
        <f t="shared" si="660"/>
      </c>
      <c r="W419" s="29">
        <f t="shared" si="698"/>
      </c>
      <c r="X419" s="26">
        <f t="shared" si="15"/>
      </c>
      <c r="Y419" s="30">
        <f t="shared" ref="Y419:Y423" si="172">Z419+AA419</f>
      </c>
      <c r="Z419" s="30">
        <v>3</v>
      </c>
      <c r="AA419" s="30">
        <v>9</v>
      </c>
      <c r="AB419" s="31">
        <v>13726.199999999983</v>
      </c>
      <c r="AC419" s="31">
        <v>679.0000000000018</v>
      </c>
      <c r="AD419" s="27">
        <f t="shared" si="201"/>
      </c>
      <c r="AE419" s="32" t="s">
        <v>41</v>
      </c>
      <c r="AF419" s="33" t="s">
        <v>56</v>
      </c>
      <c r="AG419" s="34">
        <v>9</v>
      </c>
      <c r="AH419" s="35">
        <v>111614</v>
      </c>
      <c r="AI419" s="35">
        <v>1084</v>
      </c>
      <c r="AJ419" s="35">
        <v>1121</v>
      </c>
      <c r="AK419" s="36">
        <v>228</v>
      </c>
      <c r="AL419" s="36">
        <v>272</v>
      </c>
    </row>
    <row r="420">
      <c r="A420" s="15"/>
      <c r="B420" s="16" t="s">
        <v>53</v>
      </c>
      <c r="C420" s="17" t="s">
        <v>58</v>
      </c>
      <c r="D420" s="18">
        <f t="shared" si="430"/>
      </c>
      <c r="E420" s="17">
        <v>613.65</v>
      </c>
      <c r="F420" s="49">
        <v>7759.11</v>
      </c>
      <c r="G420" s="20">
        <v>0</v>
      </c>
      <c r="H420" s="20">
        <v>0</v>
      </c>
      <c r="I420" s="50">
        <f t="shared" si="521"/>
      </c>
      <c r="J420" s="51">
        <f>453.6+4394.52</f>
      </c>
      <c r="K420" s="22">
        <f t="shared" si="612"/>
      </c>
      <c r="L420" s="22">
        <f t="shared" si="282"/>
      </c>
      <c r="M420" s="23">
        <f t="shared" si="311"/>
      </c>
      <c r="N420" s="24">
        <f t="shared" si="330"/>
      </c>
      <c r="O420" s="25">
        <f t="shared" si="349"/>
      </c>
      <c r="P420" s="26">
        <f t="shared" si="34"/>
      </c>
      <c r="Q420" s="26">
        <f t="shared" si="53"/>
      </c>
      <c r="R420" s="26">
        <f t="shared" si="72"/>
      </c>
      <c r="S420" s="27">
        <f t="shared" si="91"/>
      </c>
      <c r="T420" s="28">
        <f t="shared" si="641"/>
      </c>
      <c r="U420" s="26">
        <f t="shared" si="679"/>
      </c>
      <c r="V420" s="29">
        <f t="shared" si="660"/>
      </c>
      <c r="W420" s="29">
        <f t="shared" si="698"/>
      </c>
      <c r="X420" s="26">
        <f t="shared" si="15"/>
      </c>
      <c r="Y420" s="30">
        <f t="shared" si="172"/>
      </c>
      <c r="Z420" s="30">
        <v>3</v>
      </c>
      <c r="AA420" s="30">
        <v>5</v>
      </c>
      <c r="AB420" s="31">
        <v>7157.1600000000035</v>
      </c>
      <c r="AC420" s="31">
        <v>0</v>
      </c>
      <c r="AD420" s="27">
        <f t="shared" si="201"/>
      </c>
      <c r="AE420" s="32" t="s">
        <v>41</v>
      </c>
      <c r="AF420" s="33" t="s">
        <v>56</v>
      </c>
      <c r="AG420" s="36">
        <v>4</v>
      </c>
      <c r="AH420" s="35">
        <v>92874</v>
      </c>
      <c r="AI420" s="35">
        <v>959</v>
      </c>
      <c r="AJ420" s="35">
        <v>976</v>
      </c>
      <c r="AK420" s="36">
        <v>194</v>
      </c>
      <c r="AL420" s="36">
        <v>245</v>
      </c>
    </row>
    <row r="421">
      <c r="A421" s="15"/>
      <c r="B421" s="16" t="s">
        <v>53</v>
      </c>
      <c r="C421" s="17" t="s">
        <v>59</v>
      </c>
      <c r="D421" s="18">
        <f t="shared" si="430"/>
      </c>
      <c r="E421" s="17">
        <v>321.46</v>
      </c>
      <c r="F421" s="49">
        <v>5463.92</v>
      </c>
      <c r="G421" s="20">
        <v>0</v>
      </c>
      <c r="H421" s="20">
        <v>0</v>
      </c>
      <c r="I421" s="50">
        <f t="shared" si="521"/>
      </c>
      <c r="J421" s="51">
        <v>0</v>
      </c>
      <c r="K421" s="22">
        <f t="shared" si="612"/>
      </c>
      <c r="L421" s="22">
        <f t="shared" si="282"/>
      </c>
      <c r="M421" s="23">
        <f t="shared" si="311"/>
      </c>
      <c r="N421" s="24">
        <f t="shared" si="330"/>
      </c>
      <c r="O421" s="25">
        <f t="shared" si="349"/>
      </c>
      <c r="P421" s="26">
        <f t="shared" si="34"/>
      </c>
      <c r="Q421" s="26">
        <f t="shared" si="53"/>
      </c>
      <c r="R421" s="26">
        <f t="shared" si="72"/>
      </c>
      <c r="S421" s="27">
        <f t="shared" si="91"/>
      </c>
      <c r="T421" s="28">
        <f t="shared" si="641"/>
      </c>
      <c r="U421" s="26">
        <f t="shared" si="679"/>
      </c>
      <c r="V421" s="29">
        <f t="shared" si="660"/>
      </c>
      <c r="W421" s="29">
        <f t="shared" si="698"/>
      </c>
      <c r="X421" s="26">
        <f t="shared" si="15"/>
      </c>
      <c r="Y421" s="30">
        <f t="shared" si="172"/>
      </c>
      <c r="Z421" s="30">
        <v>6</v>
      </c>
      <c r="AA421" s="30">
        <v>7</v>
      </c>
      <c r="AB421" s="31">
        <v>8929.440000000002</v>
      </c>
      <c r="AC421" s="31">
        <v>0</v>
      </c>
      <c r="AD421" s="27">
        <f t="shared" si="201"/>
      </c>
      <c r="AE421" s="32" t="s">
        <v>41</v>
      </c>
      <c r="AF421" s="33" t="s">
        <v>56</v>
      </c>
      <c r="AG421" s="34">
        <v>5</v>
      </c>
      <c r="AH421" s="35">
        <v>74890</v>
      </c>
      <c r="AI421" s="35">
        <v>929</v>
      </c>
      <c r="AJ421" s="35">
        <v>951</v>
      </c>
      <c r="AK421" s="36">
        <v>162</v>
      </c>
      <c r="AL421" s="34">
        <v>186</v>
      </c>
    </row>
    <row customHeight="true" ht="16.666666666666668" r="422">
      <c r="A422" s="15"/>
      <c r="B422" s="16" t="s">
        <v>53</v>
      </c>
      <c r="C422" s="52" t="s">
        <v>60</v>
      </c>
      <c r="D422" s="18">
        <f t="shared" si="430"/>
      </c>
      <c r="E422" s="17">
        <v>256.51</v>
      </c>
      <c r="F422" s="49">
        <v>7417.35</v>
      </c>
      <c r="G422" s="20">
        <v>0</v>
      </c>
      <c r="H422" s="20">
        <v>0</v>
      </c>
      <c r="I422" s="50">
        <f t="shared" si="521"/>
      </c>
      <c r="J422" s="51">
        <f>2290.45+416.1+1172.88</f>
      </c>
      <c r="K422" s="22">
        <f t="shared" si="612"/>
      </c>
      <c r="L422" s="22">
        <f t="shared" si="282"/>
      </c>
      <c r="M422" s="23">
        <f t="shared" si="311"/>
      </c>
      <c r="N422" s="24">
        <f t="shared" si="330"/>
      </c>
      <c r="O422" s="25">
        <f t="shared" si="349"/>
      </c>
      <c r="P422" s="26">
        <f t="shared" si="34"/>
      </c>
      <c r="Q422" s="26">
        <f t="shared" si="53"/>
      </c>
      <c r="R422" s="26">
        <f t="shared" si="72"/>
      </c>
      <c r="S422" s="27">
        <f t="shared" si="91"/>
      </c>
      <c r="T422" s="28">
        <f t="shared" si="641"/>
      </c>
      <c r="U422" s="26">
        <f t="shared" si="679"/>
      </c>
      <c r="V422" s="29">
        <f t="shared" si="660"/>
      </c>
      <c r="W422" s="29">
        <f t="shared" si="698"/>
      </c>
      <c r="X422" s="26">
        <f t="shared" si="15"/>
      </c>
      <c r="Y422" s="30">
        <f t="shared" si="172"/>
      </c>
      <c r="Z422" s="30">
        <v>10</v>
      </c>
      <c r="AA422" s="30">
        <v>10</v>
      </c>
      <c r="AB422" s="31">
        <v>11412.600000000006</v>
      </c>
      <c r="AC422" s="31">
        <v>3290.5499999999993</v>
      </c>
      <c r="AD422" s="27">
        <f t="shared" si="201"/>
      </c>
      <c r="AE422" s="32" t="s">
        <v>41</v>
      </c>
      <c r="AF422" s="33" t="s">
        <v>56</v>
      </c>
      <c r="AG422" s="34">
        <v>7</v>
      </c>
      <c r="AH422" s="35">
        <v>99178</v>
      </c>
      <c r="AI422" s="35">
        <v>1178</v>
      </c>
      <c r="AJ422" s="35">
        <v>1190</v>
      </c>
      <c r="AK422" s="36">
        <v>198</v>
      </c>
      <c r="AL422" s="34">
        <v>236</v>
      </c>
    </row>
    <row r="423">
      <c r="A423" s="15"/>
      <c r="B423" s="16" t="s">
        <v>53</v>
      </c>
      <c r="C423" s="52" t="s">
        <v>61</v>
      </c>
      <c r="D423" s="18">
        <f t="shared" si="430"/>
      </c>
      <c r="E423" s="17">
        <v>283.7</v>
      </c>
      <c r="F423" s="49">
        <v>8380.03</v>
      </c>
      <c r="G423" s="20">
        <v>0</v>
      </c>
      <c r="H423" s="20">
        <v>0</v>
      </c>
      <c r="I423" s="50">
        <f t="shared" si="521"/>
      </c>
      <c r="J423" s="51">
        <f>1320.84+4725</f>
      </c>
      <c r="K423" s="22">
        <f t="shared" si="612"/>
      </c>
      <c r="L423" s="22">
        <f t="shared" si="282"/>
      </c>
      <c r="M423" s="23">
        <f t="shared" si="311"/>
      </c>
      <c r="N423" s="24">
        <f t="shared" si="330"/>
      </c>
      <c r="O423" s="25">
        <f t="shared" si="349"/>
      </c>
      <c r="P423" s="26">
        <f t="shared" si="34"/>
      </c>
      <c r="Q423" s="26">
        <f t="shared" si="53"/>
      </c>
      <c r="R423" s="26">
        <f t="shared" si="72"/>
      </c>
      <c r="S423" s="27">
        <f t="shared" si="91"/>
      </c>
      <c r="T423" s="28">
        <f t="shared" si="641"/>
      </c>
      <c r="U423" s="26">
        <f t="shared" si="679"/>
      </c>
      <c r="V423" s="29">
        <f t="shared" si="660"/>
      </c>
      <c r="W423" s="29">
        <f t="shared" si="698"/>
      </c>
      <c r="X423" s="26">
        <f t="shared" si="15"/>
      </c>
      <c r="Y423" s="30">
        <f t="shared" si="172"/>
      </c>
      <c r="Z423" s="30">
        <v>1</v>
      </c>
      <c r="AA423" s="30">
        <v>11</v>
      </c>
      <c r="AB423" s="31">
        <v>20415.6</v>
      </c>
      <c r="AC423" s="31">
        <v>1787.9</v>
      </c>
      <c r="AD423" s="27">
        <f t="shared" si="201"/>
      </c>
      <c r="AE423" s="32" t="s">
        <v>41</v>
      </c>
      <c r="AF423" s="33" t="s">
        <v>56</v>
      </c>
      <c r="AG423" s="34">
        <v>6</v>
      </c>
      <c r="AH423" s="35">
        <v>105261</v>
      </c>
      <c r="AI423" s="35">
        <v>1321</v>
      </c>
      <c r="AJ423" s="35">
        <v>1386</v>
      </c>
      <c r="AK423" s="36">
        <v>209</v>
      </c>
      <c r="AL423" s="34">
        <v>275</v>
      </c>
    </row>
    <row r="424">
      <c r="A424" s="15"/>
      <c r="B424" s="38" t="s">
        <v>47</v>
      </c>
      <c r="C424" s="39">
        <v>5</v>
      </c>
      <c r="D424" s="40">
        <f>SUM(D419:D423)</f>
      </c>
      <c r="E424" s="40">
        <f>SUM(E419:E423)</f>
      </c>
      <c r="F424" s="40">
        <f>SUM(F419:F423)</f>
      </c>
      <c r="G424" s="40">
        <f>SUM(G419:G423)</f>
      </c>
      <c r="H424" s="40">
        <f>SUM(H419:H423)</f>
      </c>
      <c r="I424" s="40">
        <f>SUM(I419:I423)</f>
      </c>
      <c r="J424" s="40">
        <f>SUM(J419:J423)</f>
      </c>
      <c r="K424" s="40">
        <f>SUM(K419:K423)</f>
      </c>
      <c r="L424" s="40">
        <f>SUM(L419:L423)</f>
      </c>
      <c r="M424" s="41">
        <f t="shared" si="311"/>
      </c>
      <c r="N424" s="42">
        <f t="shared" si="330"/>
      </c>
      <c r="O424" s="42">
        <f t="shared" si="349"/>
      </c>
      <c r="P424" s="43">
        <f t="shared" si="34"/>
      </c>
      <c r="Q424" s="43">
        <f t="shared" si="53"/>
      </c>
      <c r="R424" s="43">
        <f t="shared" si="72"/>
      </c>
      <c r="S424" s="44">
        <f t="shared" si="91"/>
      </c>
      <c r="T424" s="44">
        <f t="shared" si="641"/>
      </c>
      <c r="U424" s="43">
        <f t="shared" si="679"/>
      </c>
      <c r="V424" s="44">
        <f t="shared" si="660"/>
      </c>
      <c r="W424" s="44">
        <f t="shared" si="698"/>
      </c>
      <c r="X424" s="43">
        <f t="shared" si="15"/>
      </c>
      <c r="Y424" s="40">
        <f>SUM(Y419:Y423)</f>
      </c>
      <c r="Z424" s="40">
        <f>SUM(Z419:Z423)</f>
      </c>
      <c r="AA424" s="40">
        <f>SUM(AA419:AA423)</f>
      </c>
      <c r="AB424" s="40">
        <f>SUM(AB419:AB423)</f>
      </c>
      <c r="AC424" s="40">
        <f>SUM(AC419:AC423)</f>
      </c>
      <c r="AD424" s="45">
        <f t="shared" si="201"/>
      </c>
      <c r="AE424" s="46"/>
      <c r="AF424" s="47"/>
      <c r="AG424" s="40">
        <f>SUM(AG419:AG423)</f>
      </c>
      <c r="AH424" s="40">
        <f>SUM(AH419:AH423)</f>
      </c>
      <c r="AI424" s="40">
        <f>SUM(AI419:AI423)</f>
      </c>
      <c r="AJ424" s="40">
        <f>SUM(AJ419:AJ423)</f>
      </c>
      <c r="AK424" s="40">
        <f>SUM(AK419:AK423)</f>
      </c>
      <c r="AL424" s="40">
        <f>SUM(AL419:AL423)</f>
      </c>
    </row>
    <row r="425">
      <c r="A425" s="15"/>
      <c r="B425" s="16" t="s">
        <v>62</v>
      </c>
      <c r="C425" s="17" t="s">
        <v>63</v>
      </c>
      <c r="D425" s="18">
        <f t="shared" ref="D425:D429" si="431">E425+F425+G425+H425</f>
      </c>
      <c r="E425" s="17">
        <v>554.69</v>
      </c>
      <c r="F425" s="17">
        <v>8367.36</v>
      </c>
      <c r="G425" s="20">
        <v>0</v>
      </c>
      <c r="H425" s="20">
        <v>0</v>
      </c>
      <c r="I425" s="20">
        <f t="shared" ref="I425:I429" si="522">AB425+AC425</f>
      </c>
      <c r="J425" s="21">
        <v>1245.24</v>
      </c>
      <c r="K425" s="22">
        <f t="shared" ref="K425:K429" si="613">I425-J425</f>
      </c>
      <c r="L425" s="22">
        <f t="shared" ref="L425:L429" si="283">(I425-AC425)/12+AC425</f>
      </c>
      <c r="M425" s="23">
        <f t="shared" si="311"/>
      </c>
      <c r="N425" s="24">
        <f t="shared" si="330"/>
      </c>
      <c r="O425" s="25">
        <f t="shared" si="349"/>
      </c>
      <c r="P425" s="26">
        <f t="shared" si="34"/>
      </c>
      <c r="Q425" s="26">
        <f t="shared" si="53"/>
      </c>
      <c r="R425" s="26">
        <f t="shared" si="72"/>
      </c>
      <c r="S425" s="27">
        <f t="shared" si="91"/>
      </c>
      <c r="T425" s="28">
        <f t="shared" si="641"/>
      </c>
      <c r="U425" s="26">
        <f t="shared" si="679"/>
      </c>
      <c r="V425" s="29">
        <f t="shared" si="660"/>
      </c>
      <c r="W425" s="29">
        <f t="shared" si="698"/>
      </c>
      <c r="X425" s="26">
        <f t="shared" si="15"/>
      </c>
      <c r="Y425" s="30">
        <f t="shared" ref="Y425:Y429" si="173">Z425+AA425</f>
      </c>
      <c r="Z425" s="30">
        <v>7</v>
      </c>
      <c r="AA425" s="30">
        <v>11</v>
      </c>
      <c r="AB425" s="31">
        <v>14387.75999999998</v>
      </c>
      <c r="AC425" s="31">
        <v>644.9999999999982</v>
      </c>
      <c r="AD425" s="27">
        <f t="shared" si="201"/>
      </c>
      <c r="AE425" s="32" t="s">
        <v>41</v>
      </c>
      <c r="AF425" s="33" t="s">
        <v>56</v>
      </c>
      <c r="AG425" s="36">
        <v>11</v>
      </c>
      <c r="AH425" s="35">
        <v>102262</v>
      </c>
      <c r="AI425" s="35">
        <v>1317</v>
      </c>
      <c r="AJ425" s="35">
        <v>1370</v>
      </c>
      <c r="AK425" s="36">
        <v>212</v>
      </c>
      <c r="AL425" s="36">
        <v>264</v>
      </c>
    </row>
    <row r="426">
      <c r="A426" s="15"/>
      <c r="B426" s="16" t="s">
        <v>62</v>
      </c>
      <c r="C426" s="52" t="s">
        <v>64</v>
      </c>
      <c r="D426" s="18">
        <f t="shared" si="431"/>
      </c>
      <c r="E426" s="17">
        <v>489.85</v>
      </c>
      <c r="F426" s="17">
        <v>12722.32</v>
      </c>
      <c r="G426" s="20">
        <v>0</v>
      </c>
      <c r="H426" s="20">
        <v>0</v>
      </c>
      <c r="I426" s="20">
        <f t="shared" si="522"/>
      </c>
      <c r="J426" s="21">
        <v>1128.6</v>
      </c>
      <c r="K426" s="22">
        <f t="shared" si="613"/>
      </c>
      <c r="L426" s="22">
        <f t="shared" si="283"/>
      </c>
      <c r="M426" s="23">
        <f t="shared" si="311"/>
      </c>
      <c r="N426" s="24">
        <f t="shared" si="330"/>
      </c>
      <c r="O426" s="25">
        <f t="shared" si="349"/>
      </c>
      <c r="P426" s="26">
        <f t="shared" si="34"/>
      </c>
      <c r="Q426" s="26">
        <f t="shared" si="53"/>
      </c>
      <c r="R426" s="26">
        <f t="shared" si="72"/>
      </c>
      <c r="S426" s="27">
        <f t="shared" si="91"/>
      </c>
      <c r="T426" s="28">
        <f t="shared" si="641"/>
      </c>
      <c r="U426" s="26">
        <f t="shared" si="679"/>
      </c>
      <c r="V426" s="29">
        <f t="shared" si="660"/>
      </c>
      <c r="W426" s="29">
        <f t="shared" si="698"/>
      </c>
      <c r="X426" s="26">
        <f t="shared" si="15"/>
      </c>
      <c r="Y426" s="30">
        <f t="shared" si="173"/>
      </c>
      <c r="Z426" s="30">
        <v>3</v>
      </c>
      <c r="AA426" s="30">
        <v>16</v>
      </c>
      <c r="AB426" s="31">
        <v>25151.03999999998</v>
      </c>
      <c r="AC426" s="31">
        <v>1277</v>
      </c>
      <c r="AD426" s="27">
        <f t="shared" si="201"/>
      </c>
      <c r="AE426" s="32" t="s">
        <v>41</v>
      </c>
      <c r="AF426" s="33" t="s">
        <v>56</v>
      </c>
      <c r="AG426" s="36">
        <v>15</v>
      </c>
      <c r="AH426" s="35">
        <v>163122</v>
      </c>
      <c r="AI426" s="35">
        <v>1976</v>
      </c>
      <c r="AJ426" s="35">
        <v>1992</v>
      </c>
      <c r="AK426" s="36">
        <v>321</v>
      </c>
      <c r="AL426" s="36">
        <v>358</v>
      </c>
    </row>
    <row customHeight="true" ht="16.666666666666668" r="427">
      <c r="A427" s="15"/>
      <c r="B427" s="16" t="s">
        <v>62</v>
      </c>
      <c r="C427" s="52" t="s">
        <v>65</v>
      </c>
      <c r="D427" s="18">
        <f t="shared" si="431"/>
      </c>
      <c r="E427" s="17">
        <v>1250.05</v>
      </c>
      <c r="F427" s="17">
        <v>12589.38</v>
      </c>
      <c r="G427" s="20">
        <v>0</v>
      </c>
      <c r="H427" s="20">
        <v>0</v>
      </c>
      <c r="I427" s="20">
        <f t="shared" si="522"/>
      </c>
      <c r="J427" s="21">
        <v>0</v>
      </c>
      <c r="K427" s="22">
        <f t="shared" si="613"/>
      </c>
      <c r="L427" s="22">
        <f t="shared" si="283"/>
      </c>
      <c r="M427" s="23">
        <f t="shared" si="311"/>
      </c>
      <c r="N427" s="24">
        <f t="shared" si="330"/>
      </c>
      <c r="O427" s="25">
        <f t="shared" si="349"/>
      </c>
      <c r="P427" s="26">
        <f t="shared" si="34"/>
      </c>
      <c r="Q427" s="26">
        <f t="shared" si="53"/>
      </c>
      <c r="R427" s="26">
        <f t="shared" si="72"/>
      </c>
      <c r="S427" s="27">
        <f t="shared" si="91"/>
      </c>
      <c r="T427" s="28">
        <f t="shared" si="641"/>
      </c>
      <c r="U427" s="26">
        <f t="shared" si="679"/>
      </c>
      <c r="V427" s="29">
        <f t="shared" si="660"/>
      </c>
      <c r="W427" s="29">
        <f t="shared" si="698"/>
      </c>
      <c r="X427" s="26">
        <f t="shared" si="15"/>
      </c>
      <c r="Y427" s="30">
        <f t="shared" si="173"/>
      </c>
      <c r="Z427" s="30">
        <v>6</v>
      </c>
      <c r="AA427" s="30">
        <v>13</v>
      </c>
      <c r="AB427" s="31">
        <v>27756.72</v>
      </c>
      <c r="AC427" s="31">
        <v>697</v>
      </c>
      <c r="AD427" s="27">
        <f t="shared" si="201"/>
      </c>
      <c r="AE427" s="32" t="s">
        <v>41</v>
      </c>
      <c r="AF427" s="33" t="s">
        <v>56</v>
      </c>
      <c r="AG427" s="36">
        <v>12</v>
      </c>
      <c r="AH427" s="35">
        <v>192638</v>
      </c>
      <c r="AI427" s="35">
        <v>2391</v>
      </c>
      <c r="AJ427" s="35">
        <v>2440</v>
      </c>
      <c r="AK427" s="36">
        <v>317</v>
      </c>
      <c r="AL427" s="36">
        <v>368</v>
      </c>
    </row>
    <row r="428">
      <c r="A428" s="15"/>
      <c r="B428" s="16" t="s">
        <v>62</v>
      </c>
      <c r="C428" s="17" t="s">
        <v>66</v>
      </c>
      <c r="D428" s="18">
        <f t="shared" si="431"/>
      </c>
      <c r="E428" s="17">
        <v>791.54</v>
      </c>
      <c r="F428" s="20">
        <v>6622.56</v>
      </c>
      <c r="G428" s="20">
        <v>0</v>
      </c>
      <c r="H428" s="20">
        <v>0</v>
      </c>
      <c r="I428" s="37">
        <f t="shared" si="522"/>
      </c>
      <c r="J428" s="21">
        <v>864</v>
      </c>
      <c r="K428" s="22">
        <f t="shared" si="613"/>
      </c>
      <c r="L428" s="22">
        <f t="shared" si="283"/>
      </c>
      <c r="M428" s="23">
        <f t="shared" si="311"/>
      </c>
      <c r="N428" s="24">
        <f t="shared" si="330"/>
      </c>
      <c r="O428" s="25">
        <f t="shared" si="349"/>
      </c>
      <c r="P428" s="26">
        <f t="shared" si="34"/>
      </c>
      <c r="Q428" s="26">
        <f t="shared" si="53"/>
      </c>
      <c r="R428" s="26">
        <f t="shared" si="72"/>
      </c>
      <c r="S428" s="27">
        <f t="shared" si="91"/>
      </c>
      <c r="T428" s="28">
        <f t="shared" si="641"/>
      </c>
      <c r="U428" s="26">
        <f t="shared" si="679"/>
      </c>
      <c r="V428" s="29">
        <f t="shared" si="660"/>
      </c>
      <c r="W428" s="29">
        <f t="shared" si="698"/>
      </c>
      <c r="X428" s="26">
        <f t="shared" si="15"/>
      </c>
      <c r="Y428" s="30">
        <f t="shared" si="173"/>
      </c>
      <c r="Z428" s="30">
        <v>5</v>
      </c>
      <c r="AA428" s="30">
        <v>9</v>
      </c>
      <c r="AB428" s="31">
        <v>13188.12</v>
      </c>
      <c r="AC428" s="31">
        <v>1274.9</v>
      </c>
      <c r="AD428" s="27">
        <f t="shared" si="201"/>
      </c>
      <c r="AE428" s="32" t="s">
        <v>41</v>
      </c>
      <c r="AF428" s="33" t="s">
        <v>56</v>
      </c>
      <c r="AG428" s="34">
        <v>7</v>
      </c>
      <c r="AH428" s="35">
        <v>94399</v>
      </c>
      <c r="AI428" s="35">
        <v>2407</v>
      </c>
      <c r="AJ428" s="35">
        <v>2571</v>
      </c>
      <c r="AK428" s="36">
        <v>185</v>
      </c>
      <c r="AL428" s="36">
        <v>210</v>
      </c>
    </row>
    <row r="429">
      <c r="A429" s="15"/>
      <c r="B429" s="16" t="s">
        <v>62</v>
      </c>
      <c r="C429" s="17" t="s">
        <v>67</v>
      </c>
      <c r="D429" s="18">
        <f t="shared" si="431"/>
      </c>
      <c r="E429" s="19">
        <v>241.91</v>
      </c>
      <c r="F429" s="20">
        <f>2589.99+2.25</f>
      </c>
      <c r="G429" s="20">
        <v>0</v>
      </c>
      <c r="H429" s="20">
        <v>0</v>
      </c>
      <c r="I429" s="20">
        <f t="shared" si="522"/>
      </c>
      <c r="J429" s="21">
        <v>0</v>
      </c>
      <c r="K429" s="22">
        <f t="shared" si="613"/>
      </c>
      <c r="L429" s="22">
        <f t="shared" si="283"/>
      </c>
      <c r="M429" s="23">
        <f t="shared" si="311"/>
      </c>
      <c r="N429" s="24">
        <f t="shared" si="330"/>
      </c>
      <c r="O429" s="25">
        <f t="shared" si="349"/>
      </c>
      <c r="P429" s="26">
        <f t="shared" si="34"/>
      </c>
      <c r="Q429" s="26">
        <f t="shared" si="53"/>
      </c>
      <c r="R429" s="26">
        <f t="shared" si="72"/>
      </c>
      <c r="S429" s="27">
        <f t="shared" si="91"/>
      </c>
      <c r="T429" s="28">
        <f t="shared" si="641"/>
      </c>
      <c r="U429" s="26">
        <f t="shared" si="679"/>
      </c>
      <c r="V429" s="29">
        <f t="shared" si="660"/>
      </c>
      <c r="W429" s="29">
        <f t="shared" si="698"/>
      </c>
      <c r="X429" s="26">
        <f t="shared" si="15"/>
      </c>
      <c r="Y429" s="30">
        <f t="shared" si="173"/>
      </c>
      <c r="Z429" s="30">
        <v>1</v>
      </c>
      <c r="AA429" s="30">
        <v>3</v>
      </c>
      <c r="AB429" s="31">
        <v>3730.319999999998</v>
      </c>
      <c r="AC429" s="31">
        <v>0</v>
      </c>
      <c r="AD429" s="27">
        <f t="shared" si="201"/>
      </c>
      <c r="AE429" s="32" t="s">
        <v>41</v>
      </c>
      <c r="AF429" s="33" t="s">
        <v>56</v>
      </c>
      <c r="AG429" s="34">
        <v>3</v>
      </c>
      <c r="AH429" s="35">
        <v>38883</v>
      </c>
      <c r="AI429" s="35">
        <v>1480</v>
      </c>
      <c r="AJ429" s="35">
        <v>1616</v>
      </c>
      <c r="AK429" s="34">
        <v>126</v>
      </c>
      <c r="AL429" s="34">
        <v>96</v>
      </c>
    </row>
    <row r="430">
      <c r="A430" s="15"/>
      <c r="B430" s="38" t="s">
        <v>47</v>
      </c>
      <c r="C430" s="39">
        <v>5</v>
      </c>
      <c r="D430" s="40">
        <f>SUM(D425:D429)</f>
      </c>
      <c r="E430" s="40">
        <f>SUM(E425:E429)</f>
      </c>
      <c r="F430" s="40">
        <f>SUM(F425:F429)</f>
      </c>
      <c r="G430" s="40">
        <f>SUM(G425:G429)</f>
      </c>
      <c r="H430" s="40">
        <f>SUM(H425:H429)</f>
      </c>
      <c r="I430" s="40">
        <f>SUM(I425:I429)</f>
      </c>
      <c r="J430" s="40">
        <f>SUM(J425:J429)</f>
      </c>
      <c r="K430" s="40">
        <f>SUM(K425:K429)</f>
      </c>
      <c r="L430" s="40">
        <f>SUM(L425:L429)</f>
      </c>
      <c r="M430" s="41">
        <f t="shared" si="311"/>
      </c>
      <c r="N430" s="42">
        <f t="shared" si="330"/>
      </c>
      <c r="O430" s="42">
        <f t="shared" si="349"/>
      </c>
      <c r="P430" s="43">
        <f t="shared" si="34"/>
      </c>
      <c r="Q430" s="43">
        <f t="shared" si="53"/>
      </c>
      <c r="R430" s="43">
        <f t="shared" si="72"/>
      </c>
      <c r="S430" s="44">
        <f t="shared" si="91"/>
      </c>
      <c r="T430" s="44">
        <f t="shared" si="641"/>
      </c>
      <c r="U430" s="43">
        <f t="shared" si="679"/>
      </c>
      <c r="V430" s="44">
        <f t="shared" si="660"/>
      </c>
      <c r="W430" s="44">
        <f t="shared" si="698"/>
      </c>
      <c r="X430" s="43">
        <f t="shared" si="15"/>
      </c>
      <c r="Y430" s="40">
        <f>SUM(Y425:Y429)</f>
      </c>
      <c r="Z430" s="40">
        <f>SUM(Z425:Z429)</f>
      </c>
      <c r="AA430" s="40">
        <f>SUM(AA425:AA429)</f>
      </c>
      <c r="AB430" s="40">
        <f>SUM(AB425:AB429)</f>
      </c>
      <c r="AC430" s="40">
        <f>SUM(AC425:AC429)</f>
      </c>
      <c r="AD430" s="59">
        <f t="shared" si="201"/>
      </c>
      <c r="AE430" s="46"/>
      <c r="AF430" s="47"/>
      <c r="AG430" s="40">
        <f>SUM(AG425:AG429)</f>
      </c>
      <c r="AH430" s="40">
        <f>SUM(AH425:AH429)</f>
      </c>
      <c r="AI430" s="40">
        <f>SUM(AI425:AI429)</f>
      </c>
      <c r="AJ430" s="40">
        <f>SUM(AJ425:AJ429)</f>
      </c>
      <c r="AK430" s="40">
        <f>SUM(AK425:AK429)</f>
      </c>
      <c r="AL430" s="40">
        <f>SUM(AL425:AL429)</f>
      </c>
    </row>
    <row r="431">
      <c r="A431" s="15"/>
      <c r="B431" s="60" t="s">
        <v>47</v>
      </c>
      <c r="C431" s="61">
        <f>C412+C418+C424+C430</f>
      </c>
      <c r="D431" s="61">
        <f>D412+D418+D424+D430</f>
      </c>
      <c r="E431" s="61">
        <f>E412+E418+E424+E430</f>
      </c>
      <c r="F431" s="61">
        <f>F412+F418+F424+F430</f>
      </c>
      <c r="G431" s="61">
        <f>G412+G418+G424+G430</f>
      </c>
      <c r="H431" s="61">
        <f>H412+H418+H424+H430</f>
      </c>
      <c r="I431" s="62">
        <f>I412+I418+I424+I430</f>
      </c>
      <c r="J431" s="61">
        <f>J412+J418+J424+J430</f>
      </c>
      <c r="K431" s="61">
        <f>K412+K418+K424+K430</f>
      </c>
      <c r="L431" s="61">
        <f>L412+L418+L424+L430</f>
      </c>
      <c r="M431" s="63">
        <f t="shared" si="311"/>
      </c>
      <c r="N431" s="63">
        <f t="shared" si="330"/>
      </c>
      <c r="O431" s="63">
        <f t="shared" si="349"/>
      </c>
      <c r="P431" s="63">
        <f t="shared" si="34"/>
      </c>
      <c r="Q431" s="63">
        <f t="shared" si="53"/>
      </c>
      <c r="R431" s="63">
        <f t="shared" si="72"/>
      </c>
      <c r="S431" s="64">
        <f t="shared" si="91"/>
      </c>
      <c r="T431" s="64">
        <f t="shared" si="641"/>
      </c>
      <c r="U431" s="63">
        <f t="shared" si="679"/>
      </c>
      <c r="V431" s="64">
        <f t="shared" si="660"/>
      </c>
      <c r="W431" s="64">
        <f t="shared" si="698"/>
      </c>
      <c r="X431" s="63">
        <f t="shared" si="15"/>
      </c>
      <c r="Y431" s="61">
        <f>Y412+Y418+Y424+Y430</f>
      </c>
      <c r="Z431" s="61">
        <f>Z412+Z418+Z424+Z430</f>
      </c>
      <c r="AA431" s="62">
        <f>AA412+AA418+AA424+AA430</f>
      </c>
      <c r="AB431" s="61">
        <f>AB412+AB418+AB424+AB430</f>
      </c>
      <c r="AC431" s="61">
        <f>AC412+AC418+AC424+AC430</f>
      </c>
      <c r="AD431" s="66">
        <f t="shared" si="201"/>
      </c>
      <c r="AE431" s="67"/>
      <c r="AF431" s="60"/>
      <c r="AG431" s="61">
        <f>AG412+AG418+AG424+AG430</f>
      </c>
      <c r="AH431" s="61">
        <f>AH412+AH418+AH424+AH430</f>
      </c>
      <c r="AI431" s="61">
        <f>AI412+AI418+AI424+AI430</f>
      </c>
      <c r="AJ431" s="61">
        <f>AJ412+AJ418+AJ424+AJ430</f>
      </c>
      <c r="AK431" s="61">
        <f>AK412+AK418+AK424+AK430</f>
      </c>
      <c r="AL431" s="61">
        <f>AL412+AL418+AL424+AL430</f>
      </c>
    </row>
    <row r="432">
      <c r="A432" s="1" t="s">
        <v>1</v>
      </c>
      <c r="B432" s="2" t="s">
        <v>2</v>
      </c>
      <c r="C432" s="2" t="s">
        <v>3</v>
      </c>
      <c r="D432" s="3" t="s">
        <v>4</v>
      </c>
      <c r="E432" s="2" t="s">
        <v>5</v>
      </c>
      <c r="F432" s="2" t="s">
        <v>6</v>
      </c>
      <c r="G432" s="4" t="s">
        <v>7</v>
      </c>
      <c r="H432" s="4" t="s">
        <v>8</v>
      </c>
      <c r="I432" s="3" t="s">
        <v>9</v>
      </c>
      <c r="J432" s="5" t="s">
        <v>10</v>
      </c>
      <c r="K432" s="6" t="s">
        <v>11</v>
      </c>
      <c r="L432" s="6" t="s">
        <v>12</v>
      </c>
      <c r="M432" s="7" t="s">
        <v>13</v>
      </c>
      <c r="N432" s="6" t="s">
        <v>14</v>
      </c>
      <c r="O432" s="2" t="s">
        <v>15</v>
      </c>
      <c r="P432" s="7" t="s">
        <v>16</v>
      </c>
      <c r="Q432" s="8" t="s">
        <v>17</v>
      </c>
      <c r="R432" s="8" t="s">
        <v>18</v>
      </c>
      <c r="S432" s="3" t="s">
        <v>19</v>
      </c>
      <c r="T432" s="9" t="s">
        <v>20</v>
      </c>
      <c r="U432" s="7" t="s">
        <v>21</v>
      </c>
      <c r="V432" s="10" t="s">
        <v>22</v>
      </c>
      <c r="W432" s="11" t="s">
        <v>23</v>
      </c>
      <c r="X432" s="7" t="s">
        <v>24</v>
      </c>
      <c r="Y432" s="12" t="s">
        <v>25</v>
      </c>
      <c r="Z432" s="13" t="s">
        <v>26</v>
      </c>
      <c r="AA432" s="12" t="s">
        <v>27</v>
      </c>
      <c r="AB432" s="14" t="s">
        <v>28</v>
      </c>
      <c r="AC432" s="14" t="s">
        <v>29</v>
      </c>
      <c r="AD432" s="6" t="s">
        <v>30</v>
      </c>
      <c r="AE432" s="5" t="s">
        <v>31</v>
      </c>
      <c r="AF432" s="6" t="s">
        <v>32</v>
      </c>
      <c r="AG432" s="5" t="s">
        <v>33</v>
      </c>
      <c r="AH432" s="5" t="s">
        <v>34</v>
      </c>
      <c r="AI432" s="6" t="s">
        <v>35</v>
      </c>
      <c r="AJ432" s="5" t="s">
        <v>36</v>
      </c>
      <c r="AK432" s="6" t="s">
        <v>37</v>
      </c>
      <c r="AL432" s="5" t="s">
        <v>38</v>
      </c>
    </row>
    <row r="433">
      <c r="A433" s="15">
        <v>46312</v>
      </c>
      <c r="B433" s="16" t="s">
        <v>73</v>
      </c>
      <c r="C433" s="17" t="s">
        <v>40</v>
      </c>
      <c r="D433" s="18">
        <f t="shared" ref="D433:D437" si="432">E433+F433+G433+H433</f>
      </c>
      <c r="E433" s="19">
        <v>882.91</v>
      </c>
      <c r="F433" s="20">
        <v>8134.9</v>
      </c>
      <c r="G433" s="20">
        <v>0</v>
      </c>
      <c r="H433" s="20">
        <v>0</v>
      </c>
      <c r="I433" s="20">
        <f t="shared" ref="I433:I437" si="523">AB433+AC433</f>
      </c>
      <c r="J433" s="21">
        <v>2748.6</v>
      </c>
      <c r="K433" s="22">
        <f t="shared" ref="K433:K437" si="614">I433-J433</f>
      </c>
      <c r="L433" s="22">
        <f t="shared" ref="L433:L437" si="284">(I433-AC433)/12+AC433</f>
      </c>
      <c r="M433" s="23">
        <f t="shared" ref="M433:M457" si="312">I433/D433</f>
      </c>
      <c r="N433" s="24">
        <f t="shared" ref="N433:N457" si="331">(I433-J433)/D433</f>
      </c>
      <c r="O433" s="25">
        <f t="shared" ref="O433:O457" si="350">(AC433+AB433/12)/D433</f>
      </c>
      <c r="P433" s="26">
        <f t="shared" ref="P433:P457" si="35">I433/AA433</f>
      </c>
      <c r="Q433" s="26">
        <f t="shared" ref="Q433:Q457" si="54">D433/AA433</f>
      </c>
      <c r="R433" s="26">
        <f t="shared" ref="R433:R457" si="73">D433/AG433</f>
      </c>
      <c r="S433" s="27">
        <f t="shared" ref="S433:S457" si="92">AA433/Y433</f>
      </c>
      <c r="T433" s="28">
        <f t="shared" ref="T433:T457" si="642">AI433/AH433</f>
      </c>
      <c r="U433" s="26">
        <f t="shared" ref="U433:U457" si="680">D433/AJ433</f>
      </c>
      <c r="V433" s="29">
        <f t="shared" ref="V433:V457" si="661">AK433/AJ433</f>
      </c>
      <c r="W433" s="29">
        <f t="shared" ref="W433:W457" si="699">AL433/AJ433</f>
      </c>
      <c r="X433" s="26">
        <f t="shared" ref="X433:X457" si="16">D433/AL433</f>
      </c>
      <c r="Y433" s="30">
        <f t="shared" ref="Y433:Y437" si="174">Z433+AA433</f>
      </c>
      <c r="Z433" s="30">
        <v>6</v>
      </c>
      <c r="AA433" s="30">
        <v>8</v>
      </c>
      <c r="AB433" s="31">
        <v>18675.360000000004</v>
      </c>
      <c r="AC433" s="31">
        <v>0</v>
      </c>
      <c r="AD433" s="27">
        <f t="shared" ref="AD433:AD457" si="202">AC433/I433</f>
      </c>
      <c r="AE433" s="32" t="s">
        <v>41</v>
      </c>
      <c r="AF433" s="33" t="s">
        <v>42</v>
      </c>
      <c r="AG433" s="34">
        <v>7</v>
      </c>
      <c r="AH433" s="34">
        <v>118815</v>
      </c>
      <c r="AI433" s="35">
        <v>2665</v>
      </c>
      <c r="AJ433" s="35">
        <v>2938</v>
      </c>
      <c r="AK433" s="34">
        <v>299</v>
      </c>
      <c r="AL433" s="36">
        <v>294</v>
      </c>
    </row>
    <row r="434">
      <c r="A434" s="15"/>
      <c r="B434" s="16" t="s">
        <v>73</v>
      </c>
      <c r="C434" s="17" t="s">
        <v>43</v>
      </c>
      <c r="D434" s="18">
        <f t="shared" si="432"/>
      </c>
      <c r="E434" s="17">
        <v>1340.54</v>
      </c>
      <c r="F434" s="20">
        <v>8462.23</v>
      </c>
      <c r="G434" s="20">
        <v>0</v>
      </c>
      <c r="H434" s="20">
        <v>0</v>
      </c>
      <c r="I434" s="20">
        <f t="shared" si="523"/>
      </c>
      <c r="J434" s="21">
        <f>3016.92+389.88+4461.48+752.76</f>
      </c>
      <c r="K434" s="22">
        <f t="shared" si="614"/>
      </c>
      <c r="L434" s="22">
        <f t="shared" si="284"/>
      </c>
      <c r="M434" s="23">
        <f t="shared" si="312"/>
      </c>
      <c r="N434" s="24">
        <f t="shared" si="331"/>
      </c>
      <c r="O434" s="25">
        <f t="shared" si="350"/>
      </c>
      <c r="P434" s="26">
        <f t="shared" si="35"/>
      </c>
      <c r="Q434" s="26">
        <f t="shared" si="54"/>
      </c>
      <c r="R434" s="26">
        <f t="shared" si="73"/>
      </c>
      <c r="S434" s="27">
        <f t="shared" si="92"/>
      </c>
      <c r="T434" s="28">
        <f t="shared" si="642"/>
      </c>
      <c r="U434" s="26">
        <f t="shared" si="680"/>
      </c>
      <c r="V434" s="29">
        <f t="shared" si="661"/>
      </c>
      <c r="W434" s="29">
        <f t="shared" si="699"/>
      </c>
      <c r="X434" s="26">
        <f t="shared" si="16"/>
      </c>
      <c r="Y434" s="30">
        <f t="shared" si="174"/>
      </c>
      <c r="Z434" s="30">
        <v>7</v>
      </c>
      <c r="AA434" s="30">
        <v>11</v>
      </c>
      <c r="AB434" s="31">
        <v>21479.279999999995</v>
      </c>
      <c r="AC434" s="31">
        <v>0</v>
      </c>
      <c r="AD434" s="27">
        <f t="shared" si="202"/>
      </c>
      <c r="AE434" s="32" t="s">
        <v>41</v>
      </c>
      <c r="AF434" s="33" t="s">
        <v>42</v>
      </c>
      <c r="AG434" s="34">
        <v>11</v>
      </c>
      <c r="AH434" s="35">
        <v>97002</v>
      </c>
      <c r="AI434" s="35">
        <v>2329</v>
      </c>
      <c r="AJ434" s="35">
        <v>2583</v>
      </c>
      <c r="AK434" s="36">
        <v>297</v>
      </c>
      <c r="AL434" s="36">
        <v>288</v>
      </c>
    </row>
    <row r="435">
      <c r="A435" s="15"/>
      <c r="B435" s="16" t="s">
        <v>73</v>
      </c>
      <c r="C435" s="17" t="s">
        <v>44</v>
      </c>
      <c r="D435" s="18">
        <f t="shared" si="432"/>
      </c>
      <c r="E435" s="17">
        <v>1577.46</v>
      </c>
      <c r="F435" s="20">
        <v>8690.09</v>
      </c>
      <c r="G435" s="20">
        <v>0</v>
      </c>
      <c r="H435" s="20">
        <v>0</v>
      </c>
      <c r="I435" s="20">
        <f t="shared" si="523"/>
      </c>
      <c r="J435" s="21">
        <v>0</v>
      </c>
      <c r="K435" s="22">
        <f t="shared" si="614"/>
      </c>
      <c r="L435" s="22">
        <f t="shared" si="284"/>
      </c>
      <c r="M435" s="23">
        <f t="shared" si="312"/>
      </c>
      <c r="N435" s="24">
        <f t="shared" si="331"/>
      </c>
      <c r="O435" s="25">
        <f t="shared" si="350"/>
      </c>
      <c r="P435" s="26">
        <f t="shared" si="35"/>
      </c>
      <c r="Q435" s="26">
        <f t="shared" si="54"/>
      </c>
      <c r="R435" s="26">
        <f t="shared" si="73"/>
      </c>
      <c r="S435" s="27">
        <f t="shared" si="92"/>
      </c>
      <c r="T435" s="28">
        <f t="shared" si="642"/>
      </c>
      <c r="U435" s="26">
        <f t="shared" si="680"/>
      </c>
      <c r="V435" s="29">
        <f t="shared" si="661"/>
      </c>
      <c r="W435" s="29">
        <f t="shared" si="699"/>
      </c>
      <c r="X435" s="26">
        <f t="shared" si="16"/>
      </c>
      <c r="Y435" s="30">
        <f t="shared" si="174"/>
      </c>
      <c r="Z435" s="30">
        <v>11</v>
      </c>
      <c r="AA435" s="30">
        <v>5</v>
      </c>
      <c r="AB435" s="31">
        <v>4902.960000000006</v>
      </c>
      <c r="AC435" s="31">
        <v>2930.9999999999995</v>
      </c>
      <c r="AD435" s="27">
        <f t="shared" si="202"/>
      </c>
      <c r="AE435" s="32" t="s">
        <v>41</v>
      </c>
      <c r="AF435" s="33" t="s">
        <v>42</v>
      </c>
      <c r="AG435" s="36">
        <v>4</v>
      </c>
      <c r="AH435" s="35">
        <v>86791</v>
      </c>
      <c r="AI435" s="35">
        <v>1798</v>
      </c>
      <c r="AJ435" s="35">
        <v>2028</v>
      </c>
      <c r="AK435" s="36">
        <v>240</v>
      </c>
      <c r="AL435" s="36">
        <v>242</v>
      </c>
    </row>
    <row r="436">
      <c r="A436" s="15"/>
      <c r="B436" s="16" t="s">
        <v>73</v>
      </c>
      <c r="C436" s="17" t="s">
        <v>45</v>
      </c>
      <c r="D436" s="18">
        <f t="shared" si="432"/>
      </c>
      <c r="E436" s="17">
        <v>1538.34</v>
      </c>
      <c r="F436" s="20">
        <v>5949</v>
      </c>
      <c r="G436" s="20">
        <v>0</v>
      </c>
      <c r="H436" s="20">
        <v>0</v>
      </c>
      <c r="I436" s="37">
        <f t="shared" si="523"/>
      </c>
      <c r="J436" s="21">
        <v>1591.92</v>
      </c>
      <c r="K436" s="22">
        <f t="shared" si="614"/>
      </c>
      <c r="L436" s="22">
        <f t="shared" si="284"/>
      </c>
      <c r="M436" s="23">
        <f t="shared" si="312"/>
      </c>
      <c r="N436" s="24">
        <f t="shared" si="331"/>
      </c>
      <c r="O436" s="25">
        <f t="shared" si="350"/>
      </c>
      <c r="P436" s="26">
        <f t="shared" si="35"/>
      </c>
      <c r="Q436" s="26">
        <f t="shared" si="54"/>
      </c>
      <c r="R436" s="26">
        <f t="shared" si="73"/>
      </c>
      <c r="S436" s="27">
        <f t="shared" si="92"/>
      </c>
      <c r="T436" s="28">
        <f t="shared" si="642"/>
      </c>
      <c r="U436" s="26">
        <f t="shared" si="680"/>
      </c>
      <c r="V436" s="29">
        <f t="shared" si="661"/>
      </c>
      <c r="W436" s="29">
        <f t="shared" si="699"/>
      </c>
      <c r="X436" s="26">
        <f t="shared" si="16"/>
      </c>
      <c r="Y436" s="30">
        <f t="shared" si="174"/>
      </c>
      <c r="Z436" s="30">
        <v>2</v>
      </c>
      <c r="AA436" s="30">
        <v>11</v>
      </c>
      <c r="AB436" s="31">
        <v>15755.039999999994</v>
      </c>
      <c r="AC436" s="31">
        <v>1184.0000000000005</v>
      </c>
      <c r="AD436" s="27">
        <f t="shared" si="202"/>
      </c>
      <c r="AE436" s="32" t="s">
        <v>41</v>
      </c>
      <c r="AF436" s="33" t="s">
        <v>42</v>
      </c>
      <c r="AG436" s="34">
        <v>11</v>
      </c>
      <c r="AH436" s="35">
        <v>62289</v>
      </c>
      <c r="AI436" s="35">
        <v>1368</v>
      </c>
      <c r="AJ436" s="35">
        <v>1541</v>
      </c>
      <c r="AK436" s="36">
        <v>262</v>
      </c>
      <c r="AL436" s="36">
        <v>239</v>
      </c>
    </row>
    <row r="437">
      <c r="A437" s="15"/>
      <c r="B437" s="16" t="s">
        <v>73</v>
      </c>
      <c r="C437" s="17" t="s">
        <v>46</v>
      </c>
      <c r="D437" s="18">
        <f t="shared" si="432"/>
      </c>
      <c r="E437" s="17">
        <v>1787.12</v>
      </c>
      <c r="F437" s="20">
        <v>8635.83</v>
      </c>
      <c r="G437" s="20">
        <v>0</v>
      </c>
      <c r="H437" s="20">
        <v>0</v>
      </c>
      <c r="I437" s="20">
        <f t="shared" si="523"/>
      </c>
      <c r="J437" s="21">
        <v>1641.6</v>
      </c>
      <c r="K437" s="22">
        <f t="shared" si="614"/>
      </c>
      <c r="L437" s="22">
        <f t="shared" si="284"/>
      </c>
      <c r="M437" s="23">
        <f t="shared" si="312"/>
      </c>
      <c r="N437" s="24">
        <f t="shared" si="331"/>
      </c>
      <c r="O437" s="25">
        <f t="shared" si="350"/>
      </c>
      <c r="P437" s="26">
        <f t="shared" si="35"/>
      </c>
      <c r="Q437" s="26">
        <f t="shared" si="54"/>
      </c>
      <c r="R437" s="26">
        <f t="shared" si="73"/>
      </c>
      <c r="S437" s="27">
        <f t="shared" si="92"/>
      </c>
      <c r="T437" s="28">
        <f t="shared" si="642"/>
      </c>
      <c r="U437" s="26">
        <f t="shared" si="680"/>
      </c>
      <c r="V437" s="29">
        <f t="shared" si="661"/>
      </c>
      <c r="W437" s="29">
        <f t="shared" si="699"/>
      </c>
      <c r="X437" s="26">
        <f t="shared" si="16"/>
      </c>
      <c r="Y437" s="30">
        <f t="shared" si="174"/>
      </c>
      <c r="Z437" s="30">
        <v>5</v>
      </c>
      <c r="AA437" s="30">
        <v>7</v>
      </c>
      <c r="AB437" s="31">
        <f>6499.44+1217.16</f>
      </c>
      <c r="AC437" s="31">
        <v>0</v>
      </c>
      <c r="AD437" s="27">
        <f t="shared" si="202"/>
      </c>
      <c r="AE437" s="32" t="s">
        <v>41</v>
      </c>
      <c r="AF437" s="33" t="s">
        <v>42</v>
      </c>
      <c r="AG437" s="34">
        <v>3</v>
      </c>
      <c r="AH437" s="35">
        <v>73763</v>
      </c>
      <c r="AI437" s="35">
        <v>1345</v>
      </c>
      <c r="AJ437" s="35">
        <v>1509</v>
      </c>
      <c r="AK437" s="34">
        <v>196</v>
      </c>
      <c r="AL437" s="34">
        <v>214</v>
      </c>
    </row>
    <row r="438">
      <c r="A438" s="15"/>
      <c r="B438" s="38" t="s">
        <v>47</v>
      </c>
      <c r="C438" s="39">
        <v>5</v>
      </c>
      <c r="D438" s="40">
        <f>SUM(D433:D437)</f>
      </c>
      <c r="E438" s="40">
        <f>SUM(E433:E437)</f>
      </c>
      <c r="F438" s="40">
        <f>SUM(F433:F437)</f>
      </c>
      <c r="G438" s="40">
        <f>SUM(G433:G437)</f>
      </c>
      <c r="H438" s="40">
        <f>SUM(H433:H437)</f>
      </c>
      <c r="I438" s="40">
        <f>SUM(I433:I437)</f>
      </c>
      <c r="J438" s="40">
        <f>SUM(J433:J437)</f>
      </c>
      <c r="K438" s="40">
        <f>SUM(K433:K437)</f>
      </c>
      <c r="L438" s="40">
        <f>SUM(L433:L437)</f>
      </c>
      <c r="M438" s="41">
        <f t="shared" si="312"/>
      </c>
      <c r="N438" s="42">
        <f t="shared" si="331"/>
      </c>
      <c r="O438" s="42">
        <f t="shared" si="350"/>
      </c>
      <c r="P438" s="43">
        <f t="shared" si="35"/>
      </c>
      <c r="Q438" s="43">
        <f t="shared" si="54"/>
      </c>
      <c r="R438" s="43">
        <f t="shared" si="73"/>
      </c>
      <c r="S438" s="44">
        <f t="shared" si="92"/>
      </c>
      <c r="T438" s="44">
        <f t="shared" si="642"/>
      </c>
      <c r="U438" s="43">
        <f t="shared" si="680"/>
      </c>
      <c r="V438" s="44">
        <f t="shared" si="661"/>
      </c>
      <c r="W438" s="44">
        <f t="shared" si="699"/>
      </c>
      <c r="X438" s="43">
        <f t="shared" si="16"/>
      </c>
      <c r="Y438" s="40">
        <f>SUM(Y433:Y437)</f>
      </c>
      <c r="Z438" s="40">
        <f>SUM(Z433:Z437)</f>
      </c>
      <c r="AA438" s="40">
        <f>SUM(AA433:AA437)</f>
      </c>
      <c r="AB438" s="40">
        <f>SUM(AB433:AB437)</f>
      </c>
      <c r="AC438" s="40">
        <f>SUM(AC433:AC437)</f>
      </c>
      <c r="AD438" s="45">
        <f t="shared" si="202"/>
      </c>
      <c r="AE438" s="46"/>
      <c r="AF438" s="47"/>
      <c r="AG438" s="40">
        <f>SUM(AG433:AG437)</f>
      </c>
      <c r="AH438" s="40">
        <f>SUM(AH433:AH437)</f>
      </c>
      <c r="AI438" s="40">
        <f>SUM(AI433:AI437)</f>
      </c>
      <c r="AJ438" s="40">
        <f>SUM(AJ433:AJ437)</f>
      </c>
      <c r="AK438" s="40">
        <f>SUM(AK433:AK437)</f>
      </c>
      <c r="AL438" s="40">
        <f>SUM(AL433:AL437)</f>
      </c>
    </row>
    <row r="439">
      <c r="A439" s="15"/>
      <c r="B439" s="16" t="s">
        <v>53</v>
      </c>
      <c r="C439" s="17" t="s">
        <v>49</v>
      </c>
      <c r="D439" s="18">
        <f t="shared" ref="D439:D443" si="433">E439+F439+G439+H439</f>
      </c>
      <c r="E439" s="19">
        <v>999.81</v>
      </c>
      <c r="F439" s="20">
        <v>7433.5</v>
      </c>
      <c r="G439" s="20">
        <v>0</v>
      </c>
      <c r="H439" s="20">
        <v>0</v>
      </c>
      <c r="I439" s="20">
        <f t="shared" ref="I439:I443" si="524">AB439+AC439</f>
      </c>
      <c r="J439" s="21">
        <v>1217.16</v>
      </c>
      <c r="K439" s="22">
        <f t="shared" ref="K439:K443" si="615">I439-J439</f>
      </c>
      <c r="L439" s="22">
        <f t="shared" ref="L439:L443" si="285">(I439-AC439)/12+AC439</f>
      </c>
      <c r="M439" s="23">
        <f t="shared" si="312"/>
      </c>
      <c r="N439" s="24">
        <f t="shared" si="331"/>
      </c>
      <c r="O439" s="25">
        <f t="shared" si="350"/>
      </c>
      <c r="P439" s="26">
        <f t="shared" si="35"/>
      </c>
      <c r="Q439" s="26">
        <f t="shared" si="54"/>
      </c>
      <c r="R439" s="26">
        <f t="shared" si="73"/>
      </c>
      <c r="S439" s="27">
        <f t="shared" si="92"/>
      </c>
      <c r="T439" s="28">
        <f t="shared" si="642"/>
      </c>
      <c r="U439" s="26">
        <f t="shared" si="680"/>
      </c>
      <c r="V439" s="29">
        <f t="shared" si="661"/>
      </c>
      <c r="W439" s="29">
        <f t="shared" si="699"/>
      </c>
      <c r="X439" s="26">
        <f t="shared" si="16"/>
      </c>
      <c r="Y439" s="30">
        <f t="shared" ref="Y439:Y443" si="175">Z439+AA439</f>
      </c>
      <c r="Z439" s="30">
        <v>7</v>
      </c>
      <c r="AA439" s="30">
        <v>8</v>
      </c>
      <c r="AB439" s="31">
        <v>13022.64</v>
      </c>
      <c r="AC439" s="31">
        <v>0</v>
      </c>
      <c r="AD439" s="27">
        <f t="shared" si="202"/>
      </c>
      <c r="AE439" s="32" t="s">
        <v>41</v>
      </c>
      <c r="AF439" s="33" t="s">
        <v>42</v>
      </c>
      <c r="AG439" s="34">
        <v>6</v>
      </c>
      <c r="AH439" s="35">
        <v>59921</v>
      </c>
      <c r="AI439" s="35">
        <v>1417</v>
      </c>
      <c r="AJ439" s="35">
        <v>1531</v>
      </c>
      <c r="AK439" s="34">
        <v>219</v>
      </c>
      <c r="AL439" s="34">
        <v>208</v>
      </c>
    </row>
    <row r="440">
      <c r="A440" s="15"/>
      <c r="B440" s="16" t="s">
        <v>53</v>
      </c>
      <c r="C440" s="17" t="s">
        <v>50</v>
      </c>
      <c r="D440" s="18">
        <f t="shared" si="433"/>
      </c>
      <c r="E440" s="17">
        <v>732.68</v>
      </c>
      <c r="F440" s="20">
        <v>5141.32</v>
      </c>
      <c r="G440" s="20">
        <v>0</v>
      </c>
      <c r="H440" s="20">
        <v>0</v>
      </c>
      <c r="I440" s="20">
        <f t="shared" si="524"/>
      </c>
      <c r="J440" s="21">
        <v>2136.24</v>
      </c>
      <c r="K440" s="22">
        <f t="shared" si="615"/>
      </c>
      <c r="L440" s="22">
        <f t="shared" si="285"/>
      </c>
      <c r="M440" s="23">
        <f t="shared" si="312"/>
      </c>
      <c r="N440" s="24">
        <f t="shared" si="331"/>
      </c>
      <c r="O440" s="25">
        <f t="shared" si="350"/>
      </c>
      <c r="P440" s="26">
        <f t="shared" si="35"/>
      </c>
      <c r="Q440" s="26">
        <f t="shared" si="54"/>
      </c>
      <c r="R440" s="26">
        <f t="shared" si="73"/>
      </c>
      <c r="S440" s="27">
        <f t="shared" si="92"/>
      </c>
      <c r="T440" s="28">
        <f t="shared" si="642"/>
      </c>
      <c r="U440" s="26">
        <f t="shared" si="680"/>
      </c>
      <c r="V440" s="29">
        <f t="shared" si="661"/>
      </c>
      <c r="W440" s="29">
        <f t="shared" si="699"/>
      </c>
      <c r="X440" s="26">
        <f t="shared" si="16"/>
      </c>
      <c r="Y440" s="30">
        <f t="shared" si="175"/>
      </c>
      <c r="Z440" s="30">
        <v>0</v>
      </c>
      <c r="AA440" s="30">
        <v>2</v>
      </c>
      <c r="AB440" s="31">
        <v>5599.079999999987</v>
      </c>
      <c r="AC440" s="31">
        <v>0</v>
      </c>
      <c r="AD440" s="27">
        <f t="shared" si="202"/>
      </c>
      <c r="AE440" s="32" t="s">
        <v>41</v>
      </c>
      <c r="AF440" s="33" t="s">
        <v>42</v>
      </c>
      <c r="AG440" s="34">
        <v>1</v>
      </c>
      <c r="AH440" s="35">
        <v>49680</v>
      </c>
      <c r="AI440" s="35">
        <v>1337</v>
      </c>
      <c r="AJ440" s="35">
        <v>1460</v>
      </c>
      <c r="AK440" s="36">
        <v>188</v>
      </c>
      <c r="AL440" s="36">
        <v>188</v>
      </c>
    </row>
    <row r="441">
      <c r="A441" s="15"/>
      <c r="B441" s="16" t="s">
        <v>53</v>
      </c>
      <c r="C441" s="17" t="s">
        <v>51</v>
      </c>
      <c r="D441" s="18">
        <f t="shared" si="433"/>
      </c>
      <c r="E441" s="17">
        <v>660.23</v>
      </c>
      <c r="F441" s="17">
        <v>6086.9</v>
      </c>
      <c r="G441" s="20">
        <v>0</v>
      </c>
      <c r="H441" s="20">
        <v>0</v>
      </c>
      <c r="I441" s="20">
        <f t="shared" si="524"/>
      </c>
      <c r="J441" s="21">
        <f>1707.36+1707.36+2114.64+899</f>
      </c>
      <c r="K441" s="22">
        <f t="shared" si="615"/>
      </c>
      <c r="L441" s="22">
        <f t="shared" si="285"/>
      </c>
      <c r="M441" s="23">
        <f t="shared" si="312"/>
      </c>
      <c r="N441" s="24">
        <f t="shared" si="331"/>
      </c>
      <c r="O441" s="25">
        <f t="shared" si="350"/>
      </c>
      <c r="P441" s="26">
        <f t="shared" si="35"/>
      </c>
      <c r="Q441" s="26">
        <f t="shared" si="54"/>
      </c>
      <c r="R441" s="26">
        <f t="shared" si="73"/>
      </c>
      <c r="S441" s="27">
        <f t="shared" si="92"/>
      </c>
      <c r="T441" s="28">
        <f t="shared" si="642"/>
      </c>
      <c r="U441" s="26">
        <f t="shared" si="680"/>
      </c>
      <c r="V441" s="29">
        <f t="shared" si="661"/>
      </c>
      <c r="W441" s="29">
        <f t="shared" si="699"/>
      </c>
      <c r="X441" s="26">
        <f t="shared" si="16"/>
      </c>
      <c r="Y441" s="30">
        <f t="shared" si="175"/>
      </c>
      <c r="Z441" s="30">
        <v>3</v>
      </c>
      <c r="AA441" s="30">
        <v>7</v>
      </c>
      <c r="AB441" s="31">
        <v>11430.12000000001</v>
      </c>
      <c r="AC441" s="69">
        <v>899</v>
      </c>
      <c r="AD441" s="27">
        <f t="shared" si="202"/>
      </c>
      <c r="AE441" s="32" t="s">
        <v>41</v>
      </c>
      <c r="AF441" s="33" t="s">
        <v>42</v>
      </c>
      <c r="AG441" s="36">
        <v>7</v>
      </c>
      <c r="AH441" s="35">
        <v>59261</v>
      </c>
      <c r="AI441" s="35">
        <v>1580</v>
      </c>
      <c r="AJ441" s="35">
        <v>1686</v>
      </c>
      <c r="AK441" s="36">
        <v>170</v>
      </c>
      <c r="AL441" s="36">
        <v>185</v>
      </c>
    </row>
    <row r="442">
      <c r="A442" s="15"/>
      <c r="B442" s="16" t="s">
        <v>53</v>
      </c>
      <c r="C442" s="17" t="s">
        <v>52</v>
      </c>
      <c r="D442" s="18">
        <f t="shared" si="433"/>
      </c>
      <c r="E442" s="17">
        <v>416.38</v>
      </c>
      <c r="F442" s="17">
        <v>7032.23</v>
      </c>
      <c r="G442" s="20">
        <v>0</v>
      </c>
      <c r="H442" s="20">
        <v>0</v>
      </c>
      <c r="I442" s="20">
        <f t="shared" si="524"/>
      </c>
      <c r="J442" s="21">
        <f>2623.56+1541.16+6016.68</f>
      </c>
      <c r="K442" s="22">
        <f t="shared" si="615"/>
      </c>
      <c r="L442" s="22">
        <f t="shared" si="285"/>
      </c>
      <c r="M442" s="23">
        <f t="shared" si="312"/>
      </c>
      <c r="N442" s="24">
        <f t="shared" si="331"/>
      </c>
      <c r="O442" s="25">
        <f t="shared" si="350"/>
      </c>
      <c r="P442" s="26">
        <f t="shared" si="35"/>
      </c>
      <c r="Q442" s="26">
        <f t="shared" si="54"/>
      </c>
      <c r="R442" s="26">
        <f t="shared" si="73"/>
      </c>
      <c r="S442" s="27">
        <f t="shared" si="92"/>
      </c>
      <c r="T442" s="28">
        <f t="shared" si="642"/>
      </c>
      <c r="U442" s="26">
        <f t="shared" si="680"/>
      </c>
      <c r="V442" s="29">
        <f t="shared" si="661"/>
      </c>
      <c r="W442" s="29">
        <f t="shared" si="699"/>
      </c>
      <c r="X442" s="26">
        <f t="shared" si="16"/>
      </c>
      <c r="Y442" s="30">
        <f t="shared" si="175"/>
      </c>
      <c r="Z442" s="30">
        <v>3</v>
      </c>
      <c r="AA442" s="30">
        <v>6</v>
      </c>
      <c r="AB442" s="31">
        <v>16883.87999999999</v>
      </c>
      <c r="AC442" s="69">
        <v>0</v>
      </c>
      <c r="AD442" s="27">
        <f t="shared" si="202"/>
      </c>
      <c r="AE442" s="32" t="s">
        <v>41</v>
      </c>
      <c r="AF442" s="33" t="s">
        <v>42</v>
      </c>
      <c r="AG442" s="36">
        <v>6</v>
      </c>
      <c r="AH442" s="35">
        <v>68235</v>
      </c>
      <c r="AI442" s="35">
        <v>1563</v>
      </c>
      <c r="AJ442" s="35">
        <v>1671</v>
      </c>
      <c r="AK442" s="36">
        <v>203</v>
      </c>
      <c r="AL442" s="36">
        <v>236</v>
      </c>
    </row>
    <row r="443">
      <c r="A443" s="15"/>
      <c r="B443" s="16" t="s">
        <v>53</v>
      </c>
      <c r="C443" s="17" t="s">
        <v>54</v>
      </c>
      <c r="D443" s="18">
        <f t="shared" si="433"/>
      </c>
      <c r="E443" s="17">
        <v>526.78</v>
      </c>
      <c r="F443" s="20">
        <v>6053.42</v>
      </c>
      <c r="G443" s="20">
        <v>0</v>
      </c>
      <c r="H443" s="20">
        <v>0</v>
      </c>
      <c r="I443" s="20">
        <f t="shared" si="524"/>
      </c>
      <c r="J443" s="21">
        <v>528.12</v>
      </c>
      <c r="K443" s="22">
        <f t="shared" si="615"/>
      </c>
      <c r="L443" s="22">
        <f t="shared" si="285"/>
      </c>
      <c r="M443" s="23">
        <f t="shared" si="312"/>
      </c>
      <c r="N443" s="24">
        <f t="shared" si="331"/>
      </c>
      <c r="O443" s="25">
        <f t="shared" si="350"/>
      </c>
      <c r="P443" s="26">
        <f t="shared" si="35"/>
      </c>
      <c r="Q443" s="26">
        <f t="shared" si="54"/>
      </c>
      <c r="R443" s="26">
        <f t="shared" si="73"/>
      </c>
      <c r="S443" s="27">
        <f t="shared" si="92"/>
      </c>
      <c r="T443" s="28">
        <f t="shared" si="642"/>
      </c>
      <c r="U443" s="26">
        <f t="shared" si="680"/>
      </c>
      <c r="V443" s="29">
        <f t="shared" si="661"/>
      </c>
      <c r="W443" s="29">
        <f t="shared" si="699"/>
      </c>
      <c r="X443" s="26">
        <f t="shared" si="16"/>
      </c>
      <c r="Y443" s="30">
        <f t="shared" si="175"/>
      </c>
      <c r="Z443" s="30">
        <v>8</v>
      </c>
      <c r="AA443" s="30">
        <v>10</v>
      </c>
      <c r="AB443" s="31">
        <f>10819.44+546.48</f>
      </c>
      <c r="AC443" s="74">
        <v>366</v>
      </c>
      <c r="AD443" s="72">
        <f t="shared" si="202"/>
      </c>
      <c r="AE443" s="32" t="s">
        <v>41</v>
      </c>
      <c r="AF443" s="33" t="s">
        <v>42</v>
      </c>
      <c r="AG443" s="34">
        <v>8</v>
      </c>
      <c r="AH443" s="35">
        <v>55126</v>
      </c>
      <c r="AI443" s="35">
        <v>1383</v>
      </c>
      <c r="AJ443" s="35">
        <v>1450</v>
      </c>
      <c r="AK443" s="36">
        <v>190</v>
      </c>
      <c r="AL443" s="36">
        <v>207</v>
      </c>
    </row>
    <row r="444">
      <c r="A444" s="15"/>
      <c r="B444" s="38" t="s">
        <v>47</v>
      </c>
      <c r="C444" s="39">
        <v>5</v>
      </c>
      <c r="D444" s="40">
        <f>SUM(D439:D443)</f>
      </c>
      <c r="E444" s="40">
        <f>SUM(E439:E443)</f>
      </c>
      <c r="F444" s="40">
        <f>SUM(F439:F443)</f>
      </c>
      <c r="G444" s="40">
        <f>SUM(G439:G443)</f>
      </c>
      <c r="H444" s="40">
        <f>SUM(H439:H443)</f>
      </c>
      <c r="I444" s="40">
        <f>SUM(I439:I443)</f>
      </c>
      <c r="J444" s="40">
        <f>SUM(J439:J443)</f>
      </c>
      <c r="K444" s="40">
        <f>SUM(K439:K443)</f>
      </c>
      <c r="L444" s="40">
        <f>SUM(L439:L443)</f>
      </c>
      <c r="M444" s="41">
        <f t="shared" si="312"/>
      </c>
      <c r="N444" s="42">
        <f t="shared" si="331"/>
      </c>
      <c r="O444" s="42">
        <f t="shared" si="350"/>
      </c>
      <c r="P444" s="43">
        <f t="shared" si="35"/>
      </c>
      <c r="Q444" s="43">
        <f t="shared" si="54"/>
      </c>
      <c r="R444" s="43">
        <f t="shared" si="73"/>
      </c>
      <c r="S444" s="44">
        <f t="shared" si="92"/>
      </c>
      <c r="T444" s="44">
        <f t="shared" si="642"/>
      </c>
      <c r="U444" s="43">
        <f t="shared" si="680"/>
      </c>
      <c r="V444" s="44">
        <f t="shared" si="661"/>
      </c>
      <c r="W444" s="44">
        <f t="shared" si="699"/>
      </c>
      <c r="X444" s="43">
        <f t="shared" si="16"/>
      </c>
      <c r="Y444" s="40">
        <f>SUM(Y439:Y443)</f>
      </c>
      <c r="Z444" s="40">
        <f>SUM(Z439:Z443)</f>
      </c>
      <c r="AA444" s="40">
        <f>SUM(AA439:AA443)</f>
      </c>
      <c r="AB444" s="40">
        <f>SUM(AB439:AB443)</f>
      </c>
      <c r="AC444" s="40">
        <f>SUM(AC439:AC443)</f>
      </c>
      <c r="AD444" s="45">
        <f t="shared" si="202"/>
      </c>
      <c r="AE444" s="46"/>
      <c r="AF444" s="47"/>
      <c r="AG444" s="40">
        <f>SUM(AG439:AG443)</f>
      </c>
      <c r="AH444" s="40">
        <f>SUM(AH439:AH443)</f>
      </c>
      <c r="AI444" s="40">
        <f>SUM(AI439:AI443)</f>
      </c>
      <c r="AJ444" s="40">
        <f>SUM(AJ439:AJ443)</f>
      </c>
      <c r="AK444" s="40">
        <f>SUM(AK439:AK443)</f>
      </c>
      <c r="AL444" s="40">
        <f>SUM(AL439:AL443)</f>
      </c>
    </row>
    <row r="445">
      <c r="A445" s="15"/>
      <c r="B445" s="16" t="s">
        <v>62</v>
      </c>
      <c r="C445" s="17" t="s">
        <v>55</v>
      </c>
      <c r="D445" s="18">
        <f t="shared" ref="D445:D449" si="434">E445+F445+G445+H445</f>
      </c>
      <c r="E445" s="17">
        <v>631.53</v>
      </c>
      <c r="F445" s="49">
        <v>8537.93</v>
      </c>
      <c r="G445" s="20">
        <v>0</v>
      </c>
      <c r="H445" s="20">
        <v>0</v>
      </c>
      <c r="I445" s="50">
        <f t="shared" ref="I445:I449" si="525">AB445+AC445</f>
      </c>
      <c r="J445" s="51">
        <v>0</v>
      </c>
      <c r="K445" s="22">
        <f t="shared" ref="K445:K449" si="616">I445-J445</f>
      </c>
      <c r="L445" s="22">
        <f t="shared" ref="L445:L449" si="286">(I445-AC445)/12+AC445</f>
      </c>
      <c r="M445" s="23">
        <f t="shared" si="312"/>
      </c>
      <c r="N445" s="24">
        <f t="shared" si="331"/>
      </c>
      <c r="O445" s="25">
        <f t="shared" si="350"/>
      </c>
      <c r="P445" s="26">
        <f t="shared" si="35"/>
      </c>
      <c r="Q445" s="26">
        <f t="shared" si="54"/>
      </c>
      <c r="R445" s="26">
        <f t="shared" si="73"/>
      </c>
      <c r="S445" s="27">
        <f t="shared" si="92"/>
      </c>
      <c r="T445" s="28">
        <f t="shared" si="642"/>
      </c>
      <c r="U445" s="26">
        <f t="shared" si="680"/>
      </c>
      <c r="V445" s="29">
        <f t="shared" si="661"/>
      </c>
      <c r="W445" s="29">
        <f t="shared" si="699"/>
      </c>
      <c r="X445" s="26">
        <f t="shared" si="16"/>
      </c>
      <c r="Y445" s="30">
        <f t="shared" ref="Y445:Y449" si="176">Z445+AA445</f>
      </c>
      <c r="Z445" s="30">
        <v>8</v>
      </c>
      <c r="AA445" s="30">
        <v>6</v>
      </c>
      <c r="AB445" s="31">
        <v>14359.320000000022</v>
      </c>
      <c r="AC445" s="31">
        <v>2503</v>
      </c>
      <c r="AD445" s="27">
        <f t="shared" si="202"/>
      </c>
      <c r="AE445" s="32" t="s">
        <v>41</v>
      </c>
      <c r="AF445" s="33" t="s">
        <v>56</v>
      </c>
      <c r="AG445" s="34">
        <v>7</v>
      </c>
      <c r="AH445" s="35">
        <v>76140</v>
      </c>
      <c r="AI445" s="35">
        <v>1752</v>
      </c>
      <c r="AJ445" s="35">
        <v>1880</v>
      </c>
      <c r="AK445" s="36">
        <v>254</v>
      </c>
      <c r="AL445" s="36">
        <v>240</v>
      </c>
    </row>
    <row r="446">
      <c r="A446" s="15"/>
      <c r="B446" s="16" t="s">
        <v>62</v>
      </c>
      <c r="C446" s="17" t="s">
        <v>58</v>
      </c>
      <c r="D446" s="18">
        <f t="shared" si="434"/>
      </c>
      <c r="E446" s="17">
        <v>511.94</v>
      </c>
      <c r="F446" s="49">
        <v>6330.65</v>
      </c>
      <c r="G446" s="20">
        <v>0</v>
      </c>
      <c r="H446" s="20">
        <v>0</v>
      </c>
      <c r="I446" s="50">
        <f t="shared" si="525"/>
      </c>
      <c r="J446" s="51">
        <v>1670.76</v>
      </c>
      <c r="K446" s="22">
        <f t="shared" si="616"/>
      </c>
      <c r="L446" s="22">
        <f t="shared" si="286"/>
      </c>
      <c r="M446" s="23">
        <f t="shared" si="312"/>
      </c>
      <c r="N446" s="24">
        <f t="shared" si="331"/>
      </c>
      <c r="O446" s="25">
        <f t="shared" si="350"/>
      </c>
      <c r="P446" s="26">
        <f t="shared" si="35"/>
      </c>
      <c r="Q446" s="26">
        <f t="shared" si="54"/>
      </c>
      <c r="R446" s="26">
        <f t="shared" si="73"/>
      </c>
      <c r="S446" s="27">
        <f t="shared" si="92"/>
      </c>
      <c r="T446" s="28">
        <f t="shared" si="642"/>
      </c>
      <c r="U446" s="26">
        <f t="shared" si="680"/>
      </c>
      <c r="V446" s="29">
        <f t="shared" si="661"/>
      </c>
      <c r="W446" s="29">
        <f t="shared" si="699"/>
      </c>
      <c r="X446" s="26">
        <f t="shared" si="16"/>
      </c>
      <c r="Y446" s="30">
        <f t="shared" si="176"/>
      </c>
      <c r="Z446" s="30">
        <v>4</v>
      </c>
      <c r="AA446" s="30">
        <v>4</v>
      </c>
      <c r="AB446" s="31">
        <v>8068.679999999993</v>
      </c>
      <c r="AC446" s="31">
        <v>0</v>
      </c>
      <c r="AD446" s="27">
        <f t="shared" si="202"/>
      </c>
      <c r="AE446" s="32" t="s">
        <v>41</v>
      </c>
      <c r="AF446" s="33" t="s">
        <v>56</v>
      </c>
      <c r="AG446" s="36">
        <v>4</v>
      </c>
      <c r="AH446" s="35">
        <v>60218</v>
      </c>
      <c r="AI446" s="35">
        <v>1137</v>
      </c>
      <c r="AJ446" s="35">
        <v>1231</v>
      </c>
      <c r="AK446" s="36">
        <v>170</v>
      </c>
      <c r="AL446" s="36">
        <v>187</v>
      </c>
    </row>
    <row r="447">
      <c r="A447" s="15"/>
      <c r="B447" s="16" t="s">
        <v>62</v>
      </c>
      <c r="C447" s="17" t="s">
        <v>59</v>
      </c>
      <c r="D447" s="18">
        <f t="shared" si="434"/>
      </c>
      <c r="E447" s="17">
        <v>342.01</v>
      </c>
      <c r="F447" s="49">
        <v>6270.89</v>
      </c>
      <c r="G447" s="20">
        <v>0</v>
      </c>
      <c r="H447" s="20">
        <v>0</v>
      </c>
      <c r="I447" s="50">
        <f t="shared" si="525"/>
      </c>
      <c r="J447" s="51">
        <v>0</v>
      </c>
      <c r="K447" s="22">
        <f t="shared" si="616"/>
      </c>
      <c r="L447" s="22">
        <f t="shared" si="286"/>
      </c>
      <c r="M447" s="23">
        <f t="shared" si="312"/>
      </c>
      <c r="N447" s="24">
        <f t="shared" si="331"/>
      </c>
      <c r="O447" s="25">
        <f t="shared" si="350"/>
      </c>
      <c r="P447" s="26">
        <f t="shared" si="35"/>
      </c>
      <c r="Q447" s="26">
        <f t="shared" si="54"/>
      </c>
      <c r="R447" s="26">
        <f t="shared" si="73"/>
      </c>
      <c r="S447" s="27">
        <f t="shared" si="92"/>
      </c>
      <c r="T447" s="28">
        <f t="shared" si="642"/>
      </c>
      <c r="U447" s="26">
        <f t="shared" si="680"/>
      </c>
      <c r="V447" s="29">
        <f t="shared" si="661"/>
      </c>
      <c r="W447" s="29">
        <f t="shared" si="699"/>
      </c>
      <c r="X447" s="26">
        <f t="shared" si="16"/>
      </c>
      <c r="Y447" s="30">
        <f t="shared" si="176"/>
      </c>
      <c r="Z447" s="30">
        <v>3</v>
      </c>
      <c r="AA447" s="30">
        <v>10</v>
      </c>
      <c r="AB447" s="31">
        <v>24789.839999999997</v>
      </c>
      <c r="AC447" s="31">
        <v>0</v>
      </c>
      <c r="AD447" s="27">
        <f t="shared" si="202"/>
      </c>
      <c r="AE447" s="32" t="s">
        <v>41</v>
      </c>
      <c r="AF447" s="33" t="s">
        <v>56</v>
      </c>
      <c r="AG447" s="34">
        <v>7</v>
      </c>
      <c r="AH447" s="35">
        <v>56331</v>
      </c>
      <c r="AI447" s="35">
        <v>1041</v>
      </c>
      <c r="AJ447" s="35">
        <v>1113</v>
      </c>
      <c r="AK447" s="36">
        <v>137</v>
      </c>
      <c r="AL447" s="34">
        <v>160</v>
      </c>
    </row>
    <row r="448">
      <c r="A448" s="15"/>
      <c r="B448" s="16" t="s">
        <v>62</v>
      </c>
      <c r="C448" s="52" t="s">
        <v>60</v>
      </c>
      <c r="D448" s="18">
        <f t="shared" si="434"/>
      </c>
      <c r="E448" s="17">
        <v>213.17</v>
      </c>
      <c r="F448" s="49">
        <v>8385.89</v>
      </c>
      <c r="G448" s="20">
        <v>0</v>
      </c>
      <c r="H448" s="20">
        <v>0</v>
      </c>
      <c r="I448" s="50">
        <f t="shared" si="525"/>
      </c>
      <c r="J448" s="51">
        <v>0</v>
      </c>
      <c r="K448" s="22">
        <f t="shared" si="616"/>
      </c>
      <c r="L448" s="22">
        <f t="shared" si="286"/>
      </c>
      <c r="M448" s="23">
        <f t="shared" si="312"/>
      </c>
      <c r="N448" s="24">
        <f t="shared" si="331"/>
      </c>
      <c r="O448" s="25">
        <f t="shared" si="350"/>
      </c>
      <c r="P448" s="26">
        <f t="shared" si="35"/>
      </c>
      <c r="Q448" s="26">
        <f t="shared" si="54"/>
      </c>
      <c r="R448" s="26">
        <f t="shared" si="73"/>
      </c>
      <c r="S448" s="27">
        <f t="shared" si="92"/>
      </c>
      <c r="T448" s="28">
        <f t="shared" si="642"/>
      </c>
      <c r="U448" s="26">
        <f t="shared" si="680"/>
      </c>
      <c r="V448" s="29">
        <f t="shared" si="661"/>
      </c>
      <c r="W448" s="29">
        <f t="shared" si="699"/>
      </c>
      <c r="X448" s="26">
        <f t="shared" si="16"/>
      </c>
      <c r="Y448" s="30">
        <f t="shared" si="176"/>
      </c>
      <c r="Z448" s="30">
        <v>6</v>
      </c>
      <c r="AA448" s="30">
        <v>4</v>
      </c>
      <c r="AB448" s="31">
        <v>4152.600000000006</v>
      </c>
      <c r="AC448" s="31">
        <v>0</v>
      </c>
      <c r="AD448" s="27">
        <f t="shared" si="202"/>
      </c>
      <c r="AE448" s="32" t="s">
        <v>41</v>
      </c>
      <c r="AF448" s="33" t="s">
        <v>56</v>
      </c>
      <c r="AG448" s="34">
        <v>3</v>
      </c>
      <c r="AH448" s="35">
        <v>76622</v>
      </c>
      <c r="AI448" s="35">
        <v>1561</v>
      </c>
      <c r="AJ448" s="35">
        <v>1662</v>
      </c>
      <c r="AK448" s="36">
        <v>205</v>
      </c>
      <c r="AL448" s="34">
        <v>246</v>
      </c>
    </row>
    <row r="449">
      <c r="A449" s="15"/>
      <c r="B449" s="16" t="s">
        <v>62</v>
      </c>
      <c r="C449" s="52" t="s">
        <v>61</v>
      </c>
      <c r="D449" s="18">
        <f t="shared" si="434"/>
      </c>
      <c r="E449" s="17">
        <v>487.43</v>
      </c>
      <c r="F449" s="49">
        <v>6963.86</v>
      </c>
      <c r="G449" s="20">
        <v>0</v>
      </c>
      <c r="H449" s="20">
        <v>0</v>
      </c>
      <c r="I449" s="50">
        <f t="shared" si="525"/>
      </c>
      <c r="J449" s="51">
        <v>385.56</v>
      </c>
      <c r="K449" s="22">
        <f t="shared" si="616"/>
      </c>
      <c r="L449" s="22">
        <f t="shared" si="286"/>
      </c>
      <c r="M449" s="23">
        <f t="shared" si="312"/>
      </c>
      <c r="N449" s="24">
        <f t="shared" si="331"/>
      </c>
      <c r="O449" s="25">
        <f t="shared" si="350"/>
      </c>
      <c r="P449" s="26">
        <f t="shared" si="35"/>
      </c>
      <c r="Q449" s="26">
        <f t="shared" si="54"/>
      </c>
      <c r="R449" s="26">
        <f t="shared" si="73"/>
      </c>
      <c r="S449" s="27">
        <f t="shared" si="92"/>
      </c>
      <c r="T449" s="28">
        <f t="shared" si="642"/>
      </c>
      <c r="U449" s="26">
        <f t="shared" si="680"/>
      </c>
      <c r="V449" s="29">
        <f t="shared" si="661"/>
      </c>
      <c r="W449" s="29">
        <f t="shared" si="699"/>
      </c>
      <c r="X449" s="26">
        <f t="shared" si="16"/>
      </c>
      <c r="Y449" s="30">
        <f t="shared" si="176"/>
      </c>
      <c r="Z449" s="30">
        <v>5</v>
      </c>
      <c r="AA449" s="30">
        <v>11</v>
      </c>
      <c r="AB449" s="31">
        <f>20829.84+2748.6</f>
      </c>
      <c r="AC449" s="31">
        <v>3926</v>
      </c>
      <c r="AD449" s="27">
        <f t="shared" si="202"/>
      </c>
      <c r="AE449" s="32" t="s">
        <v>41</v>
      </c>
      <c r="AF449" s="33" t="s">
        <v>56</v>
      </c>
      <c r="AG449" s="34">
        <v>8</v>
      </c>
      <c r="AH449" s="35">
        <v>73283</v>
      </c>
      <c r="AI449" s="35">
        <v>1254</v>
      </c>
      <c r="AJ449" s="35">
        <v>1372</v>
      </c>
      <c r="AK449" s="36">
        <v>185</v>
      </c>
      <c r="AL449" s="34">
        <v>207</v>
      </c>
    </row>
    <row r="450">
      <c r="A450" s="15"/>
      <c r="B450" s="38" t="s">
        <v>47</v>
      </c>
      <c r="C450" s="39">
        <v>5</v>
      </c>
      <c r="D450" s="40">
        <f>SUM(D445:D449)</f>
      </c>
      <c r="E450" s="40">
        <f>SUM(E445:E449)</f>
      </c>
      <c r="F450" s="40">
        <f>SUM(F445:F449)</f>
      </c>
      <c r="G450" s="40">
        <f>SUM(G445:G449)</f>
      </c>
      <c r="H450" s="40">
        <f>SUM(H445:H449)</f>
      </c>
      <c r="I450" s="40">
        <f>SUM(I445:I449)</f>
      </c>
      <c r="J450" s="40">
        <f>SUM(J445:J449)</f>
      </c>
      <c r="K450" s="40">
        <f>SUM(K445:K449)</f>
      </c>
      <c r="L450" s="40">
        <f>SUM(L445:L449)</f>
      </c>
      <c r="M450" s="41">
        <f t="shared" si="312"/>
      </c>
      <c r="N450" s="42">
        <f t="shared" si="331"/>
      </c>
      <c r="O450" s="42">
        <f t="shared" si="350"/>
      </c>
      <c r="P450" s="43">
        <f t="shared" si="35"/>
      </c>
      <c r="Q450" s="43">
        <f t="shared" si="54"/>
      </c>
      <c r="R450" s="43">
        <f t="shared" si="73"/>
      </c>
      <c r="S450" s="44">
        <f t="shared" si="92"/>
      </c>
      <c r="T450" s="44">
        <f t="shared" si="642"/>
      </c>
      <c r="U450" s="43">
        <f t="shared" si="680"/>
      </c>
      <c r="V450" s="44">
        <f t="shared" si="661"/>
      </c>
      <c r="W450" s="44">
        <f t="shared" si="699"/>
      </c>
      <c r="X450" s="43">
        <f t="shared" si="16"/>
      </c>
      <c r="Y450" s="40">
        <f>SUM(Y445:Y449)</f>
      </c>
      <c r="Z450" s="40">
        <f>SUM(Z445:Z449)</f>
      </c>
      <c r="AA450" s="40">
        <f>SUM(AA445:AA449)</f>
      </c>
      <c r="AB450" s="40">
        <f>SUM(AB445:AB449)</f>
      </c>
      <c r="AC450" s="40">
        <f>SUM(AC445:AC449)</f>
      </c>
      <c r="AD450" s="45">
        <f t="shared" si="202"/>
      </c>
      <c r="AE450" s="46"/>
      <c r="AF450" s="47"/>
      <c r="AG450" s="40">
        <f>SUM(AG445:AG449)</f>
      </c>
      <c r="AH450" s="40">
        <f>SUM(AH445:AH449)</f>
      </c>
      <c r="AI450" s="40">
        <f>SUM(AI445:AI449)</f>
      </c>
      <c r="AJ450" s="40">
        <f>SUM(AJ445:AJ449)</f>
      </c>
      <c r="AK450" s="40">
        <f>SUM(AK445:AK449)</f>
      </c>
      <c r="AL450" s="40">
        <f>SUM(AL445:AL449)</f>
      </c>
    </row>
    <row r="451">
      <c r="A451" s="15"/>
      <c r="B451" s="16" t="s">
        <v>57</v>
      </c>
      <c r="C451" s="17" t="s">
        <v>63</v>
      </c>
      <c r="D451" s="18">
        <f t="shared" ref="D451:D455" si="435">E451+F451+G451+H451</f>
      </c>
      <c r="E451" s="17">
        <v>313.16</v>
      </c>
      <c r="F451" s="17">
        <v>8913.94</v>
      </c>
      <c r="G451" s="20">
        <v>0</v>
      </c>
      <c r="H451" s="20">
        <v>0</v>
      </c>
      <c r="I451" s="20">
        <f t="shared" ref="I451:I455" si="526">AB451+AC451</f>
      </c>
      <c r="J451" s="21">
        <v>0</v>
      </c>
      <c r="K451" s="22">
        <f t="shared" ref="K451:K455" si="617">I451-J451</f>
      </c>
      <c r="L451" s="22">
        <f t="shared" ref="L451:L455" si="287">(I451-AC451)/12+AC451</f>
      </c>
      <c r="M451" s="23">
        <f t="shared" si="312"/>
      </c>
      <c r="N451" s="24">
        <f t="shared" si="331"/>
      </c>
      <c r="O451" s="25">
        <f t="shared" si="350"/>
      </c>
      <c r="P451" s="26">
        <f t="shared" si="35"/>
      </c>
      <c r="Q451" s="26">
        <f t="shared" si="54"/>
      </c>
      <c r="R451" s="26">
        <f t="shared" si="73"/>
      </c>
      <c r="S451" s="27">
        <f t="shared" si="92"/>
      </c>
      <c r="T451" s="28">
        <f t="shared" si="642"/>
      </c>
      <c r="U451" s="26">
        <f t="shared" si="680"/>
      </c>
      <c r="V451" s="29">
        <f t="shared" si="661"/>
      </c>
      <c r="W451" s="29">
        <f t="shared" si="699"/>
      </c>
      <c r="X451" s="26">
        <f t="shared" si="16"/>
      </c>
      <c r="Y451" s="30">
        <f t="shared" ref="Y451:Y455" si="177">Z451+AA451</f>
      </c>
      <c r="Z451" s="30">
        <v>9</v>
      </c>
      <c r="AA451" s="30">
        <v>4</v>
      </c>
      <c r="AB451" s="31">
        <v>3830.75999999998</v>
      </c>
      <c r="AC451" s="31">
        <v>697</v>
      </c>
      <c r="AD451" s="27">
        <f t="shared" si="202"/>
      </c>
      <c r="AE451" s="32" t="s">
        <v>41</v>
      </c>
      <c r="AF451" s="33" t="s">
        <v>56</v>
      </c>
      <c r="AG451" s="36">
        <v>4</v>
      </c>
      <c r="AH451" s="35">
        <v>90498</v>
      </c>
      <c r="AI451" s="35">
        <v>1572</v>
      </c>
      <c r="AJ451" s="35">
        <v>1630</v>
      </c>
      <c r="AK451" s="36">
        <v>218</v>
      </c>
      <c r="AL451" s="36">
        <v>238</v>
      </c>
    </row>
    <row r="452">
      <c r="A452" s="15"/>
      <c r="B452" s="16" t="s">
        <v>57</v>
      </c>
      <c r="C452" s="52" t="s">
        <v>64</v>
      </c>
      <c r="D452" s="18">
        <f t="shared" si="435"/>
      </c>
      <c r="E452" s="17">
        <v>333.64</v>
      </c>
      <c r="F452" s="17">
        <v>4809.51</v>
      </c>
      <c r="G452" s="20">
        <v>0</v>
      </c>
      <c r="H452" s="20">
        <v>0</v>
      </c>
      <c r="I452" s="20">
        <f t="shared" si="526"/>
      </c>
      <c r="J452" s="21">
        <v>0</v>
      </c>
      <c r="K452" s="22">
        <f t="shared" si="617"/>
      </c>
      <c r="L452" s="22">
        <f t="shared" si="287"/>
      </c>
      <c r="M452" s="23">
        <f t="shared" si="312"/>
      </c>
      <c r="N452" s="24">
        <f t="shared" si="331"/>
      </c>
      <c r="O452" s="25">
        <f t="shared" si="350"/>
      </c>
      <c r="P452" s="26">
        <f t="shared" si="35"/>
      </c>
      <c r="Q452" s="26">
        <f t="shared" si="54"/>
      </c>
      <c r="R452" s="26">
        <f t="shared" si="73"/>
      </c>
      <c r="S452" s="27">
        <f t="shared" si="92"/>
      </c>
      <c r="T452" s="28">
        <f t="shared" si="642"/>
      </c>
      <c r="U452" s="26">
        <f t="shared" si="680"/>
      </c>
      <c r="V452" s="29">
        <f t="shared" si="661"/>
      </c>
      <c r="W452" s="29">
        <f t="shared" si="699"/>
      </c>
      <c r="X452" s="26">
        <f t="shared" si="16"/>
      </c>
      <c r="Y452" s="30">
        <f t="shared" si="177"/>
      </c>
      <c r="Z452" s="30">
        <v>4</v>
      </c>
      <c r="AA452" s="30">
        <v>0</v>
      </c>
      <c r="AB452" s="31">
        <v>0</v>
      </c>
      <c r="AC452" s="31">
        <v>0</v>
      </c>
      <c r="AD452" s="27">
        <f t="shared" si="202"/>
      </c>
      <c r="AE452" s="32" t="s">
        <v>41</v>
      </c>
      <c r="AF452" s="33" t="s">
        <v>56</v>
      </c>
      <c r="AG452" s="36">
        <v>0</v>
      </c>
      <c r="AH452" s="35">
        <v>52555</v>
      </c>
      <c r="AI452" s="35">
        <v>1123</v>
      </c>
      <c r="AJ452" s="35">
        <v>1227</v>
      </c>
      <c r="AK452" s="36">
        <v>146</v>
      </c>
      <c r="AL452" s="36">
        <v>170</v>
      </c>
    </row>
    <row r="453">
      <c r="A453" s="15"/>
      <c r="B453" s="16" t="s">
        <v>57</v>
      </c>
      <c r="C453" s="52" t="s">
        <v>65</v>
      </c>
      <c r="D453" s="18">
        <f t="shared" si="435"/>
      </c>
      <c r="E453" s="17">
        <v>484.87</v>
      </c>
      <c r="F453" s="17">
        <v>8122.76</v>
      </c>
      <c r="G453" s="20">
        <v>0</v>
      </c>
      <c r="H453" s="20">
        <v>0</v>
      </c>
      <c r="I453" s="20">
        <f t="shared" si="526"/>
      </c>
      <c r="J453" s="21">
        <v>0</v>
      </c>
      <c r="K453" s="22">
        <f t="shared" si="617"/>
      </c>
      <c r="L453" s="22">
        <f t="shared" si="287"/>
      </c>
      <c r="M453" s="23">
        <f t="shared" si="312"/>
      </c>
      <c r="N453" s="24">
        <f t="shared" si="331"/>
      </c>
      <c r="O453" s="25">
        <f t="shared" si="350"/>
      </c>
      <c r="P453" s="26">
        <f t="shared" si="35"/>
      </c>
      <c r="Q453" s="26">
        <f t="shared" si="54"/>
      </c>
      <c r="R453" s="26">
        <f t="shared" si="73"/>
      </c>
      <c r="S453" s="27">
        <f t="shared" si="92"/>
      </c>
      <c r="T453" s="28">
        <f t="shared" si="642"/>
      </c>
      <c r="U453" s="26">
        <f t="shared" si="680"/>
      </c>
      <c r="V453" s="29">
        <f t="shared" si="661"/>
      </c>
      <c r="W453" s="29">
        <f t="shared" si="699"/>
      </c>
      <c r="X453" s="26">
        <f t="shared" si="16"/>
      </c>
      <c r="Y453" s="30">
        <f t="shared" si="177"/>
      </c>
      <c r="Z453" s="30">
        <v>2</v>
      </c>
      <c r="AA453" s="30">
        <v>3</v>
      </c>
      <c r="AB453" s="31">
        <v>3032.640000000014</v>
      </c>
      <c r="AC453" s="31">
        <v>0</v>
      </c>
      <c r="AD453" s="27">
        <f t="shared" si="202"/>
      </c>
      <c r="AE453" s="32" t="s">
        <v>41</v>
      </c>
      <c r="AF453" s="33" t="s">
        <v>56</v>
      </c>
      <c r="AG453" s="36">
        <v>1</v>
      </c>
      <c r="AH453" s="35">
        <v>80711</v>
      </c>
      <c r="AI453" s="35">
        <v>2141</v>
      </c>
      <c r="AJ453" s="35">
        <v>2295</v>
      </c>
      <c r="AK453" s="36">
        <v>168</v>
      </c>
      <c r="AL453" s="36">
        <v>186</v>
      </c>
    </row>
    <row r="454">
      <c r="A454" s="15"/>
      <c r="B454" s="16" t="s">
        <v>57</v>
      </c>
      <c r="C454" s="17" t="s">
        <v>66</v>
      </c>
      <c r="D454" s="18">
        <f t="shared" si="435"/>
      </c>
      <c r="E454" s="17">
        <v>675.7</v>
      </c>
      <c r="F454" s="20">
        <v>7505.97</v>
      </c>
      <c r="G454" s="20">
        <v>0</v>
      </c>
      <c r="H454" s="20">
        <v>0</v>
      </c>
      <c r="I454" s="37">
        <f t="shared" si="526"/>
      </c>
      <c r="J454" s="21">
        <v>0</v>
      </c>
      <c r="K454" s="22">
        <f t="shared" si="617"/>
      </c>
      <c r="L454" s="22">
        <f t="shared" si="287"/>
      </c>
      <c r="M454" s="23">
        <f t="shared" si="312"/>
      </c>
      <c r="N454" s="24">
        <f t="shared" si="331"/>
      </c>
      <c r="O454" s="25">
        <f t="shared" si="350"/>
      </c>
      <c r="P454" s="26">
        <f t="shared" si="35"/>
      </c>
      <c r="Q454" s="26">
        <f t="shared" si="54"/>
      </c>
      <c r="R454" s="26">
        <f t="shared" si="73"/>
      </c>
      <c r="S454" s="27">
        <f t="shared" si="92"/>
      </c>
      <c r="T454" s="28">
        <f t="shared" si="642"/>
      </c>
      <c r="U454" s="26">
        <f t="shared" si="680"/>
      </c>
      <c r="V454" s="29">
        <f t="shared" si="661"/>
      </c>
      <c r="W454" s="29">
        <f t="shared" si="699"/>
      </c>
      <c r="X454" s="26">
        <f t="shared" si="16"/>
      </c>
      <c r="Y454" s="30">
        <f t="shared" si="177"/>
      </c>
      <c r="Z454" s="30">
        <v>6</v>
      </c>
      <c r="AA454" s="30">
        <v>7</v>
      </c>
      <c r="AB454" s="31">
        <v>9857.88</v>
      </c>
      <c r="AC454" s="31">
        <v>2311.35</v>
      </c>
      <c r="AD454" s="27">
        <f t="shared" si="202"/>
      </c>
      <c r="AE454" s="32" t="s">
        <v>41</v>
      </c>
      <c r="AF454" s="33" t="s">
        <v>56</v>
      </c>
      <c r="AG454" s="34">
        <v>7</v>
      </c>
      <c r="AH454" s="35">
        <v>93003</v>
      </c>
      <c r="AI454" s="35">
        <v>2699</v>
      </c>
      <c r="AJ454" s="35">
        <v>2910</v>
      </c>
      <c r="AK454" s="36">
        <v>235</v>
      </c>
      <c r="AL454" s="36">
        <v>217</v>
      </c>
    </row>
    <row r="455">
      <c r="A455" s="15"/>
      <c r="B455" s="16" t="s">
        <v>57</v>
      </c>
      <c r="C455" s="17" t="s">
        <v>67</v>
      </c>
      <c r="D455" s="18">
        <f t="shared" si="435"/>
      </c>
      <c r="E455" s="19">
        <v>227.17</v>
      </c>
      <c r="F455" s="20">
        <v>2059.78</v>
      </c>
      <c r="G455" s="20">
        <v>0</v>
      </c>
      <c r="H455" s="20">
        <v>0</v>
      </c>
      <c r="I455" s="20">
        <f t="shared" si="526"/>
      </c>
      <c r="J455" s="21">
        <v>0</v>
      </c>
      <c r="K455" s="22">
        <f t="shared" si="617"/>
      </c>
      <c r="L455" s="22">
        <f t="shared" si="287"/>
      </c>
      <c r="M455" s="23">
        <f t="shared" si="312"/>
      </c>
      <c r="N455" s="24">
        <f t="shared" si="331"/>
      </c>
      <c r="O455" s="25">
        <f t="shared" si="350"/>
      </c>
      <c r="P455" s="26">
        <f t="shared" si="35"/>
      </c>
      <c r="Q455" s="26">
        <f t="shared" si="54"/>
      </c>
      <c r="R455" s="26">
        <f t="shared" si="73"/>
      </c>
      <c r="S455" s="27">
        <f t="shared" si="92"/>
      </c>
      <c r="T455" s="28">
        <f t="shared" si="642"/>
      </c>
      <c r="U455" s="26">
        <f t="shared" si="680"/>
      </c>
      <c r="V455" s="29">
        <f t="shared" si="661"/>
      </c>
      <c r="W455" s="29">
        <f t="shared" si="699"/>
      </c>
      <c r="X455" s="26">
        <f t="shared" si="16"/>
      </c>
      <c r="Y455" s="30">
        <f t="shared" si="177"/>
      </c>
      <c r="Z455" s="30">
        <v>8</v>
      </c>
      <c r="AA455" s="30">
        <v>7</v>
      </c>
      <c r="AB455" s="31">
        <v>20464.440000000002</v>
      </c>
      <c r="AC455" s="31">
        <v>0</v>
      </c>
      <c r="AD455" s="27">
        <f t="shared" si="202"/>
      </c>
      <c r="AE455" s="32" t="s">
        <v>41</v>
      </c>
      <c r="AF455" s="33" t="s">
        <v>56</v>
      </c>
      <c r="AG455" s="34">
        <v>6</v>
      </c>
      <c r="AH455" s="35">
        <v>29083</v>
      </c>
      <c r="AI455" s="35">
        <v>906</v>
      </c>
      <c r="AJ455" s="35">
        <v>1087</v>
      </c>
      <c r="AK455" s="34">
        <v>107</v>
      </c>
      <c r="AL455" s="34">
        <v>93</v>
      </c>
    </row>
    <row r="456">
      <c r="A456" s="15"/>
      <c r="B456" s="38" t="s">
        <v>47</v>
      </c>
      <c r="C456" s="39">
        <v>5</v>
      </c>
      <c r="D456" s="40">
        <f>SUM(D451:D455)</f>
      </c>
      <c r="E456" s="40">
        <f>SUM(E451:E455)</f>
      </c>
      <c r="F456" s="40">
        <f>SUM(F451:F455)</f>
      </c>
      <c r="G456" s="40">
        <f>SUM(G451:G455)</f>
      </c>
      <c r="H456" s="40">
        <f>SUM(H451:H455)</f>
      </c>
      <c r="I456" s="40">
        <f>SUM(I451:I455)</f>
      </c>
      <c r="J456" s="40">
        <f>SUM(J451:J455)</f>
      </c>
      <c r="K456" s="40">
        <f>SUM(K451:K455)</f>
      </c>
      <c r="L456" s="40">
        <f>SUM(L451:L455)</f>
      </c>
      <c r="M456" s="41">
        <f t="shared" si="312"/>
      </c>
      <c r="N456" s="42">
        <f t="shared" si="331"/>
      </c>
      <c r="O456" s="42">
        <f t="shared" si="350"/>
      </c>
      <c r="P456" s="43">
        <f t="shared" si="35"/>
      </c>
      <c r="Q456" s="43">
        <f t="shared" si="54"/>
      </c>
      <c r="R456" s="43">
        <f t="shared" si="73"/>
      </c>
      <c r="S456" s="44">
        <f t="shared" si="92"/>
      </c>
      <c r="T456" s="44">
        <f t="shared" si="642"/>
      </c>
      <c r="U456" s="43">
        <f t="shared" si="680"/>
      </c>
      <c r="V456" s="44">
        <f t="shared" si="661"/>
      </c>
      <c r="W456" s="44">
        <f t="shared" si="699"/>
      </c>
      <c r="X456" s="43">
        <f t="shared" si="16"/>
      </c>
      <c r="Y456" s="40">
        <f>SUM(Y451:Y455)</f>
      </c>
      <c r="Z456" s="40">
        <f>SUM(Z451:Z455)</f>
      </c>
      <c r="AA456" s="40">
        <f>SUM(AA451:AA455)</f>
      </c>
      <c r="AB456" s="40">
        <f>SUM(AB451:AB455)</f>
      </c>
      <c r="AC456" s="40">
        <f>SUM(AC451:AC455)</f>
      </c>
      <c r="AD456" s="59">
        <f t="shared" si="202"/>
      </c>
      <c r="AE456" s="46"/>
      <c r="AF456" s="47"/>
      <c r="AG456" s="40">
        <f>SUM(AG451:AG455)</f>
      </c>
      <c r="AH456" s="40">
        <f>SUM(AH451:AH455)</f>
      </c>
      <c r="AI456" s="40">
        <f>SUM(AI451:AI455)</f>
      </c>
      <c r="AJ456" s="40">
        <f>SUM(AJ451:AJ455)</f>
      </c>
      <c r="AK456" s="40">
        <f>SUM(AK451:AK455)</f>
      </c>
      <c r="AL456" s="40">
        <f>SUM(AL451:AL455)</f>
      </c>
    </row>
    <row r="457">
      <c r="A457" s="15"/>
      <c r="B457" s="60" t="s">
        <v>47</v>
      </c>
      <c r="C457" s="61">
        <f>C438+C444+C450+C456</f>
      </c>
      <c r="D457" s="61">
        <f>D438+D444+D450+D456</f>
      </c>
      <c r="E457" s="61">
        <f>E438+E444+E450+E456</f>
      </c>
      <c r="F457" s="61">
        <f>F438+F444+F450+F456</f>
      </c>
      <c r="G457" s="61">
        <f>G438+G444+G450+G456</f>
      </c>
      <c r="H457" s="61">
        <f>H438+H444+H450+H456</f>
      </c>
      <c r="I457" s="62">
        <f>I438+I444+I450+I456</f>
      </c>
      <c r="J457" s="61">
        <f>J438+J444+J450+J456</f>
      </c>
      <c r="K457" s="61">
        <f>K438+K444+K450+K456</f>
      </c>
      <c r="L457" s="61">
        <f>L438+L444+L450+L456</f>
      </c>
      <c r="M457" s="63">
        <f t="shared" si="312"/>
      </c>
      <c r="N457" s="63">
        <f t="shared" si="331"/>
      </c>
      <c r="O457" s="63">
        <f t="shared" si="350"/>
      </c>
      <c r="P457" s="63">
        <f t="shared" si="35"/>
      </c>
      <c r="Q457" s="63">
        <f t="shared" si="54"/>
      </c>
      <c r="R457" s="63">
        <f t="shared" si="73"/>
      </c>
      <c r="S457" s="64">
        <f t="shared" si="92"/>
      </c>
      <c r="T457" s="64">
        <f t="shared" si="642"/>
      </c>
      <c r="U457" s="63">
        <f t="shared" si="680"/>
      </c>
      <c r="V457" s="64">
        <f t="shared" si="661"/>
      </c>
      <c r="W457" s="64">
        <f t="shared" si="699"/>
      </c>
      <c r="X457" s="63">
        <f t="shared" si="16"/>
      </c>
      <c r="Y457" s="61">
        <f>Y438+Y444+Y450+Y456</f>
      </c>
      <c r="Z457" s="61">
        <f>Z438+Z444+Z450+Z456</f>
      </c>
      <c r="AA457" s="62">
        <f>AA438+AA444+AA450+AA456</f>
      </c>
      <c r="AB457" s="61">
        <f>AB438+AB444+AB450+AB456</f>
      </c>
      <c r="AC457" s="61">
        <f>AC438+AC444+AC450+AC456</f>
      </c>
      <c r="AD457" s="66">
        <f t="shared" si="202"/>
      </c>
      <c r="AE457" s="67"/>
      <c r="AF457" s="60"/>
      <c r="AG457" s="61">
        <f>AG438+AG444+AG450+AG456</f>
      </c>
      <c r="AH457" s="61">
        <f>AH438+AH444+AH450+AH456</f>
      </c>
      <c r="AI457" s="61">
        <f>AI438+AI444+AI450+AI456</f>
      </c>
      <c r="AJ457" s="61">
        <f>AJ438+AJ444+AJ450+AJ456</f>
      </c>
      <c r="AK457" s="61">
        <f>AK438+AK444+AK450+AK456</f>
      </c>
      <c r="AL457" s="61">
        <f>AL438+AL444+AL450+AL456</f>
      </c>
    </row>
    <row r="458">
      <c r="A458" s="1" t="s">
        <v>1</v>
      </c>
      <c r="B458" s="2" t="s">
        <v>2</v>
      </c>
      <c r="C458" s="2" t="s">
        <v>3</v>
      </c>
      <c r="D458" s="3" t="s">
        <v>4</v>
      </c>
      <c r="E458" s="2" t="s">
        <v>5</v>
      </c>
      <c r="F458" s="2" t="s">
        <v>6</v>
      </c>
      <c r="G458" s="4" t="s">
        <v>7</v>
      </c>
      <c r="H458" s="4" t="s">
        <v>8</v>
      </c>
      <c r="I458" s="3" t="s">
        <v>9</v>
      </c>
      <c r="J458" s="5" t="s">
        <v>10</v>
      </c>
      <c r="K458" s="6" t="s">
        <v>11</v>
      </c>
      <c r="L458" s="6" t="s">
        <v>12</v>
      </c>
      <c r="M458" s="7" t="s">
        <v>13</v>
      </c>
      <c r="N458" s="6" t="s">
        <v>14</v>
      </c>
      <c r="O458" s="2" t="s">
        <v>15</v>
      </c>
      <c r="P458" s="7" t="s">
        <v>16</v>
      </c>
      <c r="Q458" s="8" t="s">
        <v>17</v>
      </c>
      <c r="R458" s="8" t="s">
        <v>18</v>
      </c>
      <c r="S458" s="3" t="s">
        <v>19</v>
      </c>
      <c r="T458" s="9" t="s">
        <v>20</v>
      </c>
      <c r="U458" s="7" t="s">
        <v>21</v>
      </c>
      <c r="V458" s="10" t="s">
        <v>22</v>
      </c>
      <c r="W458" s="11" t="s">
        <v>23</v>
      </c>
      <c r="X458" s="7" t="s">
        <v>24</v>
      </c>
      <c r="Y458" s="12" t="s">
        <v>25</v>
      </c>
      <c r="Z458" s="13" t="s">
        <v>26</v>
      </c>
      <c r="AA458" s="12" t="s">
        <v>27</v>
      </c>
      <c r="AB458" s="14" t="s">
        <v>28</v>
      </c>
      <c r="AC458" s="14" t="s">
        <v>29</v>
      </c>
      <c r="AD458" s="6" t="s">
        <v>30</v>
      </c>
      <c r="AE458" s="5" t="s">
        <v>31</v>
      </c>
      <c r="AF458" s="6" t="s">
        <v>32</v>
      </c>
      <c r="AG458" s="5" t="s">
        <v>33</v>
      </c>
      <c r="AH458" s="5" t="s">
        <v>34</v>
      </c>
      <c r="AI458" s="6" t="s">
        <v>35</v>
      </c>
      <c r="AJ458" s="5" t="s">
        <v>36</v>
      </c>
      <c r="AK458" s="6" t="s">
        <v>37</v>
      </c>
      <c r="AL458" s="5" t="s">
        <v>38</v>
      </c>
    </row>
    <row r="459">
      <c r="A459" s="15">
        <v>46313</v>
      </c>
      <c r="B459" s="16" t="s">
        <v>73</v>
      </c>
      <c r="C459" s="17" t="s">
        <v>40</v>
      </c>
      <c r="D459" s="18">
        <f t="shared" ref="D459:D463" si="436">E459+F459+G459+H459</f>
      </c>
      <c r="E459" s="19">
        <v>626.19</v>
      </c>
      <c r="F459" s="20">
        <v>5455.01</v>
      </c>
      <c r="G459" s="20">
        <v>0</v>
      </c>
      <c r="H459" s="20">
        <v>0</v>
      </c>
      <c r="I459" s="20">
        <f t="shared" ref="I459:I463" si="527">AB459+AC459</f>
      </c>
      <c r="J459" s="21">
        <f>1871.64+2095.2</f>
      </c>
      <c r="K459" s="22">
        <f t="shared" ref="K459:K463" si="618">I459-J459</f>
      </c>
      <c r="L459" s="22">
        <f t="shared" ref="L459:L463" si="288">(I459-AC459)/12+AC459</f>
      </c>
      <c r="M459" s="23">
        <f t="shared" ref="M459:M483" si="313">I459/D459</f>
      </c>
      <c r="N459" s="24">
        <f t="shared" ref="N459:N483" si="332">(I459-J459)/D459</f>
      </c>
      <c r="O459" s="25">
        <f t="shared" ref="O459:O483" si="351">(AC459+AB459/12)/D459</f>
      </c>
      <c r="P459" s="26">
        <f t="shared" ref="P459:P483" si="36">I459/AA459</f>
      </c>
      <c r="Q459" s="26">
        <f t="shared" ref="Q459:Q483" si="55">D459/AA459</f>
      </c>
      <c r="R459" s="26">
        <f t="shared" ref="R459:R483" si="74">D459/AG459</f>
      </c>
      <c r="S459" s="27">
        <f t="shared" ref="S459:S483" si="93">AA459/Y459</f>
      </c>
      <c r="T459" s="28">
        <f t="shared" ref="T459:T483" si="643">AI459/AH459</f>
      </c>
      <c r="U459" s="26">
        <f t="shared" ref="U459:U483" si="681">D459/AJ459</f>
      </c>
      <c r="V459" s="29">
        <f t="shared" ref="V459:V483" si="662">AK459/AJ459</f>
      </c>
      <c r="W459" s="29">
        <f t="shared" ref="W459:W483" si="700">AL459/AJ459</f>
      </c>
      <c r="X459" s="26">
        <f t="shared" ref="X459:X483" si="17">D459/AL459</f>
      </c>
      <c r="Y459" s="30">
        <f t="shared" ref="Y459:Y463" si="178">Z459+AA459</f>
      </c>
      <c r="Z459" s="30">
        <v>3</v>
      </c>
      <c r="AA459" s="30">
        <v>4</v>
      </c>
      <c r="AB459" s="31">
        <v>8385.120000000003</v>
      </c>
      <c r="AC459" s="31">
        <v>0</v>
      </c>
      <c r="AD459" s="27">
        <f t="shared" ref="AD459:AD483" si="203">AC459/I459</f>
      </c>
      <c r="AE459" s="32" t="s">
        <v>41</v>
      </c>
      <c r="AF459" s="33" t="s">
        <v>42</v>
      </c>
      <c r="AG459" s="34">
        <v>3</v>
      </c>
      <c r="AH459" s="34">
        <v>73239</v>
      </c>
      <c r="AI459" s="35">
        <v>1576</v>
      </c>
      <c r="AJ459" s="35">
        <v>1804</v>
      </c>
      <c r="AK459" s="34">
        <v>202</v>
      </c>
      <c r="AL459" s="36">
        <v>177</v>
      </c>
    </row>
    <row r="460">
      <c r="A460" s="15"/>
      <c r="B460" s="16" t="s">
        <v>73</v>
      </c>
      <c r="C460" s="17" t="s">
        <v>43</v>
      </c>
      <c r="D460" s="18">
        <f t="shared" si="436"/>
      </c>
      <c r="E460" s="17">
        <v>867.69</v>
      </c>
      <c r="F460" s="20">
        <v>12022.95</v>
      </c>
      <c r="G460" s="20">
        <v>0</v>
      </c>
      <c r="H460" s="20">
        <v>0</v>
      </c>
      <c r="I460" s="20">
        <f t="shared" si="527"/>
      </c>
      <c r="J460" s="21">
        <v>1686.96</v>
      </c>
      <c r="K460" s="22">
        <f t="shared" si="618"/>
      </c>
      <c r="L460" s="22">
        <f t="shared" si="288"/>
      </c>
      <c r="M460" s="23">
        <f t="shared" si="313"/>
      </c>
      <c r="N460" s="24">
        <f t="shared" si="332"/>
      </c>
      <c r="O460" s="25">
        <f t="shared" si="351"/>
      </c>
      <c r="P460" s="26">
        <f t="shared" si="36"/>
      </c>
      <c r="Q460" s="26">
        <f t="shared" si="55"/>
      </c>
      <c r="R460" s="26">
        <f t="shared" si="74"/>
      </c>
      <c r="S460" s="27">
        <f t="shared" si="93"/>
      </c>
      <c r="T460" s="28">
        <f t="shared" si="643"/>
      </c>
      <c r="U460" s="26">
        <f t="shared" si="681"/>
      </c>
      <c r="V460" s="29">
        <f t="shared" si="662"/>
      </c>
      <c r="W460" s="29">
        <f t="shared" si="700"/>
      </c>
      <c r="X460" s="26">
        <f t="shared" si="17"/>
      </c>
      <c r="Y460" s="30">
        <f t="shared" si="178"/>
      </c>
      <c r="Z460" s="30">
        <v>5</v>
      </c>
      <c r="AA460" s="30">
        <v>8</v>
      </c>
      <c r="AB460" s="31">
        <v>11030.04</v>
      </c>
      <c r="AC460" s="31">
        <v>1398</v>
      </c>
      <c r="AD460" s="27">
        <f t="shared" si="203"/>
      </c>
      <c r="AE460" s="32" t="s">
        <v>41</v>
      </c>
      <c r="AF460" s="33" t="s">
        <v>42</v>
      </c>
      <c r="AG460" s="34">
        <v>8</v>
      </c>
      <c r="AH460" s="35">
        <v>169891</v>
      </c>
      <c r="AI460" s="35">
        <v>1987</v>
      </c>
      <c r="AJ460" s="35">
        <v>2233</v>
      </c>
      <c r="AK460" s="36">
        <v>355</v>
      </c>
      <c r="AL460" s="36">
        <v>406</v>
      </c>
    </row>
    <row r="461">
      <c r="A461" s="15"/>
      <c r="B461" s="16" t="s">
        <v>73</v>
      </c>
      <c r="C461" s="17" t="s">
        <v>44</v>
      </c>
      <c r="D461" s="18">
        <f t="shared" si="436"/>
      </c>
      <c r="E461" s="17">
        <v>495.56</v>
      </c>
      <c r="F461" s="20">
        <v>9270.46</v>
      </c>
      <c r="G461" s="20">
        <v>0</v>
      </c>
      <c r="H461" s="20">
        <v>0</v>
      </c>
      <c r="I461" s="20">
        <f t="shared" si="527"/>
      </c>
      <c r="J461" s="21">
        <f>733.32+1360.8</f>
      </c>
      <c r="K461" s="22">
        <f t="shared" si="618"/>
      </c>
      <c r="L461" s="22">
        <f t="shared" si="288"/>
      </c>
      <c r="M461" s="23">
        <f t="shared" si="313"/>
      </c>
      <c r="N461" s="24">
        <f t="shared" si="332"/>
      </c>
      <c r="O461" s="25">
        <f t="shared" si="351"/>
      </c>
      <c r="P461" s="26">
        <f t="shared" si="36"/>
      </c>
      <c r="Q461" s="26">
        <f t="shared" si="55"/>
      </c>
      <c r="R461" s="26">
        <f t="shared" si="74"/>
      </c>
      <c r="S461" s="27">
        <f t="shared" si="93"/>
      </c>
      <c r="T461" s="28">
        <f t="shared" si="643"/>
      </c>
      <c r="U461" s="26">
        <f t="shared" si="681"/>
      </c>
      <c r="V461" s="29">
        <f t="shared" si="662"/>
      </c>
      <c r="W461" s="29">
        <f t="shared" si="700"/>
      </c>
      <c r="X461" s="26">
        <f t="shared" si="17"/>
      </c>
      <c r="Y461" s="30">
        <f t="shared" si="178"/>
      </c>
      <c r="Z461" s="30">
        <v>10</v>
      </c>
      <c r="AA461" s="30">
        <v>11</v>
      </c>
      <c r="AB461" s="31">
        <v>15258.719999999994</v>
      </c>
      <c r="AC461" s="31">
        <v>839.0000000000005</v>
      </c>
      <c r="AD461" s="27">
        <f t="shared" si="203"/>
      </c>
      <c r="AE461" s="32" t="s">
        <v>41</v>
      </c>
      <c r="AF461" s="33" t="s">
        <v>42</v>
      </c>
      <c r="AG461" s="36">
        <v>11</v>
      </c>
      <c r="AH461" s="35">
        <v>109520</v>
      </c>
      <c r="AI461" s="35">
        <v>1551</v>
      </c>
      <c r="AJ461" s="35">
        <v>1770</v>
      </c>
      <c r="AK461" s="36">
        <v>270</v>
      </c>
      <c r="AL461" s="36">
        <v>294</v>
      </c>
    </row>
    <row r="462">
      <c r="A462" s="15"/>
      <c r="B462" s="16" t="s">
        <v>73</v>
      </c>
      <c r="C462" s="17" t="s">
        <v>45</v>
      </c>
      <c r="D462" s="18">
        <f t="shared" si="436"/>
      </c>
      <c r="E462" s="17">
        <v>650.89</v>
      </c>
      <c r="F462" s="20">
        <v>7678.65</v>
      </c>
      <c r="G462" s="20">
        <v>0</v>
      </c>
      <c r="H462" s="20">
        <v>0</v>
      </c>
      <c r="I462" s="37">
        <f t="shared" si="527"/>
      </c>
      <c r="J462" s="21">
        <v>0</v>
      </c>
      <c r="K462" s="22">
        <f t="shared" si="618"/>
      </c>
      <c r="L462" s="22">
        <f t="shared" si="288"/>
      </c>
      <c r="M462" s="23">
        <f t="shared" si="313"/>
      </c>
      <c r="N462" s="24">
        <f t="shared" si="332"/>
      </c>
      <c r="O462" s="25">
        <f t="shared" si="351"/>
      </c>
      <c r="P462" s="26">
        <f t="shared" si="36"/>
      </c>
      <c r="Q462" s="26">
        <f t="shared" si="55"/>
      </c>
      <c r="R462" s="26">
        <f t="shared" si="74"/>
      </c>
      <c r="S462" s="27">
        <f t="shared" si="93"/>
      </c>
      <c r="T462" s="28">
        <f t="shared" si="643"/>
      </c>
      <c r="U462" s="26">
        <f t="shared" si="681"/>
      </c>
      <c r="V462" s="29">
        <f t="shared" si="662"/>
      </c>
      <c r="W462" s="29">
        <f t="shared" si="700"/>
      </c>
      <c r="X462" s="26">
        <f t="shared" si="17"/>
      </c>
      <c r="Y462" s="30">
        <f t="shared" si="178"/>
      </c>
      <c r="Z462" s="30">
        <v>7</v>
      </c>
      <c r="AA462" s="30">
        <v>3</v>
      </c>
      <c r="AB462" s="31">
        <v>2950.800000000003</v>
      </c>
      <c r="AC462" s="31">
        <v>1127</v>
      </c>
      <c r="AD462" s="27">
        <f t="shared" si="203"/>
      </c>
      <c r="AE462" s="32" t="s">
        <v>41</v>
      </c>
      <c r="AF462" s="33" t="s">
        <v>42</v>
      </c>
      <c r="AG462" s="34">
        <v>2</v>
      </c>
      <c r="AH462" s="35">
        <v>85670</v>
      </c>
      <c r="AI462" s="35">
        <v>1262</v>
      </c>
      <c r="AJ462" s="35">
        <v>1465</v>
      </c>
      <c r="AK462" s="36">
        <v>238</v>
      </c>
      <c r="AL462" s="36">
        <v>228</v>
      </c>
    </row>
    <row r="463">
      <c r="A463" s="15"/>
      <c r="B463" s="16" t="s">
        <v>73</v>
      </c>
      <c r="C463" s="17" t="s">
        <v>46</v>
      </c>
      <c r="D463" s="18">
        <f t="shared" si="436"/>
      </c>
      <c r="E463" s="17">
        <v>696.96</v>
      </c>
      <c r="F463" s="20">
        <v>3583.16</v>
      </c>
      <c r="G463" s="20">
        <v>0</v>
      </c>
      <c r="H463" s="20">
        <v>0</v>
      </c>
      <c r="I463" s="20">
        <f t="shared" si="527"/>
      </c>
      <c r="J463" s="21">
        <v>4174.68</v>
      </c>
      <c r="K463" s="22">
        <f t="shared" si="618"/>
      </c>
      <c r="L463" s="22">
        <f t="shared" si="288"/>
      </c>
      <c r="M463" s="23">
        <f t="shared" si="313"/>
      </c>
      <c r="N463" s="24">
        <f t="shared" si="332"/>
      </c>
      <c r="O463" s="25">
        <f t="shared" si="351"/>
      </c>
      <c r="P463" s="26">
        <f t="shared" si="36"/>
      </c>
      <c r="Q463" s="26">
        <f t="shared" si="55"/>
      </c>
      <c r="R463" s="26">
        <f t="shared" si="74"/>
      </c>
      <c r="S463" s="27">
        <f t="shared" si="93"/>
      </c>
      <c r="T463" s="28">
        <f t="shared" si="643"/>
      </c>
      <c r="U463" s="26">
        <f t="shared" si="681"/>
      </c>
      <c r="V463" s="29">
        <f t="shared" si="662"/>
      </c>
      <c r="W463" s="29">
        <f t="shared" si="700"/>
      </c>
      <c r="X463" s="26">
        <f t="shared" si="17"/>
      </c>
      <c r="Y463" s="30">
        <f t="shared" si="178"/>
      </c>
      <c r="Z463" s="30">
        <v>3</v>
      </c>
      <c r="AA463" s="30">
        <v>3</v>
      </c>
      <c r="AB463" s="31">
        <f>1670.75999999999+8085.72</f>
      </c>
      <c r="AC463" s="31">
        <v>1561.9999999999995</v>
      </c>
      <c r="AD463" s="27">
        <f t="shared" si="203"/>
      </c>
      <c r="AE463" s="32" t="s">
        <v>41</v>
      </c>
      <c r="AF463" s="33" t="s">
        <v>42</v>
      </c>
      <c r="AG463" s="34">
        <v>1</v>
      </c>
      <c r="AH463" s="35">
        <v>35083</v>
      </c>
      <c r="AI463" s="35">
        <v>718</v>
      </c>
      <c r="AJ463" s="35">
        <v>824</v>
      </c>
      <c r="AK463" s="34">
        <v>87</v>
      </c>
      <c r="AL463" s="34">
        <v>113</v>
      </c>
    </row>
    <row r="464">
      <c r="A464" s="15"/>
      <c r="B464" s="38" t="s">
        <v>47</v>
      </c>
      <c r="C464" s="39">
        <v>5</v>
      </c>
      <c r="D464" s="40">
        <f>SUM(D459:D463)</f>
      </c>
      <c r="E464" s="40">
        <f>SUM(E459:E463)</f>
      </c>
      <c r="F464" s="40">
        <f>SUM(F459:F463)</f>
      </c>
      <c r="G464" s="40">
        <f>SUM(G459:G463)</f>
      </c>
      <c r="H464" s="40">
        <f>SUM(H459:H463)</f>
      </c>
      <c r="I464" s="40">
        <f>SUM(I459:I463)</f>
      </c>
      <c r="J464" s="40">
        <f>SUM(J459:J463)</f>
      </c>
      <c r="K464" s="40">
        <f>SUM(K459:K463)</f>
      </c>
      <c r="L464" s="40">
        <f>SUM(L459:L463)</f>
      </c>
      <c r="M464" s="41">
        <f t="shared" si="313"/>
      </c>
      <c r="N464" s="42">
        <f t="shared" si="332"/>
      </c>
      <c r="O464" s="42">
        <f t="shared" si="351"/>
      </c>
      <c r="P464" s="43">
        <f t="shared" si="36"/>
      </c>
      <c r="Q464" s="43">
        <f t="shared" si="55"/>
      </c>
      <c r="R464" s="43">
        <f t="shared" si="74"/>
      </c>
      <c r="S464" s="44">
        <f t="shared" si="93"/>
      </c>
      <c r="T464" s="44">
        <f t="shared" si="643"/>
      </c>
      <c r="U464" s="43">
        <f t="shared" si="681"/>
      </c>
      <c r="V464" s="44">
        <f t="shared" si="662"/>
      </c>
      <c r="W464" s="44">
        <f t="shared" si="700"/>
      </c>
      <c r="X464" s="43">
        <f t="shared" si="17"/>
      </c>
      <c r="Y464" s="40">
        <f>SUM(Y459:Y463)</f>
      </c>
      <c r="Z464" s="40">
        <f>SUM(Z459:Z463)</f>
      </c>
      <c r="AA464" s="40">
        <f>SUM(AA459:AA463)</f>
      </c>
      <c r="AB464" s="40">
        <f>SUM(AB459:AB463)</f>
      </c>
      <c r="AC464" s="40">
        <f>SUM(AC459:AC463)</f>
      </c>
      <c r="AD464" s="45">
        <f t="shared" si="203"/>
      </c>
      <c r="AE464" s="46"/>
      <c r="AF464" s="47"/>
      <c r="AG464" s="40">
        <f>SUM(AG459:AG463)</f>
      </c>
      <c r="AH464" s="40">
        <f>SUM(AH459:AH463)</f>
      </c>
      <c r="AI464" s="40">
        <f>SUM(AI459:AI463)</f>
      </c>
      <c r="AJ464" s="40">
        <f>SUM(AJ459:AJ463)</f>
      </c>
      <c r="AK464" s="40">
        <f>SUM(AK459:AK463)</f>
      </c>
      <c r="AL464" s="40">
        <f>SUM(AL459:AL463)</f>
      </c>
    </row>
    <row r="465">
      <c r="A465" s="15"/>
      <c r="B465" s="16" t="s">
        <v>62</v>
      </c>
      <c r="C465" s="17" t="s">
        <v>49</v>
      </c>
      <c r="D465" s="18">
        <f t="shared" ref="D465:D469" si="437">E465+F465+G465+H465</f>
      </c>
      <c r="E465" s="19">
        <v>382.11</v>
      </c>
      <c r="F465" s="20">
        <v>3651.54</v>
      </c>
      <c r="G465" s="20">
        <v>0</v>
      </c>
      <c r="H465" s="20">
        <v>0</v>
      </c>
      <c r="I465" s="20">
        <f t="shared" ref="I465:I469" si="528">AB465+AC465</f>
      </c>
      <c r="J465" s="21">
        <v>708.48</v>
      </c>
      <c r="K465" s="22">
        <f t="shared" ref="K465:K469" si="619">I465-J465</f>
      </c>
      <c r="L465" s="22">
        <f t="shared" ref="L465:L469" si="289">(I465-AC465)/12+AC465</f>
      </c>
      <c r="M465" s="23">
        <f t="shared" si="313"/>
      </c>
      <c r="N465" s="24">
        <f t="shared" si="332"/>
      </c>
      <c r="O465" s="25">
        <f t="shared" si="351"/>
      </c>
      <c r="P465" s="26">
        <f t="shared" si="36"/>
      </c>
      <c r="Q465" s="26">
        <f t="shared" si="55"/>
      </c>
      <c r="R465" s="26">
        <f t="shared" si="74"/>
      </c>
      <c r="S465" s="27">
        <f t="shared" si="93"/>
      </c>
      <c r="T465" s="28">
        <f t="shared" si="643"/>
      </c>
      <c r="U465" s="26">
        <f t="shared" si="681"/>
      </c>
      <c r="V465" s="29">
        <f t="shared" si="662"/>
      </c>
      <c r="W465" s="29">
        <f t="shared" si="700"/>
      </c>
      <c r="X465" s="26">
        <f t="shared" si="17"/>
      </c>
      <c r="Y465" s="30">
        <f t="shared" ref="Y465:Y469" si="179">Z465+AA465</f>
      </c>
      <c r="Z465" s="30">
        <v>3</v>
      </c>
      <c r="AA465" s="30">
        <v>3</v>
      </c>
      <c r="AB465" s="31">
        <v>2710.80000000001</v>
      </c>
      <c r="AC465" s="31">
        <v>0</v>
      </c>
      <c r="AD465" s="27">
        <f t="shared" si="203"/>
      </c>
      <c r="AE465" s="32" t="s">
        <v>41</v>
      </c>
      <c r="AF465" s="33" t="s">
        <v>42</v>
      </c>
      <c r="AG465" s="34">
        <v>3</v>
      </c>
      <c r="AH465" s="35">
        <v>30171</v>
      </c>
      <c r="AI465" s="35">
        <v>590</v>
      </c>
      <c r="AJ465" s="35">
        <v>678</v>
      </c>
      <c r="AK465" s="34">
        <v>109</v>
      </c>
      <c r="AL465" s="34">
        <v>125</v>
      </c>
    </row>
    <row r="466">
      <c r="A466" s="15"/>
      <c r="B466" s="16" t="s">
        <v>62</v>
      </c>
      <c r="C466" s="17" t="s">
        <v>50</v>
      </c>
      <c r="D466" s="18">
        <f t="shared" si="437"/>
      </c>
      <c r="E466" s="17">
        <v>419.82</v>
      </c>
      <c r="F466" s="20">
        <v>3718.05</v>
      </c>
      <c r="G466" s="20">
        <v>0</v>
      </c>
      <c r="H466" s="20">
        <v>0</v>
      </c>
      <c r="I466" s="20">
        <f t="shared" si="528"/>
      </c>
      <c r="J466" s="21">
        <f>542.16+864+1670.76</f>
      </c>
      <c r="K466" s="22">
        <f t="shared" si="619"/>
      </c>
      <c r="L466" s="22">
        <f t="shared" si="289"/>
      </c>
      <c r="M466" s="23">
        <f t="shared" si="313"/>
      </c>
      <c r="N466" s="24">
        <f t="shared" si="332"/>
      </c>
      <c r="O466" s="25">
        <f t="shared" si="351"/>
      </c>
      <c r="P466" s="26">
        <f t="shared" si="36"/>
      </c>
      <c r="Q466" s="26">
        <f t="shared" si="55"/>
      </c>
      <c r="R466" s="26">
        <f t="shared" si="74"/>
      </c>
      <c r="S466" s="27">
        <f t="shared" si="93"/>
      </c>
      <c r="T466" s="28">
        <f t="shared" si="643"/>
      </c>
      <c r="U466" s="26">
        <f t="shared" si="681"/>
      </c>
      <c r="V466" s="29">
        <f t="shared" si="662"/>
      </c>
      <c r="W466" s="29">
        <f t="shared" si="700"/>
      </c>
      <c r="X466" s="26">
        <f t="shared" si="17"/>
      </c>
      <c r="Y466" s="30">
        <f t="shared" si="179"/>
      </c>
      <c r="Z466" s="30">
        <v>0</v>
      </c>
      <c r="AA466" s="30">
        <v>8</v>
      </c>
      <c r="AB466" s="31">
        <v>9967.320000000007</v>
      </c>
      <c r="AC466" s="31">
        <v>0</v>
      </c>
      <c r="AD466" s="27">
        <f t="shared" si="203"/>
      </c>
      <c r="AE466" s="32" t="s">
        <v>41</v>
      </c>
      <c r="AF466" s="33" t="s">
        <v>42</v>
      </c>
      <c r="AG466" s="34">
        <v>7</v>
      </c>
      <c r="AH466" s="35">
        <v>35308</v>
      </c>
      <c r="AI466" s="35">
        <v>635</v>
      </c>
      <c r="AJ466" s="35">
        <v>698</v>
      </c>
      <c r="AK466" s="36">
        <v>111</v>
      </c>
      <c r="AL466" s="36">
        <v>117</v>
      </c>
    </row>
    <row r="467">
      <c r="A467" s="15"/>
      <c r="B467" s="16" t="s">
        <v>62</v>
      </c>
      <c r="C467" s="17" t="s">
        <v>51</v>
      </c>
      <c r="D467" s="18">
        <f t="shared" si="437"/>
      </c>
      <c r="E467" s="17">
        <v>362.72</v>
      </c>
      <c r="F467" s="17">
        <v>6798.52</v>
      </c>
      <c r="G467" s="20">
        <v>0</v>
      </c>
      <c r="H467" s="20">
        <v>0</v>
      </c>
      <c r="I467" s="20">
        <f t="shared" si="528"/>
      </c>
      <c r="J467" s="21">
        <v>0</v>
      </c>
      <c r="K467" s="22">
        <f t="shared" si="619"/>
      </c>
      <c r="L467" s="22">
        <f t="shared" si="289"/>
      </c>
      <c r="M467" s="23">
        <f t="shared" si="313"/>
      </c>
      <c r="N467" s="24">
        <f t="shared" si="332"/>
      </c>
      <c r="O467" s="25">
        <f t="shared" si="351"/>
      </c>
      <c r="P467" s="26">
        <f t="shared" si="36"/>
      </c>
      <c r="Q467" s="26">
        <f t="shared" si="55"/>
      </c>
      <c r="R467" s="26">
        <f t="shared" si="74"/>
      </c>
      <c r="S467" s="27">
        <f t="shared" si="93"/>
      </c>
      <c r="T467" s="28">
        <f t="shared" si="643"/>
      </c>
      <c r="U467" s="26">
        <f t="shared" si="681"/>
      </c>
      <c r="V467" s="29">
        <f t="shared" si="662"/>
      </c>
      <c r="W467" s="29">
        <f t="shared" si="700"/>
      </c>
      <c r="X467" s="26">
        <f t="shared" si="17"/>
      </c>
      <c r="Y467" s="30">
        <f t="shared" si="179"/>
      </c>
      <c r="Z467" s="30">
        <v>4</v>
      </c>
      <c r="AA467" s="30">
        <v>2</v>
      </c>
      <c r="AB467" s="31">
        <v>1540.0799999999872</v>
      </c>
      <c r="AC467" s="69">
        <v>0</v>
      </c>
      <c r="AD467" s="27">
        <f t="shared" si="203"/>
      </c>
      <c r="AE467" s="32" t="s">
        <v>41</v>
      </c>
      <c r="AF467" s="33" t="s">
        <v>42</v>
      </c>
      <c r="AG467" s="36">
        <v>2</v>
      </c>
      <c r="AH467" s="35">
        <v>84527</v>
      </c>
      <c r="AI467" s="35">
        <v>1083</v>
      </c>
      <c r="AJ467" s="35">
        <v>1103</v>
      </c>
      <c r="AK467" s="36">
        <v>206</v>
      </c>
      <c r="AL467" s="36">
        <v>236</v>
      </c>
    </row>
    <row r="468">
      <c r="A468" s="15"/>
      <c r="B468" s="16" t="s">
        <v>62</v>
      </c>
      <c r="C468" s="17" t="s">
        <v>52</v>
      </c>
      <c r="D468" s="18">
        <f t="shared" si="437"/>
      </c>
      <c r="E468" s="17">
        <v>385.41</v>
      </c>
      <c r="F468" s="17">
        <v>5508.38</v>
      </c>
      <c r="G468" s="20">
        <v>0</v>
      </c>
      <c r="H468" s="20">
        <v>0</v>
      </c>
      <c r="I468" s="20">
        <f t="shared" si="528"/>
      </c>
      <c r="J468" s="21">
        <f>4394.52+752.76</f>
      </c>
      <c r="K468" s="22">
        <f t="shared" si="619"/>
      </c>
      <c r="L468" s="22">
        <f t="shared" si="289"/>
      </c>
      <c r="M468" s="23">
        <f t="shared" si="313"/>
      </c>
      <c r="N468" s="24">
        <f t="shared" si="332"/>
      </c>
      <c r="O468" s="25">
        <f t="shared" si="351"/>
      </c>
      <c r="P468" s="26">
        <f t="shared" si="36"/>
      </c>
      <c r="Q468" s="26">
        <f t="shared" si="55"/>
      </c>
      <c r="R468" s="26">
        <f t="shared" si="74"/>
      </c>
      <c r="S468" s="27">
        <f t="shared" si="93"/>
      </c>
      <c r="T468" s="28">
        <f t="shared" si="643"/>
      </c>
      <c r="U468" s="26">
        <f t="shared" si="681"/>
      </c>
      <c r="V468" s="29">
        <f t="shared" si="662"/>
      </c>
      <c r="W468" s="29">
        <f t="shared" si="700"/>
      </c>
      <c r="X468" s="26">
        <f t="shared" si="17"/>
      </c>
      <c r="Y468" s="30">
        <f t="shared" si="179"/>
      </c>
      <c r="Z468" s="30">
        <v>5</v>
      </c>
      <c r="AA468" s="30">
        <v>8</v>
      </c>
      <c r="AB468" s="31">
        <v>11724.480000000003</v>
      </c>
      <c r="AC468" s="69">
        <v>0</v>
      </c>
      <c r="AD468" s="27">
        <f t="shared" si="203"/>
      </c>
      <c r="AE468" s="32" t="s">
        <v>41</v>
      </c>
      <c r="AF468" s="33" t="s">
        <v>42</v>
      </c>
      <c r="AG468" s="36">
        <v>6</v>
      </c>
      <c r="AH468" s="35">
        <v>60824</v>
      </c>
      <c r="AI468" s="35">
        <v>893</v>
      </c>
      <c r="AJ468" s="35">
        <v>937</v>
      </c>
      <c r="AK468" s="36">
        <v>155</v>
      </c>
      <c r="AL468" s="36">
        <v>162</v>
      </c>
    </row>
    <row r="469">
      <c r="A469" s="15"/>
      <c r="B469" s="16" t="s">
        <v>62</v>
      </c>
      <c r="C469" s="17" t="s">
        <v>54</v>
      </c>
      <c r="D469" s="18">
        <f t="shared" si="437"/>
      </c>
      <c r="E469" s="17">
        <v>455.06</v>
      </c>
      <c r="F469" s="20">
        <v>4321.02</v>
      </c>
      <c r="G469" s="20">
        <v>0</v>
      </c>
      <c r="H469" s="20">
        <v>0</v>
      </c>
      <c r="I469" s="20">
        <f t="shared" si="528"/>
      </c>
      <c r="J469" s="21">
        <f>1641.6+1126.44+1871.64</f>
      </c>
      <c r="K469" s="22">
        <f t="shared" si="619"/>
      </c>
      <c r="L469" s="22">
        <f t="shared" si="289"/>
      </c>
      <c r="M469" s="23">
        <f t="shared" si="313"/>
      </c>
      <c r="N469" s="24">
        <f t="shared" si="332"/>
      </c>
      <c r="O469" s="25">
        <f t="shared" si="351"/>
      </c>
      <c r="P469" s="26">
        <f t="shared" si="36"/>
      </c>
      <c r="Q469" s="26">
        <f t="shared" si="55"/>
      </c>
      <c r="R469" s="26">
        <f t="shared" si="74"/>
      </c>
      <c r="S469" s="27">
        <f t="shared" si="93"/>
      </c>
      <c r="T469" s="28">
        <f t="shared" si="643"/>
      </c>
      <c r="U469" s="26">
        <f t="shared" si="681"/>
      </c>
      <c r="V469" s="29">
        <f t="shared" si="662"/>
      </c>
      <c r="W469" s="29">
        <f t="shared" si="700"/>
      </c>
      <c r="X469" s="26">
        <f t="shared" si="17"/>
      </c>
      <c r="Y469" s="30">
        <f t="shared" si="179"/>
      </c>
      <c r="Z469" s="30">
        <v>11</v>
      </c>
      <c r="AA469" s="30">
        <v>10</v>
      </c>
      <c r="AB469" s="31">
        <f>11432.88+1871.64+1128.6</f>
      </c>
      <c r="AC469" s="74">
        <v>0</v>
      </c>
      <c r="AD469" s="72">
        <f t="shared" si="203"/>
      </c>
      <c r="AE469" s="32" t="s">
        <v>41</v>
      </c>
      <c r="AF469" s="33" t="s">
        <v>42</v>
      </c>
      <c r="AG469" s="34">
        <v>5</v>
      </c>
      <c r="AH469" s="35">
        <v>47002</v>
      </c>
      <c r="AI469" s="35">
        <v>830</v>
      </c>
      <c r="AJ469" s="35">
        <v>919</v>
      </c>
      <c r="AK469" s="36">
        <v>181</v>
      </c>
      <c r="AL469" s="36">
        <v>205</v>
      </c>
    </row>
    <row r="470">
      <c r="A470" s="15"/>
      <c r="B470" s="38" t="s">
        <v>47</v>
      </c>
      <c r="C470" s="39">
        <v>5</v>
      </c>
      <c r="D470" s="40">
        <f>SUM(D465:D469)</f>
      </c>
      <c r="E470" s="40">
        <f>SUM(E465:E469)</f>
      </c>
      <c r="F470" s="40">
        <f>SUM(F465:F469)</f>
      </c>
      <c r="G470" s="40">
        <f>SUM(G465:G469)</f>
      </c>
      <c r="H470" s="40">
        <f>SUM(H465:H469)</f>
      </c>
      <c r="I470" s="40">
        <f>SUM(I465:I469)</f>
      </c>
      <c r="J470" s="40">
        <f>SUM(J465:J469)</f>
      </c>
      <c r="K470" s="40">
        <f>SUM(K465:K469)</f>
      </c>
      <c r="L470" s="40">
        <f>SUM(L465:L469)</f>
      </c>
      <c r="M470" s="41">
        <f t="shared" si="313"/>
      </c>
      <c r="N470" s="42">
        <f t="shared" si="332"/>
      </c>
      <c r="O470" s="42">
        <f t="shared" si="351"/>
      </c>
      <c r="P470" s="43">
        <f t="shared" si="36"/>
      </c>
      <c r="Q470" s="43">
        <f t="shared" si="55"/>
      </c>
      <c r="R470" s="43">
        <f t="shared" si="74"/>
      </c>
      <c r="S470" s="44">
        <f t="shared" si="93"/>
      </c>
      <c r="T470" s="44">
        <f t="shared" si="643"/>
      </c>
      <c r="U470" s="43">
        <f t="shared" si="681"/>
      </c>
      <c r="V470" s="44">
        <f t="shared" si="662"/>
      </c>
      <c r="W470" s="44">
        <f t="shared" si="700"/>
      </c>
      <c r="X470" s="43">
        <f t="shared" si="17"/>
      </c>
      <c r="Y470" s="40">
        <f>SUM(Y465:Y469)</f>
      </c>
      <c r="Z470" s="40">
        <f>SUM(Z465:Z469)</f>
      </c>
      <c r="AA470" s="40">
        <f>SUM(AA465:AA469)</f>
      </c>
      <c r="AB470" s="40">
        <f>SUM(AB465:AB469)</f>
      </c>
      <c r="AC470" s="40">
        <f>SUM(AC465:AC469)</f>
      </c>
      <c r="AD470" s="45">
        <f t="shared" si="203"/>
      </c>
      <c r="AE470" s="46"/>
      <c r="AF470" s="47"/>
      <c r="AG470" s="40">
        <f>SUM(AG465:AG469)</f>
      </c>
      <c r="AH470" s="40">
        <f>SUM(AH465:AH469)</f>
      </c>
      <c r="AI470" s="40">
        <f>SUM(AI465:AI469)</f>
      </c>
      <c r="AJ470" s="40">
        <f>SUM(AJ465:AJ469)</f>
      </c>
      <c r="AK470" s="40">
        <f>SUM(AK465:AK469)</f>
      </c>
      <c r="AL470" s="40">
        <f>SUM(AL465:AL469)</f>
      </c>
    </row>
    <row r="471">
      <c r="A471" s="15"/>
      <c r="B471" s="16" t="s">
        <v>57</v>
      </c>
      <c r="C471" s="17" t="s">
        <v>55</v>
      </c>
      <c r="D471" s="18">
        <f t="shared" ref="D471:D475" si="438">E471+F471+G471+H471</f>
      </c>
      <c r="E471" s="17">
        <v>541.85</v>
      </c>
      <c r="F471" s="49">
        <v>6985.35</v>
      </c>
      <c r="G471" s="20">
        <v>0</v>
      </c>
      <c r="H471" s="20">
        <v>0</v>
      </c>
      <c r="I471" s="50">
        <f t="shared" ref="I471:I475" si="529">AB471+AC471</f>
      </c>
      <c r="J471" s="51">
        <f>1351.8+548.1</f>
      </c>
      <c r="K471" s="22">
        <f t="shared" ref="K471:K475" si="620">I471-J471</f>
      </c>
      <c r="L471" s="22">
        <f t="shared" ref="L471:L475" si="290">(I471-AC471)/12+AC471</f>
      </c>
      <c r="M471" s="23">
        <f t="shared" si="313"/>
      </c>
      <c r="N471" s="24">
        <f t="shared" si="332"/>
      </c>
      <c r="O471" s="25">
        <f t="shared" si="351"/>
      </c>
      <c r="P471" s="26">
        <f t="shared" si="36"/>
      </c>
      <c r="Q471" s="26">
        <f t="shared" si="55"/>
      </c>
      <c r="R471" s="26">
        <f t="shared" si="74"/>
      </c>
      <c r="S471" s="27">
        <f t="shared" si="93"/>
      </c>
      <c r="T471" s="28">
        <f t="shared" si="643"/>
      </c>
      <c r="U471" s="26">
        <f t="shared" si="681"/>
      </c>
      <c r="V471" s="29">
        <f t="shared" si="662"/>
      </c>
      <c r="W471" s="29">
        <f t="shared" si="700"/>
      </c>
      <c r="X471" s="26">
        <f t="shared" si="17"/>
      </c>
      <c r="Y471" s="30">
        <f t="shared" ref="Y471:Y475" si="180">Z471+AA471</f>
      </c>
      <c r="Z471" s="30">
        <v>2</v>
      </c>
      <c r="AA471" s="30">
        <v>6</v>
      </c>
      <c r="AB471" s="31">
        <v>9852.360000000015</v>
      </c>
      <c r="AC471" s="31">
        <v>2511</v>
      </c>
      <c r="AD471" s="27">
        <f t="shared" si="203"/>
      </c>
      <c r="AE471" s="32" t="s">
        <v>41</v>
      </c>
      <c r="AF471" s="33" t="s">
        <v>56</v>
      </c>
      <c r="AG471" s="34">
        <v>7</v>
      </c>
      <c r="AH471" s="35">
        <v>82026</v>
      </c>
      <c r="AI471" s="35">
        <v>1101</v>
      </c>
      <c r="AJ471" s="35">
        <v>1166</v>
      </c>
      <c r="AK471" s="36">
        <v>201</v>
      </c>
      <c r="AL471" s="36">
        <v>231</v>
      </c>
    </row>
    <row r="472">
      <c r="A472" s="15"/>
      <c r="B472" s="16" t="s">
        <v>57</v>
      </c>
      <c r="C472" s="17" t="s">
        <v>58</v>
      </c>
      <c r="D472" s="18">
        <f t="shared" si="438"/>
      </c>
      <c r="E472" s="17">
        <v>559.66</v>
      </c>
      <c r="F472" s="49">
        <v>6357.82</v>
      </c>
      <c r="G472" s="20">
        <v>0</v>
      </c>
      <c r="H472" s="20">
        <v>0</v>
      </c>
      <c r="I472" s="50">
        <f t="shared" si="529"/>
      </c>
      <c r="J472" s="51">
        <v>0</v>
      </c>
      <c r="K472" s="22">
        <f t="shared" si="620"/>
      </c>
      <c r="L472" s="22">
        <f t="shared" si="290"/>
      </c>
      <c r="M472" s="23">
        <f t="shared" si="313"/>
      </c>
      <c r="N472" s="24">
        <f t="shared" si="332"/>
      </c>
      <c r="O472" s="25">
        <f t="shared" si="351"/>
      </c>
      <c r="P472" s="26">
        <f t="shared" si="36"/>
      </c>
      <c r="Q472" s="26">
        <f t="shared" si="55"/>
      </c>
      <c r="R472" s="26">
        <f t="shared" si="74"/>
      </c>
      <c r="S472" s="27">
        <f t="shared" si="93"/>
      </c>
      <c r="T472" s="28">
        <f t="shared" si="643"/>
      </c>
      <c r="U472" s="26">
        <f t="shared" si="681"/>
      </c>
      <c r="V472" s="29">
        <f t="shared" si="662"/>
      </c>
      <c r="W472" s="29">
        <f t="shared" si="700"/>
      </c>
      <c r="X472" s="26">
        <f t="shared" si="17"/>
      </c>
      <c r="Y472" s="30">
        <f t="shared" si="180"/>
      </c>
      <c r="Z472" s="30">
        <v>5</v>
      </c>
      <c r="AA472" s="30">
        <v>5</v>
      </c>
      <c r="AB472" s="31">
        <v>3517.5599999999977</v>
      </c>
      <c r="AC472" s="31">
        <v>0</v>
      </c>
      <c r="AD472" s="27">
        <f t="shared" si="203"/>
      </c>
      <c r="AE472" s="32" t="s">
        <v>41</v>
      </c>
      <c r="AF472" s="33" t="s">
        <v>56</v>
      </c>
      <c r="AG472" s="36">
        <v>5</v>
      </c>
      <c r="AH472" s="35">
        <v>84580</v>
      </c>
      <c r="AI472" s="35">
        <v>1096</v>
      </c>
      <c r="AJ472" s="35">
        <v>1150</v>
      </c>
      <c r="AK472" s="36">
        <v>180</v>
      </c>
      <c r="AL472" s="36">
        <v>211</v>
      </c>
    </row>
    <row r="473">
      <c r="A473" s="15"/>
      <c r="B473" s="16" t="s">
        <v>57</v>
      </c>
      <c r="C473" s="17" t="s">
        <v>59</v>
      </c>
      <c r="D473" s="18">
        <f t="shared" si="438"/>
      </c>
      <c r="E473" s="17">
        <v>639.94</v>
      </c>
      <c r="F473" s="49">
        <v>4384.44</v>
      </c>
      <c r="G473" s="20">
        <v>0</v>
      </c>
      <c r="H473" s="20">
        <v>0</v>
      </c>
      <c r="I473" s="50">
        <f t="shared" si="529"/>
      </c>
      <c r="J473" s="51">
        <v>0</v>
      </c>
      <c r="K473" s="22">
        <f t="shared" si="620"/>
      </c>
      <c r="L473" s="22">
        <f t="shared" si="290"/>
      </c>
      <c r="M473" s="23">
        <f t="shared" si="313"/>
      </c>
      <c r="N473" s="24">
        <f t="shared" si="332"/>
      </c>
      <c r="O473" s="25">
        <f t="shared" si="351"/>
      </c>
      <c r="P473" s="26">
        <f t="shared" si="36"/>
      </c>
      <c r="Q473" s="26">
        <f t="shared" si="55"/>
      </c>
      <c r="R473" s="26">
        <f t="shared" si="74"/>
      </c>
      <c r="S473" s="27">
        <f t="shared" si="93"/>
      </c>
      <c r="T473" s="28">
        <f t="shared" si="643"/>
      </c>
      <c r="U473" s="26">
        <f t="shared" si="681"/>
      </c>
      <c r="V473" s="29">
        <f t="shared" si="662"/>
      </c>
      <c r="W473" s="29">
        <f t="shared" si="700"/>
      </c>
      <c r="X473" s="26">
        <f t="shared" si="17"/>
      </c>
      <c r="Y473" s="30">
        <f t="shared" si="180"/>
      </c>
      <c r="Z473" s="30">
        <v>3</v>
      </c>
      <c r="AA473" s="30">
        <v>3</v>
      </c>
      <c r="AB473" s="31">
        <v>6272.639999999985</v>
      </c>
      <c r="AC473" s="31">
        <v>0</v>
      </c>
      <c r="AD473" s="27">
        <f t="shared" si="203"/>
      </c>
      <c r="AE473" s="32" t="s">
        <v>41</v>
      </c>
      <c r="AF473" s="33" t="s">
        <v>56</v>
      </c>
      <c r="AG473" s="34">
        <v>3</v>
      </c>
      <c r="AH473" s="35">
        <v>62638</v>
      </c>
      <c r="AI473" s="35">
        <v>999</v>
      </c>
      <c r="AJ473" s="35">
        <v>1054</v>
      </c>
      <c r="AK473" s="36">
        <v>128</v>
      </c>
      <c r="AL473" s="34">
        <v>142</v>
      </c>
    </row>
    <row r="474">
      <c r="A474" s="15"/>
      <c r="B474" s="16" t="s">
        <v>57</v>
      </c>
      <c r="C474" s="52" t="s">
        <v>60</v>
      </c>
      <c r="D474" s="18">
        <f t="shared" si="438"/>
      </c>
      <c r="E474" s="17">
        <v>726.59</v>
      </c>
      <c r="F474" s="49">
        <v>4612.94</v>
      </c>
      <c r="G474" s="20">
        <v>0</v>
      </c>
      <c r="H474" s="20">
        <v>0</v>
      </c>
      <c r="I474" s="50">
        <f t="shared" si="529"/>
      </c>
      <c r="J474" s="51">
        <v>0</v>
      </c>
      <c r="K474" s="22">
        <f t="shared" si="620"/>
      </c>
      <c r="L474" s="22">
        <f t="shared" si="290"/>
      </c>
      <c r="M474" s="23">
        <f t="shared" si="313"/>
      </c>
      <c r="N474" s="24">
        <f t="shared" si="332"/>
      </c>
      <c r="O474" s="25">
        <f t="shared" si="351"/>
      </c>
      <c r="P474" s="26">
        <f t="shared" si="36"/>
      </c>
      <c r="Q474" s="26">
        <f t="shared" si="55"/>
      </c>
      <c r="R474" s="26">
        <f t="shared" si="74"/>
      </c>
      <c r="S474" s="27">
        <f t="shared" si="93"/>
      </c>
      <c r="T474" s="28">
        <f t="shared" si="643"/>
      </c>
      <c r="U474" s="26">
        <f t="shared" si="681"/>
      </c>
      <c r="V474" s="29">
        <f t="shared" si="662"/>
      </c>
      <c r="W474" s="29">
        <f t="shared" si="700"/>
      </c>
      <c r="X474" s="26">
        <f t="shared" si="17"/>
      </c>
      <c r="Y474" s="30">
        <f t="shared" si="180"/>
      </c>
      <c r="Z474" s="30">
        <v>2</v>
      </c>
      <c r="AA474" s="30">
        <v>3</v>
      </c>
      <c r="AB474" s="31">
        <v>2082.2399999999907</v>
      </c>
      <c r="AC474" s="31">
        <v>0</v>
      </c>
      <c r="AD474" s="27">
        <f t="shared" si="203"/>
      </c>
      <c r="AE474" s="32" t="s">
        <v>41</v>
      </c>
      <c r="AF474" s="33" t="s">
        <v>56</v>
      </c>
      <c r="AG474" s="34">
        <v>2</v>
      </c>
      <c r="AH474" s="35">
        <v>69117</v>
      </c>
      <c r="AI474" s="35">
        <v>1149</v>
      </c>
      <c r="AJ474" s="35">
        <v>1241</v>
      </c>
      <c r="AK474" s="36">
        <v>135</v>
      </c>
      <c r="AL474" s="34">
        <v>162</v>
      </c>
    </row>
    <row r="475">
      <c r="A475" s="15"/>
      <c r="B475" s="16" t="s">
        <v>57</v>
      </c>
      <c r="C475" s="52" t="s">
        <v>61</v>
      </c>
      <c r="D475" s="18">
        <f t="shared" si="438"/>
      </c>
      <c r="E475" s="17">
        <v>789.43</v>
      </c>
      <c r="F475" s="49">
        <v>6107.95</v>
      </c>
      <c r="G475" s="20">
        <v>0</v>
      </c>
      <c r="H475" s="20">
        <v>0</v>
      </c>
      <c r="I475" s="50">
        <f t="shared" si="529"/>
      </c>
      <c r="J475" s="51">
        <v>0</v>
      </c>
      <c r="K475" s="22">
        <f t="shared" si="620"/>
      </c>
      <c r="L475" s="22">
        <f t="shared" si="290"/>
      </c>
      <c r="M475" s="23">
        <f t="shared" si="313"/>
      </c>
      <c r="N475" s="24">
        <f t="shared" si="332"/>
      </c>
      <c r="O475" s="25">
        <f t="shared" si="351"/>
      </c>
      <c r="P475" s="26">
        <f t="shared" si="36"/>
      </c>
      <c r="Q475" s="26">
        <f t="shared" si="55"/>
      </c>
      <c r="R475" s="26">
        <f t="shared" si="74"/>
      </c>
      <c r="S475" s="27">
        <f t="shared" si="93"/>
      </c>
      <c r="T475" s="28">
        <f t="shared" si="643"/>
      </c>
      <c r="U475" s="26">
        <f t="shared" si="681"/>
      </c>
      <c r="V475" s="29">
        <f t="shared" si="662"/>
      </c>
      <c r="W475" s="29">
        <f t="shared" si="700"/>
      </c>
      <c r="X475" s="26">
        <f t="shared" si="17"/>
      </c>
      <c r="Y475" s="30">
        <f t="shared" si="180"/>
      </c>
      <c r="Z475" s="30">
        <v>3</v>
      </c>
      <c r="AA475" s="30">
        <v>12</v>
      </c>
      <c r="AB475" s="31">
        <f>13593.96+1529.28</f>
      </c>
      <c r="AC475" s="31">
        <v>5864</v>
      </c>
      <c r="AD475" s="27">
        <f t="shared" si="203"/>
      </c>
      <c r="AE475" s="32" t="s">
        <v>41</v>
      </c>
      <c r="AF475" s="33" t="s">
        <v>56</v>
      </c>
      <c r="AG475" s="34">
        <v>9</v>
      </c>
      <c r="AH475" s="35">
        <v>79304</v>
      </c>
      <c r="AI475" s="35">
        <v>1335</v>
      </c>
      <c r="AJ475" s="35">
        <v>1455</v>
      </c>
      <c r="AK475" s="36">
        <v>184</v>
      </c>
      <c r="AL475" s="34">
        <v>185</v>
      </c>
    </row>
    <row r="476">
      <c r="A476" s="15"/>
      <c r="B476" s="38" t="s">
        <v>47</v>
      </c>
      <c r="C476" s="39">
        <v>5</v>
      </c>
      <c r="D476" s="40">
        <f>SUM(D471:D475)</f>
      </c>
      <c r="E476" s="40">
        <f>SUM(E471:E475)</f>
      </c>
      <c r="F476" s="40">
        <f>SUM(F471:F475)</f>
      </c>
      <c r="G476" s="40">
        <f>SUM(G471:G475)</f>
      </c>
      <c r="H476" s="40">
        <f>SUM(H471:H475)</f>
      </c>
      <c r="I476" s="40">
        <f>SUM(I471:I475)</f>
      </c>
      <c r="J476" s="40">
        <f>SUM(J471:J475)</f>
      </c>
      <c r="K476" s="40">
        <f>SUM(K471:K475)</f>
      </c>
      <c r="L476" s="40">
        <f>SUM(L471:L475)</f>
      </c>
      <c r="M476" s="41">
        <f t="shared" si="313"/>
      </c>
      <c r="N476" s="42">
        <f t="shared" si="332"/>
      </c>
      <c r="O476" s="42">
        <f t="shared" si="351"/>
      </c>
      <c r="P476" s="43">
        <f t="shared" si="36"/>
      </c>
      <c r="Q476" s="43">
        <f t="shared" si="55"/>
      </c>
      <c r="R476" s="43">
        <f t="shared" si="74"/>
      </c>
      <c r="S476" s="44">
        <f t="shared" si="93"/>
      </c>
      <c r="T476" s="44">
        <f t="shared" si="643"/>
      </c>
      <c r="U476" s="43">
        <f t="shared" si="681"/>
      </c>
      <c r="V476" s="44">
        <f t="shared" si="662"/>
      </c>
      <c r="W476" s="44">
        <f t="shared" si="700"/>
      </c>
      <c r="X476" s="43">
        <f t="shared" si="17"/>
      </c>
      <c r="Y476" s="40">
        <f>SUM(Y471:Y475)</f>
      </c>
      <c r="Z476" s="40">
        <f>SUM(Z471:Z475)</f>
      </c>
      <c r="AA476" s="40">
        <f>SUM(AA471:AA475)</f>
      </c>
      <c r="AB476" s="40">
        <f>SUM(AB471:AB475)</f>
      </c>
      <c r="AC476" s="40">
        <f>SUM(AC471:AC475)</f>
      </c>
      <c r="AD476" s="45">
        <f t="shared" si="203"/>
      </c>
      <c r="AE476" s="46"/>
      <c r="AF476" s="47"/>
      <c r="AG476" s="40">
        <f>SUM(AG471:AG475)</f>
      </c>
      <c r="AH476" s="40">
        <f>SUM(AH471:AH475)</f>
      </c>
      <c r="AI476" s="40">
        <f>SUM(AI471:AI475)</f>
      </c>
      <c r="AJ476" s="40">
        <f>SUM(AJ471:AJ475)</f>
      </c>
      <c r="AK476" s="40">
        <f>SUM(AK471:AK475)</f>
      </c>
      <c r="AL476" s="40">
        <f>SUM(AL471:AL475)</f>
      </c>
    </row>
    <row r="477">
      <c r="A477" s="15"/>
      <c r="B477" s="16" t="s">
        <v>53</v>
      </c>
      <c r="C477" s="17" t="s">
        <v>63</v>
      </c>
      <c r="D477" s="18">
        <f t="shared" ref="D477:D481" si="439">E477+F477+G477+H477</f>
      </c>
      <c r="E477" s="17">
        <v>742.95</v>
      </c>
      <c r="F477" s="17">
        <v>7731.59</v>
      </c>
      <c r="G477" s="20">
        <v>0</v>
      </c>
      <c r="H477" s="20">
        <v>0</v>
      </c>
      <c r="I477" s="20">
        <f t="shared" ref="I477:I481" si="530">AB477+AC477</f>
      </c>
      <c r="J477" s="21">
        <v>2298.24</v>
      </c>
      <c r="K477" s="22">
        <f t="shared" ref="K477:K481" si="621">I477-J477</f>
      </c>
      <c r="L477" s="22">
        <f t="shared" ref="L477:L481" si="291">(I477-AC477)/12+AC477</f>
      </c>
      <c r="M477" s="23">
        <f t="shared" si="313"/>
      </c>
      <c r="N477" s="24">
        <f t="shared" si="332"/>
      </c>
      <c r="O477" s="25">
        <f t="shared" si="351"/>
      </c>
      <c r="P477" s="26">
        <f t="shared" si="36"/>
      </c>
      <c r="Q477" s="26">
        <f t="shared" si="55"/>
      </c>
      <c r="R477" s="26">
        <f t="shared" si="74"/>
      </c>
      <c r="S477" s="27">
        <f t="shared" si="93"/>
      </c>
      <c r="T477" s="28">
        <f t="shared" si="643"/>
      </c>
      <c r="U477" s="26">
        <f t="shared" si="681"/>
      </c>
      <c r="V477" s="29">
        <f t="shared" si="662"/>
      </c>
      <c r="W477" s="29">
        <f t="shared" si="700"/>
      </c>
      <c r="X477" s="26">
        <f t="shared" si="17"/>
      </c>
      <c r="Y477" s="30">
        <f t="shared" ref="Y477:Y481" si="181">Z477+AA477</f>
      </c>
      <c r="Z477" s="30">
        <v>7</v>
      </c>
      <c r="AA477" s="30">
        <v>10</v>
      </c>
      <c r="AB477" s="31">
        <v>18303.48000000001</v>
      </c>
      <c r="AC477" s="31">
        <v>584</v>
      </c>
      <c r="AD477" s="27">
        <f t="shared" si="203"/>
      </c>
      <c r="AE477" s="32" t="s">
        <v>41</v>
      </c>
      <c r="AF477" s="33" t="s">
        <v>56</v>
      </c>
      <c r="AG477" s="36">
        <v>8</v>
      </c>
      <c r="AH477" s="35">
        <v>105659</v>
      </c>
      <c r="AI477" s="35">
        <v>1596</v>
      </c>
      <c r="AJ477" s="35">
        <v>1731</v>
      </c>
      <c r="AK477" s="36">
        <v>220</v>
      </c>
      <c r="AL477" s="36">
        <v>237</v>
      </c>
    </row>
    <row r="478">
      <c r="A478" s="15"/>
      <c r="B478" s="16" t="s">
        <v>53</v>
      </c>
      <c r="C478" s="52" t="s">
        <v>64</v>
      </c>
      <c r="D478" s="18">
        <f t="shared" si="439"/>
      </c>
      <c r="E478" s="17">
        <v>781.26</v>
      </c>
      <c r="F478" s="17">
        <v>8117.93</v>
      </c>
      <c r="G478" s="20">
        <v>0</v>
      </c>
      <c r="H478" s="20">
        <v>0</v>
      </c>
      <c r="I478" s="20">
        <f t="shared" si="530"/>
      </c>
      <c r="J478" s="21">
        <v>0</v>
      </c>
      <c r="K478" s="22">
        <f t="shared" si="621"/>
      </c>
      <c r="L478" s="22">
        <f t="shared" si="291"/>
      </c>
      <c r="M478" s="23">
        <f t="shared" si="313"/>
      </c>
      <c r="N478" s="24">
        <f t="shared" si="332"/>
      </c>
      <c r="O478" s="25">
        <f t="shared" si="351"/>
      </c>
      <c r="P478" s="26">
        <f t="shared" si="36"/>
      </c>
      <c r="Q478" s="26">
        <f t="shared" si="55"/>
      </c>
      <c r="R478" s="26">
        <f t="shared" si="74"/>
      </c>
      <c r="S478" s="27">
        <f t="shared" si="93"/>
      </c>
      <c r="T478" s="28">
        <f t="shared" si="643"/>
      </c>
      <c r="U478" s="26">
        <f t="shared" si="681"/>
      </c>
      <c r="V478" s="29">
        <f t="shared" si="662"/>
      </c>
      <c r="W478" s="29">
        <f t="shared" si="700"/>
      </c>
      <c r="X478" s="26">
        <f t="shared" si="17"/>
      </c>
      <c r="Y478" s="30">
        <f t="shared" si="181"/>
      </c>
      <c r="Z478" s="30">
        <v>7</v>
      </c>
      <c r="AA478" s="30">
        <v>13</v>
      </c>
      <c r="AB478" s="31">
        <v>24144.96000000002</v>
      </c>
      <c r="AC478" s="31">
        <v>365.9999999999982</v>
      </c>
      <c r="AD478" s="27">
        <f t="shared" si="203"/>
      </c>
      <c r="AE478" s="32" t="s">
        <v>41</v>
      </c>
      <c r="AF478" s="33" t="s">
        <v>56</v>
      </c>
      <c r="AG478" s="36">
        <v>10</v>
      </c>
      <c r="AH478" s="35">
        <v>101161</v>
      </c>
      <c r="AI478" s="35">
        <v>1598</v>
      </c>
      <c r="AJ478" s="35">
        <v>1788</v>
      </c>
      <c r="AK478" s="36">
        <v>238</v>
      </c>
      <c r="AL478" s="36">
        <v>254</v>
      </c>
    </row>
    <row r="479">
      <c r="A479" s="15"/>
      <c r="B479" s="16" t="s">
        <v>53</v>
      </c>
      <c r="C479" s="52" t="s">
        <v>65</v>
      </c>
      <c r="D479" s="18">
        <f t="shared" si="439"/>
      </c>
      <c r="E479" s="17">
        <v>889.34</v>
      </c>
      <c r="F479" s="17">
        <v>5842.61</v>
      </c>
      <c r="G479" s="20">
        <v>0</v>
      </c>
      <c r="H479" s="20">
        <v>0</v>
      </c>
      <c r="I479" s="20">
        <f t="shared" si="530"/>
      </c>
      <c r="J479" s="21">
        <v>0</v>
      </c>
      <c r="K479" s="22">
        <f t="shared" si="621"/>
      </c>
      <c r="L479" s="22">
        <f t="shared" si="291"/>
      </c>
      <c r="M479" s="23">
        <f t="shared" si="313"/>
      </c>
      <c r="N479" s="24">
        <f t="shared" si="332"/>
      </c>
      <c r="O479" s="25">
        <f t="shared" si="351"/>
      </c>
      <c r="P479" s="26">
        <f t="shared" si="36"/>
      </c>
      <c r="Q479" s="26">
        <f t="shared" si="55"/>
      </c>
      <c r="R479" s="26">
        <f t="shared" si="74"/>
      </c>
      <c r="S479" s="27">
        <f t="shared" si="93"/>
      </c>
      <c r="T479" s="28">
        <f t="shared" si="643"/>
      </c>
      <c r="U479" s="26">
        <f t="shared" si="681"/>
      </c>
      <c r="V479" s="29">
        <f t="shared" si="662"/>
      </c>
      <c r="W479" s="29">
        <f t="shared" si="700"/>
      </c>
      <c r="X479" s="26">
        <f t="shared" si="17"/>
      </c>
      <c r="Y479" s="30">
        <f t="shared" si="181"/>
      </c>
      <c r="Z479" s="30">
        <v>8</v>
      </c>
      <c r="AA479" s="30">
        <v>4</v>
      </c>
      <c r="AB479" s="31">
        <f>8284.08+1797.12</f>
      </c>
      <c r="AC479" s="31">
        <v>0</v>
      </c>
      <c r="AD479" s="27">
        <f t="shared" si="203"/>
      </c>
      <c r="AE479" s="32" t="s">
        <v>41</v>
      </c>
      <c r="AF479" s="33" t="s">
        <v>56</v>
      </c>
      <c r="AG479" s="36">
        <v>3</v>
      </c>
      <c r="AH479" s="35">
        <v>90635</v>
      </c>
      <c r="AI479" s="35">
        <v>1449</v>
      </c>
      <c r="AJ479" s="35">
        <v>1592</v>
      </c>
      <c r="AK479" s="36">
        <v>200</v>
      </c>
      <c r="AL479" s="36">
        <v>193</v>
      </c>
    </row>
    <row r="480">
      <c r="A480" s="15"/>
      <c r="B480" s="16" t="s">
        <v>53</v>
      </c>
      <c r="C480" s="17" t="s">
        <v>66</v>
      </c>
      <c r="D480" s="18">
        <f t="shared" si="439"/>
      </c>
      <c r="E480" s="17">
        <v>517.47</v>
      </c>
      <c r="F480" s="20">
        <v>3885.16</v>
      </c>
      <c r="G480" s="20">
        <v>0</v>
      </c>
      <c r="H480" s="20">
        <v>0</v>
      </c>
      <c r="I480" s="37">
        <f t="shared" si="530"/>
      </c>
      <c r="J480" s="21">
        <v>0</v>
      </c>
      <c r="K480" s="22">
        <f t="shared" si="621"/>
      </c>
      <c r="L480" s="22">
        <f t="shared" si="291"/>
      </c>
      <c r="M480" s="23">
        <f t="shared" si="313"/>
      </c>
      <c r="N480" s="24">
        <f t="shared" si="332"/>
      </c>
      <c r="O480" s="25">
        <f t="shared" si="351"/>
      </c>
      <c r="P480" s="26">
        <f t="shared" si="36"/>
      </c>
      <c r="Q480" s="26">
        <f t="shared" si="55"/>
      </c>
      <c r="R480" s="26">
        <f t="shared" si="74"/>
      </c>
      <c r="S480" s="27">
        <f t="shared" si="93"/>
      </c>
      <c r="T480" s="28">
        <f t="shared" si="643"/>
      </c>
      <c r="U480" s="26">
        <f t="shared" si="681"/>
      </c>
      <c r="V480" s="29">
        <f t="shared" si="662"/>
      </c>
      <c r="W480" s="29">
        <f t="shared" si="700"/>
      </c>
      <c r="X480" s="26">
        <f t="shared" si="17"/>
      </c>
      <c r="Y480" s="30">
        <f t="shared" si="181"/>
      </c>
      <c r="Z480" s="30">
        <v>6</v>
      </c>
      <c r="AA480" s="30">
        <v>2</v>
      </c>
      <c r="AB480" s="31">
        <v>4803.84</v>
      </c>
      <c r="AC480" s="31">
        <v>0</v>
      </c>
      <c r="AD480" s="27">
        <f t="shared" si="203"/>
      </c>
      <c r="AE480" s="32" t="s">
        <v>41</v>
      </c>
      <c r="AF480" s="33" t="s">
        <v>56</v>
      </c>
      <c r="AG480" s="34">
        <v>2</v>
      </c>
      <c r="AH480" s="35">
        <v>50077</v>
      </c>
      <c r="AI480" s="35">
        <v>1321</v>
      </c>
      <c r="AJ480" s="35">
        <v>1544</v>
      </c>
      <c r="AK480" s="36">
        <v>146</v>
      </c>
      <c r="AL480" s="36">
        <v>123</v>
      </c>
    </row>
    <row r="481">
      <c r="A481" s="15"/>
      <c r="B481" s="16" t="s">
        <v>53</v>
      </c>
      <c r="C481" s="17" t="s">
        <v>67</v>
      </c>
      <c r="D481" s="18">
        <f t="shared" si="439"/>
      </c>
      <c r="E481" s="19">
        <v>134.55</v>
      </c>
      <c r="F481" s="20">
        <v>1165.99</v>
      </c>
      <c r="G481" s="20">
        <v>0</v>
      </c>
      <c r="H481" s="20">
        <v>0</v>
      </c>
      <c r="I481" s="20">
        <f t="shared" si="530"/>
      </c>
      <c r="J481" s="21">
        <v>0</v>
      </c>
      <c r="K481" s="22">
        <f t="shared" si="621"/>
      </c>
      <c r="L481" s="22">
        <f t="shared" si="291"/>
      </c>
      <c r="M481" s="23">
        <f t="shared" si="313"/>
      </c>
      <c r="N481" s="24">
        <f t="shared" si="332"/>
      </c>
      <c r="O481" s="25">
        <f t="shared" si="351"/>
      </c>
      <c r="P481" s="26">
        <f t="shared" si="36"/>
      </c>
      <c r="Q481" s="26">
        <f t="shared" si="55"/>
      </c>
      <c r="R481" s="26">
        <f t="shared" si="74"/>
      </c>
      <c r="S481" s="27">
        <f t="shared" si="93"/>
      </c>
      <c r="T481" s="28">
        <f t="shared" si="643"/>
      </c>
      <c r="U481" s="26">
        <f t="shared" si="681"/>
      </c>
      <c r="V481" s="29">
        <f t="shared" si="662"/>
      </c>
      <c r="W481" s="29">
        <f t="shared" si="700"/>
      </c>
      <c r="X481" s="26">
        <f t="shared" si="17"/>
      </c>
      <c r="Y481" s="30">
        <f t="shared" si="181"/>
      </c>
      <c r="Z481" s="30">
        <v>1</v>
      </c>
      <c r="AA481" s="30">
        <v>3</v>
      </c>
      <c r="AB481" s="31">
        <v>5068.4400000000005</v>
      </c>
      <c r="AC481" s="31">
        <v>1195</v>
      </c>
      <c r="AD481" s="27">
        <f t="shared" si="203"/>
      </c>
      <c r="AE481" s="32" t="s">
        <v>41</v>
      </c>
      <c r="AF481" s="33" t="s">
        <v>56</v>
      </c>
      <c r="AG481" s="34">
        <v>2</v>
      </c>
      <c r="AH481" s="35">
        <v>17197</v>
      </c>
      <c r="AI481" s="35">
        <v>667</v>
      </c>
      <c r="AJ481" s="35">
        <v>786</v>
      </c>
      <c r="AK481" s="34">
        <v>58</v>
      </c>
      <c r="AL481" s="34">
        <v>40</v>
      </c>
    </row>
    <row r="482">
      <c r="A482" s="15"/>
      <c r="B482" s="38" t="s">
        <v>47</v>
      </c>
      <c r="C482" s="39">
        <v>5</v>
      </c>
      <c r="D482" s="40">
        <f>SUM(D477:D481)</f>
      </c>
      <c r="E482" s="40">
        <f>SUM(E477:E481)</f>
      </c>
      <c r="F482" s="40">
        <f>SUM(F477:F481)</f>
      </c>
      <c r="G482" s="40">
        <f>SUM(G477:G481)</f>
      </c>
      <c r="H482" s="40">
        <f>SUM(H477:H481)</f>
      </c>
      <c r="I482" s="40">
        <f>SUM(I477:I481)</f>
      </c>
      <c r="J482" s="40">
        <f>SUM(J477:J481)</f>
      </c>
      <c r="K482" s="40">
        <f>SUM(K477:K481)</f>
      </c>
      <c r="L482" s="40">
        <f>SUM(L477:L481)</f>
      </c>
      <c r="M482" s="41">
        <f t="shared" si="313"/>
      </c>
      <c r="N482" s="42">
        <f t="shared" si="332"/>
      </c>
      <c r="O482" s="42">
        <f t="shared" si="351"/>
      </c>
      <c r="P482" s="43">
        <f t="shared" si="36"/>
      </c>
      <c r="Q482" s="43">
        <f t="shared" si="55"/>
      </c>
      <c r="R482" s="43">
        <f t="shared" si="74"/>
      </c>
      <c r="S482" s="44">
        <f t="shared" si="93"/>
      </c>
      <c r="T482" s="44">
        <f t="shared" si="643"/>
      </c>
      <c r="U482" s="43">
        <f t="shared" si="681"/>
      </c>
      <c r="V482" s="44">
        <f t="shared" si="662"/>
      </c>
      <c r="W482" s="44">
        <f t="shared" si="700"/>
      </c>
      <c r="X482" s="43">
        <f t="shared" si="17"/>
      </c>
      <c r="Y482" s="40">
        <f>SUM(Y477:Y481)</f>
      </c>
      <c r="Z482" s="40">
        <f>SUM(Z477:Z481)</f>
      </c>
      <c r="AA482" s="40">
        <f>SUM(AA477:AA481)</f>
      </c>
      <c r="AB482" s="40">
        <f>SUM(AB477:AB481)</f>
      </c>
      <c r="AC482" s="40">
        <f>SUM(AC477:AC481)</f>
      </c>
      <c r="AD482" s="59">
        <f t="shared" si="203"/>
      </c>
      <c r="AE482" s="46"/>
      <c r="AF482" s="47"/>
      <c r="AG482" s="40">
        <f>SUM(AG477:AG481)</f>
      </c>
      <c r="AH482" s="40">
        <f>SUM(AH477:AH481)</f>
      </c>
      <c r="AI482" s="40">
        <f>SUM(AI477:AI481)</f>
      </c>
      <c r="AJ482" s="40">
        <f>SUM(AJ477:AJ481)</f>
      </c>
      <c r="AK482" s="40">
        <f>SUM(AK477:AK481)</f>
      </c>
      <c r="AL482" s="40">
        <f>SUM(AL477:AL481)</f>
      </c>
    </row>
    <row r="483">
      <c r="A483" s="15"/>
      <c r="B483" s="60" t="s">
        <v>47</v>
      </c>
      <c r="C483" s="61">
        <f>C464+C470+C476+C482</f>
      </c>
      <c r="D483" s="61">
        <f>D464+D470+D476+D482</f>
      </c>
      <c r="E483" s="61">
        <f>E464+E470+E476+E482</f>
      </c>
      <c r="F483" s="61">
        <f>F464+F470+F476+F482</f>
      </c>
      <c r="G483" s="61">
        <f>G464+G470+G476+G482</f>
      </c>
      <c r="H483" s="61">
        <f>H464+H470+H476+H482</f>
      </c>
      <c r="I483" s="62">
        <f>I464+I470+I476+I482</f>
      </c>
      <c r="J483" s="61">
        <f>J464+J470+J476+J482</f>
      </c>
      <c r="K483" s="61">
        <f>K464+K470+K476+K482</f>
      </c>
      <c r="L483" s="61">
        <f>L464+L470+L476+L482</f>
      </c>
      <c r="M483" s="63">
        <f t="shared" si="313"/>
      </c>
      <c r="N483" s="63">
        <f t="shared" si="332"/>
      </c>
      <c r="O483" s="63">
        <f t="shared" si="351"/>
      </c>
      <c r="P483" s="63">
        <f t="shared" si="36"/>
      </c>
      <c r="Q483" s="63">
        <f t="shared" si="55"/>
      </c>
      <c r="R483" s="63">
        <f t="shared" si="74"/>
      </c>
      <c r="S483" s="64">
        <f t="shared" si="93"/>
      </c>
      <c r="T483" s="64">
        <f t="shared" si="643"/>
      </c>
      <c r="U483" s="63">
        <f t="shared" si="681"/>
      </c>
      <c r="V483" s="64">
        <f t="shared" si="662"/>
      </c>
      <c r="W483" s="64">
        <f t="shared" si="700"/>
      </c>
      <c r="X483" s="63">
        <f t="shared" si="17"/>
      </c>
      <c r="Y483" s="61">
        <f>Y464+Y470+Y476+Y482</f>
      </c>
      <c r="Z483" s="61">
        <f>Z464+Z470+Z476+Z482</f>
      </c>
      <c r="AA483" s="62">
        <f>AA464+AA470+AA476+AA482</f>
      </c>
      <c r="AB483" s="61">
        <f>AB464+AB470+AB476+AB482</f>
      </c>
      <c r="AC483" s="61">
        <f>AC464+AC470+AC476+AC482</f>
      </c>
      <c r="AD483" s="66">
        <f t="shared" si="203"/>
      </c>
      <c r="AE483" s="67"/>
      <c r="AF483" s="60"/>
      <c r="AG483" s="61">
        <f>AG464+AG470+AG476+AG482</f>
      </c>
      <c r="AH483" s="61">
        <f>AH464+AH470+AH476+AH482</f>
      </c>
      <c r="AI483" s="61">
        <f>AI464+AI470+AI476+AI482</f>
      </c>
      <c r="AJ483" s="61">
        <f>AJ464+AJ470+AJ476+AJ482</f>
      </c>
      <c r="AK483" s="61">
        <f>AK464+AK470+AK476+AK482</f>
      </c>
      <c r="AL483" s="61">
        <f>AL464+AL470+AL476+AL482</f>
      </c>
    </row>
    <row r="484">
      <c r="A484" s="1" t="s">
        <v>1</v>
      </c>
      <c r="B484" s="2" t="s">
        <v>2</v>
      </c>
      <c r="C484" s="2" t="s">
        <v>3</v>
      </c>
      <c r="D484" s="3" t="s">
        <v>4</v>
      </c>
      <c r="E484" s="2" t="s">
        <v>5</v>
      </c>
      <c r="F484" s="2" t="s">
        <v>6</v>
      </c>
      <c r="G484" s="4" t="s">
        <v>7</v>
      </c>
      <c r="H484" s="4" t="s">
        <v>8</v>
      </c>
      <c r="I484" s="3" t="s">
        <v>9</v>
      </c>
      <c r="J484" s="5" t="s">
        <v>10</v>
      </c>
      <c r="K484" s="6" t="s">
        <v>11</v>
      </c>
      <c r="L484" s="6" t="s">
        <v>12</v>
      </c>
      <c r="M484" s="7" t="s">
        <v>13</v>
      </c>
      <c r="N484" s="6" t="s">
        <v>14</v>
      </c>
      <c r="O484" s="2" t="s">
        <v>15</v>
      </c>
      <c r="P484" s="7" t="s">
        <v>16</v>
      </c>
      <c r="Q484" s="8" t="s">
        <v>17</v>
      </c>
      <c r="R484" s="8" t="s">
        <v>18</v>
      </c>
      <c r="S484" s="3" t="s">
        <v>19</v>
      </c>
      <c r="T484" s="9" t="s">
        <v>20</v>
      </c>
      <c r="U484" s="7" t="s">
        <v>21</v>
      </c>
      <c r="V484" s="10" t="s">
        <v>22</v>
      </c>
      <c r="W484" s="11" t="s">
        <v>23</v>
      </c>
      <c r="X484" s="7" t="s">
        <v>24</v>
      </c>
      <c r="Y484" s="12" t="s">
        <v>25</v>
      </c>
      <c r="Z484" s="13" t="s">
        <v>26</v>
      </c>
      <c r="AA484" s="12" t="s">
        <v>27</v>
      </c>
      <c r="AB484" s="14" t="s">
        <v>28</v>
      </c>
      <c r="AC484" s="14" t="s">
        <v>29</v>
      </c>
      <c r="AD484" s="6" t="s">
        <v>30</v>
      </c>
      <c r="AE484" s="5" t="s">
        <v>31</v>
      </c>
      <c r="AF484" s="6" t="s">
        <v>32</v>
      </c>
      <c r="AG484" s="5" t="s">
        <v>33</v>
      </c>
      <c r="AH484" s="5" t="s">
        <v>34</v>
      </c>
      <c r="AI484" s="6" t="s">
        <v>35</v>
      </c>
      <c r="AJ484" s="5" t="s">
        <v>36</v>
      </c>
      <c r="AK484" s="6" t="s">
        <v>37</v>
      </c>
      <c r="AL484" s="5" t="s">
        <v>38</v>
      </c>
    </row>
    <row r="485">
      <c r="A485" s="15">
        <v>46313</v>
      </c>
      <c r="B485" s="16" t="s">
        <v>73</v>
      </c>
      <c r="C485" s="17" t="s">
        <v>40</v>
      </c>
      <c r="D485" s="18">
        <f t="shared" ref="D485:D489" si="440">E485+F485+G485+H485</f>
      </c>
      <c r="E485" s="19">
        <v>569.95</v>
      </c>
      <c r="F485" s="20">
        <v>5950.66</v>
      </c>
      <c r="G485" s="20">
        <v>0</v>
      </c>
      <c r="H485" s="20">
        <v>0</v>
      </c>
      <c r="I485" s="20">
        <f t="shared" ref="I485:I489" si="531">AB485+AC485</f>
      </c>
      <c r="J485" s="21">
        <v>0</v>
      </c>
      <c r="K485" s="22">
        <f t="shared" ref="K485:K489" si="622">I485-J485</f>
      </c>
      <c r="L485" s="22">
        <f t="shared" ref="L485:L489" si="292">(I485-AC485)/12+AC485</f>
      </c>
      <c r="M485" s="23">
        <f t="shared" ref="M485:M509" si="314">I485/D485</f>
      </c>
      <c r="N485" s="24">
        <f t="shared" ref="N485:N509" si="333">(I485-J485)/D485</f>
      </c>
      <c r="O485" s="25">
        <f t="shared" ref="O485:O509" si="352">(AC485+AB485/12)/D485</f>
      </c>
      <c r="P485" s="26">
        <f t="shared" ref="P485:P509" si="37">I485/AA485</f>
      </c>
      <c r="Q485" s="26">
        <f t="shared" ref="Q485:Q509" si="56">D485/AA485</f>
      </c>
      <c r="R485" s="26">
        <f t="shared" ref="R485:R509" si="75">D485/AG485</f>
      </c>
      <c r="S485" s="27">
        <f t="shared" ref="S485:S509" si="94">AA485/Y485</f>
      </c>
      <c r="T485" s="28">
        <f t="shared" ref="T485:T509" si="644">AI485/AH485</f>
      </c>
      <c r="U485" s="26">
        <f t="shared" ref="U485:U509" si="682">D485/AJ485</f>
      </c>
      <c r="V485" s="29">
        <f t="shared" ref="V485:V509" si="663">AK485/AJ485</f>
      </c>
      <c r="W485" s="29">
        <f t="shared" ref="W485:W509" si="701">AL485/AJ485</f>
      </c>
      <c r="X485" s="26">
        <f t="shared" ref="X485:X509" si="18">D485/AL485</f>
      </c>
      <c r="Y485" s="30">
        <f t="shared" ref="Y485:Y489" si="182">Z485+AA485</f>
      </c>
      <c r="Z485" s="30">
        <v>1</v>
      </c>
      <c r="AA485" s="30">
        <v>6</v>
      </c>
      <c r="AB485" s="31">
        <v>9374.4</v>
      </c>
      <c r="AC485" s="31">
        <v>1958</v>
      </c>
      <c r="AD485" s="27">
        <f t="shared" ref="AD485:AD509" si="204">AC485/I485</f>
      </c>
      <c r="AE485" s="32" t="s">
        <v>41</v>
      </c>
      <c r="AF485" s="33" t="s">
        <v>42</v>
      </c>
      <c r="AG485" s="34">
        <v>5</v>
      </c>
      <c r="AH485" s="34">
        <v>65652</v>
      </c>
      <c r="AI485" s="35">
        <v>1855</v>
      </c>
      <c r="AJ485" s="35">
        <v>2088</v>
      </c>
      <c r="AK485" s="34">
        <v>195</v>
      </c>
      <c r="AL485" s="36">
        <v>163</v>
      </c>
    </row>
    <row r="486">
      <c r="A486" s="15"/>
      <c r="B486" s="16" t="s">
        <v>73</v>
      </c>
      <c r="C486" s="17" t="s">
        <v>43</v>
      </c>
      <c r="D486" s="18">
        <f t="shared" si="440"/>
      </c>
      <c r="E486" s="17">
        <v>423.28</v>
      </c>
      <c r="F486" s="20">
        <v>9556.89</v>
      </c>
      <c r="G486" s="20">
        <v>0</v>
      </c>
      <c r="H486" s="20">
        <v>0</v>
      </c>
      <c r="I486" s="20">
        <f t="shared" si="531"/>
      </c>
      <c r="J486" s="21">
        <v>0</v>
      </c>
      <c r="K486" s="22">
        <f t="shared" si="622"/>
      </c>
      <c r="L486" s="22">
        <f t="shared" si="292"/>
      </c>
      <c r="M486" s="23">
        <f t="shared" si="314"/>
      </c>
      <c r="N486" s="24">
        <f t="shared" si="333"/>
      </c>
      <c r="O486" s="25">
        <f t="shared" si="352"/>
      </c>
      <c r="P486" s="26">
        <f t="shared" si="37"/>
      </c>
      <c r="Q486" s="26">
        <f t="shared" si="56"/>
      </c>
      <c r="R486" s="26">
        <f t="shared" si="75"/>
      </c>
      <c r="S486" s="27">
        <f t="shared" si="94"/>
      </c>
      <c r="T486" s="28">
        <f t="shared" si="644"/>
      </c>
      <c r="U486" s="26">
        <f t="shared" si="682"/>
      </c>
      <c r="V486" s="29">
        <f t="shared" si="663"/>
      </c>
      <c r="W486" s="29">
        <f t="shared" si="701"/>
      </c>
      <c r="X486" s="26">
        <f t="shared" si="18"/>
      </c>
      <c r="Y486" s="30">
        <f t="shared" si="182"/>
      </c>
      <c r="Z486" s="30">
        <v>9</v>
      </c>
      <c r="AA486" s="30">
        <v>12</v>
      </c>
      <c r="AB486" s="31">
        <v>29273.159999999996</v>
      </c>
      <c r="AC486" s="31">
        <v>0</v>
      </c>
      <c r="AD486" s="27">
        <f t="shared" si="204"/>
      </c>
      <c r="AE486" s="32" t="s">
        <v>41</v>
      </c>
      <c r="AF486" s="33" t="s">
        <v>42</v>
      </c>
      <c r="AG486" s="34">
        <v>10</v>
      </c>
      <c r="AH486" s="35">
        <v>131368</v>
      </c>
      <c r="AI486" s="35">
        <v>1831</v>
      </c>
      <c r="AJ486" s="35">
        <v>2051</v>
      </c>
      <c r="AK486" s="36">
        <v>286</v>
      </c>
      <c r="AL486" s="36">
        <v>314</v>
      </c>
    </row>
    <row r="487">
      <c r="A487" s="15"/>
      <c r="B487" s="16" t="s">
        <v>73</v>
      </c>
      <c r="C487" s="17" t="s">
        <v>44</v>
      </c>
      <c r="D487" s="18">
        <f t="shared" si="440"/>
      </c>
      <c r="E487" s="17">
        <v>799.93</v>
      </c>
      <c r="F487" s="20">
        <v>7865.13</v>
      </c>
      <c r="G487" s="20">
        <v>0</v>
      </c>
      <c r="H487" s="20">
        <v>0</v>
      </c>
      <c r="I487" s="20">
        <f t="shared" si="531"/>
      </c>
      <c r="J487" s="21">
        <v>4461.48</v>
      </c>
      <c r="K487" s="22">
        <f t="shared" si="622"/>
      </c>
      <c r="L487" s="22">
        <f t="shared" si="292"/>
      </c>
      <c r="M487" s="23">
        <f t="shared" si="314"/>
      </c>
      <c r="N487" s="24">
        <f t="shared" si="333"/>
      </c>
      <c r="O487" s="25">
        <f t="shared" si="352"/>
      </c>
      <c r="P487" s="26">
        <f t="shared" si="37"/>
      </c>
      <c r="Q487" s="26">
        <f t="shared" si="56"/>
      </c>
      <c r="R487" s="26">
        <f t="shared" si="75"/>
      </c>
      <c r="S487" s="27">
        <f t="shared" si="94"/>
      </c>
      <c r="T487" s="28">
        <f t="shared" si="644"/>
      </c>
      <c r="U487" s="26">
        <f t="shared" si="682"/>
      </c>
      <c r="V487" s="29">
        <f t="shared" si="663"/>
      </c>
      <c r="W487" s="29">
        <f t="shared" si="701"/>
      </c>
      <c r="X487" s="26">
        <f t="shared" si="18"/>
      </c>
      <c r="Y487" s="30">
        <f t="shared" si="182"/>
      </c>
      <c r="Z487" s="30">
        <v>3</v>
      </c>
      <c r="AA487" s="30">
        <v>10</v>
      </c>
      <c r="AB487" s="31">
        <v>15676.200000000004</v>
      </c>
      <c r="AC487" s="31">
        <v>0</v>
      </c>
      <c r="AD487" s="27">
        <f t="shared" si="204"/>
      </c>
      <c r="AE487" s="32" t="s">
        <v>41</v>
      </c>
      <c r="AF487" s="33" t="s">
        <v>42</v>
      </c>
      <c r="AG487" s="36">
        <v>8</v>
      </c>
      <c r="AH487" s="35">
        <v>118666</v>
      </c>
      <c r="AI487" s="35">
        <v>1251</v>
      </c>
      <c r="AJ487" s="35">
        <v>1463</v>
      </c>
      <c r="AK487" s="36">
        <v>269</v>
      </c>
      <c r="AL487" s="36">
        <v>277</v>
      </c>
    </row>
    <row r="488">
      <c r="A488" s="15"/>
      <c r="B488" s="16" t="s">
        <v>73</v>
      </c>
      <c r="C488" s="17" t="s">
        <v>45</v>
      </c>
      <c r="D488" s="18">
        <f t="shared" si="440"/>
      </c>
      <c r="E488" s="17">
        <v>882.69</v>
      </c>
      <c r="F488" s="20">
        <v>5443.31</v>
      </c>
      <c r="G488" s="20">
        <v>0</v>
      </c>
      <c r="H488" s="20">
        <v>0</v>
      </c>
      <c r="I488" s="37">
        <f t="shared" si="531"/>
      </c>
      <c r="J488" s="21">
        <v>752.76</v>
      </c>
      <c r="K488" s="22">
        <f t="shared" si="622"/>
      </c>
      <c r="L488" s="22">
        <f t="shared" si="292"/>
      </c>
      <c r="M488" s="23">
        <f t="shared" si="314"/>
      </c>
      <c r="N488" s="24">
        <f t="shared" si="333"/>
      </c>
      <c r="O488" s="25">
        <f t="shared" si="352"/>
      </c>
      <c r="P488" s="26">
        <f t="shared" si="37"/>
      </c>
      <c r="Q488" s="26">
        <f t="shared" si="56"/>
      </c>
      <c r="R488" s="26">
        <f t="shared" si="75"/>
      </c>
      <c r="S488" s="27">
        <f t="shared" si="94"/>
      </c>
      <c r="T488" s="28">
        <f t="shared" si="644"/>
      </c>
      <c r="U488" s="26">
        <f t="shared" si="682"/>
      </c>
      <c r="V488" s="29">
        <f t="shared" si="663"/>
      </c>
      <c r="W488" s="29">
        <f t="shared" si="701"/>
      </c>
      <c r="X488" s="26">
        <f t="shared" si="18"/>
      </c>
      <c r="Y488" s="30">
        <f t="shared" si="182"/>
      </c>
      <c r="Z488" s="30">
        <v>6</v>
      </c>
      <c r="AA488" s="30">
        <v>5</v>
      </c>
      <c r="AB488" s="31">
        <v>7817.280000000006</v>
      </c>
      <c r="AC488" s="31">
        <v>0</v>
      </c>
      <c r="AD488" s="27">
        <f t="shared" si="204"/>
      </c>
      <c r="AE488" s="32" t="s">
        <v>41</v>
      </c>
      <c r="AF488" s="33" t="s">
        <v>42</v>
      </c>
      <c r="AG488" s="34">
        <v>4</v>
      </c>
      <c r="AH488" s="35">
        <v>78200</v>
      </c>
      <c r="AI488" s="35">
        <v>931</v>
      </c>
      <c r="AJ488" s="35">
        <v>1030</v>
      </c>
      <c r="AK488" s="36">
        <v>190</v>
      </c>
      <c r="AL488" s="36">
        <v>185</v>
      </c>
    </row>
    <row r="489">
      <c r="A489" s="15"/>
      <c r="B489" s="16" t="s">
        <v>73</v>
      </c>
      <c r="C489" s="17" t="s">
        <v>46</v>
      </c>
      <c r="D489" s="18">
        <f t="shared" si="440"/>
      </c>
      <c r="E489" s="17">
        <v>940.75</v>
      </c>
      <c r="F489" s="20">
        <v>4798.42</v>
      </c>
      <c r="G489" s="20">
        <v>0</v>
      </c>
      <c r="H489" s="20">
        <v>0</v>
      </c>
      <c r="I489" s="20">
        <f t="shared" si="531"/>
      </c>
      <c r="J489" s="21">
        <f>1426.9+1426.9+427.8+1043.88+1043.88</f>
      </c>
      <c r="K489" s="22">
        <f t="shared" si="622"/>
      </c>
      <c r="L489" s="22">
        <f t="shared" si="292"/>
      </c>
      <c r="M489" s="23">
        <f t="shared" si="314"/>
      </c>
      <c r="N489" s="24">
        <f t="shared" si="333"/>
      </c>
      <c r="O489" s="25">
        <f t="shared" si="352"/>
      </c>
      <c r="P489" s="26">
        <f t="shared" si="37"/>
      </c>
      <c r="Q489" s="26">
        <f t="shared" si="56"/>
      </c>
      <c r="R489" s="26">
        <f t="shared" si="75"/>
      </c>
      <c r="S489" s="27">
        <f t="shared" si="94"/>
      </c>
      <c r="T489" s="28">
        <f t="shared" si="644"/>
      </c>
      <c r="U489" s="26">
        <f t="shared" si="682"/>
      </c>
      <c r="V489" s="29">
        <f t="shared" si="663"/>
      </c>
      <c r="W489" s="29">
        <f t="shared" si="701"/>
      </c>
      <c r="X489" s="26">
        <f t="shared" si="18"/>
      </c>
      <c r="Y489" s="30">
        <f t="shared" si="182"/>
      </c>
      <c r="Z489" s="30">
        <v>4</v>
      </c>
      <c r="AA489" s="30">
        <v>7</v>
      </c>
      <c r="AB489" s="31">
        <v>6931.679999999993</v>
      </c>
      <c r="AC489" s="31">
        <v>5676.799999999999</v>
      </c>
      <c r="AD489" s="27">
        <f t="shared" si="204"/>
      </c>
      <c r="AE489" s="32" t="s">
        <v>41</v>
      </c>
      <c r="AF489" s="33" t="s">
        <v>42</v>
      </c>
      <c r="AG489" s="34">
        <v>6</v>
      </c>
      <c r="AH489" s="35">
        <v>52353</v>
      </c>
      <c r="AI489" s="35">
        <v>844</v>
      </c>
      <c r="AJ489" s="35">
        <v>972</v>
      </c>
      <c r="AK489" s="34">
        <v>166</v>
      </c>
      <c r="AL489" s="34">
        <v>190</v>
      </c>
    </row>
    <row r="490">
      <c r="A490" s="15"/>
      <c r="B490" s="38" t="s">
        <v>47</v>
      </c>
      <c r="C490" s="39">
        <v>5</v>
      </c>
      <c r="D490" s="40">
        <f>SUM(D485:D489)</f>
      </c>
      <c r="E490" s="40">
        <f>SUM(E485:E489)</f>
      </c>
      <c r="F490" s="40">
        <f>SUM(F485:F489)</f>
      </c>
      <c r="G490" s="40">
        <f>SUM(G485:G489)</f>
      </c>
      <c r="H490" s="40">
        <f>SUM(H485:H489)</f>
      </c>
      <c r="I490" s="40">
        <f>SUM(I485:I489)</f>
      </c>
      <c r="J490" s="40">
        <f>SUM(J485:J489)</f>
      </c>
      <c r="K490" s="40">
        <f>SUM(K485:K489)</f>
      </c>
      <c r="L490" s="40">
        <f>SUM(L485:L489)</f>
      </c>
      <c r="M490" s="41">
        <f t="shared" si="314"/>
      </c>
      <c r="N490" s="42">
        <f t="shared" si="333"/>
      </c>
      <c r="O490" s="42">
        <f t="shared" si="352"/>
      </c>
      <c r="P490" s="43">
        <f t="shared" si="37"/>
      </c>
      <c r="Q490" s="43">
        <f t="shared" si="56"/>
      </c>
      <c r="R490" s="43">
        <f t="shared" si="75"/>
      </c>
      <c r="S490" s="44">
        <f t="shared" si="94"/>
      </c>
      <c r="T490" s="44">
        <f t="shared" si="644"/>
      </c>
      <c r="U490" s="43">
        <f t="shared" si="682"/>
      </c>
      <c r="V490" s="44">
        <f t="shared" si="663"/>
      </c>
      <c r="W490" s="44">
        <f t="shared" si="701"/>
      </c>
      <c r="X490" s="43">
        <f t="shared" si="18"/>
      </c>
      <c r="Y490" s="40">
        <f>SUM(Y485:Y489)</f>
      </c>
      <c r="Z490" s="40">
        <f>SUM(Z485:Z489)</f>
      </c>
      <c r="AA490" s="40">
        <f>SUM(AA485:AA489)</f>
      </c>
      <c r="AB490" s="40">
        <f>SUM(AB485:AB489)</f>
      </c>
      <c r="AC490" s="40">
        <f>SUM(AC485:AC489)</f>
      </c>
      <c r="AD490" s="45">
        <f t="shared" si="204"/>
      </c>
      <c r="AE490" s="46"/>
      <c r="AF490" s="47"/>
      <c r="AG490" s="40">
        <f>SUM(AG485:AG489)</f>
      </c>
      <c r="AH490" s="40">
        <f>SUM(AH485:AH489)</f>
      </c>
      <c r="AI490" s="40">
        <f>SUM(AI485:AI489)</f>
      </c>
      <c r="AJ490" s="40">
        <f>SUM(AJ485:AJ489)</f>
      </c>
      <c r="AK490" s="40">
        <f>SUM(AK485:AK489)</f>
      </c>
      <c r="AL490" s="40">
        <f>SUM(AL485:AL489)</f>
      </c>
    </row>
    <row r="491">
      <c r="A491" s="15"/>
      <c r="B491" s="16" t="s">
        <v>57</v>
      </c>
      <c r="C491" s="17" t="s">
        <v>49</v>
      </c>
      <c r="D491" s="18">
        <f t="shared" ref="D491:D495" si="441">E491+F491+G491+H491</f>
      </c>
      <c r="E491" s="19">
        <v>1068.55</v>
      </c>
      <c r="F491" s="20">
        <v>5317.5</v>
      </c>
      <c r="G491" s="20">
        <v>0</v>
      </c>
      <c r="H491" s="20">
        <v>0</v>
      </c>
      <c r="I491" s="20">
        <f t="shared" ref="I491:I495" si="532">AB491+AC491</f>
      </c>
      <c r="J491" s="21">
        <v>0</v>
      </c>
      <c r="K491" s="22">
        <f t="shared" ref="K491:K495" si="623">I491-J491</f>
      </c>
      <c r="L491" s="22">
        <f t="shared" ref="L491:L495" si="293">(I491-AC491)/12+AC491</f>
      </c>
      <c r="M491" s="23">
        <f t="shared" si="314"/>
      </c>
      <c r="N491" s="24">
        <f t="shared" si="333"/>
      </c>
      <c r="O491" s="25">
        <f t="shared" si="352"/>
      </c>
      <c r="P491" s="26">
        <f t="shared" si="37"/>
      </c>
      <c r="Q491" s="26">
        <f t="shared" si="56"/>
      </c>
      <c r="R491" s="26">
        <f t="shared" si="75"/>
      </c>
      <c r="S491" s="27">
        <f t="shared" si="94"/>
      </c>
      <c r="T491" s="28">
        <f t="shared" si="644"/>
      </c>
      <c r="U491" s="26">
        <f t="shared" si="682"/>
      </c>
      <c r="V491" s="29">
        <f t="shared" si="663"/>
      </c>
      <c r="W491" s="29">
        <f t="shared" si="701"/>
      </c>
      <c r="X491" s="26">
        <f t="shared" si="18"/>
      </c>
      <c r="Y491" s="30">
        <f t="shared" ref="Y491:Y495" si="183">Z491+AA491</f>
      </c>
      <c r="Z491" s="30">
        <v>4</v>
      </c>
      <c r="AA491" s="30">
        <v>4</v>
      </c>
      <c r="AB491" s="31">
        <v>10557.240000000005</v>
      </c>
      <c r="AC491" s="31">
        <v>410</v>
      </c>
      <c r="AD491" s="27">
        <f t="shared" si="204"/>
      </c>
      <c r="AE491" s="32" t="s">
        <v>41</v>
      </c>
      <c r="AF491" s="33" t="s">
        <v>42</v>
      </c>
      <c r="AG491" s="34">
        <v>3</v>
      </c>
      <c r="AH491" s="35">
        <v>64825</v>
      </c>
      <c r="AI491" s="35">
        <v>925</v>
      </c>
      <c r="AJ491" s="35">
        <v>1042</v>
      </c>
      <c r="AK491" s="34">
        <v>159</v>
      </c>
      <c r="AL491" s="34">
        <v>176</v>
      </c>
    </row>
    <row r="492">
      <c r="A492" s="15"/>
      <c r="B492" s="16" t="s">
        <v>57</v>
      </c>
      <c r="C492" s="17" t="s">
        <v>50</v>
      </c>
      <c r="D492" s="18">
        <f t="shared" si="441"/>
      </c>
      <c r="E492" s="17">
        <v>926.92</v>
      </c>
      <c r="F492" s="20">
        <v>5143.52</v>
      </c>
      <c r="G492" s="20">
        <v>0</v>
      </c>
      <c r="H492" s="20">
        <v>0</v>
      </c>
      <c r="I492" s="20">
        <f t="shared" si="532"/>
      </c>
      <c r="J492" s="21">
        <v>0</v>
      </c>
      <c r="K492" s="22">
        <f t="shared" si="623"/>
      </c>
      <c r="L492" s="22">
        <f t="shared" si="293"/>
      </c>
      <c r="M492" s="23">
        <f t="shared" si="314"/>
      </c>
      <c r="N492" s="24">
        <f t="shared" si="333"/>
      </c>
      <c r="O492" s="25">
        <f t="shared" si="352"/>
      </c>
      <c r="P492" s="26">
        <f t="shared" si="37"/>
      </c>
      <c r="Q492" s="26">
        <f t="shared" si="56"/>
      </c>
      <c r="R492" s="26">
        <f t="shared" si="75"/>
      </c>
      <c r="S492" s="27">
        <f t="shared" si="94"/>
      </c>
      <c r="T492" s="28">
        <f t="shared" si="644"/>
      </c>
      <c r="U492" s="26">
        <f t="shared" si="682"/>
      </c>
      <c r="V492" s="29">
        <f t="shared" si="663"/>
      </c>
      <c r="W492" s="29">
        <f t="shared" si="701"/>
      </c>
      <c r="X492" s="26">
        <f t="shared" si="18"/>
      </c>
      <c r="Y492" s="30">
        <f t="shared" si="183"/>
      </c>
      <c r="Z492" s="30">
        <v>9</v>
      </c>
      <c r="AA492" s="30">
        <v>13</v>
      </c>
      <c r="AB492" s="31">
        <v>18448.559999999998</v>
      </c>
      <c r="AC492" s="31">
        <v>1280</v>
      </c>
      <c r="AD492" s="27">
        <f t="shared" si="204"/>
      </c>
      <c r="AE492" s="32" t="s">
        <v>41</v>
      </c>
      <c r="AF492" s="33" t="s">
        <v>42</v>
      </c>
      <c r="AG492" s="34">
        <v>11</v>
      </c>
      <c r="AH492" s="35">
        <v>59687</v>
      </c>
      <c r="AI492" s="35">
        <v>982</v>
      </c>
      <c r="AJ492" s="35">
        <v>1072</v>
      </c>
      <c r="AK492" s="36">
        <v>174</v>
      </c>
      <c r="AL492" s="36">
        <v>196</v>
      </c>
    </row>
    <row r="493">
      <c r="A493" s="15"/>
      <c r="B493" s="16" t="s">
        <v>57</v>
      </c>
      <c r="C493" s="17" t="s">
        <v>51</v>
      </c>
      <c r="D493" s="18">
        <f t="shared" si="441"/>
      </c>
      <c r="E493" s="17">
        <v>1480.57</v>
      </c>
      <c r="F493" s="17">
        <v>8923.87</v>
      </c>
      <c r="G493" s="20">
        <v>0</v>
      </c>
      <c r="H493" s="20">
        <v>0</v>
      </c>
      <c r="I493" s="20">
        <f t="shared" si="532"/>
      </c>
      <c r="J493" s="21">
        <v>546.48</v>
      </c>
      <c r="K493" s="22">
        <f t="shared" si="623"/>
      </c>
      <c r="L493" s="22">
        <f t="shared" si="293"/>
      </c>
      <c r="M493" s="23">
        <f t="shared" si="314"/>
      </c>
      <c r="N493" s="24">
        <f t="shared" si="333"/>
      </c>
      <c r="O493" s="25">
        <f t="shared" si="352"/>
      </c>
      <c r="P493" s="26">
        <f t="shared" si="37"/>
      </c>
      <c r="Q493" s="26">
        <f t="shared" si="56"/>
      </c>
      <c r="R493" s="26">
        <f t="shared" si="75"/>
      </c>
      <c r="S493" s="27">
        <f t="shared" si="94"/>
      </c>
      <c r="T493" s="28">
        <f t="shared" si="644"/>
      </c>
      <c r="U493" s="26">
        <f t="shared" si="682"/>
      </c>
      <c r="V493" s="29">
        <f t="shared" si="663"/>
      </c>
      <c r="W493" s="29">
        <f t="shared" si="701"/>
      </c>
      <c r="X493" s="26">
        <f t="shared" si="18"/>
      </c>
      <c r="Y493" s="30">
        <f t="shared" si="183"/>
      </c>
      <c r="Z493" s="30">
        <v>6</v>
      </c>
      <c r="AA493" s="30">
        <v>7</v>
      </c>
      <c r="AB493" s="31">
        <v>6225.119999999995</v>
      </c>
      <c r="AC493" s="69">
        <v>0</v>
      </c>
      <c r="AD493" s="27">
        <f t="shared" si="204"/>
      </c>
      <c r="AE493" s="32" t="s">
        <v>41</v>
      </c>
      <c r="AF493" s="33" t="s">
        <v>42</v>
      </c>
      <c r="AG493" s="36">
        <v>5</v>
      </c>
      <c r="AH493" s="35">
        <v>134346</v>
      </c>
      <c r="AI493" s="35">
        <v>1306</v>
      </c>
      <c r="AJ493" s="35">
        <v>1384</v>
      </c>
      <c r="AK493" s="36">
        <v>216</v>
      </c>
      <c r="AL493" s="36">
        <v>303</v>
      </c>
    </row>
    <row r="494">
      <c r="A494" s="15"/>
      <c r="B494" s="16" t="s">
        <v>57</v>
      </c>
      <c r="C494" s="17" t="s">
        <v>52</v>
      </c>
      <c r="D494" s="18">
        <f t="shared" si="441"/>
      </c>
      <c r="E494" s="17"/>
      <c r="F494" s="17"/>
      <c r="G494" s="75">
        <v>0</v>
      </c>
      <c r="H494" s="75">
        <v>0</v>
      </c>
      <c r="I494" s="20">
        <f t="shared" si="532"/>
      </c>
      <c r="J494" s="76">
        <v>0</v>
      </c>
      <c r="K494" s="22">
        <f t="shared" si="623"/>
      </c>
      <c r="L494" s="22">
        <f t="shared" si="293"/>
      </c>
      <c r="M494" s="23">
        <f t="shared" si="314"/>
      </c>
      <c r="N494" s="24">
        <f t="shared" si="333"/>
      </c>
      <c r="O494" s="25">
        <f t="shared" si="352"/>
      </c>
      <c r="P494" s="26">
        <f t="shared" si="37"/>
      </c>
      <c r="Q494" s="26">
        <f t="shared" si="56"/>
      </c>
      <c r="R494" s="26">
        <f t="shared" si="75"/>
      </c>
      <c r="S494" s="27">
        <f t="shared" si="94"/>
      </c>
      <c r="T494" s="28">
        <f t="shared" si="644"/>
      </c>
      <c r="U494" s="26">
        <f t="shared" si="682"/>
      </c>
      <c r="V494" s="29">
        <f t="shared" si="663"/>
      </c>
      <c r="W494" s="29">
        <f t="shared" si="701"/>
      </c>
      <c r="X494" s="26">
        <f t="shared" si="18"/>
      </c>
      <c r="Y494" s="30">
        <f t="shared" si="183"/>
      </c>
      <c r="Z494" s="30">
        <v>7</v>
      </c>
      <c r="AA494" s="30">
        <v>6</v>
      </c>
      <c r="AB494" s="31">
        <v>9922.800000000003</v>
      </c>
      <c r="AC494" s="69">
        <v>1656</v>
      </c>
      <c r="AD494" s="27">
        <f t="shared" si="204"/>
      </c>
      <c r="AE494" s="32" t="s">
        <v>41</v>
      </c>
      <c r="AF494" s="33" t="s">
        <v>42</v>
      </c>
      <c r="AG494" s="36"/>
      <c r="AH494" s="35"/>
      <c r="AI494" s="35"/>
      <c r="AJ494" s="35"/>
      <c r="AK494" s="36"/>
      <c r="AL494" s="36"/>
    </row>
    <row r="495">
      <c r="A495" s="15"/>
      <c r="B495" s="16" t="s">
        <v>57</v>
      </c>
      <c r="C495" s="17" t="s">
        <v>54</v>
      </c>
      <c r="D495" s="18">
        <f t="shared" si="441"/>
      </c>
      <c r="E495" s="17"/>
      <c r="F495" s="20"/>
      <c r="G495" s="20"/>
      <c r="H495" s="20"/>
      <c r="I495" s="20">
        <f t="shared" si="532"/>
      </c>
      <c r="J495" s="21"/>
      <c r="K495" s="22">
        <f t="shared" si="623"/>
      </c>
      <c r="L495" s="22">
        <f t="shared" si="293"/>
      </c>
      <c r="M495" s="23">
        <f t="shared" si="314"/>
      </c>
      <c r="N495" s="24">
        <f t="shared" si="333"/>
      </c>
      <c r="O495" s="25">
        <f t="shared" si="352"/>
      </c>
      <c r="P495" s="26">
        <f t="shared" si="37"/>
      </c>
      <c r="Q495" s="26">
        <f t="shared" si="56"/>
      </c>
      <c r="R495" s="26">
        <f t="shared" si="75"/>
      </c>
      <c r="S495" s="27">
        <f t="shared" si="94"/>
      </c>
      <c r="T495" s="28">
        <f t="shared" si="644"/>
      </c>
      <c r="U495" s="26">
        <f t="shared" si="682"/>
      </c>
      <c r="V495" s="29">
        <f t="shared" si="663"/>
      </c>
      <c r="W495" s="29">
        <f t="shared" si="701"/>
      </c>
      <c r="X495" s="26">
        <f t="shared" si="18"/>
      </c>
      <c r="Y495" s="30">
        <f t="shared" si="183"/>
      </c>
      <c r="Z495" s="30"/>
      <c r="AA495" s="30"/>
      <c r="AB495" s="31"/>
      <c r="AC495" s="74"/>
      <c r="AD495" s="72">
        <f t="shared" si="204"/>
      </c>
      <c r="AE495" s="32" t="s">
        <v>41</v>
      </c>
      <c r="AF495" s="33" t="s">
        <v>42</v>
      </c>
      <c r="AG495" s="34"/>
      <c r="AH495" s="35"/>
      <c r="AI495" s="35"/>
      <c r="AJ495" s="35"/>
      <c r="AK495" s="36"/>
      <c r="AL495" s="36"/>
    </row>
    <row r="496">
      <c r="A496" s="15"/>
      <c r="B496" s="38" t="s">
        <v>47</v>
      </c>
      <c r="C496" s="39">
        <v>5</v>
      </c>
      <c r="D496" s="40">
        <f>SUM(D491:D495)</f>
      </c>
      <c r="E496" s="40">
        <f>SUM(E491:E495)</f>
      </c>
      <c r="F496" s="40">
        <f>SUM(F491:F495)</f>
      </c>
      <c r="G496" s="40">
        <f>SUM(G491:G495)</f>
      </c>
      <c r="H496" s="40">
        <f>SUM(H491:H495)</f>
      </c>
      <c r="I496" s="40">
        <f>SUM(I491:I495)</f>
      </c>
      <c r="J496" s="40">
        <f>SUM(J491:J495)</f>
      </c>
      <c r="K496" s="40">
        <f>SUM(K491:K495)</f>
      </c>
      <c r="L496" s="40">
        <f>SUM(L491:L495)</f>
      </c>
      <c r="M496" s="41">
        <f t="shared" si="314"/>
      </c>
      <c r="N496" s="42">
        <f t="shared" si="333"/>
      </c>
      <c r="O496" s="42">
        <f t="shared" si="352"/>
      </c>
      <c r="P496" s="43">
        <f t="shared" si="37"/>
      </c>
      <c r="Q496" s="43">
        <f t="shared" si="56"/>
      </c>
      <c r="R496" s="43">
        <f t="shared" si="75"/>
      </c>
      <c r="S496" s="44">
        <f t="shared" si="94"/>
      </c>
      <c r="T496" s="44">
        <f t="shared" si="644"/>
      </c>
      <c r="U496" s="43">
        <f t="shared" si="682"/>
      </c>
      <c r="V496" s="44">
        <f t="shared" si="663"/>
      </c>
      <c r="W496" s="44">
        <f t="shared" si="701"/>
      </c>
      <c r="X496" s="43">
        <f t="shared" si="18"/>
      </c>
      <c r="Y496" s="40">
        <f>SUM(Y491:Y495)</f>
      </c>
      <c r="Z496" s="40">
        <f>SUM(Z491:Z495)</f>
      </c>
      <c r="AA496" s="40">
        <f>SUM(AA491:AA495)</f>
      </c>
      <c r="AB496" s="40">
        <f>SUM(AB491:AB495)</f>
      </c>
      <c r="AC496" s="40">
        <f>SUM(AC491:AC495)</f>
      </c>
      <c r="AD496" s="45">
        <f t="shared" si="204"/>
      </c>
      <c r="AE496" s="46"/>
      <c r="AF496" s="47"/>
      <c r="AG496" s="40">
        <f>SUM(AG491:AG495)</f>
      </c>
      <c r="AH496" s="40">
        <f>SUM(AH491:AH495)</f>
      </c>
      <c r="AI496" s="40">
        <f>SUM(AI491:AI495)</f>
      </c>
      <c r="AJ496" s="40">
        <f>SUM(AJ491:AJ495)</f>
      </c>
      <c r="AK496" s="40">
        <f>SUM(AK491:AK495)</f>
      </c>
      <c r="AL496" s="40">
        <f>SUM(AL491:AL495)</f>
      </c>
    </row>
    <row r="497">
      <c r="A497" s="15"/>
      <c r="B497" s="16" t="s">
        <v>53</v>
      </c>
      <c r="C497" s="17" t="s">
        <v>55</v>
      </c>
      <c r="D497" s="18">
        <f t="shared" ref="D497:D501" si="442">E497+F497+G497+H497</f>
      </c>
      <c r="E497" s="17"/>
      <c r="F497" s="49"/>
      <c r="G497" s="20"/>
      <c r="H497" s="20"/>
      <c r="I497" s="50">
        <f t="shared" ref="I497:I501" si="533">AB497+AC497</f>
      </c>
      <c r="J497" s="51"/>
      <c r="K497" s="22">
        <f t="shared" ref="K497:K501" si="624">I497-J497</f>
      </c>
      <c r="L497" s="22">
        <f t="shared" ref="L497:L501" si="294">(I497-AC497)/12+AC497</f>
      </c>
      <c r="M497" s="23">
        <f t="shared" si="314"/>
      </c>
      <c r="N497" s="24">
        <f t="shared" si="333"/>
      </c>
      <c r="O497" s="25">
        <f t="shared" si="352"/>
      </c>
      <c r="P497" s="26">
        <f t="shared" si="37"/>
      </c>
      <c r="Q497" s="26">
        <f t="shared" si="56"/>
      </c>
      <c r="R497" s="26">
        <f t="shared" si="75"/>
      </c>
      <c r="S497" s="27">
        <f t="shared" si="94"/>
      </c>
      <c r="T497" s="28">
        <f t="shared" si="644"/>
      </c>
      <c r="U497" s="26">
        <f t="shared" si="682"/>
      </c>
      <c r="V497" s="29">
        <f t="shared" si="663"/>
      </c>
      <c r="W497" s="29">
        <f t="shared" si="701"/>
      </c>
      <c r="X497" s="26">
        <f t="shared" si="18"/>
      </c>
      <c r="Y497" s="30">
        <f t="shared" ref="Y497:Y501" si="184">Z497+AA497</f>
      </c>
      <c r="Z497" s="30"/>
      <c r="AA497" s="30"/>
      <c r="AB497" s="31"/>
      <c r="AC497" s="31"/>
      <c r="AD497" s="27">
        <f t="shared" si="204"/>
      </c>
      <c r="AE497" s="32" t="s">
        <v>41</v>
      </c>
      <c r="AF497" s="33" t="s">
        <v>56</v>
      </c>
      <c r="AG497" s="34"/>
      <c r="AH497" s="35"/>
      <c r="AI497" s="35"/>
      <c r="AJ497" s="35"/>
      <c r="AK497" s="36"/>
      <c r="AL497" s="36"/>
    </row>
    <row r="498">
      <c r="A498" s="15"/>
      <c r="B498" s="16" t="s">
        <v>53</v>
      </c>
      <c r="C498" s="17" t="s">
        <v>58</v>
      </c>
      <c r="D498" s="18">
        <f t="shared" si="442"/>
      </c>
      <c r="E498" s="17"/>
      <c r="F498" s="49"/>
      <c r="G498" s="20"/>
      <c r="H498" s="20"/>
      <c r="I498" s="50">
        <f t="shared" si="533"/>
      </c>
      <c r="J498" s="51"/>
      <c r="K498" s="22">
        <f t="shared" si="624"/>
      </c>
      <c r="L498" s="22">
        <f t="shared" si="294"/>
      </c>
      <c r="M498" s="23">
        <f t="shared" si="314"/>
      </c>
      <c r="N498" s="24">
        <f t="shared" si="333"/>
      </c>
      <c r="O498" s="25">
        <f t="shared" si="352"/>
      </c>
      <c r="P498" s="26">
        <f t="shared" si="37"/>
      </c>
      <c r="Q498" s="26">
        <f t="shared" si="56"/>
      </c>
      <c r="R498" s="26">
        <f t="shared" si="75"/>
      </c>
      <c r="S498" s="27">
        <f t="shared" si="94"/>
      </c>
      <c r="T498" s="28">
        <f t="shared" si="644"/>
      </c>
      <c r="U498" s="26">
        <f t="shared" si="682"/>
      </c>
      <c r="V498" s="29">
        <f t="shared" si="663"/>
      </c>
      <c r="W498" s="29">
        <f t="shared" si="701"/>
      </c>
      <c r="X498" s="26">
        <f t="shared" si="18"/>
      </c>
      <c r="Y498" s="30">
        <f t="shared" si="184"/>
      </c>
      <c r="Z498" s="30"/>
      <c r="AA498" s="30"/>
      <c r="AB498" s="31"/>
      <c r="AC498" s="31"/>
      <c r="AD498" s="27">
        <f t="shared" si="204"/>
      </c>
      <c r="AE498" s="32" t="s">
        <v>41</v>
      </c>
      <c r="AF498" s="33" t="s">
        <v>56</v>
      </c>
      <c r="AG498" s="36"/>
      <c r="AH498" s="35"/>
      <c r="AI498" s="35"/>
      <c r="AJ498" s="35"/>
      <c r="AK498" s="36"/>
      <c r="AL498" s="36"/>
    </row>
    <row r="499">
      <c r="A499" s="15"/>
      <c r="B499" s="16" t="s">
        <v>53</v>
      </c>
      <c r="C499" s="17" t="s">
        <v>59</v>
      </c>
      <c r="D499" s="18">
        <f t="shared" si="442"/>
      </c>
      <c r="E499" s="17"/>
      <c r="F499" s="49"/>
      <c r="G499" s="20"/>
      <c r="H499" s="20"/>
      <c r="I499" s="50">
        <f t="shared" si="533"/>
      </c>
      <c r="J499" s="51"/>
      <c r="K499" s="22">
        <f t="shared" si="624"/>
      </c>
      <c r="L499" s="22">
        <f t="shared" si="294"/>
      </c>
      <c r="M499" s="23">
        <f t="shared" si="314"/>
      </c>
      <c r="N499" s="24">
        <f t="shared" si="333"/>
      </c>
      <c r="O499" s="25">
        <f t="shared" si="352"/>
      </c>
      <c r="P499" s="26">
        <f t="shared" si="37"/>
      </c>
      <c r="Q499" s="26">
        <f t="shared" si="56"/>
      </c>
      <c r="R499" s="26">
        <f t="shared" si="75"/>
      </c>
      <c r="S499" s="27">
        <f t="shared" si="94"/>
      </c>
      <c r="T499" s="28">
        <f t="shared" si="644"/>
      </c>
      <c r="U499" s="26">
        <f t="shared" si="682"/>
      </c>
      <c r="V499" s="29">
        <f t="shared" si="663"/>
      </c>
      <c r="W499" s="29">
        <f t="shared" si="701"/>
      </c>
      <c r="X499" s="26">
        <f t="shared" si="18"/>
      </c>
      <c r="Y499" s="30">
        <f t="shared" si="184"/>
      </c>
      <c r="Z499" s="30"/>
      <c r="AA499" s="30"/>
      <c r="AB499" s="31"/>
      <c r="AC499" s="31"/>
      <c r="AD499" s="27">
        <f t="shared" si="204"/>
      </c>
      <c r="AE499" s="32" t="s">
        <v>41</v>
      </c>
      <c r="AF499" s="33" t="s">
        <v>56</v>
      </c>
      <c r="AG499" s="34"/>
      <c r="AH499" s="35"/>
      <c r="AI499" s="35"/>
      <c r="AJ499" s="35"/>
      <c r="AK499" s="36"/>
      <c r="AL499" s="34"/>
    </row>
    <row r="500">
      <c r="A500" s="15"/>
      <c r="B500" s="16" t="s">
        <v>53</v>
      </c>
      <c r="C500" s="52" t="s">
        <v>60</v>
      </c>
      <c r="D500" s="18">
        <f t="shared" si="442"/>
      </c>
      <c r="E500" s="17"/>
      <c r="F500" s="49"/>
      <c r="G500" s="20"/>
      <c r="H500" s="20"/>
      <c r="I500" s="50">
        <f t="shared" si="533"/>
      </c>
      <c r="J500" s="51"/>
      <c r="K500" s="22">
        <f t="shared" si="624"/>
      </c>
      <c r="L500" s="22">
        <f t="shared" si="294"/>
      </c>
      <c r="M500" s="23">
        <f t="shared" si="314"/>
      </c>
      <c r="N500" s="24">
        <f t="shared" si="333"/>
      </c>
      <c r="O500" s="25">
        <f t="shared" si="352"/>
      </c>
      <c r="P500" s="26">
        <f t="shared" si="37"/>
      </c>
      <c r="Q500" s="26">
        <f t="shared" si="56"/>
      </c>
      <c r="R500" s="26">
        <f t="shared" si="75"/>
      </c>
      <c r="S500" s="27">
        <f t="shared" si="94"/>
      </c>
      <c r="T500" s="28">
        <f t="shared" si="644"/>
      </c>
      <c r="U500" s="26">
        <f t="shared" si="682"/>
      </c>
      <c r="V500" s="29">
        <f t="shared" si="663"/>
      </c>
      <c r="W500" s="29">
        <f t="shared" si="701"/>
      </c>
      <c r="X500" s="26">
        <f t="shared" si="18"/>
      </c>
      <c r="Y500" s="30">
        <f t="shared" si="184"/>
      </c>
      <c r="Z500" s="30"/>
      <c r="AA500" s="30"/>
      <c r="AB500" s="31"/>
      <c r="AC500" s="31"/>
      <c r="AD500" s="27">
        <f t="shared" si="204"/>
      </c>
      <c r="AE500" s="32" t="s">
        <v>41</v>
      </c>
      <c r="AF500" s="33" t="s">
        <v>56</v>
      </c>
      <c r="AG500" s="34"/>
      <c r="AH500" s="35"/>
      <c r="AI500" s="35"/>
      <c r="AJ500" s="35"/>
      <c r="AK500" s="36"/>
      <c r="AL500" s="34"/>
    </row>
    <row r="501">
      <c r="A501" s="15"/>
      <c r="B501" s="16" t="s">
        <v>53</v>
      </c>
      <c r="C501" s="52" t="s">
        <v>61</v>
      </c>
      <c r="D501" s="18">
        <f t="shared" si="442"/>
      </c>
      <c r="E501" s="17"/>
      <c r="F501" s="49"/>
      <c r="G501" s="20"/>
      <c r="H501" s="20"/>
      <c r="I501" s="50">
        <f t="shared" si="533"/>
      </c>
      <c r="J501" s="51"/>
      <c r="K501" s="22">
        <f t="shared" si="624"/>
      </c>
      <c r="L501" s="22">
        <f t="shared" si="294"/>
      </c>
      <c r="M501" s="23">
        <f t="shared" si="314"/>
      </c>
      <c r="N501" s="24">
        <f t="shared" si="333"/>
      </c>
      <c r="O501" s="25">
        <f t="shared" si="352"/>
      </c>
      <c r="P501" s="26">
        <f t="shared" si="37"/>
      </c>
      <c r="Q501" s="26">
        <f t="shared" si="56"/>
      </c>
      <c r="R501" s="26">
        <f t="shared" si="75"/>
      </c>
      <c r="S501" s="27">
        <f t="shared" si="94"/>
      </c>
      <c r="T501" s="28">
        <f t="shared" si="644"/>
      </c>
      <c r="U501" s="26">
        <f t="shared" si="682"/>
      </c>
      <c r="V501" s="29">
        <f t="shared" si="663"/>
      </c>
      <c r="W501" s="29">
        <f t="shared" si="701"/>
      </c>
      <c r="X501" s="26">
        <f t="shared" si="18"/>
      </c>
      <c r="Y501" s="30">
        <f t="shared" si="184"/>
      </c>
      <c r="Z501" s="30"/>
      <c r="AA501" s="30"/>
      <c r="AB501" s="31"/>
      <c r="AC501" s="31"/>
      <c r="AD501" s="27">
        <f t="shared" si="204"/>
      </c>
      <c r="AE501" s="32" t="s">
        <v>41</v>
      </c>
      <c r="AF501" s="33" t="s">
        <v>56</v>
      </c>
      <c r="AG501" s="34"/>
      <c r="AH501" s="35"/>
      <c r="AI501" s="35"/>
      <c r="AJ501" s="35"/>
      <c r="AK501" s="36"/>
      <c r="AL501" s="34"/>
    </row>
    <row r="502">
      <c r="A502" s="15"/>
      <c r="B502" s="38" t="s">
        <v>47</v>
      </c>
      <c r="C502" s="39">
        <v>5</v>
      </c>
      <c r="D502" s="40">
        <f>SUM(D497:D501)</f>
      </c>
      <c r="E502" s="40">
        <f>SUM(E497:E501)</f>
      </c>
      <c r="F502" s="40">
        <f>SUM(F497:F501)</f>
      </c>
      <c r="G502" s="40">
        <f>SUM(G497:G501)</f>
      </c>
      <c r="H502" s="40">
        <f>SUM(H497:H501)</f>
      </c>
      <c r="I502" s="40">
        <f>SUM(I497:I501)</f>
      </c>
      <c r="J502" s="40">
        <f>SUM(J497:J501)</f>
      </c>
      <c r="K502" s="40">
        <f>SUM(K497:K501)</f>
      </c>
      <c r="L502" s="40">
        <f>SUM(L497:L501)</f>
      </c>
      <c r="M502" s="41">
        <f t="shared" si="314"/>
      </c>
      <c r="N502" s="42">
        <f t="shared" si="333"/>
      </c>
      <c r="O502" s="42">
        <f t="shared" si="352"/>
      </c>
      <c r="P502" s="43">
        <f t="shared" si="37"/>
      </c>
      <c r="Q502" s="43">
        <f t="shared" si="56"/>
      </c>
      <c r="R502" s="43">
        <f t="shared" si="75"/>
      </c>
      <c r="S502" s="44">
        <f t="shared" si="94"/>
      </c>
      <c r="T502" s="44">
        <f t="shared" si="644"/>
      </c>
      <c r="U502" s="43">
        <f t="shared" si="682"/>
      </c>
      <c r="V502" s="44">
        <f t="shared" si="663"/>
      </c>
      <c r="W502" s="44">
        <f t="shared" si="701"/>
      </c>
      <c r="X502" s="43">
        <f t="shared" si="18"/>
      </c>
      <c r="Y502" s="40">
        <f>SUM(Y497:Y501)</f>
      </c>
      <c r="Z502" s="40">
        <f>SUM(Z497:Z501)</f>
      </c>
      <c r="AA502" s="40">
        <f>SUM(AA497:AA501)</f>
      </c>
      <c r="AB502" s="40">
        <f>SUM(AB497:AB501)</f>
      </c>
      <c r="AC502" s="40">
        <f>SUM(AC497:AC501)</f>
      </c>
      <c r="AD502" s="45">
        <f t="shared" si="204"/>
      </c>
      <c r="AE502" s="46"/>
      <c r="AF502" s="47"/>
      <c r="AG502" s="40">
        <f>SUM(AG497:AG501)</f>
      </c>
      <c r="AH502" s="40">
        <f>SUM(AH497:AH501)</f>
      </c>
      <c r="AI502" s="40">
        <f>SUM(AI497:AI501)</f>
      </c>
      <c r="AJ502" s="40">
        <f>SUM(AJ497:AJ501)</f>
      </c>
      <c r="AK502" s="40">
        <f>SUM(AK497:AK501)</f>
      </c>
      <c r="AL502" s="40">
        <f>SUM(AL497:AL501)</f>
      </c>
    </row>
    <row r="503">
      <c r="A503" s="15"/>
      <c r="B503" s="16" t="s">
        <v>62</v>
      </c>
      <c r="C503" s="17" t="s">
        <v>63</v>
      </c>
      <c r="D503" s="18">
        <f t="shared" ref="D503:D507" si="443">E503+F503+G503+H503</f>
      </c>
      <c r="E503" s="17"/>
      <c r="F503" s="17"/>
      <c r="G503" s="20"/>
      <c r="H503" s="20"/>
      <c r="I503" s="20">
        <f t="shared" ref="I503:I507" si="534">AB503+AC503</f>
      </c>
      <c r="J503" s="21"/>
      <c r="K503" s="22">
        <f t="shared" ref="K503:K507" si="625">I503-J503</f>
      </c>
      <c r="L503" s="22">
        <f t="shared" ref="L503:L507" si="295">(I503-AC503)/12+AC503</f>
      </c>
      <c r="M503" s="23">
        <f t="shared" si="314"/>
      </c>
      <c r="N503" s="24">
        <f t="shared" si="333"/>
      </c>
      <c r="O503" s="25">
        <f t="shared" si="352"/>
      </c>
      <c r="P503" s="26">
        <f t="shared" si="37"/>
      </c>
      <c r="Q503" s="26">
        <f t="shared" si="56"/>
      </c>
      <c r="R503" s="26">
        <f t="shared" si="75"/>
      </c>
      <c r="S503" s="27">
        <f t="shared" si="94"/>
      </c>
      <c r="T503" s="28">
        <f t="shared" si="644"/>
      </c>
      <c r="U503" s="26">
        <f t="shared" si="682"/>
      </c>
      <c r="V503" s="29">
        <f t="shared" si="663"/>
      </c>
      <c r="W503" s="29">
        <f t="shared" si="701"/>
      </c>
      <c r="X503" s="26">
        <f t="shared" si="18"/>
      </c>
      <c r="Y503" s="30">
        <f t="shared" ref="Y503:Y507" si="185">Z503+AA503</f>
      </c>
      <c r="Z503" s="30"/>
      <c r="AA503" s="30"/>
      <c r="AB503" s="31"/>
      <c r="AC503" s="31"/>
      <c r="AD503" s="27">
        <f t="shared" si="204"/>
      </c>
      <c r="AE503" s="32" t="s">
        <v>41</v>
      </c>
      <c r="AF503" s="33" t="s">
        <v>56</v>
      </c>
      <c r="AG503" s="36"/>
      <c r="AH503" s="35"/>
      <c r="AI503" s="35"/>
      <c r="AJ503" s="35"/>
      <c r="AK503" s="36"/>
      <c r="AL503" s="36"/>
    </row>
    <row r="504">
      <c r="A504" s="15"/>
      <c r="B504" s="16" t="s">
        <v>62</v>
      </c>
      <c r="C504" s="52" t="s">
        <v>64</v>
      </c>
      <c r="D504" s="18">
        <f t="shared" si="443"/>
      </c>
      <c r="E504" s="17"/>
      <c r="F504" s="17"/>
      <c r="G504" s="20"/>
      <c r="H504" s="20"/>
      <c r="I504" s="20">
        <f t="shared" si="534"/>
      </c>
      <c r="J504" s="21"/>
      <c r="K504" s="22">
        <f t="shared" si="625"/>
      </c>
      <c r="L504" s="22">
        <f t="shared" si="295"/>
      </c>
      <c r="M504" s="23">
        <f t="shared" si="314"/>
      </c>
      <c r="N504" s="24">
        <f t="shared" si="333"/>
      </c>
      <c r="O504" s="25">
        <f t="shared" si="352"/>
      </c>
      <c r="P504" s="26">
        <f t="shared" si="37"/>
      </c>
      <c r="Q504" s="26">
        <f t="shared" si="56"/>
      </c>
      <c r="R504" s="26">
        <f t="shared" si="75"/>
      </c>
      <c r="S504" s="27">
        <f t="shared" si="94"/>
      </c>
      <c r="T504" s="28">
        <f t="shared" si="644"/>
      </c>
      <c r="U504" s="26">
        <f t="shared" si="682"/>
      </c>
      <c r="V504" s="29">
        <f t="shared" si="663"/>
      </c>
      <c r="W504" s="29">
        <f t="shared" si="701"/>
      </c>
      <c r="X504" s="26">
        <f t="shared" si="18"/>
      </c>
      <c r="Y504" s="30">
        <f t="shared" si="185"/>
      </c>
      <c r="Z504" s="30"/>
      <c r="AA504" s="30"/>
      <c r="AB504" s="31"/>
      <c r="AC504" s="31"/>
      <c r="AD504" s="27">
        <f t="shared" si="204"/>
      </c>
      <c r="AE504" s="32" t="s">
        <v>41</v>
      </c>
      <c r="AF504" s="33" t="s">
        <v>56</v>
      </c>
      <c r="AG504" s="36"/>
      <c r="AH504" s="35"/>
      <c r="AI504" s="35"/>
      <c r="AJ504" s="35"/>
      <c r="AK504" s="36"/>
      <c r="AL504" s="36"/>
    </row>
    <row r="505">
      <c r="A505" s="15"/>
      <c r="B505" s="16" t="s">
        <v>62</v>
      </c>
      <c r="C505" s="52" t="s">
        <v>65</v>
      </c>
      <c r="D505" s="18">
        <f t="shared" si="443"/>
      </c>
      <c r="E505" s="17"/>
      <c r="F505" s="17"/>
      <c r="G505" s="20"/>
      <c r="H505" s="20"/>
      <c r="I505" s="20">
        <f t="shared" si="534"/>
      </c>
      <c r="J505" s="21"/>
      <c r="K505" s="22">
        <f t="shared" si="625"/>
      </c>
      <c r="L505" s="22">
        <f t="shared" si="295"/>
      </c>
      <c r="M505" s="23">
        <f t="shared" si="314"/>
      </c>
      <c r="N505" s="24">
        <f t="shared" si="333"/>
      </c>
      <c r="O505" s="25">
        <f t="shared" si="352"/>
      </c>
      <c r="P505" s="26">
        <f t="shared" si="37"/>
      </c>
      <c r="Q505" s="26">
        <f t="shared" si="56"/>
      </c>
      <c r="R505" s="26">
        <f t="shared" si="75"/>
      </c>
      <c r="S505" s="27">
        <f t="shared" si="94"/>
      </c>
      <c r="T505" s="28">
        <f t="shared" si="644"/>
      </c>
      <c r="U505" s="26">
        <f t="shared" si="682"/>
      </c>
      <c r="V505" s="29">
        <f t="shared" si="663"/>
      </c>
      <c r="W505" s="29">
        <f t="shared" si="701"/>
      </c>
      <c r="X505" s="26">
        <f t="shared" si="18"/>
      </c>
      <c r="Y505" s="30">
        <f t="shared" si="185"/>
      </c>
      <c r="Z505" s="30"/>
      <c r="AA505" s="30"/>
      <c r="AB505" s="31"/>
      <c r="AC505" s="31"/>
      <c r="AD505" s="27">
        <f t="shared" si="204"/>
      </c>
      <c r="AE505" s="32" t="s">
        <v>41</v>
      </c>
      <c r="AF505" s="33" t="s">
        <v>56</v>
      </c>
      <c r="AG505" s="36"/>
      <c r="AH505" s="35"/>
      <c r="AI505" s="35"/>
      <c r="AJ505" s="35"/>
      <c r="AK505" s="36"/>
      <c r="AL505" s="36"/>
    </row>
    <row r="506">
      <c r="A506" s="15"/>
      <c r="B506" s="16" t="s">
        <v>62</v>
      </c>
      <c r="C506" s="17" t="s">
        <v>66</v>
      </c>
      <c r="D506" s="18">
        <f t="shared" si="443"/>
      </c>
      <c r="E506" s="17"/>
      <c r="F506" s="20"/>
      <c r="G506" s="20"/>
      <c r="H506" s="20"/>
      <c r="I506" s="37">
        <f t="shared" si="534"/>
      </c>
      <c r="J506" s="21"/>
      <c r="K506" s="22">
        <f t="shared" si="625"/>
      </c>
      <c r="L506" s="22">
        <f t="shared" si="295"/>
      </c>
      <c r="M506" s="23">
        <f t="shared" si="314"/>
      </c>
      <c r="N506" s="24">
        <f t="shared" si="333"/>
      </c>
      <c r="O506" s="25">
        <f t="shared" si="352"/>
      </c>
      <c r="P506" s="26">
        <f t="shared" si="37"/>
      </c>
      <c r="Q506" s="26">
        <f t="shared" si="56"/>
      </c>
      <c r="R506" s="26">
        <f t="shared" si="75"/>
      </c>
      <c r="S506" s="27">
        <f t="shared" si="94"/>
      </c>
      <c r="T506" s="28">
        <f t="shared" si="644"/>
      </c>
      <c r="U506" s="26">
        <f t="shared" si="682"/>
      </c>
      <c r="V506" s="29">
        <f t="shared" si="663"/>
      </c>
      <c r="W506" s="29">
        <f t="shared" si="701"/>
      </c>
      <c r="X506" s="26">
        <f t="shared" si="18"/>
      </c>
      <c r="Y506" s="30">
        <f t="shared" si="185"/>
      </c>
      <c r="Z506" s="30"/>
      <c r="AA506" s="30"/>
      <c r="AB506" s="31"/>
      <c r="AC506" s="31"/>
      <c r="AD506" s="27">
        <f t="shared" si="204"/>
      </c>
      <c r="AE506" s="32" t="s">
        <v>41</v>
      </c>
      <c r="AF506" s="33" t="s">
        <v>56</v>
      </c>
      <c r="AG506" s="34"/>
      <c r="AH506" s="35"/>
      <c r="AI506" s="35"/>
      <c r="AJ506" s="35"/>
      <c r="AK506" s="36"/>
      <c r="AL506" s="36"/>
    </row>
    <row r="507">
      <c r="A507" s="15"/>
      <c r="B507" s="16" t="s">
        <v>62</v>
      </c>
      <c r="C507" s="17" t="s">
        <v>67</v>
      </c>
      <c r="D507" s="18">
        <f t="shared" si="443"/>
      </c>
      <c r="E507" s="19"/>
      <c r="F507" s="20"/>
      <c r="G507" s="20"/>
      <c r="H507" s="20"/>
      <c r="I507" s="20">
        <f t="shared" si="534"/>
      </c>
      <c r="J507" s="21"/>
      <c r="K507" s="22">
        <f t="shared" si="625"/>
      </c>
      <c r="L507" s="22">
        <f t="shared" si="295"/>
      </c>
      <c r="M507" s="23">
        <f t="shared" si="314"/>
      </c>
      <c r="N507" s="24">
        <f t="shared" si="333"/>
      </c>
      <c r="O507" s="25">
        <f t="shared" si="352"/>
      </c>
      <c r="P507" s="26">
        <f t="shared" si="37"/>
      </c>
      <c r="Q507" s="26">
        <f t="shared" si="56"/>
      </c>
      <c r="R507" s="26">
        <f t="shared" si="75"/>
      </c>
      <c r="S507" s="27">
        <f t="shared" si="94"/>
      </c>
      <c r="T507" s="28">
        <f t="shared" si="644"/>
      </c>
      <c r="U507" s="26">
        <f t="shared" si="682"/>
      </c>
      <c r="V507" s="29">
        <f t="shared" si="663"/>
      </c>
      <c r="W507" s="29">
        <f t="shared" si="701"/>
      </c>
      <c r="X507" s="26">
        <f t="shared" si="18"/>
      </c>
      <c r="Y507" s="30">
        <f t="shared" si="185"/>
      </c>
      <c r="Z507" s="30"/>
      <c r="AA507" s="30"/>
      <c r="AB507" s="31"/>
      <c r="AC507" s="31"/>
      <c r="AD507" s="27">
        <f t="shared" si="204"/>
      </c>
      <c r="AE507" s="32" t="s">
        <v>41</v>
      </c>
      <c r="AF507" s="33" t="s">
        <v>56</v>
      </c>
      <c r="AG507" s="34"/>
      <c r="AH507" s="35"/>
      <c r="AI507" s="35"/>
      <c r="AJ507" s="35"/>
      <c r="AK507" s="34"/>
      <c r="AL507" s="34"/>
    </row>
    <row r="508">
      <c r="A508" s="15"/>
      <c r="B508" s="38" t="s">
        <v>47</v>
      </c>
      <c r="C508" s="39">
        <v>5</v>
      </c>
      <c r="D508" s="40">
        <f>SUM(D503:D507)</f>
      </c>
      <c r="E508" s="40">
        <f>SUM(E503:E507)</f>
      </c>
      <c r="F508" s="40">
        <f>SUM(F503:F507)</f>
      </c>
      <c r="G508" s="40">
        <f>SUM(G503:G507)</f>
      </c>
      <c r="H508" s="40">
        <f>SUM(H503:H507)</f>
      </c>
      <c r="I508" s="40">
        <f>SUM(I503:I507)</f>
      </c>
      <c r="J508" s="40">
        <f>SUM(J503:J507)</f>
      </c>
      <c r="K508" s="40">
        <f>SUM(K503:K507)</f>
      </c>
      <c r="L508" s="40">
        <f>SUM(L503:L507)</f>
      </c>
      <c r="M508" s="41">
        <f t="shared" si="314"/>
      </c>
      <c r="N508" s="42">
        <f t="shared" si="333"/>
      </c>
      <c r="O508" s="42">
        <f t="shared" si="352"/>
      </c>
      <c r="P508" s="43">
        <f t="shared" si="37"/>
      </c>
      <c r="Q508" s="43">
        <f t="shared" si="56"/>
      </c>
      <c r="R508" s="43">
        <f t="shared" si="75"/>
      </c>
      <c r="S508" s="44">
        <f t="shared" si="94"/>
      </c>
      <c r="T508" s="44">
        <f t="shared" si="644"/>
      </c>
      <c r="U508" s="43">
        <f t="shared" si="682"/>
      </c>
      <c r="V508" s="44">
        <f t="shared" si="663"/>
      </c>
      <c r="W508" s="44">
        <f t="shared" si="701"/>
      </c>
      <c r="X508" s="43">
        <f t="shared" si="18"/>
      </c>
      <c r="Y508" s="40">
        <f>SUM(Y503:Y507)</f>
      </c>
      <c r="Z508" s="40">
        <f>SUM(Z503:Z507)</f>
      </c>
      <c r="AA508" s="40">
        <f>SUM(AA503:AA507)</f>
      </c>
      <c r="AB508" s="40">
        <f>SUM(AB503:AB507)</f>
      </c>
      <c r="AC508" s="40">
        <f>SUM(AC503:AC507)</f>
      </c>
      <c r="AD508" s="59">
        <f t="shared" si="204"/>
      </c>
      <c r="AE508" s="46"/>
      <c r="AF508" s="47"/>
      <c r="AG508" s="40">
        <f>SUM(AG503:AG507)</f>
      </c>
      <c r="AH508" s="40">
        <f>SUM(AH503:AH507)</f>
      </c>
      <c r="AI508" s="40">
        <f>SUM(AI503:AI507)</f>
      </c>
      <c r="AJ508" s="40">
        <f>SUM(AJ503:AJ507)</f>
      </c>
      <c r="AK508" s="40">
        <f>SUM(AK503:AK507)</f>
      </c>
      <c r="AL508" s="40">
        <f>SUM(AL503:AL507)</f>
      </c>
    </row>
    <row r="509">
      <c r="A509" s="15"/>
      <c r="B509" s="60" t="s">
        <v>47</v>
      </c>
      <c r="C509" s="61">
        <f>C490+C496+C502+C508</f>
      </c>
      <c r="D509" s="61">
        <f>D490+D496+D502+D508</f>
      </c>
      <c r="E509" s="61">
        <f>E490+E496+E502+E508</f>
      </c>
      <c r="F509" s="61">
        <f>F490+F496+F502+F508</f>
      </c>
      <c r="G509" s="61">
        <f>G490+G496+G502+G508</f>
      </c>
      <c r="H509" s="61">
        <f>H490+H496+H502+H508</f>
      </c>
      <c r="I509" s="62">
        <f>I490+I496+I502+I508</f>
      </c>
      <c r="J509" s="61">
        <f>J490+J496+J502+J508</f>
      </c>
      <c r="K509" s="61">
        <f>K490+K496+K502+K508</f>
      </c>
      <c r="L509" s="61">
        <f>L490+L496+L502+L508</f>
      </c>
      <c r="M509" s="63">
        <f t="shared" si="314"/>
      </c>
      <c r="N509" s="63">
        <f t="shared" si="333"/>
      </c>
      <c r="O509" s="63">
        <f t="shared" si="352"/>
      </c>
      <c r="P509" s="63">
        <f t="shared" si="37"/>
      </c>
      <c r="Q509" s="63">
        <f t="shared" si="56"/>
      </c>
      <c r="R509" s="63">
        <f t="shared" si="75"/>
      </c>
      <c r="S509" s="64">
        <f t="shared" si="94"/>
      </c>
      <c r="T509" s="64">
        <f t="shared" si="644"/>
      </c>
      <c r="U509" s="63">
        <f t="shared" si="682"/>
      </c>
      <c r="V509" s="64">
        <f t="shared" si="663"/>
      </c>
      <c r="W509" s="64">
        <f t="shared" si="701"/>
      </c>
      <c r="X509" s="63">
        <f t="shared" si="18"/>
      </c>
      <c r="Y509" s="61">
        <f>Y490+Y496+Y502+Y508</f>
      </c>
      <c r="Z509" s="61">
        <f>Z490+Z496+Z502+Z508</f>
      </c>
      <c r="AA509" s="62">
        <f>AA490+AA496+AA502+AA508</f>
      </c>
      <c r="AB509" s="61">
        <f>AB490+AB496+AB502+AB508</f>
      </c>
      <c r="AC509" s="61">
        <f>AC490+AC496+AC502+AC508</f>
      </c>
      <c r="AD509" s="66">
        <f t="shared" si="204"/>
      </c>
      <c r="AE509" s="67"/>
      <c r="AF509" s="60"/>
      <c r="AG509" s="61">
        <f>AG490+AG496+AG502+AG508</f>
      </c>
      <c r="AH509" s="61">
        <f>AH490+AH496+AH502+AH508</f>
      </c>
      <c r="AI509" s="61">
        <f>AI490+AI496+AI502+AI508</f>
      </c>
      <c r="AJ509" s="61">
        <f>AJ490+AJ496+AJ502+AJ508</f>
      </c>
      <c r="AK509" s="61">
        <f>AK490+AK496+AK502+AK508</f>
      </c>
      <c r="AL509" s="61">
        <f>AL490+AL496+AL502+AL508</f>
      </c>
    </row>
    <row r="510">
      <c r="G510" s="77" t="s">
        <v>74</v>
      </c>
      <c r="H510" s="78" cm="1">
        <f t="array" ref="H510:H510">IMPORTRANGE("https://meimeiwangluo.feishu.cn/sheets/GIXqsFoGxhCeyHtByxwcaWrBnud","'Sheet1'!AA5")</f>
      </c>
      <c r="I510" s="79" cm="1">
        <f t="array" ref="I510:I510">IMPORTRANGE("https://meimeiwangluo.feishu.cn/sheets/GIXqsFoGxhCeyHtByxwcaWrBnud","'Sheet1'!AA1")</f>
      </c>
      <c r="J510" s="80">
        <f>J511-J509-K511</f>
      </c>
      <c r="K510" s="81" t="s">
        <v>75</v>
      </c>
      <c r="Y510" s="82" t="s">
        <v>76</v>
      </c>
      <c r="Z510">
        <f>Z511-Z512-Z509</f>
      </c>
      <c r="AA510">
        <f>AA511-AA512-AA509</f>
      </c>
      <c r="AB510">
        <f>AB511-AB512-AB509</f>
      </c>
      <c r="AC510">
        <f>AC511-AC512-AC509</f>
      </c>
      <c r="AD510" s="83"/>
      <c r="AE510" s="83"/>
      <c r="AG510">
        <f>AG511+AG512</f>
      </c>
      <c r="AH510">
        <f>AH511+AH512</f>
      </c>
      <c r="AI510">
        <f>AI511+AI512</f>
      </c>
      <c r="AJ510">
        <f>AJ511+AJ512</f>
      </c>
      <c r="AK510">
        <f>AK511+AK512</f>
      </c>
      <c r="AL510">
        <f>AL511+AL512</f>
      </c>
    </row>
    <row r="511">
      <c r="A511" s="83"/>
      <c r="F511" s="82"/>
      <c r="I511" s="19"/>
      <c r="J511" s="84">
        <v>11130.08</v>
      </c>
      <c r="K511" s="85">
        <v>3697.92</v>
      </c>
      <c r="Y511" s="86" t="s">
        <v>77</v>
      </c>
      <c r="Z511" s="87">
        <v>54</v>
      </c>
      <c r="AA511" s="87">
        <v>75</v>
      </c>
      <c r="AB511" s="88">
        <v>124098.72</v>
      </c>
      <c r="AC511" s="88">
        <v>12175.8</v>
      </c>
      <c r="AE511" s="82"/>
    </row>
    <row r="512">
      <c r="B512" s="89" t="s">
        <v>78</v>
      </c>
      <c r="C512" s="89"/>
      <c r="D512" s="89"/>
      <c r="E512" s="89"/>
      <c r="F512" s="89"/>
      <c r="G512" s="82"/>
      <c r="J512" s="13" t="s">
        <v>79</v>
      </c>
      <c r="Y512" s="82" t="s">
        <v>80</v>
      </c>
      <c r="Z512" s="81">
        <v>5</v>
      </c>
      <c r="AA512" s="81">
        <v>5</v>
      </c>
      <c r="AB512" s="81">
        <v>9872.28</v>
      </c>
      <c r="AC512" s="81">
        <v>1195</v>
      </c>
      <c r="AE512" s="90"/>
    </row>
    <row r="513">
      <c r="D513" s="82"/>
      <c r="G513" s="82"/>
      <c r="H513" s="82"/>
      <c r="I513" s="82"/>
      <c r="J513" s="82"/>
      <c r="K513" s="82"/>
      <c r="Z513" s="13" t="s">
        <v>26</v>
      </c>
      <c r="AA513" s="12" t="s">
        <v>27</v>
      </c>
      <c r="AB513" s="14" t="s">
        <v>28</v>
      </c>
      <c r="AC513" s="14" t="s">
        <v>29</v>
      </c>
      <c r="AG513" s="91"/>
    </row>
    <row r="514">
      <c r="F514" s="82"/>
      <c r="G514" s="82"/>
      <c r="H514" s="82"/>
      <c r="I514" s="82"/>
      <c r="Z514" s="82">
        <v>7</v>
      </c>
      <c r="AA514" s="82">
        <v>5</v>
      </c>
      <c r="AB514" s="82">
        <v>9872.28</v>
      </c>
      <c r="AC514" s="82">
        <v>1195</v>
      </c>
    </row>
    <row r="515"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>
        <f>Z514-Z506</f>
      </c>
      <c r="AA515">
        <f>AA514-AA506</f>
      </c>
      <c r="AB515">
        <f>AB514-AB506</f>
      </c>
      <c r="AC515">
        <f>AC514-AC506</f>
      </c>
      <c r="AD515" s="92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</row>
    <row r="516"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2"/>
      <c r="AA516" s="92"/>
      <c r="AB516" s="93"/>
      <c r="AC516" s="93"/>
      <c r="AD516" s="92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</row>
    <row r="517">
      <c r="F517" s="82"/>
      <c r="G517" s="92"/>
      <c r="H517" s="82"/>
      <c r="I517" s="82"/>
      <c r="J517" s="92"/>
      <c r="K517" s="82"/>
      <c r="L517" s="82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2"/>
      <c r="AA517" s="92"/>
      <c r="AB517" s="92"/>
      <c r="AC517" s="92"/>
      <c r="AD517" s="92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</row>
  </sheetData>
  <mergeCells>
    <mergeCell ref="A380:A405"/>
    <mergeCell ref="A2:A27"/>
    <mergeCell ref="A353:A378"/>
    <mergeCell ref="A326:A351"/>
    <mergeCell ref="A272:A297"/>
    <mergeCell ref="A245:A270"/>
    <mergeCell ref="A137:A162"/>
    <mergeCell ref="A110:A135"/>
    <mergeCell ref="A56:A81"/>
    <mergeCell ref="A29:A54"/>
    <mergeCell ref="A83:A108"/>
    <mergeCell ref="A164:A189"/>
    <mergeCell ref="A191:A216"/>
    <mergeCell ref="A218:A243"/>
    <mergeCell ref="A299:A324"/>
    <mergeCell ref="A407:A431"/>
    <mergeCell ref="A433:A457"/>
    <mergeCell ref="A459:A483"/>
    <mergeCell ref="A485:A509"/>
    <mergeCell ref="B512:F51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0" min="10" style="0" width="11.211267605633802"/>
    <col collapsed="false" customWidth="true" hidden="false" max="32" min="32" style="0" width="11.211267605633802"/>
    <col collapsed="false" customWidth="true" hidden="false" max="33" min="33" style="0" width="11.211267605633802"/>
  </cols>
  <sheetData>
    <row r="1">
      <c r="A1" s="94" t="s">
        <v>81</v>
      </c>
      <c r="B1" s="95" t="s">
        <v>82</v>
      </c>
      <c r="C1" s="95" t="s">
        <v>83</v>
      </c>
      <c r="D1" s="96" t="s">
        <v>84</v>
      </c>
      <c r="E1" s="95" t="s">
        <v>85</v>
      </c>
      <c r="F1" s="95" t="s">
        <v>86</v>
      </c>
      <c r="G1" s="97" t="s">
        <v>87</v>
      </c>
      <c r="H1" s="97" t="s">
        <v>88</v>
      </c>
      <c r="I1" s="96" t="s">
        <v>89</v>
      </c>
      <c r="J1" s="98" t="s">
        <v>90</v>
      </c>
      <c r="K1" s="99" t="s">
        <v>91</v>
      </c>
      <c r="L1" s="99" t="s">
        <v>92</v>
      </c>
      <c r="M1" s="100" t="s">
        <v>93</v>
      </c>
      <c r="N1" s="99" t="s">
        <v>94</v>
      </c>
      <c r="O1" s="95" t="s">
        <v>95</v>
      </c>
      <c r="P1" s="100" t="s">
        <v>96</v>
      </c>
      <c r="Q1" s="101" t="s">
        <v>97</v>
      </c>
      <c r="R1" s="101" t="s">
        <v>98</v>
      </c>
      <c r="S1" s="96" t="s">
        <v>99</v>
      </c>
      <c r="T1" s="102" t="s">
        <v>100</v>
      </c>
      <c r="U1" s="100" t="s">
        <v>101</v>
      </c>
      <c r="V1" s="103" t="s">
        <v>102</v>
      </c>
      <c r="W1" s="104" t="s">
        <v>103</v>
      </c>
      <c r="X1" s="100" t="s">
        <v>104</v>
      </c>
      <c r="Y1" s="105" t="s">
        <v>105</v>
      </c>
      <c r="Z1" s="106" t="s">
        <v>106</v>
      </c>
      <c r="AA1" s="105" t="s">
        <v>107</v>
      </c>
      <c r="AB1" s="107" t="s">
        <v>108</v>
      </c>
      <c r="AC1" s="107" t="s">
        <v>109</v>
      </c>
      <c r="AD1" s="99" t="s">
        <v>110</v>
      </c>
      <c r="AE1" s="98" t="s">
        <v>111</v>
      </c>
      <c r="AF1" s="99" t="s">
        <v>112</v>
      </c>
      <c r="AG1" s="98" t="s">
        <v>113</v>
      </c>
      <c r="AH1" s="98" t="s">
        <v>114</v>
      </c>
      <c r="AI1" s="99" t="s">
        <v>115</v>
      </c>
      <c r="AJ1" s="98" t="s">
        <v>116</v>
      </c>
      <c r="AK1" s="99" t="s">
        <v>117</v>
      </c>
      <c r="AL1" s="98" t="s">
        <v>118</v>
      </c>
    </row>
    <row r="2">
      <c r="A2" s="108">
        <v>46266</v>
      </c>
      <c r="B2" s="109" t="s">
        <v>119</v>
      </c>
      <c r="C2" s="110" t="s">
        <v>120</v>
      </c>
      <c r="D2" s="111">
        <f t="shared" ref="D2:D6" si="288">E2+F2+G2+H2</f>
      </c>
      <c r="E2" s="112">
        <v>1664.03</v>
      </c>
      <c r="F2" s="113">
        <v>9577.91</v>
      </c>
      <c r="G2" s="113">
        <v>0</v>
      </c>
      <c r="H2" s="113">
        <v>0</v>
      </c>
      <c r="I2" s="113">
        <f t="shared" ref="I2:I6" si="417">AB2+AC2</f>
      </c>
      <c r="J2" s="114">
        <v>1509.84</v>
      </c>
      <c r="K2" s="115">
        <f t="shared" ref="K2:K6" si="30">I2-J2</f>
      </c>
      <c r="L2" s="115">
        <f t="shared" ref="L2:L6" si="159">(I2-AC2)/12+AC2</f>
      </c>
      <c r="M2" s="116">
        <f t="shared" ref="M2:M27" si="606">I2/D2</f>
      </c>
      <c r="N2" s="117">
        <f t="shared" ref="N2:N27" si="636">(I2-J2)/D2</f>
      </c>
      <c r="O2" s="118">
        <f t="shared" ref="O2:O27" si="546">(AC2+AB2/12)/D2</f>
      </c>
      <c r="P2" s="119">
        <f t="shared" ref="P2:P27" si="576">I2/AA2</f>
      </c>
      <c r="Q2" s="119">
        <f t="shared" ref="Q2:Q27" si="756">D2/AA2</f>
      </c>
      <c r="R2" s="119">
        <f t="shared" ref="R2:R27" si="786">D2/AG2</f>
      </c>
      <c r="S2" s="120">
        <f t="shared" ref="S2:S27" si="666">AA2/Y2</f>
      </c>
      <c r="T2" s="121">
        <f t="shared" ref="T2:T27" si="696">AI2/AH2</f>
      </c>
      <c r="U2" s="119">
        <f t="shared" ref="U2:U27" si="975">D2/AJ2</f>
      </c>
      <c r="V2" s="122">
        <f t="shared" ref="V2:V27" si="726">AK2/AJ2</f>
      </c>
      <c r="W2" s="122">
        <f t="shared" ref="W2:W27" si="1005">AL2/AJ2</f>
      </c>
      <c r="X2" s="119">
        <f t="shared" ref="X2:X27" si="816">D2/AL2</f>
      </c>
      <c r="Y2" s="123">
        <f t="shared" ref="Y2:Y6" si="846">Z2+AA2</f>
      </c>
      <c r="Z2" s="123">
        <v>10</v>
      </c>
      <c r="AA2" s="123">
        <v>9</v>
      </c>
      <c r="AB2" s="124">
        <v>11358.96</v>
      </c>
      <c r="AC2" s="124">
        <v>3833.25</v>
      </c>
      <c r="AD2" s="120">
        <f t="shared" ref="AD2:AD27" si="0">AC2/I2</f>
      </c>
      <c r="AE2" s="125" t="s">
        <v>121</v>
      </c>
      <c r="AF2" s="126" t="s">
        <v>122</v>
      </c>
      <c r="AG2" s="127">
        <v>8</v>
      </c>
      <c r="AH2" s="127">
        <v>114369</v>
      </c>
      <c r="AI2" s="128">
        <v>3585</v>
      </c>
      <c r="AJ2" s="128">
        <v>3778</v>
      </c>
      <c r="AK2" s="127">
        <v>401</v>
      </c>
      <c r="AL2" s="129">
        <v>344</v>
      </c>
    </row>
    <row r="3">
      <c r="A3" s="108"/>
      <c r="B3" s="109" t="s">
        <v>119</v>
      </c>
      <c r="C3" s="110" t="s">
        <v>123</v>
      </c>
      <c r="D3" s="111">
        <f t="shared" si="288"/>
      </c>
      <c r="E3" s="110">
        <v>1232.29</v>
      </c>
      <c r="F3" s="113">
        <v>7993.96</v>
      </c>
      <c r="G3" s="113">
        <v>0</v>
      </c>
      <c r="H3" s="113">
        <v>0</v>
      </c>
      <c r="I3" s="113">
        <f t="shared" si="417"/>
      </c>
      <c r="J3" s="114">
        <f>488.16+1406.52+1587.24+1480.68</f>
      </c>
      <c r="K3" s="115">
        <f t="shared" si="30"/>
      </c>
      <c r="L3" s="115">
        <f t="shared" si="159"/>
      </c>
      <c r="M3" s="116">
        <f t="shared" si="606"/>
      </c>
      <c r="N3" s="117">
        <f t="shared" si="636"/>
      </c>
      <c r="O3" s="118">
        <f t="shared" si="546"/>
      </c>
      <c r="P3" s="119">
        <f t="shared" si="576"/>
      </c>
      <c r="Q3" s="119">
        <f t="shared" si="756"/>
      </c>
      <c r="R3" s="119">
        <f t="shared" si="786"/>
      </c>
      <c r="S3" s="120">
        <f t="shared" si="666"/>
      </c>
      <c r="T3" s="121">
        <f t="shared" si="696"/>
      </c>
      <c r="U3" s="119">
        <f t="shared" si="975"/>
      </c>
      <c r="V3" s="122">
        <f t="shared" si="726"/>
      </c>
      <c r="W3" s="122">
        <f t="shared" si="1005"/>
      </c>
      <c r="X3" s="119">
        <f t="shared" si="816"/>
      </c>
      <c r="Y3" s="123">
        <f t="shared" si="846"/>
      </c>
      <c r="Z3" s="123">
        <v>17</v>
      </c>
      <c r="AA3" s="123">
        <v>14</v>
      </c>
      <c r="AB3" s="124">
        <v>25211.759999999995</v>
      </c>
      <c r="AC3" s="124">
        <v>0</v>
      </c>
      <c r="AD3" s="120">
        <f t="shared" si="0"/>
      </c>
      <c r="AE3" s="125" t="s">
        <v>121</v>
      </c>
      <c r="AF3" s="126" t="s">
        <v>122</v>
      </c>
      <c r="AG3" s="127">
        <v>13</v>
      </c>
      <c r="AH3" s="128">
        <v>108610</v>
      </c>
      <c r="AI3" s="128">
        <v>2351</v>
      </c>
      <c r="AJ3" s="128">
        <v>2553</v>
      </c>
      <c r="AK3" s="129">
        <v>327</v>
      </c>
      <c r="AL3" s="129">
        <v>313</v>
      </c>
    </row>
    <row r="4">
      <c r="A4" s="108"/>
      <c r="B4" s="109" t="s">
        <v>119</v>
      </c>
      <c r="C4" s="110" t="s">
        <v>124</v>
      </c>
      <c r="D4" s="111">
        <f t="shared" si="288"/>
      </c>
      <c r="E4" s="110">
        <v>1132.62</v>
      </c>
      <c r="F4" s="110">
        <v>10910.99</v>
      </c>
      <c r="G4" s="113">
        <v>0</v>
      </c>
      <c r="H4" s="113">
        <v>0</v>
      </c>
      <c r="I4" s="113">
        <f t="shared" si="417"/>
      </c>
      <c r="J4" s="114">
        <f>3110.4+1649.88+1512.24+1149.12+389</f>
      </c>
      <c r="K4" s="115">
        <f t="shared" si="30"/>
      </c>
      <c r="L4" s="115">
        <f t="shared" si="159"/>
      </c>
      <c r="M4" s="116">
        <f t="shared" si="606"/>
      </c>
      <c r="N4" s="117">
        <f t="shared" si="636"/>
      </c>
      <c r="O4" s="118">
        <f t="shared" si="546"/>
      </c>
      <c r="P4" s="119">
        <f t="shared" si="576"/>
      </c>
      <c r="Q4" s="119">
        <f t="shared" si="756"/>
      </c>
      <c r="R4" s="119">
        <f t="shared" si="786"/>
      </c>
      <c r="S4" s="120">
        <f t="shared" si="666"/>
      </c>
      <c r="T4" s="121">
        <f t="shared" si="696"/>
      </c>
      <c r="U4" s="119">
        <f t="shared" si="975"/>
      </c>
      <c r="V4" s="122">
        <f t="shared" si="726"/>
      </c>
      <c r="W4" s="122">
        <f t="shared" si="1005"/>
      </c>
      <c r="X4" s="119">
        <f t="shared" si="816"/>
      </c>
      <c r="Y4" s="123">
        <f t="shared" si="846"/>
      </c>
      <c r="Z4" s="123">
        <v>5</v>
      </c>
      <c r="AA4" s="123">
        <v>16</v>
      </c>
      <c r="AB4" s="124">
        <v>29557.319999999992</v>
      </c>
      <c r="AC4" s="124">
        <v>1584</v>
      </c>
      <c r="AD4" s="120">
        <f t="shared" si="0"/>
      </c>
      <c r="AE4" s="125" t="s">
        <v>121</v>
      </c>
      <c r="AF4" s="126" t="s">
        <v>122</v>
      </c>
      <c r="AG4" s="129">
        <v>14</v>
      </c>
      <c r="AH4" s="128">
        <v>130014</v>
      </c>
      <c r="AI4" s="128">
        <v>1907</v>
      </c>
      <c r="AJ4" s="128">
        <v>2028</v>
      </c>
      <c r="AK4" s="129">
        <v>264</v>
      </c>
      <c r="AL4" s="129">
        <v>311</v>
      </c>
    </row>
    <row r="5">
      <c r="A5" s="108"/>
      <c r="B5" s="109" t="s">
        <v>119</v>
      </c>
      <c r="C5" s="110" t="s">
        <v>125</v>
      </c>
      <c r="D5" s="111">
        <f t="shared" si="288"/>
      </c>
      <c r="E5" s="110">
        <v>1255.39</v>
      </c>
      <c r="F5" s="113">
        <v>14004.99</v>
      </c>
      <c r="G5" s="113">
        <v>0</v>
      </c>
      <c r="H5" s="113">
        <v>0</v>
      </c>
      <c r="I5" s="113">
        <f t="shared" si="417"/>
      </c>
      <c r="J5" s="114">
        <f>1105.92+733.32+4240.08+4131+3697.92</f>
      </c>
      <c r="K5" s="115">
        <f t="shared" si="30"/>
      </c>
      <c r="L5" s="115">
        <f t="shared" si="159"/>
      </c>
      <c r="M5" s="116">
        <f t="shared" si="606"/>
      </c>
      <c r="N5" s="117">
        <f t="shared" si="636"/>
      </c>
      <c r="O5" s="118">
        <f t="shared" si="546"/>
      </c>
      <c r="P5" s="119">
        <f t="shared" si="576"/>
      </c>
      <c r="Q5" s="119">
        <f t="shared" si="756"/>
      </c>
      <c r="R5" s="119">
        <f t="shared" si="786"/>
      </c>
      <c r="S5" s="120">
        <f t="shared" si="666"/>
      </c>
      <c r="T5" s="121">
        <f t="shared" si="696"/>
      </c>
      <c r="U5" s="119">
        <f t="shared" si="975"/>
      </c>
      <c r="V5" s="122">
        <f t="shared" si="726"/>
      </c>
      <c r="W5" s="122">
        <f t="shared" si="1005"/>
      </c>
      <c r="X5" s="119">
        <f t="shared" si="816"/>
      </c>
      <c r="Y5" s="123">
        <f t="shared" si="846"/>
      </c>
      <c r="Z5" s="123">
        <v>8</v>
      </c>
      <c r="AA5" s="123">
        <v>17</v>
      </c>
      <c r="AB5" s="124">
        <v>19938.480000000025</v>
      </c>
      <c r="AC5" s="124">
        <v>6506</v>
      </c>
      <c r="AD5" s="120">
        <f t="shared" si="0"/>
      </c>
      <c r="AE5" s="125" t="s">
        <v>121</v>
      </c>
      <c r="AF5" s="126" t="s">
        <v>122</v>
      </c>
      <c r="AG5" s="127">
        <v>14</v>
      </c>
      <c r="AH5" s="128">
        <v>181855</v>
      </c>
      <c r="AI5" s="128">
        <v>2326</v>
      </c>
      <c r="AJ5" s="128">
        <v>2331</v>
      </c>
      <c r="AK5" s="129">
        <v>369</v>
      </c>
      <c r="AL5" s="129">
        <v>434</v>
      </c>
    </row>
    <row r="6">
      <c r="A6" s="108"/>
      <c r="B6" s="109" t="s">
        <v>119</v>
      </c>
      <c r="C6" s="110" t="s">
        <v>126</v>
      </c>
      <c r="D6" s="111">
        <f t="shared" si="288"/>
      </c>
      <c r="E6" s="112">
        <v>1116.53</v>
      </c>
      <c r="F6" s="113">
        <v>14719.79</v>
      </c>
      <c r="G6" s="113">
        <v>0</v>
      </c>
      <c r="H6" s="113">
        <v>0</v>
      </c>
      <c r="I6" s="113">
        <f t="shared" si="417"/>
      </c>
      <c r="J6" s="114">
        <f>1670.76+943.92+2918.16+1172.88</f>
      </c>
      <c r="K6" s="115">
        <f t="shared" si="30"/>
      </c>
      <c r="L6" s="115">
        <f t="shared" si="159"/>
      </c>
      <c r="M6" s="116">
        <f t="shared" si="606"/>
      </c>
      <c r="N6" s="117">
        <f t="shared" si="636"/>
      </c>
      <c r="O6" s="118">
        <f t="shared" si="546"/>
      </c>
      <c r="P6" s="119">
        <f t="shared" si="576"/>
      </c>
      <c r="Q6" s="119">
        <f t="shared" si="756"/>
      </c>
      <c r="R6" s="119">
        <f t="shared" si="786"/>
      </c>
      <c r="S6" s="120">
        <f t="shared" si="666"/>
      </c>
      <c r="T6" s="121">
        <f t="shared" si="696"/>
      </c>
      <c r="U6" s="119">
        <f t="shared" si="975"/>
      </c>
      <c r="V6" s="122">
        <f t="shared" si="726"/>
      </c>
      <c r="W6" s="122">
        <f t="shared" si="1005"/>
      </c>
      <c r="X6" s="119">
        <f t="shared" si="816"/>
      </c>
      <c r="Y6" s="123">
        <f t="shared" si="846"/>
      </c>
      <c r="Z6" s="123">
        <v>7</v>
      </c>
      <c r="AA6" s="123">
        <v>17</v>
      </c>
      <c r="AB6" s="124">
        <f>28559.16+1797.12+8119.92</f>
      </c>
      <c r="AC6" s="124">
        <v>2282.4</v>
      </c>
      <c r="AD6" s="120">
        <f t="shared" si="0"/>
      </c>
      <c r="AE6" s="125" t="s">
        <v>121</v>
      </c>
      <c r="AF6" s="126" t="s">
        <v>122</v>
      </c>
      <c r="AG6" s="127">
        <v>15</v>
      </c>
      <c r="AH6" s="128">
        <v>171693</v>
      </c>
      <c r="AI6" s="128">
        <v>2171</v>
      </c>
      <c r="AJ6" s="128">
        <v>2217</v>
      </c>
      <c r="AK6" s="127">
        <v>383</v>
      </c>
      <c r="AL6" s="127">
        <v>420</v>
      </c>
    </row>
    <row r="7">
      <c r="A7" s="108"/>
      <c r="B7" s="130" t="s">
        <v>127</v>
      </c>
      <c r="C7" s="131">
        <v>5</v>
      </c>
      <c r="D7" s="132">
        <f>SUM(D2:D6)</f>
      </c>
      <c r="E7" s="132">
        <f>SUM(E2:E6)</f>
      </c>
      <c r="F7" s="132">
        <f>SUM(F2:F6)</f>
      </c>
      <c r="G7" s="132">
        <f>SUM(G2:G6)</f>
      </c>
      <c r="H7" s="132">
        <f>SUM(H2:H6)</f>
      </c>
      <c r="I7" s="132">
        <f>SUM(I2:I6)</f>
      </c>
      <c r="J7" s="132">
        <f>SUM(J2:J6)</f>
      </c>
      <c r="K7" s="132">
        <f>SUM(K2:K6)</f>
      </c>
      <c r="L7" s="132">
        <f>SUM(L2:L6)</f>
      </c>
      <c r="M7" s="133">
        <f t="shared" si="606"/>
      </c>
      <c r="N7" s="134">
        <f t="shared" si="636"/>
      </c>
      <c r="O7" s="134">
        <f t="shared" si="546"/>
      </c>
      <c r="P7" s="135">
        <f t="shared" si="576"/>
      </c>
      <c r="Q7" s="135">
        <f t="shared" si="756"/>
      </c>
      <c r="R7" s="135">
        <f t="shared" si="786"/>
      </c>
      <c r="S7" s="136">
        <f t="shared" si="666"/>
      </c>
      <c r="T7" s="136">
        <f t="shared" si="696"/>
      </c>
      <c r="U7" s="135">
        <f t="shared" si="975"/>
      </c>
      <c r="V7" s="136">
        <f t="shared" si="726"/>
      </c>
      <c r="W7" s="136">
        <f t="shared" si="1005"/>
      </c>
      <c r="X7" s="135">
        <f t="shared" si="816"/>
      </c>
      <c r="Y7" s="132">
        <f>SUM(Y2:Y6)</f>
      </c>
      <c r="Z7" s="132">
        <f>SUM(Z2:Z6)</f>
      </c>
      <c r="AA7" s="132">
        <f>SUM(AA2:AA6)</f>
      </c>
      <c r="AB7" s="132">
        <f>SUM(AB2:AB6)</f>
      </c>
      <c r="AC7" s="132">
        <f>SUM(AC2:AC6)</f>
      </c>
      <c r="AD7" s="137">
        <f t="shared" si="0"/>
      </c>
      <c r="AE7" s="138"/>
      <c r="AF7" s="139"/>
      <c r="AG7" s="132">
        <f>SUM(AG2:AG6)</f>
      </c>
      <c r="AH7" s="132">
        <f>SUM(AH2:AH6)</f>
      </c>
      <c r="AI7" s="132">
        <f>SUM(AI2:AI6)</f>
      </c>
      <c r="AJ7" s="132">
        <f>SUM(AJ2:AJ6)</f>
      </c>
      <c r="AK7" s="132">
        <f>SUM(AK2:AK6)</f>
      </c>
      <c r="AL7" s="132">
        <f>SUM(AL2:AL6)</f>
      </c>
    </row>
    <row r="8">
      <c r="A8" s="108"/>
      <c r="B8" s="109" t="s">
        <v>128</v>
      </c>
      <c r="C8" s="110" t="s">
        <v>129</v>
      </c>
      <c r="D8" s="111">
        <f t="shared" ref="D8:D11" si="289">E8+F8+G8+H8</f>
      </c>
      <c r="E8" s="110">
        <v>998.4</v>
      </c>
      <c r="F8" s="113">
        <v>9377.71</v>
      </c>
      <c r="G8" s="113">
        <v>0</v>
      </c>
      <c r="H8" s="113">
        <v>0</v>
      </c>
      <c r="I8" s="113">
        <f t="shared" ref="I8:I11" si="418">AB8+AC8</f>
      </c>
      <c r="J8" s="114">
        <v>0</v>
      </c>
      <c r="K8" s="115">
        <f t="shared" ref="K8:K11" si="31">I8-J8</f>
      </c>
      <c r="L8" s="115">
        <f t="shared" ref="L8:L11" si="160">(I8-AC8)/12+AC8</f>
      </c>
      <c r="M8" s="116">
        <f t="shared" si="606"/>
      </c>
      <c r="N8" s="117">
        <f t="shared" si="636"/>
      </c>
      <c r="O8" s="118">
        <f t="shared" si="546"/>
      </c>
      <c r="P8" s="119">
        <f t="shared" si="576"/>
      </c>
      <c r="Q8" s="119">
        <f t="shared" si="756"/>
      </c>
      <c r="R8" s="119">
        <f t="shared" si="786"/>
      </c>
      <c r="S8" s="120">
        <f t="shared" si="666"/>
      </c>
      <c r="T8" s="121">
        <f t="shared" si="696"/>
      </c>
      <c r="U8" s="119">
        <f t="shared" si="975"/>
      </c>
      <c r="V8" s="122">
        <f t="shared" si="726"/>
      </c>
      <c r="W8" s="122">
        <f t="shared" si="1005"/>
      </c>
      <c r="X8" s="119">
        <f t="shared" si="816"/>
      </c>
      <c r="Y8" s="123">
        <f t="shared" ref="Y8:Y11" si="847">Z8+AA8</f>
      </c>
      <c r="Z8" s="123">
        <v>3</v>
      </c>
      <c r="AA8" s="123">
        <v>2</v>
      </c>
      <c r="AB8" s="124">
        <v>1391.0399999999936</v>
      </c>
      <c r="AC8" s="124">
        <v>0</v>
      </c>
      <c r="AD8" s="120">
        <f t="shared" si="0"/>
      </c>
      <c r="AE8" s="125" t="s">
        <v>121</v>
      </c>
      <c r="AF8" s="126" t="s">
        <v>122</v>
      </c>
      <c r="AG8" s="127">
        <v>2</v>
      </c>
      <c r="AH8" s="128">
        <v>121888</v>
      </c>
      <c r="AI8" s="128">
        <v>1427</v>
      </c>
      <c r="AJ8" s="128">
        <v>1514</v>
      </c>
      <c r="AK8" s="127">
        <v>200</v>
      </c>
      <c r="AL8" s="127">
        <v>213</v>
      </c>
    </row>
    <row r="9">
      <c r="A9" s="108"/>
      <c r="B9" s="109" t="s">
        <v>128</v>
      </c>
      <c r="C9" s="110" t="s">
        <v>130</v>
      </c>
      <c r="D9" s="111">
        <f t="shared" si="289"/>
      </c>
      <c r="E9" s="110">
        <v>893.79</v>
      </c>
      <c r="F9" s="113">
        <v>11739.65</v>
      </c>
      <c r="G9" s="113">
        <v>0</v>
      </c>
      <c r="H9" s="113">
        <v>0</v>
      </c>
      <c r="I9" s="113">
        <f t="shared" si="418"/>
      </c>
      <c r="J9" s="114">
        <f>411.72+375.96</f>
      </c>
      <c r="K9" s="115">
        <f t="shared" si="31"/>
      </c>
      <c r="L9" s="115">
        <f t="shared" si="160"/>
      </c>
      <c r="M9" s="116">
        <f t="shared" si="606"/>
      </c>
      <c r="N9" s="117">
        <f t="shared" si="636"/>
      </c>
      <c r="O9" s="118">
        <f t="shared" si="546"/>
      </c>
      <c r="P9" s="119">
        <f t="shared" si="576"/>
      </c>
      <c r="Q9" s="119">
        <f t="shared" si="756"/>
      </c>
      <c r="R9" s="119">
        <f t="shared" si="786"/>
      </c>
      <c r="S9" s="120">
        <f t="shared" si="666"/>
      </c>
      <c r="T9" s="121">
        <f t="shared" si="696"/>
      </c>
      <c r="U9" s="119">
        <f t="shared" si="975"/>
      </c>
      <c r="V9" s="122">
        <f t="shared" si="726"/>
      </c>
      <c r="W9" s="122">
        <f t="shared" si="1005"/>
      </c>
      <c r="X9" s="119">
        <f t="shared" si="816"/>
      </c>
      <c r="Y9" s="123">
        <f t="shared" si="847"/>
      </c>
      <c r="Z9" s="123">
        <v>6</v>
      </c>
      <c r="AA9" s="123">
        <v>11</v>
      </c>
      <c r="AB9" s="124">
        <v>19655.640000000014</v>
      </c>
      <c r="AC9" s="124">
        <v>2205.8999999999996</v>
      </c>
      <c r="AD9" s="120">
        <f t="shared" si="0"/>
      </c>
      <c r="AE9" s="125" t="s">
        <v>121</v>
      </c>
      <c r="AF9" s="126" t="s">
        <v>122</v>
      </c>
      <c r="AG9" s="127">
        <v>8</v>
      </c>
      <c r="AH9" s="128">
        <v>165269</v>
      </c>
      <c r="AI9" s="128">
        <v>2177</v>
      </c>
      <c r="AJ9" s="128">
        <v>2139</v>
      </c>
      <c r="AK9" s="129">
        <v>308</v>
      </c>
      <c r="AL9" s="129">
        <v>388</v>
      </c>
    </row>
    <row r="10">
      <c r="A10" s="108"/>
      <c r="B10" s="109" t="s">
        <v>128</v>
      </c>
      <c r="C10" s="110" t="s">
        <v>131</v>
      </c>
      <c r="D10" s="111">
        <f t="shared" si="289"/>
      </c>
      <c r="E10" s="110">
        <v>1046.22</v>
      </c>
      <c r="F10" s="110">
        <v>10805.79</v>
      </c>
      <c r="G10" s="113">
        <v>0</v>
      </c>
      <c r="H10" s="113">
        <v>0</v>
      </c>
      <c r="I10" s="113">
        <f t="shared" si="418"/>
      </c>
      <c r="J10" s="114">
        <f>1736.64+645.84+2214.48+3110.4</f>
      </c>
      <c r="K10" s="115">
        <f t="shared" si="31"/>
      </c>
      <c r="L10" s="115">
        <f t="shared" si="160"/>
      </c>
      <c r="M10" s="116">
        <f t="shared" si="606"/>
      </c>
      <c r="N10" s="117">
        <f t="shared" si="636"/>
      </c>
      <c r="O10" s="118">
        <f t="shared" si="546"/>
      </c>
      <c r="P10" s="119">
        <f t="shared" si="576"/>
      </c>
      <c r="Q10" s="119">
        <f t="shared" si="756"/>
      </c>
      <c r="R10" s="119">
        <f t="shared" si="786"/>
      </c>
      <c r="S10" s="120">
        <f t="shared" si="666"/>
      </c>
      <c r="T10" s="121">
        <f t="shared" si="696"/>
      </c>
      <c r="U10" s="119">
        <f t="shared" si="975"/>
      </c>
      <c r="V10" s="122">
        <f t="shared" si="726"/>
      </c>
      <c r="W10" s="122">
        <f t="shared" si="1005"/>
      </c>
      <c r="X10" s="119">
        <f t="shared" si="816"/>
      </c>
      <c r="Y10" s="123">
        <f t="shared" si="847"/>
      </c>
      <c r="Z10" s="123">
        <v>8</v>
      </c>
      <c r="AA10" s="123">
        <v>16</v>
      </c>
      <c r="AB10" s="124">
        <v>22728.599999999962</v>
      </c>
      <c r="AC10" s="124">
        <v>3388.4000000000015</v>
      </c>
      <c r="AD10" s="120">
        <f t="shared" si="0"/>
      </c>
      <c r="AE10" s="125" t="s">
        <v>121</v>
      </c>
      <c r="AF10" s="126" t="s">
        <v>122</v>
      </c>
      <c r="AG10" s="129">
        <v>15</v>
      </c>
      <c r="AH10" s="128">
        <v>149910</v>
      </c>
      <c r="AI10" s="128">
        <v>2294</v>
      </c>
      <c r="AJ10" s="128">
        <v>2376</v>
      </c>
      <c r="AK10" s="129">
        <v>289</v>
      </c>
      <c r="AL10" s="129">
        <v>328</v>
      </c>
    </row>
    <row r="11">
      <c r="A11" s="108"/>
      <c r="B11" s="109" t="s">
        <v>128</v>
      </c>
      <c r="C11" s="110" t="s">
        <v>132</v>
      </c>
      <c r="D11" s="111">
        <f t="shared" si="289"/>
      </c>
      <c r="E11" s="110">
        <v>1058.29</v>
      </c>
      <c r="F11" s="113">
        <v>8589.29</v>
      </c>
      <c r="G11" s="113">
        <v>0</v>
      </c>
      <c r="H11" s="113">
        <v>0</v>
      </c>
      <c r="I11" s="113">
        <f t="shared" si="418"/>
      </c>
      <c r="J11" s="114">
        <v>1686.96</v>
      </c>
      <c r="K11" s="115">
        <f t="shared" si="31"/>
      </c>
      <c r="L11" s="115">
        <f t="shared" si="160"/>
      </c>
      <c r="M11" s="116">
        <f t="shared" si="606"/>
      </c>
      <c r="N11" s="117">
        <f t="shared" si="636"/>
      </c>
      <c r="O11" s="118">
        <f t="shared" si="546"/>
      </c>
      <c r="P11" s="119">
        <f t="shared" si="576"/>
      </c>
      <c r="Q11" s="119">
        <f t="shared" si="756"/>
      </c>
      <c r="R11" s="119">
        <f t="shared" si="786"/>
      </c>
      <c r="S11" s="120">
        <f t="shared" si="666"/>
      </c>
      <c r="T11" s="121">
        <f t="shared" si="696"/>
      </c>
      <c r="U11" s="119">
        <f t="shared" si="975"/>
      </c>
      <c r="V11" s="122">
        <f t="shared" si="726"/>
      </c>
      <c r="W11" s="122">
        <f t="shared" si="1005"/>
      </c>
      <c r="X11" s="119">
        <f t="shared" si="816"/>
      </c>
      <c r="Y11" s="123">
        <f t="shared" si="847"/>
      </c>
      <c r="Z11" s="123">
        <v>15</v>
      </c>
      <c r="AA11" s="123">
        <v>10</v>
      </c>
      <c r="AB11" s="114">
        <v>13360.680000000037</v>
      </c>
      <c r="AC11" s="124">
        <v>0</v>
      </c>
      <c r="AD11" s="120">
        <f t="shared" si="0"/>
      </c>
      <c r="AE11" s="125" t="s">
        <v>121</v>
      </c>
      <c r="AF11" s="126" t="s">
        <v>122</v>
      </c>
      <c r="AG11" s="127">
        <v>9</v>
      </c>
      <c r="AH11" s="128">
        <v>131682</v>
      </c>
      <c r="AI11" s="128">
        <v>1509</v>
      </c>
      <c r="AJ11" s="128">
        <v>1551</v>
      </c>
      <c r="AK11" s="129">
        <v>220</v>
      </c>
      <c r="AL11" s="129">
        <v>298</v>
      </c>
    </row>
    <row r="12">
      <c r="A12" s="108"/>
      <c r="B12" s="130" t="s">
        <v>127</v>
      </c>
      <c r="C12" s="131">
        <v>4</v>
      </c>
      <c r="D12" s="132">
        <f>SUM(D8:D11)</f>
      </c>
      <c r="E12" s="132">
        <f>SUM(E8:E11)</f>
      </c>
      <c r="F12" s="132">
        <f>SUM(F8:F11)</f>
      </c>
      <c r="G12" s="132">
        <f>SUM(G8:G11)</f>
      </c>
      <c r="H12" s="132">
        <f>SUM(H8:H11)</f>
      </c>
      <c r="I12" s="132">
        <f>SUM(I8:I11)</f>
      </c>
      <c r="J12" s="132">
        <f>SUM(J8:J11)</f>
      </c>
      <c r="K12" s="132">
        <f>SUM(K8:K11)</f>
      </c>
      <c r="L12" s="132">
        <f>SUM(L8:L11)</f>
      </c>
      <c r="M12" s="133">
        <f t="shared" si="606"/>
      </c>
      <c r="N12" s="134">
        <f t="shared" si="636"/>
      </c>
      <c r="O12" s="134">
        <f t="shared" si="546"/>
      </c>
      <c r="P12" s="135">
        <f t="shared" si="576"/>
      </c>
      <c r="Q12" s="135">
        <f t="shared" si="756"/>
      </c>
      <c r="R12" s="135">
        <f t="shared" si="786"/>
      </c>
      <c r="S12" s="136">
        <f t="shared" si="666"/>
      </c>
      <c r="T12" s="136">
        <f t="shared" si="696"/>
      </c>
      <c r="U12" s="135">
        <f t="shared" si="975"/>
      </c>
      <c r="V12" s="136">
        <f t="shared" si="726"/>
      </c>
      <c r="W12" s="136">
        <f t="shared" si="1005"/>
      </c>
      <c r="X12" s="135">
        <f t="shared" si="816"/>
      </c>
      <c r="Y12" s="132">
        <f>SUM(Y8:Y11)</f>
      </c>
      <c r="Z12" s="132">
        <f>SUM(Z8:Z11)</f>
      </c>
      <c r="AA12" s="132">
        <f>SUM(AA8:AA11)</f>
      </c>
      <c r="AB12" s="132">
        <f>SUM(AB8:AB11)</f>
      </c>
      <c r="AC12" s="132">
        <f>SUM(AC8:AC11)</f>
      </c>
      <c r="AD12" s="137">
        <f t="shared" si="0"/>
      </c>
      <c r="AE12" s="138"/>
      <c r="AF12" s="139"/>
      <c r="AG12" s="132">
        <f>SUM(AG8:AG11)</f>
      </c>
      <c r="AH12" s="132">
        <f>SUM(AH8:AH11)</f>
      </c>
      <c r="AI12" s="132">
        <f>SUM(AI8:AI11)</f>
      </c>
      <c r="AJ12" s="132">
        <f>SUM(AJ8:AJ11)</f>
      </c>
      <c r="AK12" s="132">
        <f>SUM(AK8:AK11)</f>
      </c>
      <c r="AL12" s="132">
        <f>SUM(AL8:AL11)</f>
      </c>
    </row>
    <row customHeight="true" ht="16.666666666666668" r="13">
      <c r="A13" s="108"/>
      <c r="B13" s="109" t="s">
        <v>133</v>
      </c>
      <c r="C13" s="110" t="s">
        <v>134</v>
      </c>
      <c r="D13" s="111">
        <f t="shared" ref="D13:D15" si="290">E13+F13+G13+H13</f>
      </c>
      <c r="E13" s="110">
        <v>867.63</v>
      </c>
      <c r="F13" s="140">
        <v>14908.08</v>
      </c>
      <c r="G13" s="113">
        <v>0</v>
      </c>
      <c r="H13" s="113">
        <v>0</v>
      </c>
      <c r="I13" s="113">
        <f t="shared" ref="I13:I15" si="419">AB13+AC13</f>
      </c>
      <c r="J13" s="114">
        <f>3881.52+3247.56+1074+681.48+547.2+983.64</f>
      </c>
      <c r="K13" s="115">
        <f t="shared" ref="K13:K15" si="32">I13-J13</f>
      </c>
      <c r="L13" s="115">
        <f t="shared" ref="L13:L15" si="161">(I13-AC13)/12+AC13</f>
      </c>
      <c r="M13" s="116">
        <f t="shared" si="606"/>
      </c>
      <c r="N13" s="117">
        <f t="shared" si="636"/>
      </c>
      <c r="O13" s="118">
        <f t="shared" si="546"/>
      </c>
      <c r="P13" s="119">
        <f t="shared" si="576"/>
      </c>
      <c r="Q13" s="119">
        <f t="shared" si="756"/>
      </c>
      <c r="R13" s="119">
        <f t="shared" si="786"/>
      </c>
      <c r="S13" s="120">
        <f t="shared" si="666"/>
      </c>
      <c r="T13" s="121">
        <f t="shared" si="696"/>
      </c>
      <c r="U13" s="119">
        <f t="shared" si="975"/>
      </c>
      <c r="V13" s="122">
        <f t="shared" si="726"/>
      </c>
      <c r="W13" s="122">
        <f t="shared" si="1005"/>
      </c>
      <c r="X13" s="119">
        <f t="shared" si="816"/>
      </c>
      <c r="Y13" s="123">
        <f t="shared" ref="Y13:Y15" si="848">Z13+AA13</f>
      </c>
      <c r="Z13" s="123">
        <v>13</v>
      </c>
      <c r="AA13" s="123">
        <v>9</v>
      </c>
      <c r="AB13" s="124">
        <v>21162.000000000015</v>
      </c>
      <c r="AC13" s="124">
        <v>1074</v>
      </c>
      <c r="AD13" s="120">
        <f t="shared" si="0"/>
      </c>
      <c r="AE13" s="125" t="s">
        <v>121</v>
      </c>
      <c r="AF13" s="126" t="s">
        <v>122</v>
      </c>
      <c r="AG13" s="127">
        <v>8</v>
      </c>
      <c r="AH13" s="128">
        <v>216351</v>
      </c>
      <c r="AI13" s="128">
        <v>2409</v>
      </c>
      <c r="AJ13" s="128">
        <v>2380</v>
      </c>
      <c r="AK13" s="129">
        <v>307</v>
      </c>
      <c r="AL13" s="129">
        <v>404</v>
      </c>
    </row>
    <row r="14">
      <c r="A14" s="108"/>
      <c r="B14" s="109" t="s">
        <v>133</v>
      </c>
      <c r="C14" s="110" t="s">
        <v>135</v>
      </c>
      <c r="D14" s="111">
        <f t="shared" si="290"/>
      </c>
      <c r="E14" s="110">
        <v>1247.32</v>
      </c>
      <c r="F14" s="140">
        <v>11334.36</v>
      </c>
      <c r="G14" s="113">
        <v>0</v>
      </c>
      <c r="H14" s="113">
        <v>0</v>
      </c>
      <c r="I14" s="113">
        <f t="shared" si="419"/>
      </c>
      <c r="J14" s="114">
        <v>1126.44</v>
      </c>
      <c r="K14" s="115">
        <f t="shared" si="32"/>
      </c>
      <c r="L14" s="115">
        <f t="shared" si="161"/>
      </c>
      <c r="M14" s="116">
        <f t="shared" si="606"/>
      </c>
      <c r="N14" s="117">
        <f t="shared" si="636"/>
      </c>
      <c r="O14" s="118">
        <f t="shared" si="546"/>
      </c>
      <c r="P14" s="119">
        <f t="shared" si="576"/>
      </c>
      <c r="Q14" s="119">
        <f t="shared" si="756"/>
      </c>
      <c r="R14" s="119">
        <f t="shared" si="786"/>
      </c>
      <c r="S14" s="120">
        <f t="shared" si="666"/>
      </c>
      <c r="T14" s="121">
        <f t="shared" si="696"/>
      </c>
      <c r="U14" s="119">
        <f t="shared" si="975"/>
      </c>
      <c r="V14" s="122">
        <f t="shared" si="726"/>
      </c>
      <c r="W14" s="122">
        <f t="shared" si="1005"/>
      </c>
      <c r="X14" s="119">
        <f t="shared" si="816"/>
      </c>
      <c r="Y14" s="123">
        <f t="shared" si="848"/>
      </c>
      <c r="Z14" s="123">
        <v>8</v>
      </c>
      <c r="AA14" s="123">
        <v>11</v>
      </c>
      <c r="AB14" s="124">
        <v>9609.840000000011</v>
      </c>
      <c r="AC14" s="124">
        <v>1764</v>
      </c>
      <c r="AD14" s="120">
        <f t="shared" si="0"/>
      </c>
      <c r="AE14" s="125" t="s">
        <v>136</v>
      </c>
      <c r="AF14" s="126" t="s">
        <v>137</v>
      </c>
      <c r="AG14" s="127">
        <v>8</v>
      </c>
      <c r="AH14" s="128">
        <v>186816</v>
      </c>
      <c r="AI14" s="128">
        <v>2380</v>
      </c>
      <c r="AJ14" s="128">
        <v>2372</v>
      </c>
      <c r="AK14" s="129">
        <v>306</v>
      </c>
      <c r="AL14" s="129">
        <v>392</v>
      </c>
    </row>
    <row r="15">
      <c r="A15" s="108"/>
      <c r="B15" s="109" t="s">
        <v>133</v>
      </c>
      <c r="C15" s="110" t="s">
        <v>138</v>
      </c>
      <c r="D15" s="111">
        <f t="shared" si="290"/>
      </c>
      <c r="E15" s="141">
        <v>706.28</v>
      </c>
      <c r="F15" s="142">
        <v>8458.19</v>
      </c>
      <c r="G15" s="113">
        <v>0</v>
      </c>
      <c r="H15" s="113">
        <v>0</v>
      </c>
      <c r="I15" s="113">
        <f t="shared" si="419"/>
      </c>
      <c r="J15" s="114">
        <f>855+3777.84+1551.96</f>
      </c>
      <c r="K15" s="115">
        <f t="shared" si="32"/>
      </c>
      <c r="L15" s="115">
        <f t="shared" si="161"/>
      </c>
      <c r="M15" s="116">
        <f t="shared" si="606"/>
      </c>
      <c r="N15" s="117">
        <f t="shared" si="636"/>
      </c>
      <c r="O15" s="118">
        <f t="shared" si="546"/>
      </c>
      <c r="P15" s="119">
        <f t="shared" si="576"/>
      </c>
      <c r="Q15" s="119">
        <f t="shared" si="756"/>
      </c>
      <c r="R15" s="119">
        <f t="shared" si="786"/>
      </c>
      <c r="S15" s="120">
        <f t="shared" si="666"/>
      </c>
      <c r="T15" s="121">
        <f t="shared" si="696"/>
      </c>
      <c r="U15" s="119">
        <f t="shared" si="975"/>
      </c>
      <c r="V15" s="122">
        <f t="shared" si="726"/>
      </c>
      <c r="W15" s="122">
        <f t="shared" si="1005"/>
      </c>
      <c r="X15" s="119">
        <f t="shared" si="816"/>
      </c>
      <c r="Y15" s="123">
        <f t="shared" si="848"/>
      </c>
      <c r="Z15" s="123">
        <v>1</v>
      </c>
      <c r="AA15" s="123">
        <v>10</v>
      </c>
      <c r="AB15" s="124">
        <v>17113.68</v>
      </c>
      <c r="AC15" s="124">
        <v>855</v>
      </c>
      <c r="AD15" s="120">
        <f t="shared" si="0"/>
      </c>
      <c r="AE15" s="125" t="s">
        <v>136</v>
      </c>
      <c r="AF15" s="126" t="s">
        <v>137</v>
      </c>
      <c r="AG15" s="129">
        <v>6</v>
      </c>
      <c r="AH15" s="128">
        <v>127607</v>
      </c>
      <c r="AI15" s="128">
        <v>1633</v>
      </c>
      <c r="AJ15" s="128">
        <v>1657</v>
      </c>
      <c r="AK15" s="129">
        <v>240</v>
      </c>
      <c r="AL15" s="129">
        <v>287</v>
      </c>
    </row>
    <row r="16">
      <c r="A16" s="108"/>
      <c r="B16" s="130" t="s">
        <v>127</v>
      </c>
      <c r="C16" s="131">
        <v>3</v>
      </c>
      <c r="D16" s="132">
        <f>SUM(D13:D15)</f>
      </c>
      <c r="E16" s="132">
        <f>SUM(E13:E15)</f>
      </c>
      <c r="F16" s="132">
        <f>SUM(F13:F15)</f>
      </c>
      <c r="G16" s="132">
        <f>SUM(G13:G15)</f>
      </c>
      <c r="H16" s="132">
        <f>SUM(H13:H15)</f>
      </c>
      <c r="I16" s="132">
        <f>SUM(I13:I15)</f>
      </c>
      <c r="J16" s="132">
        <f>SUM(J13:J15)</f>
      </c>
      <c r="K16" s="132">
        <f>SUM(K13:K15)</f>
      </c>
      <c r="L16" s="132">
        <f>SUM(L13:L15)</f>
      </c>
      <c r="M16" s="133">
        <f t="shared" si="606"/>
      </c>
      <c r="N16" s="134">
        <f t="shared" si="636"/>
      </c>
      <c r="O16" s="134">
        <f t="shared" si="546"/>
      </c>
      <c r="P16" s="135">
        <f t="shared" si="576"/>
      </c>
      <c r="Q16" s="135">
        <f t="shared" si="756"/>
      </c>
      <c r="R16" s="135">
        <f t="shared" si="786"/>
      </c>
      <c r="S16" s="136">
        <f t="shared" si="666"/>
      </c>
      <c r="T16" s="136">
        <f t="shared" si="696"/>
      </c>
      <c r="U16" s="135">
        <f t="shared" si="975"/>
      </c>
      <c r="V16" s="136">
        <f t="shared" si="726"/>
      </c>
      <c r="W16" s="136">
        <f t="shared" si="1005"/>
      </c>
      <c r="X16" s="135">
        <f t="shared" si="816"/>
      </c>
      <c r="Y16" s="132">
        <f>SUM(Y13:Y15)</f>
      </c>
      <c r="Z16" s="132">
        <f>SUM(Z13:Z15)</f>
      </c>
      <c r="AA16" s="132">
        <f>SUM(AA13:AA15)</f>
      </c>
      <c r="AB16" s="132">
        <f>SUM(AB13:AB15)</f>
      </c>
      <c r="AC16" s="132">
        <f>SUM(AC13:AC15)</f>
      </c>
      <c r="AD16" s="137">
        <f t="shared" si="0"/>
      </c>
      <c r="AE16" s="138"/>
      <c r="AF16" s="139"/>
      <c r="AG16" s="132">
        <f>SUM(AG13:AG15)</f>
      </c>
      <c r="AH16" s="132">
        <f>SUM(AH13:AH15)</f>
      </c>
      <c r="AI16" s="132">
        <f>SUM(AI13:AI15)</f>
      </c>
      <c r="AJ16" s="132">
        <f>SUM(AJ13:AJ15)</f>
      </c>
      <c r="AK16" s="132">
        <f>SUM(AK13:AK15)</f>
      </c>
      <c r="AL16" s="132">
        <f>SUM(AL13:AL15)</f>
      </c>
    </row>
    <row r="17">
      <c r="A17" s="108"/>
      <c r="B17" s="109" t="s">
        <v>139</v>
      </c>
      <c r="C17" s="110" t="s">
        <v>140</v>
      </c>
      <c r="D17" s="111">
        <f t="shared" ref="D17:D19" si="291">E17+F17+G17+H17</f>
      </c>
      <c r="E17" s="110">
        <v>583.27</v>
      </c>
      <c r="F17" s="140">
        <v>6571.9</v>
      </c>
      <c r="G17" s="113">
        <v>0</v>
      </c>
      <c r="H17" s="113">
        <v>0</v>
      </c>
      <c r="I17" s="113">
        <f t="shared" ref="I17:I19" si="420">AB17+AC17</f>
      </c>
      <c r="J17" s="114">
        <f>488.16+518.4</f>
      </c>
      <c r="K17" s="115">
        <f t="shared" ref="K17:K19" si="33">I17-J17</f>
      </c>
      <c r="L17" s="115">
        <f t="shared" ref="L17:L19" si="162">(I17-AC17)/12+AC17</f>
      </c>
      <c r="M17" s="116">
        <f t="shared" si="606"/>
      </c>
      <c r="N17" s="117">
        <f t="shared" si="636"/>
      </c>
      <c r="O17" s="118">
        <f t="shared" si="546"/>
      </c>
      <c r="P17" s="119">
        <f t="shared" si="576"/>
      </c>
      <c r="Q17" s="119">
        <f t="shared" si="756"/>
      </c>
      <c r="R17" s="119">
        <f t="shared" si="786"/>
      </c>
      <c r="S17" s="120">
        <f t="shared" si="666"/>
      </c>
      <c r="T17" s="121">
        <f t="shared" si="696"/>
      </c>
      <c r="U17" s="119">
        <f t="shared" si="975"/>
      </c>
      <c r="V17" s="122">
        <f t="shared" si="726"/>
      </c>
      <c r="W17" s="122">
        <f t="shared" si="1005"/>
      </c>
      <c r="X17" s="119">
        <f t="shared" si="816"/>
      </c>
      <c r="Y17" s="123">
        <f t="shared" ref="Y17:Y19" si="849">Z17+AA17</f>
      </c>
      <c r="Z17" s="123">
        <v>11</v>
      </c>
      <c r="AA17" s="123">
        <v>6</v>
      </c>
      <c r="AB17" s="124">
        <v>5039.279999999984</v>
      </c>
      <c r="AC17" s="124">
        <v>1223</v>
      </c>
      <c r="AD17" s="120">
        <f t="shared" si="0"/>
      </c>
      <c r="AE17" s="125" t="s">
        <v>136</v>
      </c>
      <c r="AF17" s="126" t="s">
        <v>137</v>
      </c>
      <c r="AG17" s="127">
        <v>6</v>
      </c>
      <c r="AH17" s="128">
        <v>93483</v>
      </c>
      <c r="AI17" s="128">
        <v>1543</v>
      </c>
      <c r="AJ17" s="128">
        <v>1547</v>
      </c>
      <c r="AK17" s="129">
        <v>215</v>
      </c>
      <c r="AL17" s="129">
        <v>236</v>
      </c>
    </row>
    <row r="18">
      <c r="A18" s="108"/>
      <c r="B18" s="109" t="s">
        <v>139</v>
      </c>
      <c r="C18" s="141" t="s">
        <v>141</v>
      </c>
      <c r="D18" s="111">
        <f t="shared" si="291"/>
      </c>
      <c r="E18" s="110">
        <v>685.73</v>
      </c>
      <c r="F18" s="140">
        <v>10391.27</v>
      </c>
      <c r="G18" s="113">
        <v>0</v>
      </c>
      <c r="H18" s="113">
        <v>0</v>
      </c>
      <c r="I18" s="113">
        <f t="shared" si="420"/>
      </c>
      <c r="J18" s="114">
        <v>0</v>
      </c>
      <c r="K18" s="115">
        <f t="shared" si="33"/>
      </c>
      <c r="L18" s="115">
        <f t="shared" si="162"/>
      </c>
      <c r="M18" s="116">
        <f t="shared" si="606"/>
      </c>
      <c r="N18" s="117">
        <f t="shared" si="636"/>
      </c>
      <c r="O18" s="118">
        <f t="shared" si="546"/>
      </c>
      <c r="P18" s="119">
        <f t="shared" si="576"/>
      </c>
      <c r="Q18" s="119">
        <f t="shared" si="756"/>
      </c>
      <c r="R18" s="119">
        <f t="shared" si="786"/>
      </c>
      <c r="S18" s="120">
        <f t="shared" si="666"/>
      </c>
      <c r="T18" s="121">
        <f t="shared" si="696"/>
      </c>
      <c r="U18" s="119">
        <f t="shared" si="975"/>
      </c>
      <c r="V18" s="122">
        <f t="shared" si="726"/>
      </c>
      <c r="W18" s="122">
        <f t="shared" si="1005"/>
      </c>
      <c r="X18" s="119">
        <f t="shared" si="816"/>
      </c>
      <c r="Y18" s="123">
        <f t="shared" si="849"/>
      </c>
      <c r="Z18" s="123">
        <v>6</v>
      </c>
      <c r="AA18" s="123">
        <v>8</v>
      </c>
      <c r="AB18" s="124">
        <v>10889.640000000029</v>
      </c>
      <c r="AC18" s="124">
        <v>0</v>
      </c>
      <c r="AD18" s="120">
        <f t="shared" si="0"/>
      </c>
      <c r="AE18" s="125" t="s">
        <v>136</v>
      </c>
      <c r="AF18" s="126" t="s">
        <v>137</v>
      </c>
      <c r="AG18" s="127">
        <v>8</v>
      </c>
      <c r="AH18" s="128">
        <v>144495</v>
      </c>
      <c r="AI18" s="128">
        <v>2079</v>
      </c>
      <c r="AJ18" s="128">
        <v>2091</v>
      </c>
      <c r="AK18" s="129">
        <v>257</v>
      </c>
      <c r="AL18" s="129">
        <v>364</v>
      </c>
    </row>
    <row r="19">
      <c r="A19" s="108"/>
      <c r="B19" s="109" t="s">
        <v>139</v>
      </c>
      <c r="C19" s="141" t="s">
        <v>142</v>
      </c>
      <c r="D19" s="111">
        <f t="shared" si="291"/>
      </c>
      <c r="E19" s="110">
        <v>815.58</v>
      </c>
      <c r="F19" s="140">
        <v>13532.59</v>
      </c>
      <c r="G19" s="113">
        <v>0</v>
      </c>
      <c r="H19" s="113">
        <v>0</v>
      </c>
      <c r="I19" s="113">
        <f t="shared" si="420"/>
      </c>
      <c r="J19" s="114">
        <f>1591.92+708.48</f>
      </c>
      <c r="K19" s="115">
        <f t="shared" si="33"/>
      </c>
      <c r="L19" s="115">
        <f t="shared" si="162"/>
      </c>
      <c r="M19" s="116">
        <f t="shared" si="606"/>
      </c>
      <c r="N19" s="117">
        <f t="shared" si="636"/>
      </c>
      <c r="O19" s="118">
        <f t="shared" si="546"/>
      </c>
      <c r="P19" s="119">
        <f t="shared" si="576"/>
      </c>
      <c r="Q19" s="119">
        <f t="shared" si="756"/>
      </c>
      <c r="R19" s="119">
        <f t="shared" si="786"/>
      </c>
      <c r="S19" s="120">
        <f t="shared" si="666"/>
      </c>
      <c r="T19" s="121">
        <f t="shared" si="696"/>
      </c>
      <c r="U19" s="119">
        <f t="shared" si="975"/>
      </c>
      <c r="V19" s="122">
        <f t="shared" si="726"/>
      </c>
      <c r="W19" s="122">
        <f t="shared" si="1005"/>
      </c>
      <c r="X19" s="119">
        <f t="shared" si="816"/>
      </c>
      <c r="Y19" s="123">
        <f t="shared" si="849"/>
      </c>
      <c r="Z19" s="123">
        <v>13</v>
      </c>
      <c r="AA19" s="123">
        <v>16</v>
      </c>
      <c r="AB19" s="124">
        <v>27979.2</v>
      </c>
      <c r="AC19" s="124">
        <v>0</v>
      </c>
      <c r="AD19" s="120">
        <f t="shared" si="0"/>
      </c>
      <c r="AE19" s="125" t="s">
        <v>136</v>
      </c>
      <c r="AF19" s="126" t="s">
        <v>137</v>
      </c>
      <c r="AG19" s="129">
        <f>12+2</f>
      </c>
      <c r="AH19" s="128">
        <v>223500</v>
      </c>
      <c r="AI19" s="128">
        <v>2971</v>
      </c>
      <c r="AJ19" s="128">
        <v>2936</v>
      </c>
      <c r="AK19" s="129">
        <v>390</v>
      </c>
      <c r="AL19" s="129">
        <v>464</v>
      </c>
    </row>
    <row r="20">
      <c r="A20" s="108"/>
      <c r="B20" s="130" t="s">
        <v>127</v>
      </c>
      <c r="C20" s="131">
        <v>3</v>
      </c>
      <c r="D20" s="132">
        <f>SUM(D17:D19)</f>
      </c>
      <c r="E20" s="132">
        <f>SUM(E17:E19)</f>
      </c>
      <c r="F20" s="132">
        <f>SUM(F17:F19)</f>
      </c>
      <c r="G20" s="132">
        <f>SUM(G17:G19)</f>
      </c>
      <c r="H20" s="132">
        <f>SUM(H17:H19)</f>
      </c>
      <c r="I20" s="132">
        <f>SUM(I17:I19)</f>
      </c>
      <c r="J20" s="132">
        <f>SUM(J17:J19)</f>
      </c>
      <c r="K20" s="132">
        <f>SUM(K17:K19)</f>
      </c>
      <c r="L20" s="132">
        <f>SUM(L17:L19)</f>
      </c>
      <c r="M20" s="133">
        <f t="shared" si="606"/>
      </c>
      <c r="N20" s="134">
        <f t="shared" si="636"/>
      </c>
      <c r="O20" s="134">
        <f t="shared" si="546"/>
      </c>
      <c r="P20" s="135">
        <f t="shared" si="576"/>
      </c>
      <c r="Q20" s="135">
        <f t="shared" si="756"/>
      </c>
      <c r="R20" s="135">
        <f t="shared" si="786"/>
      </c>
      <c r="S20" s="136">
        <f t="shared" si="666"/>
      </c>
      <c r="T20" s="136">
        <f t="shared" si="696"/>
      </c>
      <c r="U20" s="135">
        <f t="shared" si="975"/>
      </c>
      <c r="V20" s="136">
        <f t="shared" si="726"/>
      </c>
      <c r="W20" s="136">
        <f t="shared" si="1005"/>
      </c>
      <c r="X20" s="135">
        <f t="shared" si="816"/>
      </c>
      <c r="Y20" s="132">
        <f>SUM(Y17:Y19)</f>
      </c>
      <c r="Z20" s="132">
        <f>SUM(Z17:Z19)</f>
      </c>
      <c r="AA20" s="132">
        <f>SUM(AA17:AA19)</f>
      </c>
      <c r="AB20" s="132">
        <f>SUM(AB17:AB19)</f>
      </c>
      <c r="AC20" s="132">
        <f>SUM(AC17:AC19)</f>
      </c>
      <c r="AD20" s="137">
        <f t="shared" si="0"/>
      </c>
      <c r="AE20" s="138"/>
      <c r="AF20" s="139"/>
      <c r="AG20" s="132">
        <f>SUM(AG17:AG19)</f>
      </c>
      <c r="AH20" s="132">
        <f>SUM(AH17:AH19)</f>
      </c>
      <c r="AI20" s="132">
        <f>SUM(AI17:AI19)</f>
      </c>
      <c r="AJ20" s="132">
        <f>SUM(AJ17:AJ19)</f>
      </c>
      <c r="AK20" s="132">
        <f>SUM(AK17:AK19)</f>
      </c>
      <c r="AL20" s="132">
        <f>SUM(AL17:AL19)</f>
      </c>
    </row>
    <row r="21">
      <c r="A21" s="108"/>
      <c r="B21" s="109" t="s">
        <v>143</v>
      </c>
      <c r="C21" s="141" t="s">
        <v>144</v>
      </c>
      <c r="D21" s="143">
        <f t="shared" ref="D21:D25" si="292">E21+F21+G21+H21</f>
      </c>
      <c r="E21" s="144">
        <v>750.93</v>
      </c>
      <c r="F21" s="145">
        <v>12822.61</v>
      </c>
      <c r="G21" s="146">
        <v>0</v>
      </c>
      <c r="H21" s="113">
        <v>0</v>
      </c>
      <c r="I21" s="113">
        <f t="shared" ref="I21:I25" si="421">AB21+AC21</f>
      </c>
      <c r="J21" s="114">
        <v>0</v>
      </c>
      <c r="K21" s="115">
        <f t="shared" ref="K21:K25" si="34">I21-J21</f>
      </c>
      <c r="L21" s="115">
        <f t="shared" ref="L21:L25" si="163">(I21-AC21)/12+AC21</f>
      </c>
      <c r="M21" s="116">
        <f t="shared" si="606"/>
      </c>
      <c r="N21" s="117">
        <f t="shared" si="636"/>
      </c>
      <c r="O21" s="118">
        <f t="shared" si="546"/>
      </c>
      <c r="P21" s="119">
        <f t="shared" si="576"/>
      </c>
      <c r="Q21" s="119">
        <f t="shared" si="756"/>
      </c>
      <c r="R21" s="119">
        <f t="shared" si="786"/>
      </c>
      <c r="S21" s="120">
        <f t="shared" si="666"/>
      </c>
      <c r="T21" s="121">
        <f t="shared" si="696"/>
      </c>
      <c r="U21" s="119">
        <f t="shared" si="975"/>
      </c>
      <c r="V21" s="122">
        <f t="shared" si="726"/>
      </c>
      <c r="W21" s="122">
        <f t="shared" si="1005"/>
      </c>
      <c r="X21" s="119">
        <f t="shared" si="816"/>
      </c>
      <c r="Y21" s="123">
        <f t="shared" ref="Y21:Y25" si="850">Z21+AA21</f>
      </c>
      <c r="Z21" s="123">
        <v>15</v>
      </c>
      <c r="AA21" s="123">
        <v>7</v>
      </c>
      <c r="AB21" s="124">
        <v>12940.560000000012</v>
      </c>
      <c r="AC21" s="124">
        <v>4375</v>
      </c>
      <c r="AD21" s="120">
        <f t="shared" si="0"/>
      </c>
      <c r="AE21" s="125" t="s">
        <v>136</v>
      </c>
      <c r="AF21" s="126" t="s">
        <v>137</v>
      </c>
      <c r="AG21" s="127">
        <v>6</v>
      </c>
      <c r="AH21" s="127">
        <v>196427</v>
      </c>
      <c r="AI21" s="128">
        <v>3037</v>
      </c>
      <c r="AJ21" s="128">
        <v>3006</v>
      </c>
      <c r="AK21" s="127">
        <v>340</v>
      </c>
      <c r="AL21" s="129">
        <v>391</v>
      </c>
    </row>
    <row r="22">
      <c r="A22" s="108"/>
      <c r="B22" s="109" t="s">
        <v>143</v>
      </c>
      <c r="C22" s="110" t="s">
        <v>145</v>
      </c>
      <c r="D22" s="143">
        <f t="shared" si="292"/>
      </c>
      <c r="E22" s="147">
        <v>1113.78</v>
      </c>
      <c r="F22" s="145">
        <v>11993.55</v>
      </c>
      <c r="G22" s="146">
        <v>0</v>
      </c>
      <c r="H22" s="113">
        <v>0</v>
      </c>
      <c r="I22" s="113">
        <f t="shared" si="421"/>
      </c>
      <c r="J22" s="114">
        <v>0</v>
      </c>
      <c r="K22" s="115">
        <f t="shared" si="34"/>
      </c>
      <c r="L22" s="115">
        <f t="shared" si="163"/>
      </c>
      <c r="M22" s="116">
        <f t="shared" si="606"/>
      </c>
      <c r="N22" s="117">
        <f t="shared" si="636"/>
      </c>
      <c r="O22" s="118">
        <f t="shared" si="546"/>
      </c>
      <c r="P22" s="119">
        <f t="shared" si="576"/>
      </c>
      <c r="Q22" s="119">
        <f t="shared" si="756"/>
      </c>
      <c r="R22" s="119">
        <f t="shared" si="786"/>
      </c>
      <c r="S22" s="120">
        <f t="shared" si="666"/>
      </c>
      <c r="T22" s="121">
        <f t="shared" si="696"/>
      </c>
      <c r="U22" s="119">
        <f t="shared" si="975"/>
      </c>
      <c r="V22" s="122">
        <f t="shared" si="726"/>
      </c>
      <c r="W22" s="122">
        <f t="shared" si="1005"/>
      </c>
      <c r="X22" s="119">
        <f t="shared" si="816"/>
      </c>
      <c r="Y22" s="123">
        <f t="shared" si="850"/>
      </c>
      <c r="Z22" s="123">
        <v>6</v>
      </c>
      <c r="AA22" s="123">
        <v>14</v>
      </c>
      <c r="AB22" s="124">
        <v>27721.199999999968</v>
      </c>
      <c r="AC22" s="124">
        <v>0</v>
      </c>
      <c r="AD22" s="120">
        <f t="shared" si="0"/>
      </c>
      <c r="AE22" s="125" t="s">
        <v>136</v>
      </c>
      <c r="AF22" s="126" t="s">
        <v>137</v>
      </c>
      <c r="AG22" s="127">
        <v>11</v>
      </c>
      <c r="AH22" s="128">
        <v>197604</v>
      </c>
      <c r="AI22" s="128">
        <v>2759</v>
      </c>
      <c r="AJ22" s="128">
        <v>2795</v>
      </c>
      <c r="AK22" s="129">
        <v>357</v>
      </c>
      <c r="AL22" s="129">
        <v>407</v>
      </c>
    </row>
    <row r="23">
      <c r="A23" s="108"/>
      <c r="B23" s="109" t="s">
        <v>143</v>
      </c>
      <c r="C23" s="141" t="s">
        <v>146</v>
      </c>
      <c r="D23" s="143">
        <f t="shared" si="292"/>
      </c>
      <c r="E23" s="147">
        <v>886.78</v>
      </c>
      <c r="F23" s="147">
        <v>10515.39</v>
      </c>
      <c r="G23" s="146">
        <v>0</v>
      </c>
      <c r="H23" s="113">
        <v>0</v>
      </c>
      <c r="I23" s="113">
        <f t="shared" si="421"/>
      </c>
      <c r="J23" s="114">
        <v>0</v>
      </c>
      <c r="K23" s="115">
        <f t="shared" si="34"/>
      </c>
      <c r="L23" s="115">
        <f t="shared" si="163"/>
      </c>
      <c r="M23" s="116">
        <f t="shared" si="606"/>
      </c>
      <c r="N23" s="117">
        <f t="shared" si="636"/>
      </c>
      <c r="O23" s="118">
        <f t="shared" si="546"/>
      </c>
      <c r="P23" s="119">
        <f t="shared" si="576"/>
      </c>
      <c r="Q23" s="119">
        <f t="shared" si="756"/>
      </c>
      <c r="R23" s="119">
        <f t="shared" si="786"/>
      </c>
      <c r="S23" s="120">
        <f t="shared" si="666"/>
      </c>
      <c r="T23" s="121">
        <f t="shared" si="696"/>
      </c>
      <c r="U23" s="119">
        <f t="shared" si="975"/>
      </c>
      <c r="V23" s="122">
        <f t="shared" si="726"/>
      </c>
      <c r="W23" s="122">
        <f t="shared" si="1005"/>
      </c>
      <c r="X23" s="119">
        <f t="shared" si="816"/>
      </c>
      <c r="Y23" s="123">
        <f t="shared" si="850"/>
      </c>
      <c r="Z23" s="123">
        <v>4</v>
      </c>
      <c r="AA23" s="123">
        <v>10</v>
      </c>
      <c r="AB23" s="124">
        <v>9831.240000000063</v>
      </c>
      <c r="AC23" s="124">
        <v>0</v>
      </c>
      <c r="AD23" s="120">
        <f t="shared" si="0"/>
      </c>
      <c r="AE23" s="125" t="s">
        <v>136</v>
      </c>
      <c r="AF23" s="126" t="s">
        <v>137</v>
      </c>
      <c r="AG23" s="129">
        <v>11</v>
      </c>
      <c r="AH23" s="128">
        <v>159351</v>
      </c>
      <c r="AI23" s="128">
        <v>2241</v>
      </c>
      <c r="AJ23" s="128">
        <v>2245</v>
      </c>
      <c r="AK23" s="129">
        <v>266</v>
      </c>
      <c r="AL23" s="129">
        <v>325</v>
      </c>
    </row>
    <row r="24">
      <c r="A24" s="108"/>
      <c r="B24" s="109" t="s">
        <v>143</v>
      </c>
      <c r="C24" s="110" t="s">
        <v>147</v>
      </c>
      <c r="D24" s="143">
        <f t="shared" si="292"/>
      </c>
      <c r="E24" s="147">
        <v>773.1</v>
      </c>
      <c r="F24" s="145">
        <v>9003.3</v>
      </c>
      <c r="G24" s="146">
        <v>0</v>
      </c>
      <c r="H24" s="113">
        <v>0</v>
      </c>
      <c r="I24" s="113">
        <f t="shared" si="421"/>
      </c>
      <c r="J24" s="114">
        <v>0</v>
      </c>
      <c r="K24" s="115">
        <f t="shared" si="34"/>
      </c>
      <c r="L24" s="115">
        <f t="shared" si="163"/>
      </c>
      <c r="M24" s="116">
        <f t="shared" si="606"/>
      </c>
      <c r="N24" s="117">
        <f t="shared" si="636"/>
      </c>
      <c r="O24" s="118">
        <f t="shared" si="546"/>
      </c>
      <c r="P24" s="119">
        <f t="shared" si="576"/>
      </c>
      <c r="Q24" s="119">
        <f t="shared" si="756"/>
      </c>
      <c r="R24" s="119">
        <f t="shared" si="786"/>
      </c>
      <c r="S24" s="120">
        <f t="shared" si="666"/>
      </c>
      <c r="T24" s="121">
        <f t="shared" si="696"/>
      </c>
      <c r="U24" s="119">
        <f t="shared" si="975"/>
      </c>
      <c r="V24" s="122">
        <f t="shared" si="726"/>
      </c>
      <c r="W24" s="122">
        <f t="shared" si="1005"/>
      </c>
      <c r="X24" s="119">
        <f t="shared" si="816"/>
      </c>
      <c r="Y24" s="123">
        <f t="shared" si="850"/>
      </c>
      <c r="Z24" s="123">
        <v>8</v>
      </c>
      <c r="AA24" s="123">
        <v>7</v>
      </c>
      <c r="AB24" s="124">
        <v>7383.36</v>
      </c>
      <c r="AC24" s="124">
        <v>1238</v>
      </c>
      <c r="AD24" s="120">
        <f t="shared" si="0"/>
      </c>
      <c r="AE24" s="125" t="s">
        <v>136</v>
      </c>
      <c r="AF24" s="126" t="s">
        <v>137</v>
      </c>
      <c r="AG24" s="127">
        <v>5</v>
      </c>
      <c r="AH24" s="128">
        <v>130524</v>
      </c>
      <c r="AI24" s="128">
        <v>2324</v>
      </c>
      <c r="AJ24" s="128">
        <v>2437</v>
      </c>
      <c r="AK24" s="129">
        <v>228</v>
      </c>
      <c r="AL24" s="129">
        <v>293</v>
      </c>
    </row>
    <row r="25">
      <c r="A25" s="108"/>
      <c r="B25" s="109" t="s">
        <v>143</v>
      </c>
      <c r="C25" s="110" t="s">
        <v>148</v>
      </c>
      <c r="D25" s="143">
        <f t="shared" si="292"/>
      </c>
      <c r="E25" s="144">
        <v>379.31</v>
      </c>
      <c r="F25" s="145">
        <v>1643.69</v>
      </c>
      <c r="G25" s="146">
        <v>0</v>
      </c>
      <c r="H25" s="113">
        <v>0</v>
      </c>
      <c r="I25" s="113">
        <f t="shared" si="421"/>
      </c>
      <c r="J25" s="114">
        <v>0</v>
      </c>
      <c r="K25" s="115">
        <f t="shared" si="34"/>
      </c>
      <c r="L25" s="115">
        <f t="shared" si="163"/>
      </c>
      <c r="M25" s="116">
        <f t="shared" si="606"/>
      </c>
      <c r="N25" s="117">
        <f t="shared" si="636"/>
      </c>
      <c r="O25" s="118">
        <f t="shared" si="546"/>
      </c>
      <c r="P25" s="119">
        <f t="shared" si="576"/>
      </c>
      <c r="Q25" s="119">
        <f t="shared" si="756"/>
      </c>
      <c r="R25" s="119">
        <f t="shared" si="786"/>
      </c>
      <c r="S25" s="120">
        <f t="shared" si="666"/>
      </c>
      <c r="T25" s="121">
        <f t="shared" si="696"/>
      </c>
      <c r="U25" s="119">
        <f t="shared" si="975"/>
      </c>
      <c r="V25" s="122">
        <f t="shared" si="726"/>
      </c>
      <c r="W25" s="122">
        <f t="shared" si="1005"/>
      </c>
      <c r="X25" s="119">
        <f t="shared" si="816"/>
      </c>
      <c r="Y25" s="123">
        <f t="shared" si="850"/>
      </c>
      <c r="Z25" s="123">
        <v>2</v>
      </c>
      <c r="AA25" s="123">
        <v>4</v>
      </c>
      <c r="AB25" s="124">
        <v>6120.36</v>
      </c>
      <c r="AC25" s="124">
        <v>0</v>
      </c>
      <c r="AD25" s="120">
        <f t="shared" si="0"/>
      </c>
      <c r="AE25" s="125" t="s">
        <v>136</v>
      </c>
      <c r="AF25" s="126" t="s">
        <v>137</v>
      </c>
      <c r="AG25" s="127">
        <v>3</v>
      </c>
      <c r="AH25" s="128">
        <v>23198</v>
      </c>
      <c r="AI25" s="128">
        <v>802</v>
      </c>
      <c r="AJ25" s="128">
        <v>877</v>
      </c>
      <c r="AK25" s="127">
        <v>70</v>
      </c>
      <c r="AL25" s="127">
        <v>73</v>
      </c>
    </row>
    <row r="26">
      <c r="A26" s="108"/>
      <c r="B26" s="130" t="s">
        <v>127</v>
      </c>
      <c r="C26" s="131">
        <v>5</v>
      </c>
      <c r="D26" s="132">
        <f>SUM(D21:D25)</f>
      </c>
      <c r="E26" s="148">
        <f>SUM(E21:E25)</f>
      </c>
      <c r="F26" s="148">
        <f>SUM(F21:F25)</f>
      </c>
      <c r="G26" s="132">
        <f>SUM(G21:G25)</f>
      </c>
      <c r="H26" s="132">
        <f>SUM(H21:H25)</f>
      </c>
      <c r="I26" s="132">
        <f>SUM(I21:I25)</f>
      </c>
      <c r="J26" s="132">
        <f>SUM(J21:J25)</f>
      </c>
      <c r="K26" s="132">
        <f>SUM(K21:K25)</f>
      </c>
      <c r="L26" s="132">
        <f>SUM(L21:L25)</f>
      </c>
      <c r="M26" s="133">
        <f t="shared" si="606"/>
      </c>
      <c r="N26" s="134">
        <f t="shared" si="636"/>
      </c>
      <c r="O26" s="134">
        <f t="shared" si="546"/>
      </c>
      <c r="P26" s="135">
        <f t="shared" si="576"/>
      </c>
      <c r="Q26" s="135">
        <f t="shared" si="756"/>
      </c>
      <c r="R26" s="135">
        <f t="shared" si="786"/>
      </c>
      <c r="S26" s="136">
        <f t="shared" si="666"/>
      </c>
      <c r="T26" s="136">
        <f t="shared" si="696"/>
      </c>
      <c r="U26" s="135">
        <f t="shared" si="975"/>
      </c>
      <c r="V26" s="136">
        <f t="shared" si="726"/>
      </c>
      <c r="W26" s="136">
        <f t="shared" si="1005"/>
      </c>
      <c r="X26" s="135">
        <f t="shared" si="816"/>
      </c>
      <c r="Y26" s="132">
        <f>SUM(Y21:Y25)</f>
      </c>
      <c r="Z26" s="132">
        <f>SUM(Z21:Z25)</f>
      </c>
      <c r="AA26" s="132">
        <f>SUM(AA21:AA25)</f>
      </c>
      <c r="AB26" s="132">
        <f>SUM(AB21:AB25)</f>
      </c>
      <c r="AC26" s="149">
        <f>SUM(AC21:AC25)</f>
      </c>
      <c r="AD26" s="150">
        <f t="shared" si="0"/>
      </c>
      <c r="AE26" s="151"/>
      <c r="AF26" s="139"/>
      <c r="AG26" s="132">
        <f>SUM(AG21:AG25)</f>
      </c>
      <c r="AH26" s="132">
        <f>SUM(AH21:AH25)</f>
      </c>
      <c r="AI26" s="132">
        <f>SUM(AI21:AI25)</f>
      </c>
      <c r="AJ26" s="132">
        <f>SUM(AJ21:AJ25)</f>
      </c>
      <c r="AK26" s="132">
        <f>SUM(AK21:AK25)</f>
      </c>
      <c r="AL26" s="132">
        <f>SUM(AL21:AL25)</f>
      </c>
    </row>
    <row r="27">
      <c r="A27" s="108"/>
      <c r="B27" s="152" t="s">
        <v>127</v>
      </c>
      <c r="C27" s="153">
        <f>C7+C12+C20+C26+C16</f>
      </c>
      <c r="D27" s="153">
        <f>D7+D12+D20+D26+D16</f>
      </c>
      <c r="E27" s="153">
        <f>E7+E12+E20+E26+E16</f>
      </c>
      <c r="F27" s="153">
        <f>F7+F12+F20+F26+F16</f>
      </c>
      <c r="G27" s="153">
        <f>G7+G12+G20+G26+G16</f>
      </c>
      <c r="H27" s="153">
        <f>H7+H12+H20+H26+H16</f>
      </c>
      <c r="I27" s="153">
        <f>I7+I12+I20+I26+I16</f>
      </c>
      <c r="J27" s="153">
        <f>J7+J12+J20+J26+J16</f>
      </c>
      <c r="K27" s="153">
        <f>K7+K12+K20+K26+K16</f>
      </c>
      <c r="L27" s="153">
        <f>L7+L12+L20+L26+L16</f>
      </c>
      <c r="M27" s="154">
        <f t="shared" si="606"/>
      </c>
      <c r="N27" s="154">
        <f t="shared" si="636"/>
      </c>
      <c r="O27" s="154">
        <f t="shared" si="546"/>
      </c>
      <c r="P27" s="154">
        <f t="shared" si="576"/>
      </c>
      <c r="Q27" s="154">
        <f t="shared" si="756"/>
      </c>
      <c r="R27" s="154">
        <f t="shared" si="786"/>
      </c>
      <c r="S27" s="155">
        <f t="shared" si="666"/>
      </c>
      <c r="T27" s="155">
        <f t="shared" si="696"/>
      </c>
      <c r="U27" s="154">
        <f t="shared" si="975"/>
      </c>
      <c r="V27" s="155">
        <f t="shared" si="726"/>
      </c>
      <c r="W27" s="155">
        <f t="shared" si="1005"/>
      </c>
      <c r="X27" s="154">
        <f t="shared" si="816"/>
      </c>
      <c r="Y27" s="156">
        <f>Y7+Y12+Y20+Y26+Y16</f>
      </c>
      <c r="Z27" s="156">
        <f>Z7+Z12+Z20+Z26+Z16</f>
      </c>
      <c r="AA27" s="156">
        <f>AA7+AA12+AA20+AA26+AA16</f>
      </c>
      <c r="AB27" s="156">
        <f>AB7+AB12+AB20+AB26+AB16</f>
      </c>
      <c r="AC27" s="156">
        <f>AC7+AC12+AC20+AC26+AC16</f>
      </c>
      <c r="AD27" s="157">
        <f t="shared" si="0"/>
      </c>
      <c r="AE27" s="158"/>
      <c r="AF27" s="159"/>
      <c r="AG27" s="153">
        <f>AG7+AG12+AG20+AG26+AG16</f>
      </c>
      <c r="AH27" s="153">
        <f>AH7+AH12+AH20+AH26+AH16</f>
      </c>
      <c r="AI27" s="153">
        <f>AI7+AI12+AI20+AI26+AI16</f>
      </c>
      <c r="AJ27" s="153">
        <f>AJ7+AJ12+AJ20+AJ26+AJ16</f>
      </c>
      <c r="AK27" s="153">
        <f>AK7+AK12+AK20+AK26+AK16</f>
      </c>
      <c r="AL27" s="153">
        <f>AL7+AL12+AL20+AL26+AL16</f>
      </c>
    </row>
    <row r="28">
      <c r="A28" s="94" t="s">
        <v>81</v>
      </c>
      <c r="B28" s="95" t="s">
        <v>82</v>
      </c>
      <c r="C28" s="95" t="s">
        <v>83</v>
      </c>
      <c r="D28" s="96" t="s">
        <v>84</v>
      </c>
      <c r="E28" s="95" t="s">
        <v>85</v>
      </c>
      <c r="F28" s="95" t="s">
        <v>86</v>
      </c>
      <c r="G28" s="97" t="s">
        <v>87</v>
      </c>
      <c r="H28" s="97" t="s">
        <v>88</v>
      </c>
      <c r="I28" s="96" t="s">
        <v>89</v>
      </c>
      <c r="J28" s="98" t="s">
        <v>90</v>
      </c>
      <c r="K28" s="99" t="s">
        <v>91</v>
      </c>
      <c r="L28" s="99" t="s">
        <v>92</v>
      </c>
      <c r="M28" s="100" t="s">
        <v>93</v>
      </c>
      <c r="N28" s="99" t="s">
        <v>94</v>
      </c>
      <c r="O28" s="95" t="s">
        <v>95</v>
      </c>
      <c r="P28" s="100" t="s">
        <v>96</v>
      </c>
      <c r="Q28" s="101" t="s">
        <v>97</v>
      </c>
      <c r="R28" s="101" t="s">
        <v>98</v>
      </c>
      <c r="S28" s="96" t="s">
        <v>99</v>
      </c>
      <c r="T28" s="102" t="s">
        <v>100</v>
      </c>
      <c r="U28" s="100" t="s">
        <v>101</v>
      </c>
      <c r="V28" s="103" t="s">
        <v>102</v>
      </c>
      <c r="W28" s="104" t="s">
        <v>103</v>
      </c>
      <c r="X28" s="100" t="s">
        <v>104</v>
      </c>
      <c r="Y28" s="105" t="s">
        <v>105</v>
      </c>
      <c r="Z28" s="106" t="s">
        <v>106</v>
      </c>
      <c r="AA28" s="105" t="s">
        <v>107</v>
      </c>
      <c r="AB28" s="107" t="s">
        <v>108</v>
      </c>
      <c r="AC28" s="107" t="s">
        <v>109</v>
      </c>
      <c r="AD28" s="99" t="s">
        <v>110</v>
      </c>
      <c r="AE28" s="98" t="s">
        <v>111</v>
      </c>
      <c r="AF28" s="99" t="s">
        <v>112</v>
      </c>
      <c r="AG28" s="98" t="s">
        <v>113</v>
      </c>
      <c r="AH28" s="98" t="s">
        <v>114</v>
      </c>
      <c r="AI28" s="99" t="s">
        <v>115</v>
      </c>
      <c r="AJ28" s="98" t="s">
        <v>116</v>
      </c>
      <c r="AK28" s="99" t="s">
        <v>117</v>
      </c>
      <c r="AL28" s="98" t="s">
        <v>118</v>
      </c>
    </row>
    <row r="29">
      <c r="A29" s="108">
        <v>46267</v>
      </c>
      <c r="B29" s="109" t="s">
        <v>119</v>
      </c>
      <c r="C29" s="110" t="s">
        <v>120</v>
      </c>
      <c r="D29" s="111">
        <f t="shared" ref="D29:D33" si="293">E29+F29+G29+H29</f>
      </c>
      <c r="E29" s="112">
        <v>1052.24</v>
      </c>
      <c r="F29" s="113">
        <v>6841.11</v>
      </c>
      <c r="G29" s="113">
        <v>0</v>
      </c>
      <c r="H29" s="113">
        <v>0</v>
      </c>
      <c r="I29" s="113">
        <f t="shared" ref="I29:I33" si="422">AB29+AC29</f>
      </c>
      <c r="J29" s="114">
        <f>1735.56+2464.56</f>
      </c>
      <c r="K29" s="115">
        <f t="shared" ref="K29:K33" si="35">I29-J29</f>
      </c>
      <c r="L29" s="115">
        <f t="shared" ref="L29:L33" si="164">(I29-AC29)/12+AC29</f>
      </c>
      <c r="M29" s="116">
        <f t="shared" ref="M29:M54" si="607">I29/D29</f>
      </c>
      <c r="N29" s="117">
        <f t="shared" ref="N29:N54" si="637">(I29-J29)/D29</f>
      </c>
      <c r="O29" s="118">
        <f t="shared" ref="O29:O54" si="547">(AC29+AB29/12)/D29</f>
      </c>
      <c r="P29" s="119">
        <f t="shared" ref="P29:P54" si="577">I29/AA29</f>
      </c>
      <c r="Q29" s="119">
        <f t="shared" ref="Q29:Q54" si="757">D29/AA29</f>
      </c>
      <c r="R29" s="119">
        <f t="shared" ref="R29:R54" si="787">D29/AG29</f>
      </c>
      <c r="S29" s="120">
        <f t="shared" ref="S29:S54" si="667">AA29/Y29</f>
      </c>
      <c r="T29" s="121">
        <f t="shared" ref="T29:T54" si="697">AI29/AH29</f>
      </c>
      <c r="U29" s="119">
        <f t="shared" ref="U29:U54" si="976">D29/AJ29</f>
      </c>
      <c r="V29" s="122">
        <f t="shared" ref="V29:V54" si="727">AK29/AJ29</f>
      </c>
      <c r="W29" s="122">
        <f t="shared" ref="W29:W54" si="1006">AL29/AJ29</f>
      </c>
      <c r="X29" s="119">
        <f t="shared" ref="X29:X54" si="817">D29/AL29</f>
      </c>
      <c r="Y29" s="123">
        <f t="shared" ref="Y29:Y33" si="851">Z29+AA29</f>
      </c>
      <c r="Z29" s="123">
        <v>7</v>
      </c>
      <c r="AA29" s="123">
        <v>5</v>
      </c>
      <c r="AB29" s="124">
        <v>10294.320000000002</v>
      </c>
      <c r="AC29" s="124">
        <v>0</v>
      </c>
      <c r="AD29" s="120">
        <f t="shared" ref="AD29:AD54" si="1">AC29/I29</f>
      </c>
      <c r="AE29" s="125" t="s">
        <v>121</v>
      </c>
      <c r="AF29" s="126" t="s">
        <v>122</v>
      </c>
      <c r="AG29" s="127">
        <v>4</v>
      </c>
      <c r="AH29" s="127">
        <v>72229</v>
      </c>
      <c r="AI29" s="128">
        <v>2583</v>
      </c>
      <c r="AJ29" s="128">
        <v>2680</v>
      </c>
      <c r="AK29" s="127">
        <v>295</v>
      </c>
      <c r="AL29" s="129">
        <v>282</v>
      </c>
    </row>
    <row r="30">
      <c r="A30" s="108"/>
      <c r="B30" s="109" t="s">
        <v>119</v>
      </c>
      <c r="C30" s="110" t="s">
        <v>123</v>
      </c>
      <c r="D30" s="111">
        <f t="shared" si="293"/>
      </c>
      <c r="E30" s="110">
        <v>902.03</v>
      </c>
      <c r="F30" s="113">
        <v>9115.92</v>
      </c>
      <c r="G30" s="113">
        <v>0</v>
      </c>
      <c r="H30" s="113">
        <v>0</v>
      </c>
      <c r="I30" s="113">
        <f t="shared" si="422"/>
      </c>
      <c r="J30" s="114">
        <f>1871.64+1541.16+1474.32+3191.95</f>
      </c>
      <c r="K30" s="115">
        <f t="shared" si="35"/>
      </c>
      <c r="L30" s="115">
        <f t="shared" si="164"/>
      </c>
      <c r="M30" s="116">
        <f t="shared" si="607"/>
      </c>
      <c r="N30" s="117">
        <f t="shared" si="637"/>
      </c>
      <c r="O30" s="118">
        <f t="shared" si="547"/>
      </c>
      <c r="P30" s="119">
        <f t="shared" si="577"/>
      </c>
      <c r="Q30" s="119">
        <f t="shared" si="757"/>
      </c>
      <c r="R30" s="119">
        <f t="shared" si="787"/>
      </c>
      <c r="S30" s="120">
        <f t="shared" si="667"/>
      </c>
      <c r="T30" s="121">
        <f t="shared" si="697"/>
      </c>
      <c r="U30" s="119">
        <f t="shared" si="976"/>
      </c>
      <c r="V30" s="122">
        <f t="shared" si="727"/>
      </c>
      <c r="W30" s="122">
        <f t="shared" si="1006"/>
      </c>
      <c r="X30" s="119">
        <f t="shared" si="817"/>
      </c>
      <c r="Y30" s="123">
        <f t="shared" si="851"/>
      </c>
      <c r="Z30" s="123">
        <v>6</v>
      </c>
      <c r="AA30" s="123">
        <v>12</v>
      </c>
      <c r="AB30" s="124">
        <v>17783.64</v>
      </c>
      <c r="AC30" s="124">
        <v>3191.95</v>
      </c>
      <c r="AD30" s="120">
        <f t="shared" si="1"/>
      </c>
      <c r="AE30" s="125" t="s">
        <v>121</v>
      </c>
      <c r="AF30" s="126" t="s">
        <v>122</v>
      </c>
      <c r="AG30" s="127">
        <v>11</v>
      </c>
      <c r="AH30" s="128">
        <v>110027</v>
      </c>
      <c r="AI30" s="128">
        <v>1966</v>
      </c>
      <c r="AJ30" s="128">
        <v>2085</v>
      </c>
      <c r="AK30" s="129">
        <v>303</v>
      </c>
      <c r="AL30" s="129">
        <v>300</v>
      </c>
    </row>
    <row r="31">
      <c r="A31" s="108"/>
      <c r="B31" s="109" t="s">
        <v>119</v>
      </c>
      <c r="C31" s="110" t="s">
        <v>124</v>
      </c>
      <c r="D31" s="111">
        <f t="shared" si="293"/>
      </c>
      <c r="E31" s="110">
        <v>539.7</v>
      </c>
      <c r="F31" s="110">
        <v>6142.38</v>
      </c>
      <c r="G31" s="113">
        <v>0</v>
      </c>
      <c r="H31" s="113">
        <v>0</v>
      </c>
      <c r="I31" s="113">
        <f t="shared" si="422"/>
      </c>
      <c r="J31" s="114">
        <f>3110.4+405</f>
      </c>
      <c r="K31" s="115">
        <f t="shared" si="35"/>
      </c>
      <c r="L31" s="115">
        <f t="shared" si="164"/>
      </c>
      <c r="M31" s="116">
        <f t="shared" si="607"/>
      </c>
      <c r="N31" s="117">
        <f t="shared" si="637"/>
      </c>
      <c r="O31" s="118">
        <f t="shared" si="547"/>
      </c>
      <c r="P31" s="119">
        <f t="shared" si="577"/>
      </c>
      <c r="Q31" s="119">
        <f t="shared" si="757"/>
      </c>
      <c r="R31" s="119">
        <f t="shared" si="787"/>
      </c>
      <c r="S31" s="120">
        <f t="shared" si="667"/>
      </c>
      <c r="T31" s="121">
        <f t="shared" si="697"/>
      </c>
      <c r="U31" s="119">
        <f t="shared" si="976"/>
      </c>
      <c r="V31" s="122">
        <f t="shared" si="727"/>
      </c>
      <c r="W31" s="122">
        <f t="shared" si="1006"/>
      </c>
      <c r="X31" s="119">
        <f t="shared" si="817"/>
      </c>
      <c r="Y31" s="123">
        <f t="shared" si="851"/>
      </c>
      <c r="Z31" s="123">
        <v>7</v>
      </c>
      <c r="AA31" s="123">
        <v>5</v>
      </c>
      <c r="AB31" s="124">
        <v>5593.3200000000015</v>
      </c>
      <c r="AC31" s="124">
        <v>381</v>
      </c>
      <c r="AD31" s="120">
        <f t="shared" si="1"/>
      </c>
      <c r="AE31" s="125" t="s">
        <v>121</v>
      </c>
      <c r="AF31" s="126" t="s">
        <v>122</v>
      </c>
      <c r="AG31" s="129">
        <v>5</v>
      </c>
      <c r="AH31" s="128">
        <v>64236</v>
      </c>
      <c r="AI31" s="128">
        <v>1187</v>
      </c>
      <c r="AJ31" s="128">
        <v>1291</v>
      </c>
      <c r="AK31" s="129">
        <v>196</v>
      </c>
      <c r="AL31" s="129">
        <v>210</v>
      </c>
    </row>
    <row r="32">
      <c r="A32" s="108"/>
      <c r="B32" s="109" t="s">
        <v>119</v>
      </c>
      <c r="C32" s="110" t="s">
        <v>125</v>
      </c>
      <c r="D32" s="111">
        <f t="shared" si="293"/>
      </c>
      <c r="E32" s="110">
        <v>639.4</v>
      </c>
      <c r="F32" s="113">
        <v>6771.26</v>
      </c>
      <c r="G32" s="113">
        <v>0</v>
      </c>
      <c r="H32" s="113">
        <v>0</v>
      </c>
      <c r="I32" s="113">
        <f t="shared" si="422"/>
      </c>
      <c r="J32" s="114">
        <v>0</v>
      </c>
      <c r="K32" s="115">
        <f t="shared" si="35"/>
      </c>
      <c r="L32" s="115">
        <f t="shared" si="164"/>
      </c>
      <c r="M32" s="116">
        <f t="shared" si="607"/>
      </c>
      <c r="N32" s="117">
        <f t="shared" si="637"/>
      </c>
      <c r="O32" s="118">
        <f t="shared" si="547"/>
      </c>
      <c r="P32" s="119">
        <f t="shared" si="577"/>
      </c>
      <c r="Q32" s="119">
        <f t="shared" si="757"/>
      </c>
      <c r="R32" s="119">
        <f t="shared" si="787"/>
      </c>
      <c r="S32" s="120">
        <f t="shared" si="667"/>
      </c>
      <c r="T32" s="121">
        <f t="shared" si="697"/>
      </c>
      <c r="U32" s="119">
        <f t="shared" si="976"/>
      </c>
      <c r="V32" s="122">
        <f t="shared" si="727"/>
      </c>
      <c r="W32" s="122">
        <f t="shared" si="1006"/>
      </c>
      <c r="X32" s="119">
        <f t="shared" si="817"/>
      </c>
      <c r="Y32" s="123">
        <f t="shared" si="851"/>
      </c>
      <c r="Z32" s="123">
        <v>3</v>
      </c>
      <c r="AA32" s="123">
        <v>4</v>
      </c>
      <c r="AB32" s="124">
        <v>6982.199999999999</v>
      </c>
      <c r="AC32" s="124">
        <v>0</v>
      </c>
      <c r="AD32" s="120">
        <f t="shared" si="1"/>
      </c>
      <c r="AE32" s="125" t="s">
        <v>121</v>
      </c>
      <c r="AF32" s="126" t="s">
        <v>122</v>
      </c>
      <c r="AG32" s="127">
        <v>4</v>
      </c>
      <c r="AH32" s="128">
        <v>62747</v>
      </c>
      <c r="AI32" s="128">
        <v>1048</v>
      </c>
      <c r="AJ32" s="128">
        <v>1101</v>
      </c>
      <c r="AK32" s="129">
        <v>169</v>
      </c>
      <c r="AL32" s="129">
        <v>187</v>
      </c>
    </row>
    <row r="33">
      <c r="A33" s="108"/>
      <c r="B33" s="109" t="s">
        <v>119</v>
      </c>
      <c r="C33" s="110" t="s">
        <v>126</v>
      </c>
      <c r="D33" s="111">
        <f t="shared" si="293"/>
      </c>
      <c r="E33" s="112">
        <v>855.67</v>
      </c>
      <c r="F33" s="113">
        <v>5641.62</v>
      </c>
      <c r="G33" s="113">
        <v>0</v>
      </c>
      <c r="H33" s="113">
        <v>0</v>
      </c>
      <c r="I33" s="113">
        <f t="shared" si="422"/>
      </c>
      <c r="J33" s="114">
        <v>534.6</v>
      </c>
      <c r="K33" s="115">
        <f t="shared" si="35"/>
      </c>
      <c r="L33" s="115">
        <f t="shared" si="164"/>
      </c>
      <c r="M33" s="116">
        <f t="shared" si="607"/>
      </c>
      <c r="N33" s="117">
        <f t="shared" si="637"/>
      </c>
      <c r="O33" s="118">
        <f t="shared" si="547"/>
      </c>
      <c r="P33" s="119">
        <f t="shared" si="577"/>
      </c>
      <c r="Q33" s="119">
        <f t="shared" si="757"/>
      </c>
      <c r="R33" s="119">
        <f t="shared" si="787"/>
      </c>
      <c r="S33" s="120">
        <f t="shared" si="667"/>
      </c>
      <c r="T33" s="121">
        <f t="shared" si="697"/>
      </c>
      <c r="U33" s="119">
        <f t="shared" si="976"/>
      </c>
      <c r="V33" s="122">
        <f t="shared" si="727"/>
      </c>
      <c r="W33" s="122">
        <f t="shared" si="1006"/>
      </c>
      <c r="X33" s="119">
        <f t="shared" si="817"/>
      </c>
      <c r="Y33" s="123">
        <f t="shared" si="851"/>
      </c>
      <c r="Z33" s="123">
        <v>4</v>
      </c>
      <c r="AA33" s="123">
        <v>5</v>
      </c>
      <c r="AB33" s="124">
        <v>2209.680000000002</v>
      </c>
      <c r="AC33" s="124">
        <v>1116</v>
      </c>
      <c r="AD33" s="120">
        <f t="shared" si="1"/>
      </c>
      <c r="AE33" s="125" t="s">
        <v>121</v>
      </c>
      <c r="AF33" s="126" t="s">
        <v>122</v>
      </c>
      <c r="AG33" s="127">
        <v>3</v>
      </c>
      <c r="AH33" s="128">
        <v>56704</v>
      </c>
      <c r="AI33" s="128">
        <v>951</v>
      </c>
      <c r="AJ33" s="128">
        <v>1044</v>
      </c>
      <c r="AK33" s="127">
        <v>142</v>
      </c>
      <c r="AL33" s="127">
        <v>169</v>
      </c>
    </row>
    <row r="34">
      <c r="A34" s="108"/>
      <c r="B34" s="130" t="s">
        <v>127</v>
      </c>
      <c r="C34" s="131">
        <v>5</v>
      </c>
      <c r="D34" s="132">
        <f>SUM(D29:D33)</f>
      </c>
      <c r="E34" s="132">
        <f>SUM(E29:E33)</f>
      </c>
      <c r="F34" s="132">
        <f>SUM(F29:F33)</f>
      </c>
      <c r="G34" s="132">
        <f>SUM(G29:G33)</f>
      </c>
      <c r="H34" s="132">
        <f>SUM(H29:H33)</f>
      </c>
      <c r="I34" s="132">
        <f>SUM(I29:I33)</f>
      </c>
      <c r="J34" s="132">
        <f>SUM(J29:J33)</f>
      </c>
      <c r="K34" s="132">
        <f>SUM(K29:K33)</f>
      </c>
      <c r="L34" s="132">
        <f>SUM(L29:L33)</f>
      </c>
      <c r="M34" s="133">
        <f t="shared" si="607"/>
      </c>
      <c r="N34" s="134">
        <f t="shared" si="637"/>
      </c>
      <c r="O34" s="134">
        <f t="shared" si="547"/>
      </c>
      <c r="P34" s="135">
        <f t="shared" si="577"/>
      </c>
      <c r="Q34" s="135">
        <f t="shared" si="757"/>
      </c>
      <c r="R34" s="135">
        <f t="shared" si="787"/>
      </c>
      <c r="S34" s="136">
        <f t="shared" si="667"/>
      </c>
      <c r="T34" s="136">
        <f t="shared" si="697"/>
      </c>
      <c r="U34" s="135">
        <f t="shared" si="976"/>
      </c>
      <c r="V34" s="136">
        <f t="shared" si="727"/>
      </c>
      <c r="W34" s="136">
        <f t="shared" si="1006"/>
      </c>
      <c r="X34" s="135">
        <f t="shared" si="817"/>
      </c>
      <c r="Y34" s="132">
        <f>SUM(Y29:Y33)</f>
      </c>
      <c r="Z34" s="132">
        <f>SUM(Z29:Z33)</f>
      </c>
      <c r="AA34" s="132">
        <f>SUM(AA29:AA33)</f>
      </c>
      <c r="AB34" s="132">
        <f>SUM(AB29:AB33)</f>
      </c>
      <c r="AC34" s="132">
        <f>SUM(AC29:AC33)</f>
      </c>
      <c r="AD34" s="137">
        <f t="shared" si="1"/>
      </c>
      <c r="AE34" s="138"/>
      <c r="AF34" s="139"/>
      <c r="AG34" s="132">
        <f>SUM(AG29:AG33)</f>
      </c>
      <c r="AH34" s="132">
        <f>SUM(AH29:AH33)</f>
      </c>
      <c r="AI34" s="132">
        <f>SUM(AI29:AI33)</f>
      </c>
      <c r="AJ34" s="132">
        <f>SUM(AJ29:AJ33)</f>
      </c>
      <c r="AK34" s="132">
        <f>SUM(AK29:AK33)</f>
      </c>
      <c r="AL34" s="132">
        <f>SUM(AL29:AL33)</f>
      </c>
    </row>
    <row r="35">
      <c r="A35" s="108"/>
      <c r="B35" s="109" t="s">
        <v>128</v>
      </c>
      <c r="C35" s="110" t="s">
        <v>129</v>
      </c>
      <c r="D35" s="111">
        <f t="shared" ref="D35:D38" si="294">E35+F35+G35+H35</f>
      </c>
      <c r="E35" s="110">
        <v>797.94</v>
      </c>
      <c r="F35" s="113">
        <v>8415.9</v>
      </c>
      <c r="G35" s="113">
        <v>0</v>
      </c>
      <c r="H35" s="113">
        <v>0</v>
      </c>
      <c r="I35" s="113">
        <f t="shared" ref="I35:I38" si="423">AB35+AC35</f>
      </c>
      <c r="J35" s="114">
        <v>0</v>
      </c>
      <c r="K35" s="115">
        <f t="shared" ref="K35:K38" si="36">I35-J35</f>
      </c>
      <c r="L35" s="115">
        <f t="shared" ref="L35:L38" si="165">(I35-AC35)/12+AC35</f>
      </c>
      <c r="M35" s="116">
        <f t="shared" si="607"/>
      </c>
      <c r="N35" s="117">
        <f t="shared" si="637"/>
      </c>
      <c r="O35" s="118">
        <f t="shared" si="547"/>
      </c>
      <c r="P35" s="119">
        <f t="shared" si="577"/>
      </c>
      <c r="Q35" s="119">
        <f t="shared" si="757"/>
      </c>
      <c r="R35" s="119">
        <f t="shared" si="787"/>
      </c>
      <c r="S35" s="120">
        <f t="shared" si="667"/>
      </c>
      <c r="T35" s="121">
        <f t="shared" si="697"/>
      </c>
      <c r="U35" s="119">
        <f t="shared" si="976"/>
      </c>
      <c r="V35" s="122">
        <f t="shared" si="727"/>
      </c>
      <c r="W35" s="122">
        <f t="shared" si="1006"/>
      </c>
      <c r="X35" s="119">
        <f t="shared" si="817"/>
      </c>
      <c r="Y35" s="123">
        <f t="shared" ref="Y35:Y38" si="852">Z35+AA35</f>
      </c>
      <c r="Z35" s="123">
        <v>2</v>
      </c>
      <c r="AA35" s="123">
        <v>5</v>
      </c>
      <c r="AB35" s="124">
        <v>5670.000000000002</v>
      </c>
      <c r="AC35" s="124">
        <v>2523.000000000001</v>
      </c>
      <c r="AD35" s="120">
        <f t="shared" si="1"/>
      </c>
      <c r="AE35" s="125" t="s">
        <v>121</v>
      </c>
      <c r="AF35" s="126" t="s">
        <v>122</v>
      </c>
      <c r="AG35" s="127">
        <v>5</v>
      </c>
      <c r="AH35" s="128">
        <v>85807</v>
      </c>
      <c r="AI35" s="128">
        <v>1163</v>
      </c>
      <c r="AJ35" s="128">
        <v>1190</v>
      </c>
      <c r="AK35" s="127">
        <v>190</v>
      </c>
      <c r="AL35" s="127">
        <v>243</v>
      </c>
    </row>
    <row r="36">
      <c r="A36" s="108"/>
      <c r="B36" s="109" t="s">
        <v>128</v>
      </c>
      <c r="C36" s="110" t="s">
        <v>130</v>
      </c>
      <c r="D36" s="111">
        <f t="shared" si="294"/>
      </c>
      <c r="E36" s="110">
        <v>567.19</v>
      </c>
      <c r="F36" s="113">
        <v>10386.03</v>
      </c>
      <c r="G36" s="113">
        <v>0</v>
      </c>
      <c r="H36" s="113">
        <v>0</v>
      </c>
      <c r="I36" s="113">
        <f t="shared" si="423"/>
      </c>
      <c r="J36" s="114">
        <f>2505.6+3048.84+1480.68+3008.88+1205.28+1735.56</f>
      </c>
      <c r="K36" s="115">
        <f t="shared" si="36"/>
      </c>
      <c r="L36" s="115">
        <f t="shared" si="165"/>
      </c>
      <c r="M36" s="116">
        <f t="shared" si="607"/>
      </c>
      <c r="N36" s="117">
        <f t="shared" si="637"/>
      </c>
      <c r="O36" s="118">
        <f t="shared" si="547"/>
      </c>
      <c r="P36" s="119">
        <f t="shared" si="577"/>
      </c>
      <c r="Q36" s="119">
        <f t="shared" si="757"/>
      </c>
      <c r="R36" s="119">
        <f t="shared" si="787"/>
      </c>
      <c r="S36" s="120">
        <f t="shared" si="667"/>
      </c>
      <c r="T36" s="121">
        <f t="shared" si="697"/>
      </c>
      <c r="U36" s="119">
        <f t="shared" si="976"/>
      </c>
      <c r="V36" s="122">
        <f t="shared" si="727"/>
      </c>
      <c r="W36" s="122">
        <f t="shared" si="1006"/>
      </c>
      <c r="X36" s="119">
        <f t="shared" si="817"/>
      </c>
      <c r="Y36" s="123">
        <f t="shared" si="852"/>
      </c>
      <c r="Z36" s="123">
        <v>7</v>
      </c>
      <c r="AA36" s="123">
        <v>14</v>
      </c>
      <c r="AB36" s="124">
        <v>19938.96</v>
      </c>
      <c r="AC36" s="124">
        <v>1107</v>
      </c>
      <c r="AD36" s="120">
        <f t="shared" si="1"/>
      </c>
      <c r="AE36" s="125" t="s">
        <v>121</v>
      </c>
      <c r="AF36" s="126" t="s">
        <v>122</v>
      </c>
      <c r="AG36" s="127">
        <v>13</v>
      </c>
      <c r="AH36" s="128">
        <v>122387</v>
      </c>
      <c r="AI36" s="128">
        <v>1598</v>
      </c>
      <c r="AJ36" s="128">
        <v>1578</v>
      </c>
      <c r="AK36" s="129">
        <v>244</v>
      </c>
      <c r="AL36" s="129">
        <v>298</v>
      </c>
    </row>
    <row r="37">
      <c r="A37" s="108"/>
      <c r="B37" s="109" t="s">
        <v>128</v>
      </c>
      <c r="C37" s="110" t="s">
        <v>131</v>
      </c>
      <c r="D37" s="111">
        <f t="shared" si="294"/>
      </c>
      <c r="E37" s="110">
        <v>733.56</v>
      </c>
      <c r="F37" s="110">
        <v>7042.1</v>
      </c>
      <c r="G37" s="113">
        <v>0</v>
      </c>
      <c r="H37" s="113">
        <v>0</v>
      </c>
      <c r="I37" s="113">
        <f t="shared" si="423"/>
      </c>
      <c r="J37" s="114">
        <f>3911.04+3356.04</f>
      </c>
      <c r="K37" s="115">
        <f t="shared" si="36"/>
      </c>
      <c r="L37" s="115">
        <f t="shared" si="165"/>
      </c>
      <c r="M37" s="116">
        <f t="shared" si="607"/>
      </c>
      <c r="N37" s="117">
        <f t="shared" si="637"/>
      </c>
      <c r="O37" s="118">
        <f t="shared" si="547"/>
      </c>
      <c r="P37" s="119">
        <f t="shared" si="577"/>
      </c>
      <c r="Q37" s="119">
        <f t="shared" si="757"/>
      </c>
      <c r="R37" s="119">
        <f t="shared" si="787"/>
      </c>
      <c r="S37" s="120">
        <f t="shared" si="667"/>
      </c>
      <c r="T37" s="121">
        <f t="shared" si="697"/>
      </c>
      <c r="U37" s="119">
        <f t="shared" si="976"/>
      </c>
      <c r="V37" s="122">
        <f t="shared" si="727"/>
      </c>
      <c r="W37" s="122">
        <f t="shared" si="1006"/>
      </c>
      <c r="X37" s="119">
        <f t="shared" si="817"/>
      </c>
      <c r="Y37" s="123">
        <f t="shared" si="852"/>
      </c>
      <c r="Z37" s="123">
        <v>7</v>
      </c>
      <c r="AA37" s="123">
        <v>8</v>
      </c>
      <c r="AB37" s="124">
        <v>17810.040000000008</v>
      </c>
      <c r="AC37" s="124">
        <v>0</v>
      </c>
      <c r="AD37" s="120">
        <f t="shared" si="1"/>
      </c>
      <c r="AE37" s="125" t="s">
        <v>121</v>
      </c>
      <c r="AF37" s="126" t="s">
        <v>122</v>
      </c>
      <c r="AG37" s="129">
        <v>7</v>
      </c>
      <c r="AH37" s="128">
        <v>110918</v>
      </c>
      <c r="AI37" s="128">
        <v>1270</v>
      </c>
      <c r="AJ37" s="128">
        <v>1324</v>
      </c>
      <c r="AK37" s="129">
        <v>228</v>
      </c>
      <c r="AL37" s="129">
        <v>266</v>
      </c>
    </row>
    <row r="38">
      <c r="A38" s="108"/>
      <c r="B38" s="109" t="s">
        <v>128</v>
      </c>
      <c r="C38" s="110" t="s">
        <v>132</v>
      </c>
      <c r="D38" s="111">
        <f t="shared" si="294"/>
      </c>
      <c r="E38" s="110">
        <v>1317.35</v>
      </c>
      <c r="F38" s="113">
        <v>6969.58</v>
      </c>
      <c r="G38" s="113">
        <v>0</v>
      </c>
      <c r="H38" s="113">
        <v>0</v>
      </c>
      <c r="I38" s="113">
        <f t="shared" si="423"/>
      </c>
      <c r="J38" s="114">
        <f>3532.68+3179.52+3705.24</f>
      </c>
      <c r="K38" s="115">
        <f t="shared" si="36"/>
      </c>
      <c r="L38" s="115">
        <f t="shared" si="165"/>
      </c>
      <c r="M38" s="116">
        <f t="shared" si="607"/>
      </c>
      <c r="N38" s="117">
        <f t="shared" si="637"/>
      </c>
      <c r="O38" s="118">
        <f t="shared" si="547"/>
      </c>
      <c r="P38" s="119">
        <f t="shared" si="577"/>
      </c>
      <c r="Q38" s="119">
        <f t="shared" si="757"/>
      </c>
      <c r="R38" s="119">
        <f t="shared" si="787"/>
      </c>
      <c r="S38" s="120">
        <f t="shared" si="667"/>
      </c>
      <c r="T38" s="121">
        <f t="shared" si="697"/>
      </c>
      <c r="U38" s="119">
        <f t="shared" si="976"/>
      </c>
      <c r="V38" s="122">
        <f t="shared" si="727"/>
      </c>
      <c r="W38" s="122">
        <f t="shared" si="1006"/>
      </c>
      <c r="X38" s="119">
        <f t="shared" si="817"/>
      </c>
      <c r="Y38" s="123">
        <f t="shared" si="852"/>
      </c>
      <c r="Z38" s="123">
        <v>7</v>
      </c>
      <c r="AA38" s="123">
        <v>13</v>
      </c>
      <c r="AB38" s="114">
        <f>21467.04+1863</f>
      </c>
      <c r="AC38" s="124">
        <v>2555</v>
      </c>
      <c r="AD38" s="120">
        <f t="shared" si="1"/>
      </c>
      <c r="AE38" s="125" t="s">
        <v>121</v>
      </c>
      <c r="AF38" s="126" t="s">
        <v>122</v>
      </c>
      <c r="AG38" s="127">
        <v>11</v>
      </c>
      <c r="AH38" s="128">
        <v>90799</v>
      </c>
      <c r="AI38" s="128">
        <v>1189</v>
      </c>
      <c r="AJ38" s="128">
        <v>1236</v>
      </c>
      <c r="AK38" s="129">
        <v>168</v>
      </c>
      <c r="AL38" s="129">
        <v>200</v>
      </c>
    </row>
    <row r="39">
      <c r="A39" s="108"/>
      <c r="B39" s="130" t="s">
        <v>127</v>
      </c>
      <c r="C39" s="131">
        <v>4</v>
      </c>
      <c r="D39" s="132">
        <f>SUM(D35:D38)</f>
      </c>
      <c r="E39" s="132">
        <f>SUM(E35:E38)</f>
      </c>
      <c r="F39" s="132">
        <f>SUM(F35:F38)</f>
      </c>
      <c r="G39" s="132">
        <f>SUM(G35:G38)</f>
      </c>
      <c r="H39" s="132">
        <f>SUM(H35:H38)</f>
      </c>
      <c r="I39" s="132">
        <f>SUM(I35:I38)</f>
      </c>
      <c r="J39" s="132">
        <f>SUM(J35:J38)</f>
      </c>
      <c r="K39" s="132">
        <f>SUM(K35:K38)</f>
      </c>
      <c r="L39" s="132">
        <f>SUM(L35:L38)</f>
      </c>
      <c r="M39" s="133">
        <f t="shared" si="607"/>
      </c>
      <c r="N39" s="134">
        <f t="shared" si="637"/>
      </c>
      <c r="O39" s="134">
        <f t="shared" si="547"/>
      </c>
      <c r="P39" s="135">
        <f t="shared" si="577"/>
      </c>
      <c r="Q39" s="135">
        <f t="shared" si="757"/>
      </c>
      <c r="R39" s="135">
        <f t="shared" si="787"/>
      </c>
      <c r="S39" s="136">
        <f t="shared" si="667"/>
      </c>
      <c r="T39" s="136">
        <f t="shared" si="697"/>
      </c>
      <c r="U39" s="135">
        <f t="shared" si="976"/>
      </c>
      <c r="V39" s="136">
        <f t="shared" si="727"/>
      </c>
      <c r="W39" s="136">
        <f t="shared" si="1006"/>
      </c>
      <c r="X39" s="135">
        <f t="shared" si="817"/>
      </c>
      <c r="Y39" s="132">
        <f>SUM(Y35:Y38)</f>
      </c>
      <c r="Z39" s="132">
        <f>SUM(Z35:Z38)</f>
      </c>
      <c r="AA39" s="132">
        <f>SUM(AA35:AA38)</f>
      </c>
      <c r="AB39" s="132">
        <f>SUM(AB35:AB38)</f>
      </c>
      <c r="AC39" s="132">
        <f>SUM(AC35:AC38)</f>
      </c>
      <c r="AD39" s="137">
        <f t="shared" si="1"/>
      </c>
      <c r="AE39" s="138"/>
      <c r="AF39" s="139"/>
      <c r="AG39" s="132">
        <f>SUM(AG35:AG38)</f>
      </c>
      <c r="AH39" s="132">
        <f>SUM(AH35:AH38)</f>
      </c>
      <c r="AI39" s="132">
        <f>SUM(AI35:AI38)</f>
      </c>
      <c r="AJ39" s="132">
        <f>SUM(AJ35:AJ38)</f>
      </c>
      <c r="AK39" s="132">
        <f>SUM(AK35:AK38)</f>
      </c>
      <c r="AL39" s="132">
        <f>SUM(AL35:AL38)</f>
      </c>
    </row>
    <row r="40">
      <c r="A40" s="108"/>
      <c r="B40" s="109" t="s">
        <v>133</v>
      </c>
      <c r="C40" s="110" t="s">
        <v>134</v>
      </c>
      <c r="D40" s="111">
        <f t="shared" ref="D40:D42" si="295">E40+F40+G40+H40</f>
      </c>
      <c r="E40" s="110">
        <v>920.81</v>
      </c>
      <c r="F40" s="140">
        <v>9174.9</v>
      </c>
      <c r="G40" s="113">
        <v>0</v>
      </c>
      <c r="H40" s="113">
        <v>0</v>
      </c>
      <c r="I40" s="113">
        <f t="shared" ref="I40:I42" si="424">AB40+AC40</f>
      </c>
      <c r="J40" s="114">
        <f>657.72+3594+1217.16+1109.16+1686.96</f>
      </c>
      <c r="K40" s="115">
        <f t="shared" ref="K40:K42" si="37">I40-J40</f>
      </c>
      <c r="L40" s="115">
        <f t="shared" ref="L40:L42" si="166">(I40-AC40)/12+AC40</f>
      </c>
      <c r="M40" s="116">
        <f t="shared" si="607"/>
      </c>
      <c r="N40" s="117">
        <f t="shared" si="637"/>
      </c>
      <c r="O40" s="118">
        <f t="shared" si="547"/>
      </c>
      <c r="P40" s="119">
        <f t="shared" si="577"/>
      </c>
      <c r="Q40" s="119">
        <f t="shared" si="757"/>
      </c>
      <c r="R40" s="119">
        <f t="shared" si="787"/>
      </c>
      <c r="S40" s="120">
        <f t="shared" si="667"/>
      </c>
      <c r="T40" s="121">
        <f t="shared" si="697"/>
      </c>
      <c r="U40" s="119">
        <f t="shared" si="976"/>
      </c>
      <c r="V40" s="122">
        <f t="shared" si="727"/>
      </c>
      <c r="W40" s="122">
        <f t="shared" si="1006"/>
      </c>
      <c r="X40" s="119">
        <f t="shared" si="817"/>
      </c>
      <c r="Y40" s="123">
        <f t="shared" ref="Y40:Y42" si="853">Z40+AA40</f>
      </c>
      <c r="Z40" s="123">
        <v>7</v>
      </c>
      <c r="AA40" s="123">
        <v>7</v>
      </c>
      <c r="AB40" s="124">
        <v>5925.959999999994</v>
      </c>
      <c r="AC40" s="124">
        <v>3594</v>
      </c>
      <c r="AD40" s="120">
        <f t="shared" si="1"/>
      </c>
      <c r="AE40" s="125" t="s">
        <v>121</v>
      </c>
      <c r="AF40" s="126" t="s">
        <v>122</v>
      </c>
      <c r="AG40" s="127">
        <v>7</v>
      </c>
      <c r="AH40" s="128">
        <v>112328</v>
      </c>
      <c r="AI40" s="128">
        <v>1634</v>
      </c>
      <c r="AJ40" s="128">
        <v>1666</v>
      </c>
      <c r="AK40" s="129">
        <v>243</v>
      </c>
      <c r="AL40" s="129">
        <v>267</v>
      </c>
    </row>
    <row r="41">
      <c r="A41" s="108"/>
      <c r="B41" s="109" t="s">
        <v>133</v>
      </c>
      <c r="C41" s="110" t="s">
        <v>135</v>
      </c>
      <c r="D41" s="111">
        <f t="shared" si="295"/>
      </c>
      <c r="E41" s="110">
        <v>975.01</v>
      </c>
      <c r="F41" s="140">
        <v>8343.7</v>
      </c>
      <c r="G41" s="113">
        <v>0</v>
      </c>
      <c r="H41" s="113">
        <v>0</v>
      </c>
      <c r="I41" s="113">
        <f t="shared" si="424"/>
      </c>
      <c r="J41" s="114">
        <f>4394.52+1953.72</f>
      </c>
      <c r="K41" s="115">
        <f t="shared" si="37"/>
      </c>
      <c r="L41" s="115">
        <f t="shared" si="166"/>
      </c>
      <c r="M41" s="116">
        <f t="shared" si="607"/>
      </c>
      <c r="N41" s="117">
        <f t="shared" si="637"/>
      </c>
      <c r="O41" s="118">
        <f t="shared" si="547"/>
      </c>
      <c r="P41" s="119">
        <f t="shared" si="577"/>
      </c>
      <c r="Q41" s="119">
        <f t="shared" si="757"/>
      </c>
      <c r="R41" s="119">
        <f t="shared" si="787"/>
      </c>
      <c r="S41" s="120">
        <f t="shared" si="667"/>
      </c>
      <c r="T41" s="121">
        <f t="shared" si="697"/>
      </c>
      <c r="U41" s="119">
        <f t="shared" si="976"/>
      </c>
      <c r="V41" s="122">
        <f t="shared" si="727"/>
      </c>
      <c r="W41" s="122">
        <f t="shared" si="1006"/>
      </c>
      <c r="X41" s="119">
        <f t="shared" si="817"/>
      </c>
      <c r="Y41" s="123">
        <f t="shared" si="853"/>
      </c>
      <c r="Z41" s="123">
        <v>10</v>
      </c>
      <c r="AA41" s="123">
        <v>5</v>
      </c>
      <c r="AB41" s="124">
        <v>9436.79999999999</v>
      </c>
      <c r="AC41" s="124">
        <v>440</v>
      </c>
      <c r="AD41" s="120">
        <f t="shared" si="1"/>
      </c>
      <c r="AE41" s="125" t="s">
        <v>136</v>
      </c>
      <c r="AF41" s="126" t="s">
        <v>137</v>
      </c>
      <c r="AG41" s="127">
        <v>3</v>
      </c>
      <c r="AH41" s="128">
        <v>118619</v>
      </c>
      <c r="AI41" s="128">
        <v>1315</v>
      </c>
      <c r="AJ41" s="128">
        <v>1335</v>
      </c>
      <c r="AK41" s="129">
        <v>209</v>
      </c>
      <c r="AL41" s="129">
        <v>227</v>
      </c>
    </row>
    <row r="42">
      <c r="A42" s="108"/>
      <c r="B42" s="109" t="s">
        <v>133</v>
      </c>
      <c r="C42" s="110" t="s">
        <v>138</v>
      </c>
      <c r="D42" s="111">
        <f t="shared" si="295"/>
      </c>
      <c r="E42" s="141">
        <v>470.08</v>
      </c>
      <c r="F42" s="142">
        <v>6326.67</v>
      </c>
      <c r="G42" s="113">
        <v>0</v>
      </c>
      <c r="H42" s="113">
        <v>0</v>
      </c>
      <c r="I42" s="113">
        <f t="shared" si="424"/>
      </c>
      <c r="J42" s="114">
        <v>2514.24</v>
      </c>
      <c r="K42" s="115">
        <f t="shared" si="37"/>
      </c>
      <c r="L42" s="115">
        <f t="shared" si="166"/>
      </c>
      <c r="M42" s="116">
        <f t="shared" si="607"/>
      </c>
      <c r="N42" s="117">
        <f t="shared" si="637"/>
      </c>
      <c r="O42" s="118">
        <f t="shared" si="547"/>
      </c>
      <c r="P42" s="119">
        <f t="shared" si="577"/>
      </c>
      <c r="Q42" s="119">
        <f t="shared" si="757"/>
      </c>
      <c r="R42" s="119">
        <f t="shared" si="787"/>
      </c>
      <c r="S42" s="120">
        <f t="shared" si="667"/>
      </c>
      <c r="T42" s="121">
        <f t="shared" si="697"/>
      </c>
      <c r="U42" s="119">
        <f t="shared" si="976"/>
      </c>
      <c r="V42" s="122">
        <f t="shared" si="727"/>
      </c>
      <c r="W42" s="122">
        <f t="shared" si="1006"/>
      </c>
      <c r="X42" s="119">
        <f t="shared" si="817"/>
      </c>
      <c r="Y42" s="123">
        <f t="shared" si="853"/>
      </c>
      <c r="Z42" s="123">
        <v>4</v>
      </c>
      <c r="AA42" s="123">
        <v>5</v>
      </c>
      <c r="AB42" s="124">
        <v>8263.08</v>
      </c>
      <c r="AC42" s="124">
        <v>0</v>
      </c>
      <c r="AD42" s="120">
        <f t="shared" si="1"/>
      </c>
      <c r="AE42" s="125" t="s">
        <v>136</v>
      </c>
      <c r="AF42" s="126" t="s">
        <v>137</v>
      </c>
      <c r="AG42" s="129">
        <v>2</v>
      </c>
      <c r="AH42" s="128">
        <v>78825</v>
      </c>
      <c r="AI42" s="128">
        <v>1121</v>
      </c>
      <c r="AJ42" s="128">
        <v>1161</v>
      </c>
      <c r="AK42" s="129">
        <v>162</v>
      </c>
      <c r="AL42" s="129">
        <v>187</v>
      </c>
    </row>
    <row r="43">
      <c r="A43" s="108"/>
      <c r="B43" s="130" t="s">
        <v>127</v>
      </c>
      <c r="C43" s="131">
        <v>3</v>
      </c>
      <c r="D43" s="132">
        <f>SUM(D40:D42)</f>
      </c>
      <c r="E43" s="132">
        <f>SUM(E40:E42)</f>
      </c>
      <c r="F43" s="132">
        <f>SUM(F40:F42)</f>
      </c>
      <c r="G43" s="132">
        <f>SUM(G40:G42)</f>
      </c>
      <c r="H43" s="132">
        <f>SUM(H40:H42)</f>
      </c>
      <c r="I43" s="132">
        <f>SUM(I40:I42)</f>
      </c>
      <c r="J43" s="132">
        <f>SUM(J40:J42)</f>
      </c>
      <c r="K43" s="132">
        <f>SUM(K40:K42)</f>
      </c>
      <c r="L43" s="132">
        <f>SUM(L40:L42)</f>
      </c>
      <c r="M43" s="133">
        <f t="shared" si="607"/>
      </c>
      <c r="N43" s="134">
        <f t="shared" si="637"/>
      </c>
      <c r="O43" s="134">
        <f t="shared" si="547"/>
      </c>
      <c r="P43" s="135">
        <f t="shared" si="577"/>
      </c>
      <c r="Q43" s="135">
        <f t="shared" si="757"/>
      </c>
      <c r="R43" s="135">
        <f t="shared" si="787"/>
      </c>
      <c r="S43" s="136">
        <f t="shared" si="667"/>
      </c>
      <c r="T43" s="136">
        <f t="shared" si="697"/>
      </c>
      <c r="U43" s="135">
        <f t="shared" si="976"/>
      </c>
      <c r="V43" s="136">
        <f t="shared" si="727"/>
      </c>
      <c r="W43" s="136">
        <f t="shared" si="1006"/>
      </c>
      <c r="X43" s="135">
        <f t="shared" si="817"/>
      </c>
      <c r="Y43" s="132">
        <f>SUM(Y40:Y42)</f>
      </c>
      <c r="Z43" s="132">
        <f>SUM(Z40:Z42)</f>
      </c>
      <c r="AA43" s="132">
        <f>SUM(AA40:AA42)</f>
      </c>
      <c r="AB43" s="132">
        <f>SUM(AB40:AB42)</f>
      </c>
      <c r="AC43" s="132">
        <f>SUM(AC40:AC42)</f>
      </c>
      <c r="AD43" s="137">
        <f t="shared" si="1"/>
      </c>
      <c r="AE43" s="138"/>
      <c r="AF43" s="139"/>
      <c r="AG43" s="132">
        <f>SUM(AG40:AG42)</f>
      </c>
      <c r="AH43" s="132">
        <f>SUM(AH40:AH42)</f>
      </c>
      <c r="AI43" s="132">
        <f>SUM(AI40:AI42)</f>
      </c>
      <c r="AJ43" s="132">
        <f>SUM(AJ40:AJ42)</f>
      </c>
      <c r="AK43" s="132">
        <f>SUM(AK40:AK42)</f>
      </c>
      <c r="AL43" s="132">
        <f>SUM(AL40:AL42)</f>
      </c>
    </row>
    <row r="44">
      <c r="A44" s="108"/>
      <c r="B44" s="109" t="s">
        <v>139</v>
      </c>
      <c r="C44" s="110" t="s">
        <v>140</v>
      </c>
      <c r="D44" s="111">
        <f t="shared" ref="D44:D46" si="296">E44+F44+G44+H44</f>
      </c>
      <c r="E44" s="110">
        <v>197.56</v>
      </c>
      <c r="F44" s="140">
        <v>6550.74</v>
      </c>
      <c r="G44" s="113">
        <v>0</v>
      </c>
      <c r="H44" s="113">
        <v>0</v>
      </c>
      <c r="I44" s="113">
        <f t="shared" ref="I44:I46" si="425">AB44+AC44</f>
      </c>
      <c r="J44" s="114">
        <f>4197.6+2411+1254.84</f>
      </c>
      <c r="K44" s="115">
        <f t="shared" ref="K44:K46" si="38">I44-J44</f>
      </c>
      <c r="L44" s="115">
        <f t="shared" ref="L44:L46" si="167">(I44-AC44)/12+AC44</f>
      </c>
      <c r="M44" s="116">
        <f t="shared" si="607"/>
      </c>
      <c r="N44" s="117">
        <f t="shared" si="637"/>
      </c>
      <c r="O44" s="118">
        <f t="shared" si="547"/>
      </c>
      <c r="P44" s="119">
        <f t="shared" si="577"/>
      </c>
      <c r="Q44" s="119">
        <f t="shared" si="757"/>
      </c>
      <c r="R44" s="119">
        <f t="shared" si="787"/>
      </c>
      <c r="S44" s="120">
        <f t="shared" si="667"/>
      </c>
      <c r="T44" s="121">
        <f t="shared" si="697"/>
      </c>
      <c r="U44" s="119">
        <f t="shared" si="976"/>
      </c>
      <c r="V44" s="122">
        <f t="shared" si="727"/>
      </c>
      <c r="W44" s="122">
        <f t="shared" si="1006"/>
      </c>
      <c r="X44" s="119">
        <f t="shared" si="817"/>
      </c>
      <c r="Y44" s="123">
        <f t="shared" ref="Y44:Y46" si="854">Z44+AA44</f>
      </c>
      <c r="Z44" s="123">
        <v>5</v>
      </c>
      <c r="AA44" s="123">
        <v>6</v>
      </c>
      <c r="AB44" s="124">
        <v>8109.360000000017</v>
      </c>
      <c r="AC44" s="124">
        <v>4853.5999999999985</v>
      </c>
      <c r="AD44" s="120">
        <f t="shared" si="1"/>
      </c>
      <c r="AE44" s="125" t="s">
        <v>136</v>
      </c>
      <c r="AF44" s="126" t="s">
        <v>137</v>
      </c>
      <c r="AG44" s="127">
        <v>7</v>
      </c>
      <c r="AH44" s="128">
        <v>84620</v>
      </c>
      <c r="AI44" s="128">
        <v>1191</v>
      </c>
      <c r="AJ44" s="128">
        <v>1230</v>
      </c>
      <c r="AK44" s="129">
        <v>146</v>
      </c>
      <c r="AL44" s="129">
        <v>178</v>
      </c>
    </row>
    <row r="45">
      <c r="A45" s="108"/>
      <c r="B45" s="109" t="s">
        <v>139</v>
      </c>
      <c r="C45" s="141" t="s">
        <v>141</v>
      </c>
      <c r="D45" s="111">
        <f t="shared" si="296"/>
      </c>
      <c r="E45" s="110">
        <v>176.11</v>
      </c>
      <c r="F45" s="140">
        <v>8077.45</v>
      </c>
      <c r="G45" s="113">
        <v>0</v>
      </c>
      <c r="H45" s="113">
        <v>0</v>
      </c>
      <c r="I45" s="113">
        <f t="shared" si="425"/>
      </c>
      <c r="J45" s="114">
        <v>0</v>
      </c>
      <c r="K45" s="115">
        <f t="shared" si="38"/>
      </c>
      <c r="L45" s="115">
        <f t="shared" si="167"/>
      </c>
      <c r="M45" s="116">
        <f t="shared" si="607"/>
      </c>
      <c r="N45" s="117">
        <f t="shared" si="637"/>
      </c>
      <c r="O45" s="118">
        <f t="shared" si="547"/>
      </c>
      <c r="P45" s="119">
        <f t="shared" si="577"/>
      </c>
      <c r="Q45" s="119">
        <f t="shared" si="757"/>
      </c>
      <c r="R45" s="119">
        <f t="shared" si="787"/>
      </c>
      <c r="S45" s="120">
        <f t="shared" si="667"/>
      </c>
      <c r="T45" s="121">
        <f t="shared" si="697"/>
      </c>
      <c r="U45" s="119">
        <f t="shared" si="976"/>
      </c>
      <c r="V45" s="122">
        <f t="shared" si="727"/>
      </c>
      <c r="W45" s="122">
        <f t="shared" si="1006"/>
      </c>
      <c r="X45" s="119">
        <f t="shared" si="817"/>
      </c>
      <c r="Y45" s="123">
        <f t="shared" si="854"/>
      </c>
      <c r="Z45" s="123">
        <v>4</v>
      </c>
      <c r="AA45" s="123">
        <v>10</v>
      </c>
      <c r="AB45" s="124">
        <v>8116.199999999984</v>
      </c>
      <c r="AC45" s="124">
        <v>2411</v>
      </c>
      <c r="AD45" s="120">
        <f t="shared" si="1"/>
      </c>
      <c r="AE45" s="125" t="s">
        <v>136</v>
      </c>
      <c r="AF45" s="126" t="s">
        <v>137</v>
      </c>
      <c r="AG45" s="127">
        <v>9</v>
      </c>
      <c r="AH45" s="128">
        <v>98095</v>
      </c>
      <c r="AI45" s="128">
        <v>1347</v>
      </c>
      <c r="AJ45" s="128">
        <v>1367</v>
      </c>
      <c r="AK45" s="129">
        <v>162</v>
      </c>
      <c r="AL45" s="129">
        <v>215</v>
      </c>
    </row>
    <row r="46">
      <c r="A46" s="108"/>
      <c r="B46" s="109" t="s">
        <v>139</v>
      </c>
      <c r="C46" s="141" t="s">
        <v>142</v>
      </c>
      <c r="D46" s="111">
        <f t="shared" si="296"/>
      </c>
      <c r="E46" s="110">
        <v>256.96</v>
      </c>
      <c r="F46" s="140">
        <v>15486.88</v>
      </c>
      <c r="G46" s="113">
        <v>0</v>
      </c>
      <c r="H46" s="113">
        <v>0</v>
      </c>
      <c r="I46" s="113">
        <f t="shared" si="425"/>
      </c>
      <c r="J46" s="114">
        <f>3406.32+716.04+1320.84+1641.6+1214.76</f>
      </c>
      <c r="K46" s="115">
        <f t="shared" si="38"/>
      </c>
      <c r="L46" s="115">
        <f t="shared" si="167"/>
      </c>
      <c r="M46" s="116">
        <f t="shared" si="607"/>
      </c>
      <c r="N46" s="117">
        <f t="shared" si="637"/>
      </c>
      <c r="O46" s="118">
        <f t="shared" si="547"/>
      </c>
      <c r="P46" s="119">
        <f t="shared" si="577"/>
      </c>
      <c r="Q46" s="119">
        <f t="shared" si="757"/>
      </c>
      <c r="R46" s="119">
        <f t="shared" si="787"/>
      </c>
      <c r="S46" s="120">
        <f t="shared" si="667"/>
      </c>
      <c r="T46" s="121">
        <f t="shared" si="697"/>
      </c>
      <c r="U46" s="119">
        <f t="shared" si="976"/>
      </c>
      <c r="V46" s="122">
        <f t="shared" si="727"/>
      </c>
      <c r="W46" s="122">
        <f t="shared" si="1006"/>
      </c>
      <c r="X46" s="119">
        <f t="shared" si="817"/>
      </c>
      <c r="Y46" s="123">
        <f t="shared" si="854"/>
      </c>
      <c r="Z46" s="123">
        <v>8</v>
      </c>
      <c r="AA46" s="123">
        <v>16</v>
      </c>
      <c r="AB46" s="124">
        <v>29265.96</v>
      </c>
      <c r="AC46" s="124">
        <v>0</v>
      </c>
      <c r="AD46" s="120">
        <f t="shared" si="1"/>
      </c>
      <c r="AE46" s="125" t="s">
        <v>136</v>
      </c>
      <c r="AF46" s="126" t="s">
        <v>137</v>
      </c>
      <c r="AG46" s="129">
        <v>13</v>
      </c>
      <c r="AH46" s="128">
        <v>223519</v>
      </c>
      <c r="AI46" s="128">
        <v>2347</v>
      </c>
      <c r="AJ46" s="128">
        <v>2300</v>
      </c>
      <c r="AK46" s="129">
        <v>335</v>
      </c>
      <c r="AL46" s="129">
        <v>437</v>
      </c>
    </row>
    <row r="47">
      <c r="A47" s="108"/>
      <c r="B47" s="130" t="s">
        <v>127</v>
      </c>
      <c r="C47" s="131">
        <v>3</v>
      </c>
      <c r="D47" s="132">
        <f>SUM(D44:D46)</f>
      </c>
      <c r="E47" s="132">
        <f>SUM(E44:E46)</f>
      </c>
      <c r="F47" s="132">
        <f>SUM(F44:F46)</f>
      </c>
      <c r="G47" s="132">
        <f>SUM(G44:G46)</f>
      </c>
      <c r="H47" s="132">
        <f>SUM(H44:H46)</f>
      </c>
      <c r="I47" s="132">
        <f>SUM(I44:I46)</f>
      </c>
      <c r="J47" s="132">
        <f>SUM(J44:J46)</f>
      </c>
      <c r="K47" s="132">
        <f>SUM(K44:K46)</f>
      </c>
      <c r="L47" s="132">
        <f>SUM(L44:L46)</f>
      </c>
      <c r="M47" s="133">
        <f t="shared" si="607"/>
      </c>
      <c r="N47" s="134">
        <f t="shared" si="637"/>
      </c>
      <c r="O47" s="134">
        <f t="shared" si="547"/>
      </c>
      <c r="P47" s="135">
        <f t="shared" si="577"/>
      </c>
      <c r="Q47" s="135">
        <f t="shared" si="757"/>
      </c>
      <c r="R47" s="135">
        <f t="shared" si="787"/>
      </c>
      <c r="S47" s="136">
        <f t="shared" si="667"/>
      </c>
      <c r="T47" s="136">
        <f t="shared" si="697"/>
      </c>
      <c r="U47" s="135">
        <f t="shared" si="976"/>
      </c>
      <c r="V47" s="136">
        <f t="shared" si="727"/>
      </c>
      <c r="W47" s="136">
        <f t="shared" si="1006"/>
      </c>
      <c r="X47" s="135">
        <f t="shared" si="817"/>
      </c>
      <c r="Y47" s="132">
        <f>SUM(Y44:Y46)</f>
      </c>
      <c r="Z47" s="132">
        <f>SUM(Z44:Z46)</f>
      </c>
      <c r="AA47" s="132">
        <f>SUM(AA44:AA46)</f>
      </c>
      <c r="AB47" s="132">
        <f>SUM(AB44:AB46)</f>
      </c>
      <c r="AC47" s="132">
        <f>SUM(AC44:AC46)</f>
      </c>
      <c r="AD47" s="137">
        <f t="shared" si="1"/>
      </c>
      <c r="AE47" s="138"/>
      <c r="AF47" s="139"/>
      <c r="AG47" s="132">
        <f>SUM(AG44:AG46)</f>
      </c>
      <c r="AH47" s="132">
        <f>SUM(AH44:AH46)</f>
      </c>
      <c r="AI47" s="132">
        <f>SUM(AI44:AI46)</f>
      </c>
      <c r="AJ47" s="132">
        <f>SUM(AJ44:AJ46)</f>
      </c>
      <c r="AK47" s="132">
        <f>SUM(AK44:AK46)</f>
      </c>
      <c r="AL47" s="132">
        <f>SUM(AL44:AL46)</f>
      </c>
    </row>
    <row r="48">
      <c r="A48" s="108"/>
      <c r="B48" s="109" t="s">
        <v>143</v>
      </c>
      <c r="C48" s="141" t="s">
        <v>144</v>
      </c>
      <c r="D48" s="143">
        <f t="shared" ref="D48:D52" si="297">E48+F48+G48+H48</f>
      </c>
      <c r="E48" s="144">
        <v>340.66</v>
      </c>
      <c r="F48" s="145">
        <v>12400.89</v>
      </c>
      <c r="G48" s="146">
        <v>0</v>
      </c>
      <c r="H48" s="113">
        <v>0</v>
      </c>
      <c r="I48" s="113">
        <f t="shared" ref="I48:I52" si="426">AB48+AC48</f>
      </c>
      <c r="J48" s="114">
        <f>1105.92+590.76</f>
      </c>
      <c r="K48" s="115">
        <f t="shared" ref="K48:K52" si="39">I48-J48</f>
      </c>
      <c r="L48" s="115">
        <f t="shared" ref="L48:L52" si="168">(I48-AC48)/12+AC48</f>
      </c>
      <c r="M48" s="116">
        <f t="shared" si="607"/>
      </c>
      <c r="N48" s="117">
        <f t="shared" si="637"/>
      </c>
      <c r="O48" s="118">
        <f t="shared" si="547"/>
      </c>
      <c r="P48" s="119">
        <f t="shared" si="577"/>
      </c>
      <c r="Q48" s="119">
        <f t="shared" si="757"/>
      </c>
      <c r="R48" s="119">
        <f t="shared" si="787"/>
      </c>
      <c r="S48" s="120">
        <f t="shared" si="667"/>
      </c>
      <c r="T48" s="121">
        <f t="shared" si="697"/>
      </c>
      <c r="U48" s="119">
        <f t="shared" si="976"/>
      </c>
      <c r="V48" s="122">
        <f t="shared" si="727"/>
      </c>
      <c r="W48" s="122">
        <f t="shared" si="1006"/>
      </c>
      <c r="X48" s="119">
        <f t="shared" si="817"/>
      </c>
      <c r="Y48" s="123">
        <f t="shared" ref="Y48:Y52" si="855">Z48+AA48</f>
      </c>
      <c r="Z48" s="123">
        <v>8</v>
      </c>
      <c r="AA48" s="123">
        <v>14</v>
      </c>
      <c r="AB48" s="124">
        <v>19735.440000000002</v>
      </c>
      <c r="AC48" s="124">
        <v>420</v>
      </c>
      <c r="AD48" s="120">
        <f t="shared" si="1"/>
      </c>
      <c r="AE48" s="125" t="s">
        <v>136</v>
      </c>
      <c r="AF48" s="126" t="s">
        <v>137</v>
      </c>
      <c r="AG48" s="127">
        <v>12</v>
      </c>
      <c r="AH48" s="127">
        <v>181657</v>
      </c>
      <c r="AI48" s="128">
        <v>1932</v>
      </c>
      <c r="AJ48" s="128">
        <v>1888</v>
      </c>
      <c r="AK48" s="127">
        <v>290</v>
      </c>
      <c r="AL48" s="129">
        <v>418</v>
      </c>
    </row>
    <row r="49">
      <c r="A49" s="108"/>
      <c r="B49" s="109" t="s">
        <v>143</v>
      </c>
      <c r="C49" s="110" t="s">
        <v>145</v>
      </c>
      <c r="D49" s="143">
        <f t="shared" si="297"/>
      </c>
      <c r="E49" s="147">
        <v>478.3</v>
      </c>
      <c r="F49" s="145">
        <v>14609.17</v>
      </c>
      <c r="G49" s="146">
        <v>0</v>
      </c>
      <c r="H49" s="113">
        <v>0</v>
      </c>
      <c r="I49" s="113">
        <f t="shared" si="426"/>
      </c>
      <c r="J49" s="114">
        <v>970.92</v>
      </c>
      <c r="K49" s="115">
        <f t="shared" si="39"/>
      </c>
      <c r="L49" s="115">
        <f t="shared" si="168"/>
      </c>
      <c r="M49" s="116">
        <f t="shared" si="607"/>
      </c>
      <c r="N49" s="117">
        <f t="shared" si="637"/>
      </c>
      <c r="O49" s="118">
        <f t="shared" si="547"/>
      </c>
      <c r="P49" s="119">
        <f t="shared" si="577"/>
      </c>
      <c r="Q49" s="119">
        <f t="shared" si="757"/>
      </c>
      <c r="R49" s="119">
        <f t="shared" si="787"/>
      </c>
      <c r="S49" s="120">
        <f t="shared" si="667"/>
      </c>
      <c r="T49" s="121">
        <f t="shared" si="697"/>
      </c>
      <c r="U49" s="119">
        <f t="shared" si="976"/>
      </c>
      <c r="V49" s="122">
        <f t="shared" si="727"/>
      </c>
      <c r="W49" s="122">
        <f t="shared" si="1006"/>
      </c>
      <c r="X49" s="119">
        <f t="shared" si="817"/>
      </c>
      <c r="Y49" s="123">
        <f t="shared" si="855"/>
      </c>
      <c r="Z49" s="123">
        <v>7</v>
      </c>
      <c r="AA49" s="123">
        <v>8</v>
      </c>
      <c r="AB49" s="124">
        <v>13775.399999999996</v>
      </c>
      <c r="AC49" s="124">
        <v>1885</v>
      </c>
      <c r="AD49" s="120">
        <f t="shared" si="1"/>
      </c>
      <c r="AE49" s="125" t="s">
        <v>136</v>
      </c>
      <c r="AF49" s="126" t="s">
        <v>137</v>
      </c>
      <c r="AG49" s="127">
        <v>6</v>
      </c>
      <c r="AH49" s="128">
        <v>220832</v>
      </c>
      <c r="AI49" s="128">
        <v>1454</v>
      </c>
      <c r="AJ49" s="128">
        <v>1419</v>
      </c>
      <c r="AK49" s="129">
        <v>225</v>
      </c>
      <c r="AL49" s="129">
        <v>329</v>
      </c>
    </row>
    <row r="50">
      <c r="A50" s="108"/>
      <c r="B50" s="109" t="s">
        <v>143</v>
      </c>
      <c r="C50" s="141" t="s">
        <v>146</v>
      </c>
      <c r="D50" s="143">
        <f t="shared" si="297"/>
      </c>
      <c r="E50" s="147">
        <v>375.63</v>
      </c>
      <c r="F50" s="147">
        <v>8056.71</v>
      </c>
      <c r="G50" s="146">
        <v>0</v>
      </c>
      <c r="H50" s="113">
        <v>0</v>
      </c>
      <c r="I50" s="113">
        <f t="shared" si="426"/>
      </c>
      <c r="J50" s="114">
        <v>0</v>
      </c>
      <c r="K50" s="115">
        <f t="shared" si="39"/>
      </c>
      <c r="L50" s="115">
        <f t="shared" si="168"/>
      </c>
      <c r="M50" s="116">
        <f t="shared" si="607"/>
      </c>
      <c r="N50" s="117">
        <f t="shared" si="637"/>
      </c>
      <c r="O50" s="118">
        <f t="shared" si="547"/>
      </c>
      <c r="P50" s="119">
        <f t="shared" si="577"/>
      </c>
      <c r="Q50" s="119">
        <f t="shared" si="757"/>
      </c>
      <c r="R50" s="119">
        <f t="shared" si="787"/>
      </c>
      <c r="S50" s="120">
        <f t="shared" si="667"/>
      </c>
      <c r="T50" s="121">
        <f t="shared" si="697"/>
      </c>
      <c r="U50" s="119">
        <f t="shared" si="976"/>
      </c>
      <c r="V50" s="122">
        <f t="shared" si="727"/>
      </c>
      <c r="W50" s="122">
        <f t="shared" si="1006"/>
      </c>
      <c r="X50" s="119">
        <f t="shared" si="817"/>
      </c>
      <c r="Y50" s="123">
        <f t="shared" si="855"/>
      </c>
      <c r="Z50" s="123">
        <v>6</v>
      </c>
      <c r="AA50" s="123">
        <v>8</v>
      </c>
      <c r="AB50" s="124">
        <v>21441.23999999996</v>
      </c>
      <c r="AC50" s="124">
        <v>0</v>
      </c>
      <c r="AD50" s="120">
        <f t="shared" si="1"/>
      </c>
      <c r="AE50" s="125" t="s">
        <v>136</v>
      </c>
      <c r="AF50" s="126" t="s">
        <v>137</v>
      </c>
      <c r="AG50" s="129">
        <v>8</v>
      </c>
      <c r="AH50" s="128">
        <v>112482</v>
      </c>
      <c r="AI50" s="128">
        <v>1069</v>
      </c>
      <c r="AJ50" s="128">
        <v>1061</v>
      </c>
      <c r="AK50" s="129">
        <v>172</v>
      </c>
      <c r="AL50" s="129">
        <v>216</v>
      </c>
    </row>
    <row r="51">
      <c r="A51" s="108"/>
      <c r="B51" s="109" t="s">
        <v>143</v>
      </c>
      <c r="C51" s="110" t="s">
        <v>147</v>
      </c>
      <c r="D51" s="143">
        <f t="shared" si="297"/>
      </c>
      <c r="E51" s="147">
        <v>820.03</v>
      </c>
      <c r="F51" s="145">
        <v>5607.42</v>
      </c>
      <c r="G51" s="146">
        <v>0</v>
      </c>
      <c r="H51" s="113">
        <v>0</v>
      </c>
      <c r="I51" s="113">
        <f t="shared" si="426"/>
      </c>
      <c r="J51" s="114">
        <v>0</v>
      </c>
      <c r="K51" s="115">
        <f t="shared" si="39"/>
      </c>
      <c r="L51" s="115">
        <f t="shared" si="168"/>
      </c>
      <c r="M51" s="116">
        <f t="shared" si="607"/>
      </c>
      <c r="N51" s="117">
        <f t="shared" si="637"/>
      </c>
      <c r="O51" s="118">
        <f t="shared" si="547"/>
      </c>
      <c r="P51" s="119">
        <f t="shared" si="577"/>
      </c>
      <c r="Q51" s="119">
        <f t="shared" si="757"/>
      </c>
      <c r="R51" s="119">
        <f t="shared" si="787"/>
      </c>
      <c r="S51" s="120">
        <f t="shared" si="667"/>
      </c>
      <c r="T51" s="121">
        <f t="shared" si="697"/>
      </c>
      <c r="U51" s="119">
        <f t="shared" si="976"/>
      </c>
      <c r="V51" s="122">
        <f t="shared" si="727"/>
      </c>
      <c r="W51" s="122">
        <f t="shared" si="1006"/>
      </c>
      <c r="X51" s="119">
        <f t="shared" si="817"/>
      </c>
      <c r="Y51" s="123">
        <f t="shared" si="855"/>
      </c>
      <c r="Z51" s="123">
        <v>7</v>
      </c>
      <c r="AA51" s="123">
        <v>6</v>
      </c>
      <c r="AB51" s="124">
        <v>8161.56</v>
      </c>
      <c r="AC51" s="124">
        <v>0</v>
      </c>
      <c r="AD51" s="120">
        <f t="shared" si="1"/>
      </c>
      <c r="AE51" s="125" t="s">
        <v>136</v>
      </c>
      <c r="AF51" s="126" t="s">
        <v>137</v>
      </c>
      <c r="AG51" s="127">
        <v>5</v>
      </c>
      <c r="AH51" s="128">
        <v>79843</v>
      </c>
      <c r="AI51" s="128">
        <v>1033</v>
      </c>
      <c r="AJ51" s="128">
        <v>1096</v>
      </c>
      <c r="AK51" s="129">
        <v>130</v>
      </c>
      <c r="AL51" s="129">
        <v>157</v>
      </c>
    </row>
    <row r="52">
      <c r="A52" s="108"/>
      <c r="B52" s="109" t="s">
        <v>143</v>
      </c>
      <c r="C52" s="110" t="s">
        <v>148</v>
      </c>
      <c r="D52" s="143">
        <f t="shared" si="297"/>
      </c>
      <c r="E52" s="144">
        <v>243.27</v>
      </c>
      <c r="F52" s="145">
        <v>3644.93</v>
      </c>
      <c r="G52" s="146">
        <v>0</v>
      </c>
      <c r="H52" s="113">
        <v>0</v>
      </c>
      <c r="I52" s="113">
        <f t="shared" si="426"/>
      </c>
      <c r="J52" s="114">
        <v>0</v>
      </c>
      <c r="K52" s="115">
        <f t="shared" si="39"/>
      </c>
      <c r="L52" s="115">
        <f t="shared" si="168"/>
      </c>
      <c r="M52" s="116">
        <f t="shared" si="607"/>
      </c>
      <c r="N52" s="117">
        <f t="shared" si="637"/>
      </c>
      <c r="O52" s="118">
        <f t="shared" si="547"/>
      </c>
      <c r="P52" s="119">
        <f t="shared" si="577"/>
      </c>
      <c r="Q52" s="119">
        <f t="shared" si="757"/>
      </c>
      <c r="R52" s="119">
        <f t="shared" si="787"/>
      </c>
      <c r="S52" s="120">
        <f t="shared" si="667"/>
      </c>
      <c r="T52" s="121">
        <f t="shared" si="697"/>
      </c>
      <c r="U52" s="119">
        <f t="shared" si="976"/>
      </c>
      <c r="V52" s="122">
        <f t="shared" si="727"/>
      </c>
      <c r="W52" s="122">
        <f t="shared" si="1006"/>
      </c>
      <c r="X52" s="119">
        <f t="shared" si="817"/>
      </c>
      <c r="Y52" s="123">
        <f t="shared" si="855"/>
      </c>
      <c r="Z52" s="123">
        <v>2</v>
      </c>
      <c r="AA52" s="123">
        <v>9</v>
      </c>
      <c r="AB52" s="124">
        <v>19957.32</v>
      </c>
      <c r="AC52" s="124">
        <v>2853.8</v>
      </c>
      <c r="AD52" s="120">
        <f t="shared" si="1"/>
      </c>
      <c r="AE52" s="125" t="s">
        <v>136</v>
      </c>
      <c r="AF52" s="126" t="s">
        <v>137</v>
      </c>
      <c r="AG52" s="127">
        <v>7</v>
      </c>
      <c r="AH52" s="128">
        <v>58507</v>
      </c>
      <c r="AI52" s="128">
        <v>883</v>
      </c>
      <c r="AJ52" s="128">
        <v>955</v>
      </c>
      <c r="AK52" s="127">
        <v>126</v>
      </c>
      <c r="AL52" s="127">
        <v>141</v>
      </c>
    </row>
    <row r="53">
      <c r="A53" s="108"/>
      <c r="B53" s="130" t="s">
        <v>127</v>
      </c>
      <c r="C53" s="131">
        <v>5</v>
      </c>
      <c r="D53" s="132">
        <f>SUM(D48:D52)</f>
      </c>
      <c r="E53" s="148">
        <f>SUM(E48:E52)</f>
      </c>
      <c r="F53" s="148">
        <f>SUM(F48:F52)</f>
      </c>
      <c r="G53" s="132">
        <f>SUM(G48:G52)</f>
      </c>
      <c r="H53" s="132">
        <f>SUM(H48:H52)</f>
      </c>
      <c r="I53" s="132">
        <f>SUM(I48:I52)</f>
      </c>
      <c r="J53" s="132">
        <f>SUM(J48:J52)</f>
      </c>
      <c r="K53" s="132">
        <f>SUM(K48:K52)</f>
      </c>
      <c r="L53" s="132">
        <f>SUM(L48:L52)</f>
      </c>
      <c r="M53" s="133">
        <f t="shared" si="607"/>
      </c>
      <c r="N53" s="134">
        <f t="shared" si="637"/>
      </c>
      <c r="O53" s="134">
        <f t="shared" si="547"/>
      </c>
      <c r="P53" s="135">
        <f t="shared" si="577"/>
      </c>
      <c r="Q53" s="135">
        <f t="shared" si="757"/>
      </c>
      <c r="R53" s="135">
        <f t="shared" si="787"/>
      </c>
      <c r="S53" s="136">
        <f t="shared" si="667"/>
      </c>
      <c r="T53" s="136">
        <f t="shared" si="697"/>
      </c>
      <c r="U53" s="135">
        <f t="shared" si="976"/>
      </c>
      <c r="V53" s="136">
        <f t="shared" si="727"/>
      </c>
      <c r="W53" s="136">
        <f t="shared" si="1006"/>
      </c>
      <c r="X53" s="135">
        <f t="shared" si="817"/>
      </c>
      <c r="Y53" s="132">
        <f>SUM(Y48:Y52)</f>
      </c>
      <c r="Z53" s="132">
        <f>SUM(Z48:Z52)</f>
      </c>
      <c r="AA53" s="132">
        <f>SUM(AA48:AA52)</f>
      </c>
      <c r="AB53" s="132">
        <f>SUM(AB48:AB52)</f>
      </c>
      <c r="AC53" s="149">
        <f>SUM(AC48:AC52)</f>
      </c>
      <c r="AD53" s="150">
        <f t="shared" si="1"/>
      </c>
      <c r="AE53" s="151"/>
      <c r="AF53" s="139"/>
      <c r="AG53" s="132">
        <f>SUM(AG48:AG52)</f>
      </c>
      <c r="AH53" s="132">
        <f>SUM(AH48:AH52)</f>
      </c>
      <c r="AI53" s="132">
        <f>SUM(AI48:AI52)</f>
      </c>
      <c r="AJ53" s="132">
        <f>SUM(AJ48:AJ52)</f>
      </c>
      <c r="AK53" s="132">
        <f>SUM(AK48:AK52)</f>
      </c>
      <c r="AL53" s="132">
        <f>SUM(AL48:AL52)</f>
      </c>
    </row>
    <row r="54">
      <c r="A54" s="108"/>
      <c r="B54" s="152" t="s">
        <v>127</v>
      </c>
      <c r="C54" s="153">
        <f>C34+C39+C47+C53+C43</f>
      </c>
      <c r="D54" s="153">
        <f>D34+D39+D47+D53+D43</f>
      </c>
      <c r="E54" s="153">
        <f>E34+E39+E47+E53+E43</f>
      </c>
      <c r="F54" s="153">
        <f>F34+F39+F47+F53+F43</f>
      </c>
      <c r="G54" s="153">
        <f>G34+G39+G47+G53+G43</f>
      </c>
      <c r="H54" s="153">
        <f>H34+H39+H47+H53+H43</f>
      </c>
      <c r="I54" s="153">
        <f>I34+I39+I47+I53+I43</f>
      </c>
      <c r="J54" s="153">
        <f>J34+J39+J47+J53+J43</f>
      </c>
      <c r="K54" s="153">
        <f>K34+K39+K47+K53+K43</f>
      </c>
      <c r="L54" s="153">
        <f>L34+L39+L47+L53+L43</f>
      </c>
      <c r="M54" s="154">
        <f t="shared" si="607"/>
      </c>
      <c r="N54" s="154">
        <f t="shared" si="637"/>
      </c>
      <c r="O54" s="154">
        <f t="shared" si="547"/>
      </c>
      <c r="P54" s="154">
        <f t="shared" si="577"/>
      </c>
      <c r="Q54" s="154">
        <f t="shared" si="757"/>
      </c>
      <c r="R54" s="154">
        <f t="shared" si="787"/>
      </c>
      <c r="S54" s="155">
        <f t="shared" si="667"/>
      </c>
      <c r="T54" s="155">
        <f t="shared" si="697"/>
      </c>
      <c r="U54" s="154">
        <f t="shared" si="976"/>
      </c>
      <c r="V54" s="155">
        <f t="shared" si="727"/>
      </c>
      <c r="W54" s="155">
        <f t="shared" si="1006"/>
      </c>
      <c r="X54" s="154">
        <f t="shared" si="817"/>
      </c>
      <c r="Y54" s="156">
        <f>Y34+Y39+Y47+Y53+Y43</f>
      </c>
      <c r="Z54" s="156">
        <f>Z34+Z39+Z47+Z53+Z43</f>
      </c>
      <c r="AA54" s="156">
        <f>AA34+AA39+AA47+AA53+AA43</f>
      </c>
      <c r="AB54" s="156">
        <f>AB34+AB39+AB47+AB53+AB43</f>
      </c>
      <c r="AC54" s="156">
        <f>AC34+AC39+AC47+AC53+AC43</f>
      </c>
      <c r="AD54" s="157">
        <f t="shared" si="1"/>
      </c>
      <c r="AE54" s="158"/>
      <c r="AF54" s="159"/>
      <c r="AG54" s="153">
        <f>AG34+AG39+AG47+AG53+AG43</f>
      </c>
      <c r="AH54" s="153">
        <f>AH34+AH39+AH47+AH53+AH43</f>
      </c>
      <c r="AI54" s="153">
        <f>AI34+AI39+AI47+AI53+AI43</f>
      </c>
      <c r="AJ54" s="153">
        <f>AJ34+AJ39+AJ47+AJ53+AJ43</f>
      </c>
      <c r="AK54" s="153">
        <f>AK34+AK39+AK47+AK53+AK43</f>
      </c>
      <c r="AL54" s="153">
        <f>AL34+AL39+AL47+AL53+AL43</f>
      </c>
    </row>
    <row r="55">
      <c r="A55" s="94" t="s">
        <v>81</v>
      </c>
      <c r="B55" s="95" t="s">
        <v>82</v>
      </c>
      <c r="C55" s="95" t="s">
        <v>83</v>
      </c>
      <c r="D55" s="96" t="s">
        <v>84</v>
      </c>
      <c r="E55" s="95" t="s">
        <v>85</v>
      </c>
      <c r="F55" s="95" t="s">
        <v>86</v>
      </c>
      <c r="G55" s="97" t="s">
        <v>87</v>
      </c>
      <c r="H55" s="97" t="s">
        <v>88</v>
      </c>
      <c r="I55" s="96" t="s">
        <v>89</v>
      </c>
      <c r="J55" s="98" t="s">
        <v>90</v>
      </c>
      <c r="K55" s="99" t="s">
        <v>91</v>
      </c>
      <c r="L55" s="99" t="s">
        <v>92</v>
      </c>
      <c r="M55" s="100" t="s">
        <v>93</v>
      </c>
      <c r="N55" s="99" t="s">
        <v>94</v>
      </c>
      <c r="O55" s="95" t="s">
        <v>95</v>
      </c>
      <c r="P55" s="100" t="s">
        <v>96</v>
      </c>
      <c r="Q55" s="101" t="s">
        <v>97</v>
      </c>
      <c r="R55" s="101" t="s">
        <v>98</v>
      </c>
      <c r="S55" s="96" t="s">
        <v>99</v>
      </c>
      <c r="T55" s="102" t="s">
        <v>100</v>
      </c>
      <c r="U55" s="100" t="s">
        <v>101</v>
      </c>
      <c r="V55" s="103" t="s">
        <v>102</v>
      </c>
      <c r="W55" s="104" t="s">
        <v>103</v>
      </c>
      <c r="X55" s="100" t="s">
        <v>104</v>
      </c>
      <c r="Y55" s="105" t="s">
        <v>105</v>
      </c>
      <c r="Z55" s="106" t="s">
        <v>106</v>
      </c>
      <c r="AA55" s="105" t="s">
        <v>107</v>
      </c>
      <c r="AB55" s="107" t="s">
        <v>108</v>
      </c>
      <c r="AC55" s="107" t="s">
        <v>109</v>
      </c>
      <c r="AD55" s="99" t="s">
        <v>110</v>
      </c>
      <c r="AE55" s="98" t="s">
        <v>111</v>
      </c>
      <c r="AF55" s="99" t="s">
        <v>112</v>
      </c>
      <c r="AG55" s="98" t="s">
        <v>113</v>
      </c>
      <c r="AH55" s="98" t="s">
        <v>114</v>
      </c>
      <c r="AI55" s="99" t="s">
        <v>115</v>
      </c>
      <c r="AJ55" s="98" t="s">
        <v>116</v>
      </c>
      <c r="AK55" s="99" t="s">
        <v>117</v>
      </c>
      <c r="AL55" s="98" t="s">
        <v>118</v>
      </c>
    </row>
    <row r="56">
      <c r="A56" s="108">
        <v>46268</v>
      </c>
      <c r="B56" s="109" t="s">
        <v>119</v>
      </c>
      <c r="C56" s="110" t="s">
        <v>120</v>
      </c>
      <c r="D56" s="111">
        <f t="shared" ref="D56:D60" si="298">E56+F56+G56+H56</f>
      </c>
      <c r="E56" s="112">
        <v>1457.31</v>
      </c>
      <c r="F56" s="113">
        <v>9702.4</v>
      </c>
      <c r="G56" s="113">
        <v>0</v>
      </c>
      <c r="H56" s="113">
        <v>0</v>
      </c>
      <c r="I56" s="113">
        <f t="shared" ref="I56:I60" si="427">AB56+AC56</f>
      </c>
      <c r="J56" s="114">
        <v>5850.36</v>
      </c>
      <c r="K56" s="115">
        <f t="shared" ref="K56:K60" si="40">I56-J56</f>
      </c>
      <c r="L56" s="115">
        <f t="shared" ref="L56:L60" si="169">(I56-AC56)/12+AC56</f>
      </c>
      <c r="M56" s="116">
        <f t="shared" ref="M56:M81" si="608">I56/D56</f>
      </c>
      <c r="N56" s="117">
        <f t="shared" ref="N56:N81" si="638">(I56-J56)/D56</f>
      </c>
      <c r="O56" s="118">
        <f t="shared" ref="O56:O81" si="548">(AC56+AB56/12)/D56</f>
      </c>
      <c r="P56" s="119">
        <f t="shared" ref="P56:P81" si="578">I56/AA56</f>
      </c>
      <c r="Q56" s="119">
        <f t="shared" ref="Q56:Q81" si="758">D56/AA56</f>
      </c>
      <c r="R56" s="119">
        <f t="shared" ref="R56:R81" si="788">D56/AG56</f>
      </c>
      <c r="S56" s="120">
        <f t="shared" ref="S56:S81" si="668">AA56/Y56</f>
      </c>
      <c r="T56" s="121">
        <f t="shared" ref="T56:T81" si="698">AI56/AH56</f>
      </c>
      <c r="U56" s="119">
        <f t="shared" ref="U56:U81" si="977">D56/AJ56</f>
      </c>
      <c r="V56" s="122">
        <f t="shared" ref="V56:V81" si="728">AK56/AJ56</f>
      </c>
      <c r="W56" s="122">
        <f t="shared" ref="W56:W81" si="1007">AL56/AJ56</f>
      </c>
      <c r="X56" s="119">
        <f t="shared" ref="X56:X81" si="818">D56/AL56</f>
      </c>
      <c r="Y56" s="123">
        <f t="shared" ref="Y56:Y60" si="856">Z56+AA56</f>
      </c>
      <c r="Z56" s="123">
        <v>8</v>
      </c>
      <c r="AA56" s="123">
        <v>10</v>
      </c>
      <c r="AB56" s="124">
        <v>15636.240000000002</v>
      </c>
      <c r="AC56" s="124">
        <v>449</v>
      </c>
      <c r="AD56" s="120">
        <f t="shared" ref="AD56:AD81" si="2">AC56/I56</f>
      </c>
      <c r="AE56" s="125" t="s">
        <v>121</v>
      </c>
      <c r="AF56" s="126" t="s">
        <v>149</v>
      </c>
      <c r="AG56" s="127">
        <v>6</v>
      </c>
      <c r="AH56" s="127">
        <v>103411</v>
      </c>
      <c r="AI56" s="128">
        <v>2679</v>
      </c>
      <c r="AJ56" s="128">
        <v>2836</v>
      </c>
      <c r="AK56" s="127">
        <v>351</v>
      </c>
      <c r="AL56" s="129">
        <v>329</v>
      </c>
    </row>
    <row r="57">
      <c r="A57" s="108"/>
      <c r="B57" s="109" t="s">
        <v>119</v>
      </c>
      <c r="C57" s="110" t="s">
        <v>123</v>
      </c>
      <c r="D57" s="111">
        <f t="shared" si="298"/>
      </c>
      <c r="E57" s="110">
        <v>1472.15</v>
      </c>
      <c r="F57" s="113">
        <v>8949.82</v>
      </c>
      <c r="G57" s="113">
        <v>0</v>
      </c>
      <c r="H57" s="113">
        <v>0</v>
      </c>
      <c r="I57" s="113">
        <f t="shared" si="427"/>
      </c>
      <c r="J57" s="114">
        <v>6083.64</v>
      </c>
      <c r="K57" s="115">
        <f t="shared" si="40"/>
      </c>
      <c r="L57" s="115">
        <f t="shared" si="169"/>
      </c>
      <c r="M57" s="116">
        <f t="shared" si="608"/>
      </c>
      <c r="N57" s="117">
        <f t="shared" si="638"/>
      </c>
      <c r="O57" s="118">
        <f t="shared" si="548"/>
      </c>
      <c r="P57" s="119">
        <f t="shared" si="578"/>
      </c>
      <c r="Q57" s="119">
        <f t="shared" si="758"/>
      </c>
      <c r="R57" s="119">
        <f t="shared" si="788"/>
      </c>
      <c r="S57" s="120">
        <f t="shared" si="668"/>
      </c>
      <c r="T57" s="121">
        <f t="shared" si="698"/>
      </c>
      <c r="U57" s="119">
        <f t="shared" si="977"/>
      </c>
      <c r="V57" s="122">
        <f t="shared" si="728"/>
      </c>
      <c r="W57" s="122">
        <f t="shared" si="1007"/>
      </c>
      <c r="X57" s="119">
        <f t="shared" si="818"/>
      </c>
      <c r="Y57" s="123">
        <f t="shared" si="856"/>
      </c>
      <c r="Z57" s="123">
        <v>14</v>
      </c>
      <c r="AA57" s="123">
        <v>10</v>
      </c>
      <c r="AB57" s="124">
        <v>19502.640000000003</v>
      </c>
      <c r="AC57" s="124">
        <v>0</v>
      </c>
      <c r="AD57" s="120">
        <f t="shared" si="2"/>
      </c>
      <c r="AE57" s="125" t="s">
        <v>121</v>
      </c>
      <c r="AF57" s="126" t="s">
        <v>149</v>
      </c>
      <c r="AG57" s="127">
        <v>9</v>
      </c>
      <c r="AH57" s="128">
        <v>107257</v>
      </c>
      <c r="AI57" s="128">
        <v>1878</v>
      </c>
      <c r="AJ57" s="128">
        <v>2033</v>
      </c>
      <c r="AK57" s="129">
        <v>306</v>
      </c>
      <c r="AL57" s="129">
        <v>328</v>
      </c>
    </row>
    <row r="58">
      <c r="A58" s="108"/>
      <c r="B58" s="109" t="s">
        <v>119</v>
      </c>
      <c r="C58" s="110" t="s">
        <v>124</v>
      </c>
      <c r="D58" s="111">
        <f t="shared" si="298"/>
      </c>
      <c r="E58" s="110">
        <v>1278.91</v>
      </c>
      <c r="F58" s="110">
        <v>8041.39</v>
      </c>
      <c r="G58" s="113">
        <v>0</v>
      </c>
      <c r="H58" s="113">
        <v>0</v>
      </c>
      <c r="I58" s="113">
        <f t="shared" si="427"/>
      </c>
      <c r="J58" s="114">
        <v>2081.16</v>
      </c>
      <c r="K58" s="115">
        <f t="shared" si="40"/>
      </c>
      <c r="L58" s="115">
        <f t="shared" si="169"/>
      </c>
      <c r="M58" s="116">
        <f t="shared" si="608"/>
      </c>
      <c r="N58" s="117">
        <f t="shared" si="638"/>
      </c>
      <c r="O58" s="118">
        <f t="shared" si="548"/>
      </c>
      <c r="P58" s="119">
        <f t="shared" si="578"/>
      </c>
      <c r="Q58" s="119">
        <f t="shared" si="758"/>
      </c>
      <c r="R58" s="119">
        <f t="shared" si="788"/>
      </c>
      <c r="S58" s="120">
        <f t="shared" si="668"/>
      </c>
      <c r="T58" s="121">
        <f t="shared" si="698"/>
      </c>
      <c r="U58" s="119">
        <f t="shared" si="977"/>
      </c>
      <c r="V58" s="122">
        <f t="shared" si="728"/>
      </c>
      <c r="W58" s="122">
        <f t="shared" si="1007"/>
      </c>
      <c r="X58" s="119">
        <f t="shared" si="818"/>
      </c>
      <c r="Y58" s="123">
        <f t="shared" si="856"/>
      </c>
      <c r="Z58" s="123">
        <v>5</v>
      </c>
      <c r="AA58" s="123">
        <v>7</v>
      </c>
      <c r="AB58" s="124">
        <v>8080.560000000001</v>
      </c>
      <c r="AC58" s="124">
        <v>2997.25</v>
      </c>
      <c r="AD58" s="120">
        <f t="shared" si="2"/>
      </c>
      <c r="AE58" s="125" t="s">
        <v>121</v>
      </c>
      <c r="AF58" s="126" t="s">
        <v>149</v>
      </c>
      <c r="AG58" s="129">
        <v>5</v>
      </c>
      <c r="AH58" s="128">
        <v>81174</v>
      </c>
      <c r="AI58" s="128">
        <v>1419</v>
      </c>
      <c r="AJ58" s="128">
        <v>1564</v>
      </c>
      <c r="AK58" s="129">
        <v>241</v>
      </c>
      <c r="AL58" s="129">
        <v>268</v>
      </c>
    </row>
    <row r="59">
      <c r="A59" s="108"/>
      <c r="B59" s="109" t="s">
        <v>119</v>
      </c>
      <c r="C59" s="110" t="s">
        <v>125</v>
      </c>
      <c r="D59" s="111">
        <f t="shared" si="298"/>
      </c>
      <c r="E59" s="110">
        <v>1291.37</v>
      </c>
      <c r="F59" s="113">
        <v>5574.28</v>
      </c>
      <c r="G59" s="113">
        <v>0</v>
      </c>
      <c r="H59" s="113">
        <v>0</v>
      </c>
      <c r="I59" s="113">
        <f t="shared" si="427"/>
      </c>
      <c r="J59" s="114">
        <v>4557.96</v>
      </c>
      <c r="K59" s="115">
        <f t="shared" si="40"/>
      </c>
      <c r="L59" s="115">
        <f t="shared" si="169"/>
      </c>
      <c r="M59" s="116">
        <f t="shared" si="608"/>
      </c>
      <c r="N59" s="117">
        <f t="shared" si="638"/>
      </c>
      <c r="O59" s="118">
        <f t="shared" si="548"/>
      </c>
      <c r="P59" s="119">
        <f t="shared" si="578"/>
      </c>
      <c r="Q59" s="119">
        <f t="shared" si="758"/>
      </c>
      <c r="R59" s="119">
        <f t="shared" si="788"/>
      </c>
      <c r="S59" s="120">
        <f t="shared" si="668"/>
      </c>
      <c r="T59" s="121">
        <f t="shared" si="698"/>
      </c>
      <c r="U59" s="119">
        <f t="shared" si="977"/>
      </c>
      <c r="V59" s="122">
        <f t="shared" si="728"/>
      </c>
      <c r="W59" s="122">
        <f t="shared" si="1007"/>
      </c>
      <c r="X59" s="119">
        <f t="shared" si="818"/>
      </c>
      <c r="Y59" s="123">
        <f t="shared" si="856"/>
      </c>
      <c r="Z59" s="123">
        <v>8</v>
      </c>
      <c r="AA59" s="123">
        <v>11</v>
      </c>
      <c r="AB59" s="124">
        <v>18257.280000000002</v>
      </c>
      <c r="AC59" s="124">
        <v>656</v>
      </c>
      <c r="AD59" s="120">
        <f t="shared" si="2"/>
      </c>
      <c r="AE59" s="125" t="s">
        <v>121</v>
      </c>
      <c r="AF59" s="126" t="s">
        <v>149</v>
      </c>
      <c r="AG59" s="127">
        <v>10</v>
      </c>
      <c r="AH59" s="128">
        <v>53916</v>
      </c>
      <c r="AI59" s="128">
        <v>975</v>
      </c>
      <c r="AJ59" s="128">
        <v>1062</v>
      </c>
      <c r="AK59" s="129">
        <v>178</v>
      </c>
      <c r="AL59" s="129">
        <v>194</v>
      </c>
    </row>
    <row r="60">
      <c r="A60" s="108"/>
      <c r="B60" s="109" t="s">
        <v>119</v>
      </c>
      <c r="C60" s="110" t="s">
        <v>126</v>
      </c>
      <c r="D60" s="111">
        <f t="shared" si="298"/>
      </c>
      <c r="E60" s="112">
        <v>1064.92</v>
      </c>
      <c r="F60" s="113">
        <v>7012.92</v>
      </c>
      <c r="G60" s="113">
        <v>0</v>
      </c>
      <c r="H60" s="113">
        <v>0</v>
      </c>
      <c r="I60" s="113">
        <f t="shared" si="427"/>
      </c>
      <c r="J60" s="114">
        <f>2153.48+1736.64</f>
      </c>
      <c r="K60" s="115">
        <f t="shared" si="40"/>
      </c>
      <c r="L60" s="115">
        <f t="shared" si="169"/>
      </c>
      <c r="M60" s="116">
        <f t="shared" si="608"/>
      </c>
      <c r="N60" s="117">
        <f t="shared" si="638"/>
      </c>
      <c r="O60" s="118">
        <f t="shared" si="548"/>
      </c>
      <c r="P60" s="119">
        <f t="shared" si="578"/>
      </c>
      <c r="Q60" s="119">
        <f t="shared" si="758"/>
      </c>
      <c r="R60" s="119">
        <f t="shared" si="788"/>
      </c>
      <c r="S60" s="120">
        <f t="shared" si="668"/>
      </c>
      <c r="T60" s="121">
        <f t="shared" si="698"/>
      </c>
      <c r="U60" s="119">
        <f t="shared" si="977"/>
      </c>
      <c r="V60" s="122">
        <f t="shared" si="728"/>
      </c>
      <c r="W60" s="122">
        <f t="shared" si="1007"/>
      </c>
      <c r="X60" s="119">
        <f t="shared" si="818"/>
      </c>
      <c r="Y60" s="123">
        <f t="shared" si="856"/>
      </c>
      <c r="Z60" s="123">
        <v>0</v>
      </c>
      <c r="AA60" s="123">
        <v>6</v>
      </c>
      <c r="AB60" s="124">
        <v>5045.759999999998</v>
      </c>
      <c r="AC60" s="124">
        <v>1606.999999999999</v>
      </c>
      <c r="AD60" s="120">
        <f t="shared" si="2"/>
      </c>
      <c r="AE60" s="125" t="s">
        <v>121</v>
      </c>
      <c r="AF60" s="126" t="s">
        <v>149</v>
      </c>
      <c r="AG60" s="127">
        <v>5</v>
      </c>
      <c r="AH60" s="128">
        <v>64076</v>
      </c>
      <c r="AI60" s="128">
        <v>948</v>
      </c>
      <c r="AJ60" s="128">
        <v>1067</v>
      </c>
      <c r="AK60" s="127">
        <v>174</v>
      </c>
      <c r="AL60" s="127">
        <v>219</v>
      </c>
    </row>
    <row r="61">
      <c r="A61" s="108"/>
      <c r="B61" s="130" t="s">
        <v>127</v>
      </c>
      <c r="C61" s="131">
        <v>5</v>
      </c>
      <c r="D61" s="132">
        <f>SUM(D56:D60)</f>
      </c>
      <c r="E61" s="132">
        <f>SUM(E56:E60)</f>
      </c>
      <c r="F61" s="132">
        <f>SUM(F56:F60)</f>
      </c>
      <c r="G61" s="132">
        <f>SUM(G56:G60)</f>
      </c>
      <c r="H61" s="132">
        <f>SUM(H56:H60)</f>
      </c>
      <c r="I61" s="132">
        <f>SUM(I56:I60)</f>
      </c>
      <c r="J61" s="132">
        <f>SUM(J56:J60)</f>
      </c>
      <c r="K61" s="132">
        <f>SUM(K56:K60)</f>
      </c>
      <c r="L61" s="132">
        <f>SUM(L56:L60)</f>
      </c>
      <c r="M61" s="133">
        <f t="shared" si="608"/>
      </c>
      <c r="N61" s="134">
        <f t="shared" si="638"/>
      </c>
      <c r="O61" s="134">
        <f t="shared" si="548"/>
      </c>
      <c r="P61" s="135">
        <f t="shared" si="578"/>
      </c>
      <c r="Q61" s="135">
        <f t="shared" si="758"/>
      </c>
      <c r="R61" s="135">
        <f t="shared" si="788"/>
      </c>
      <c r="S61" s="136">
        <f t="shared" si="668"/>
      </c>
      <c r="T61" s="136">
        <f t="shared" si="698"/>
      </c>
      <c r="U61" s="135">
        <f t="shared" si="977"/>
      </c>
      <c r="V61" s="136">
        <f t="shared" si="728"/>
      </c>
      <c r="W61" s="136">
        <f t="shared" si="1007"/>
      </c>
      <c r="X61" s="135">
        <f t="shared" si="818"/>
      </c>
      <c r="Y61" s="132">
        <f>SUM(Y56:Y60)</f>
      </c>
      <c r="Z61" s="132">
        <f>SUM(Z56:Z60)</f>
      </c>
      <c r="AA61" s="132">
        <f>SUM(AA56:AA60)</f>
      </c>
      <c r="AB61" s="132">
        <f>SUM(AB56:AB60)</f>
      </c>
      <c r="AC61" s="132">
        <f>SUM(AC56:AC60)</f>
      </c>
      <c r="AD61" s="137">
        <f t="shared" si="2"/>
      </c>
      <c r="AE61" s="138"/>
      <c r="AF61" s="139"/>
      <c r="AG61" s="132">
        <f>SUM(AG56:AG60)</f>
      </c>
      <c r="AH61" s="132">
        <f>SUM(AH56:AH60)</f>
      </c>
      <c r="AI61" s="132">
        <f>SUM(AI56:AI60)</f>
      </c>
      <c r="AJ61" s="132">
        <f>SUM(AJ56:AJ60)</f>
      </c>
      <c r="AK61" s="132">
        <f>SUM(AK56:AK60)</f>
      </c>
      <c r="AL61" s="132">
        <f>SUM(AL56:AL60)</f>
      </c>
    </row>
    <row r="62">
      <c r="A62" s="108"/>
      <c r="B62" s="109" t="s">
        <v>128</v>
      </c>
      <c r="C62" s="110" t="s">
        <v>129</v>
      </c>
      <c r="D62" s="111">
        <f t="shared" ref="D62:D65" si="299">E62+F62+G62+H62</f>
      </c>
      <c r="E62" s="110">
        <v>830.67</v>
      </c>
      <c r="F62" s="113">
        <v>5199.08</v>
      </c>
      <c r="G62" s="113">
        <v>0</v>
      </c>
      <c r="H62" s="113">
        <v>0</v>
      </c>
      <c r="I62" s="113">
        <f t="shared" ref="I62:I65" si="428">AB62+AC62</f>
      </c>
      <c r="J62" s="114">
        <v>361.8</v>
      </c>
      <c r="K62" s="115">
        <f t="shared" ref="K62:K65" si="41">I62-J62</f>
      </c>
      <c r="L62" s="115">
        <f t="shared" ref="L62:L65" si="170">(I62-AC62)/12+AC62</f>
      </c>
      <c r="M62" s="116">
        <f t="shared" si="608"/>
      </c>
      <c r="N62" s="117">
        <f t="shared" si="638"/>
      </c>
      <c r="O62" s="118">
        <f t="shared" si="548"/>
      </c>
      <c r="P62" s="119">
        <f t="shared" si="578"/>
      </c>
      <c r="Q62" s="119">
        <f t="shared" si="758"/>
      </c>
      <c r="R62" s="119">
        <f t="shared" si="788"/>
      </c>
      <c r="S62" s="120">
        <f t="shared" si="668"/>
      </c>
      <c r="T62" s="121">
        <f t="shared" si="698"/>
      </c>
      <c r="U62" s="119">
        <f t="shared" si="977"/>
      </c>
      <c r="V62" s="122">
        <f t="shared" si="728"/>
      </c>
      <c r="W62" s="122">
        <f t="shared" si="1007"/>
      </c>
      <c r="X62" s="119">
        <f t="shared" si="818"/>
      </c>
      <c r="Y62" s="123">
        <f t="shared" ref="Y62:Y65" si="857">Z62+AA62</f>
      </c>
      <c r="Z62" s="123">
        <v>3</v>
      </c>
      <c r="AA62" s="123">
        <v>5</v>
      </c>
      <c r="AB62" s="124">
        <v>5933.520000000008</v>
      </c>
      <c r="AC62" s="124">
        <v>1733</v>
      </c>
      <c r="AD62" s="120">
        <f t="shared" si="2"/>
      </c>
      <c r="AE62" s="125" t="s">
        <v>121</v>
      </c>
      <c r="AF62" s="126" t="s">
        <v>150</v>
      </c>
      <c r="AG62" s="127">
        <v>3</v>
      </c>
      <c r="AH62" s="128">
        <v>53911</v>
      </c>
      <c r="AI62" s="128">
        <v>711</v>
      </c>
      <c r="AJ62" s="128">
        <v>778</v>
      </c>
      <c r="AK62" s="127">
        <v>122</v>
      </c>
      <c r="AL62" s="127">
        <v>158</v>
      </c>
    </row>
    <row r="63">
      <c r="A63" s="108"/>
      <c r="B63" s="109" t="s">
        <v>128</v>
      </c>
      <c r="C63" s="110" t="s">
        <v>130</v>
      </c>
      <c r="D63" s="111">
        <f t="shared" si="299"/>
      </c>
      <c r="E63" s="110">
        <v>875.97</v>
      </c>
      <c r="F63" s="113">
        <v>4409.33</v>
      </c>
      <c r="G63" s="113">
        <v>0</v>
      </c>
      <c r="H63" s="113">
        <v>0</v>
      </c>
      <c r="I63" s="113">
        <f t="shared" si="428"/>
      </c>
      <c r="J63" s="114">
        <f>1797.12+1622.16</f>
      </c>
      <c r="K63" s="115">
        <f t="shared" si="41"/>
      </c>
      <c r="L63" s="115">
        <f t="shared" si="170"/>
      </c>
      <c r="M63" s="116">
        <f t="shared" si="608"/>
      </c>
      <c r="N63" s="117">
        <f t="shared" si="638"/>
      </c>
      <c r="O63" s="118">
        <f t="shared" si="548"/>
      </c>
      <c r="P63" s="119">
        <f t="shared" si="578"/>
      </c>
      <c r="Q63" s="119">
        <f t="shared" si="758"/>
      </c>
      <c r="R63" s="119">
        <f t="shared" si="788"/>
      </c>
      <c r="S63" s="120">
        <f t="shared" si="668"/>
      </c>
      <c r="T63" s="121">
        <f t="shared" si="698"/>
      </c>
      <c r="U63" s="119">
        <f t="shared" si="977"/>
      </c>
      <c r="V63" s="122">
        <f t="shared" si="728"/>
      </c>
      <c r="W63" s="122">
        <f t="shared" si="1007"/>
      </c>
      <c r="X63" s="119">
        <f t="shared" si="818"/>
      </c>
      <c r="Y63" s="123">
        <f t="shared" si="857"/>
      </c>
      <c r="Z63" s="123">
        <v>2</v>
      </c>
      <c r="AA63" s="123">
        <v>4</v>
      </c>
      <c r="AB63" s="124">
        <v>4971.239999999994</v>
      </c>
      <c r="AC63" s="124">
        <v>697</v>
      </c>
      <c r="AD63" s="120">
        <f t="shared" si="2"/>
      </c>
      <c r="AE63" s="125" t="s">
        <v>121</v>
      </c>
      <c r="AF63" s="126" t="s">
        <v>150</v>
      </c>
      <c r="AG63" s="127">
        <v>1</v>
      </c>
      <c r="AH63" s="128">
        <v>48832</v>
      </c>
      <c r="AI63" s="128">
        <v>741</v>
      </c>
      <c r="AJ63" s="128">
        <v>812</v>
      </c>
      <c r="AK63" s="129">
        <v>128</v>
      </c>
      <c r="AL63" s="129">
        <v>169</v>
      </c>
    </row>
    <row r="64">
      <c r="A64" s="108"/>
      <c r="B64" s="109" t="s">
        <v>128</v>
      </c>
      <c r="C64" s="110" t="s">
        <v>131</v>
      </c>
      <c r="D64" s="111">
        <f t="shared" si="299"/>
      </c>
      <c r="E64" s="110">
        <v>1059.56</v>
      </c>
      <c r="F64" s="110">
        <v>4646.73</v>
      </c>
      <c r="G64" s="113">
        <v>0</v>
      </c>
      <c r="H64" s="113">
        <v>0</v>
      </c>
      <c r="I64" s="113">
        <f t="shared" si="428"/>
      </c>
      <c r="J64" s="114">
        <v>542.16</v>
      </c>
      <c r="K64" s="115">
        <f t="shared" si="41"/>
      </c>
      <c r="L64" s="115">
        <f t="shared" si="170"/>
      </c>
      <c r="M64" s="116">
        <f t="shared" si="608"/>
      </c>
      <c r="N64" s="117">
        <f t="shared" si="638"/>
      </c>
      <c r="O64" s="118">
        <f t="shared" si="548"/>
      </c>
      <c r="P64" s="119">
        <f t="shared" si="578"/>
      </c>
      <c r="Q64" s="119">
        <f t="shared" si="758"/>
      </c>
      <c r="R64" s="119">
        <f t="shared" si="788"/>
      </c>
      <c r="S64" s="120">
        <f t="shared" si="668"/>
      </c>
      <c r="T64" s="121">
        <f t="shared" si="698"/>
      </c>
      <c r="U64" s="119">
        <f t="shared" si="977"/>
      </c>
      <c r="V64" s="122">
        <f t="shared" si="728"/>
      </c>
      <c r="W64" s="122">
        <f t="shared" si="1007"/>
      </c>
      <c r="X64" s="119">
        <f t="shared" si="818"/>
      </c>
      <c r="Y64" s="123">
        <f t="shared" si="857"/>
      </c>
      <c r="Z64" s="123">
        <v>3</v>
      </c>
      <c r="AA64" s="123">
        <v>2</v>
      </c>
      <c r="AB64" s="124">
        <v>1668.6000000000095</v>
      </c>
      <c r="AC64" s="124">
        <v>0</v>
      </c>
      <c r="AD64" s="120">
        <f t="shared" si="2"/>
      </c>
      <c r="AE64" s="125" t="s">
        <v>121</v>
      </c>
      <c r="AF64" s="126" t="s">
        <v>150</v>
      </c>
      <c r="AG64" s="129">
        <v>2</v>
      </c>
      <c r="AH64" s="128">
        <v>43011</v>
      </c>
      <c r="AI64" s="128">
        <v>815</v>
      </c>
      <c r="AJ64" s="128">
        <v>839</v>
      </c>
      <c r="AK64" s="129">
        <v>121</v>
      </c>
      <c r="AL64" s="129">
        <v>172</v>
      </c>
    </row>
    <row r="65">
      <c r="A65" s="108"/>
      <c r="B65" s="109" t="s">
        <v>128</v>
      </c>
      <c r="C65" s="110" t="s">
        <v>132</v>
      </c>
      <c r="D65" s="111">
        <f t="shared" si="299"/>
      </c>
      <c r="E65" s="110">
        <v>771.83</v>
      </c>
      <c r="F65" s="113">
        <v>3884.22</v>
      </c>
      <c r="G65" s="113">
        <v>0</v>
      </c>
      <c r="H65" s="113">
        <v>0</v>
      </c>
      <c r="I65" s="113">
        <f t="shared" si="428"/>
      </c>
      <c r="J65" s="114">
        <f>943.92+2603.88</f>
      </c>
      <c r="K65" s="115">
        <f t="shared" si="41"/>
      </c>
      <c r="L65" s="115">
        <f t="shared" si="170"/>
      </c>
      <c r="M65" s="116">
        <f t="shared" si="608"/>
      </c>
      <c r="N65" s="117">
        <f t="shared" si="638"/>
      </c>
      <c r="O65" s="118">
        <f t="shared" si="548"/>
      </c>
      <c r="P65" s="119">
        <f t="shared" si="578"/>
      </c>
      <c r="Q65" s="119">
        <f t="shared" si="758"/>
      </c>
      <c r="R65" s="119">
        <f t="shared" si="788"/>
      </c>
      <c r="S65" s="120">
        <f t="shared" si="668"/>
      </c>
      <c r="T65" s="121">
        <f t="shared" si="698"/>
      </c>
      <c r="U65" s="119">
        <f t="shared" si="977"/>
      </c>
      <c r="V65" s="122">
        <f t="shared" si="728"/>
      </c>
      <c r="W65" s="122">
        <f t="shared" si="1007"/>
      </c>
      <c r="X65" s="119">
        <f t="shared" si="818"/>
      </c>
      <c r="Y65" s="123">
        <f t="shared" si="857"/>
      </c>
      <c r="Z65" s="123">
        <v>6</v>
      </c>
      <c r="AA65" s="123">
        <v>2</v>
      </c>
      <c r="AB65" s="114">
        <v>3547.799999999992</v>
      </c>
      <c r="AC65" s="124">
        <v>0</v>
      </c>
      <c r="AD65" s="120">
        <f t="shared" si="2"/>
      </c>
      <c r="AE65" s="125" t="s">
        <v>121</v>
      </c>
      <c r="AF65" s="126" t="s">
        <v>150</v>
      </c>
      <c r="AG65" s="127">
        <v>1</v>
      </c>
      <c r="AH65" s="128">
        <v>46719</v>
      </c>
      <c r="AI65" s="128">
        <v>683</v>
      </c>
      <c r="AJ65" s="128">
        <v>702</v>
      </c>
      <c r="AK65" s="129">
        <v>125</v>
      </c>
      <c r="AL65" s="129">
        <v>171</v>
      </c>
    </row>
    <row r="66">
      <c r="A66" s="108"/>
      <c r="B66" s="130" t="s">
        <v>127</v>
      </c>
      <c r="C66" s="131">
        <v>4</v>
      </c>
      <c r="D66" s="132">
        <f>SUM(D62:D65)</f>
      </c>
      <c r="E66" s="132">
        <f>SUM(E62:E65)</f>
      </c>
      <c r="F66" s="132">
        <f>SUM(F62:F65)</f>
      </c>
      <c r="G66" s="132">
        <f>SUM(G62:G65)</f>
      </c>
      <c r="H66" s="132">
        <f>SUM(H62:H65)</f>
      </c>
      <c r="I66" s="132">
        <f>SUM(I62:I65)</f>
      </c>
      <c r="J66" s="132">
        <f>SUM(J62:J65)</f>
      </c>
      <c r="K66" s="132">
        <f>SUM(K62:K65)</f>
      </c>
      <c r="L66" s="132">
        <f>SUM(L62:L65)</f>
      </c>
      <c r="M66" s="133">
        <f t="shared" si="608"/>
      </c>
      <c r="N66" s="134">
        <f t="shared" si="638"/>
      </c>
      <c r="O66" s="134">
        <f t="shared" si="548"/>
      </c>
      <c r="P66" s="135">
        <f t="shared" si="578"/>
      </c>
      <c r="Q66" s="135">
        <f t="shared" si="758"/>
      </c>
      <c r="R66" s="135">
        <f t="shared" si="788"/>
      </c>
      <c r="S66" s="136">
        <f t="shared" si="668"/>
      </c>
      <c r="T66" s="136">
        <f t="shared" si="698"/>
      </c>
      <c r="U66" s="135">
        <f t="shared" si="977"/>
      </c>
      <c r="V66" s="136">
        <f t="shared" si="728"/>
      </c>
      <c r="W66" s="136">
        <f t="shared" si="1007"/>
      </c>
      <c r="X66" s="135">
        <f t="shared" si="818"/>
      </c>
      <c r="Y66" s="132">
        <f>SUM(Y62:Y65)</f>
      </c>
      <c r="Z66" s="132">
        <f>SUM(Z62:Z65)</f>
      </c>
      <c r="AA66" s="132">
        <f>SUM(AA62:AA65)</f>
      </c>
      <c r="AB66" s="132">
        <f>SUM(AB62:AB65)</f>
      </c>
      <c r="AC66" s="132">
        <f>SUM(AC62:AC65)</f>
      </c>
      <c r="AD66" s="137">
        <f t="shared" si="2"/>
      </c>
      <c r="AE66" s="138"/>
      <c r="AF66" s="139"/>
      <c r="AG66" s="132">
        <f>SUM(AG62:AG65)</f>
      </c>
      <c r="AH66" s="132">
        <f>SUM(AH62:AH65)</f>
      </c>
      <c r="AI66" s="132">
        <f>SUM(AI62:AI65)</f>
      </c>
      <c r="AJ66" s="132">
        <f>SUM(AJ62:AJ65)</f>
      </c>
      <c r="AK66" s="132">
        <f>SUM(AK62:AK65)</f>
      </c>
      <c r="AL66" s="132">
        <f>SUM(AL62:AL65)</f>
      </c>
    </row>
    <row r="67">
      <c r="A67" s="108"/>
      <c r="B67" s="109" t="s">
        <v>143</v>
      </c>
      <c r="C67" s="110" t="s">
        <v>134</v>
      </c>
      <c r="D67" s="111">
        <f t="shared" ref="D67:D70" si="300">E67+F67+G67+H67</f>
      </c>
      <c r="E67" s="110">
        <v>515.34</v>
      </c>
      <c r="F67" s="140">
        <v>3345.18</v>
      </c>
      <c r="G67" s="113">
        <v>0</v>
      </c>
      <c r="H67" s="113">
        <v>0</v>
      </c>
      <c r="I67" s="113">
        <f t="shared" ref="I67:I70" si="429">AB67+AC67</f>
      </c>
      <c r="J67" s="114">
        <v>2980</v>
      </c>
      <c r="K67" s="115">
        <f t="shared" ref="K67:K70" si="42">I67-J67</f>
      </c>
      <c r="L67" s="115">
        <f t="shared" ref="L67:L70" si="171">(I67-AC67)/12+AC67</f>
      </c>
      <c r="M67" s="116">
        <f t="shared" si="608"/>
      </c>
      <c r="N67" s="117">
        <f t="shared" si="638"/>
      </c>
      <c r="O67" s="118">
        <f t="shared" si="548"/>
      </c>
      <c r="P67" s="119">
        <f t="shared" si="578"/>
      </c>
      <c r="Q67" s="119">
        <f t="shared" si="758"/>
      </c>
      <c r="R67" s="119">
        <f t="shared" si="788"/>
      </c>
      <c r="S67" s="120">
        <f t="shared" si="668"/>
      </c>
      <c r="T67" s="121">
        <f t="shared" si="698"/>
      </c>
      <c r="U67" s="119">
        <f t="shared" si="977"/>
      </c>
      <c r="V67" s="122">
        <f t="shared" si="728"/>
      </c>
      <c r="W67" s="122">
        <f t="shared" si="1007"/>
      </c>
      <c r="X67" s="119">
        <f t="shared" si="818"/>
      </c>
      <c r="Y67" s="123">
        <f t="shared" ref="Y67:Y70" si="858">Z67+AA67</f>
      </c>
      <c r="Z67" s="123">
        <v>3</v>
      </c>
      <c r="AA67" s="123">
        <v>4</v>
      </c>
      <c r="AB67" s="124">
        <v>3270.2399999999943</v>
      </c>
      <c r="AC67" s="124">
        <v>4184</v>
      </c>
      <c r="AD67" s="120">
        <f t="shared" si="2"/>
      </c>
      <c r="AE67" s="125" t="s">
        <v>121</v>
      </c>
      <c r="AF67" s="126" t="s">
        <v>150</v>
      </c>
      <c r="AG67" s="127">
        <v>4</v>
      </c>
      <c r="AH67" s="128">
        <v>36250</v>
      </c>
      <c r="AI67" s="128">
        <v>658</v>
      </c>
      <c r="AJ67" s="128">
        <v>683</v>
      </c>
      <c r="AK67" s="129">
        <v>124</v>
      </c>
      <c r="AL67" s="129">
        <v>142</v>
      </c>
    </row>
    <row r="68">
      <c r="A68" s="108"/>
      <c r="B68" s="109" t="s">
        <v>143</v>
      </c>
      <c r="C68" s="110" t="s">
        <v>135</v>
      </c>
      <c r="D68" s="111">
        <f t="shared" si="300"/>
      </c>
      <c r="E68" s="110">
        <v>545.26</v>
      </c>
      <c r="F68" s="140">
        <v>5634.29</v>
      </c>
      <c r="G68" s="113">
        <v>0</v>
      </c>
      <c r="H68" s="113">
        <v>0</v>
      </c>
      <c r="I68" s="113">
        <f t="shared" si="429"/>
      </c>
      <c r="J68" s="114">
        <f>2611+943.92+1671.96</f>
      </c>
      <c r="K68" s="115">
        <f t="shared" si="42"/>
      </c>
      <c r="L68" s="115">
        <f t="shared" si="171"/>
      </c>
      <c r="M68" s="116">
        <f t="shared" si="608"/>
      </c>
      <c r="N68" s="117">
        <f t="shared" si="638"/>
      </c>
      <c r="O68" s="118">
        <f t="shared" si="548"/>
      </c>
      <c r="P68" s="119">
        <f t="shared" si="578"/>
      </c>
      <c r="Q68" s="119">
        <f t="shared" si="758"/>
      </c>
      <c r="R68" s="119">
        <f t="shared" si="788"/>
      </c>
      <c r="S68" s="120">
        <f t="shared" si="668"/>
      </c>
      <c r="T68" s="121">
        <f t="shared" si="698"/>
      </c>
      <c r="U68" s="119">
        <f t="shared" si="977"/>
      </c>
      <c r="V68" s="122">
        <f t="shared" si="728"/>
      </c>
      <c r="W68" s="122">
        <f t="shared" si="1007"/>
      </c>
      <c r="X68" s="119">
        <f t="shared" si="818"/>
      </c>
      <c r="Y68" s="123">
        <f t="shared" si="858"/>
      </c>
      <c r="Z68" s="123">
        <v>5</v>
      </c>
      <c r="AA68" s="123">
        <v>8</v>
      </c>
      <c r="AB68" s="124">
        <v>10108.920000000002</v>
      </c>
      <c r="AC68" s="124">
        <v>2610.999999999999</v>
      </c>
      <c r="AD68" s="120">
        <f t="shared" si="2"/>
      </c>
      <c r="AE68" s="125" t="s">
        <v>136</v>
      </c>
      <c r="AF68" s="126" t="s">
        <v>137</v>
      </c>
      <c r="AG68" s="127">
        <v>5</v>
      </c>
      <c r="AH68" s="128">
        <v>54546</v>
      </c>
      <c r="AI68" s="128">
        <v>820</v>
      </c>
      <c r="AJ68" s="128">
        <v>827</v>
      </c>
      <c r="AK68" s="129">
        <v>128</v>
      </c>
      <c r="AL68" s="129">
        <v>191</v>
      </c>
    </row>
    <row customHeight="true" ht="16.666666666666668" r="69">
      <c r="A69" s="108"/>
      <c r="B69" s="109" t="s">
        <v>143</v>
      </c>
      <c r="C69" s="110" t="s">
        <v>138</v>
      </c>
      <c r="D69" s="111">
        <f t="shared" si="300"/>
      </c>
      <c r="E69" s="141">
        <v>514.71</v>
      </c>
      <c r="F69" s="142">
        <v>4635.77</v>
      </c>
      <c r="G69" s="113">
        <v>0</v>
      </c>
      <c r="H69" s="113">
        <v>0</v>
      </c>
      <c r="I69" s="113">
        <f t="shared" si="429"/>
      </c>
      <c r="J69" s="114">
        <f>409.32+733.32</f>
      </c>
      <c r="K69" s="115">
        <f t="shared" si="42"/>
      </c>
      <c r="L69" s="115">
        <f t="shared" si="171"/>
      </c>
      <c r="M69" s="116">
        <f t="shared" si="608"/>
      </c>
      <c r="N69" s="117">
        <f t="shared" si="638"/>
      </c>
      <c r="O69" s="118">
        <f t="shared" si="548"/>
      </c>
      <c r="P69" s="119">
        <f t="shared" si="578"/>
      </c>
      <c r="Q69" s="119">
        <f t="shared" si="758"/>
      </c>
      <c r="R69" s="119">
        <f t="shared" si="788"/>
      </c>
      <c r="S69" s="120">
        <f t="shared" si="668"/>
      </c>
      <c r="T69" s="121">
        <f t="shared" si="698"/>
      </c>
      <c r="U69" s="119">
        <f t="shared" si="977"/>
      </c>
      <c r="V69" s="122">
        <f t="shared" si="728"/>
      </c>
      <c r="W69" s="122">
        <f t="shared" si="1007"/>
      </c>
      <c r="X69" s="119">
        <f t="shared" si="818"/>
      </c>
      <c r="Y69" s="123">
        <f t="shared" si="858"/>
      </c>
      <c r="Z69" s="123">
        <v>2</v>
      </c>
      <c r="AA69" s="123">
        <v>8</v>
      </c>
      <c r="AB69" s="124">
        <v>8921.880000000008</v>
      </c>
      <c r="AC69" s="124">
        <v>0</v>
      </c>
      <c r="AD69" s="120">
        <f t="shared" si="2"/>
      </c>
      <c r="AE69" s="125" t="s">
        <v>136</v>
      </c>
      <c r="AF69" s="126" t="s">
        <v>137</v>
      </c>
      <c r="AG69" s="129">
        <v>6</v>
      </c>
      <c r="AH69" s="128">
        <v>53756</v>
      </c>
      <c r="AI69" s="128">
        <v>758</v>
      </c>
      <c r="AJ69" s="128">
        <v>784</v>
      </c>
      <c r="AK69" s="129">
        <v>117</v>
      </c>
      <c r="AL69" s="129">
        <v>158</v>
      </c>
    </row>
    <row r="70">
      <c r="A70" s="108"/>
      <c r="B70" s="109" t="s">
        <v>143</v>
      </c>
      <c r="C70" s="110" t="s">
        <v>140</v>
      </c>
      <c r="D70" s="111">
        <f t="shared" si="300"/>
      </c>
      <c r="E70" s="141">
        <v>317.72</v>
      </c>
      <c r="F70" s="142">
        <v>5109.9</v>
      </c>
      <c r="G70" s="113">
        <v>0</v>
      </c>
      <c r="H70" s="113">
        <v>0</v>
      </c>
      <c r="I70" s="113">
        <f t="shared" si="429"/>
      </c>
      <c r="J70" s="114">
        <v>0</v>
      </c>
      <c r="K70" s="115">
        <f t="shared" si="42"/>
      </c>
      <c r="L70" s="115">
        <f t="shared" si="171"/>
      </c>
      <c r="M70" s="116">
        <f t="shared" si="608"/>
      </c>
      <c r="N70" s="117">
        <f t="shared" si="638"/>
      </c>
      <c r="O70" s="118">
        <f t="shared" si="548"/>
      </c>
      <c r="P70" s="119">
        <f t="shared" si="578"/>
      </c>
      <c r="Q70" s="119">
        <f t="shared" si="758"/>
      </c>
      <c r="R70" s="119">
        <f t="shared" si="788"/>
      </c>
      <c r="S70" s="120">
        <f t="shared" si="668"/>
      </c>
      <c r="T70" s="121">
        <f t="shared" si="698"/>
      </c>
      <c r="U70" s="119">
        <f t="shared" si="977"/>
      </c>
      <c r="V70" s="122">
        <f t="shared" si="728"/>
      </c>
      <c r="W70" s="122">
        <f t="shared" si="1007"/>
      </c>
      <c r="X70" s="119">
        <f t="shared" si="818"/>
      </c>
      <c r="Y70" s="123">
        <f t="shared" si="858"/>
      </c>
      <c r="Z70" s="123">
        <v>2</v>
      </c>
      <c r="AA70" s="123">
        <v>3</v>
      </c>
      <c r="AB70" s="124">
        <v>1159.920000000002</v>
      </c>
      <c r="AC70" s="124">
        <v>3706.000000000001</v>
      </c>
      <c r="AD70" s="120">
        <f t="shared" si="2"/>
      </c>
      <c r="AE70" s="125" t="s">
        <v>136</v>
      </c>
      <c r="AF70" s="126" t="s">
        <v>137</v>
      </c>
      <c r="AG70" s="129">
        <v>3</v>
      </c>
      <c r="AH70" s="128">
        <v>54959</v>
      </c>
      <c r="AI70" s="128">
        <v>824</v>
      </c>
      <c r="AJ70" s="128">
        <v>829</v>
      </c>
      <c r="AK70" s="129">
        <v>118</v>
      </c>
      <c r="AL70" s="129">
        <v>183</v>
      </c>
    </row>
    <row r="71">
      <c r="A71" s="108"/>
      <c r="B71" s="130" t="s">
        <v>127</v>
      </c>
      <c r="C71" s="131">
        <v>3</v>
      </c>
      <c r="D71" s="132">
        <f>SUM(D67:D70)</f>
      </c>
      <c r="E71" s="132">
        <f>SUM(E67:E70)</f>
      </c>
      <c r="F71" s="132">
        <f>SUM(F67:F70)</f>
      </c>
      <c r="G71" s="132">
        <f>SUM(G67:G70)</f>
      </c>
      <c r="H71" s="132">
        <f>SUM(H67:H70)</f>
      </c>
      <c r="I71" s="132">
        <f>SUM(I67:I70)</f>
      </c>
      <c r="J71" s="132">
        <f>SUM(J67:J70)</f>
      </c>
      <c r="K71" s="132">
        <f>SUM(K67:K70)</f>
      </c>
      <c r="L71" s="132">
        <f>SUM(L67:L70)</f>
      </c>
      <c r="M71" s="133">
        <f t="shared" si="608"/>
      </c>
      <c r="N71" s="134">
        <f t="shared" si="638"/>
      </c>
      <c r="O71" s="134">
        <f t="shared" si="548"/>
      </c>
      <c r="P71" s="135">
        <f t="shared" si="578"/>
      </c>
      <c r="Q71" s="135">
        <f t="shared" si="758"/>
      </c>
      <c r="R71" s="135">
        <f t="shared" si="788"/>
      </c>
      <c r="S71" s="136">
        <f t="shared" si="668"/>
      </c>
      <c r="T71" s="136">
        <f t="shared" si="698"/>
      </c>
      <c r="U71" s="135">
        <f t="shared" si="977"/>
      </c>
      <c r="V71" s="136">
        <f t="shared" si="728"/>
      </c>
      <c r="W71" s="136">
        <f t="shared" si="1007"/>
      </c>
      <c r="X71" s="135">
        <f t="shared" si="818"/>
      </c>
      <c r="Y71" s="132">
        <f>SUM(Y67:Y70)</f>
      </c>
      <c r="Z71" s="132">
        <f>SUM(Z67:Z70)</f>
      </c>
      <c r="AA71" s="132">
        <f>SUM(AA67:AA70)</f>
      </c>
      <c r="AB71" s="132">
        <f>SUM(AB67:AB70)</f>
      </c>
      <c r="AC71" s="132">
        <f>SUM(AC67:AC70)</f>
      </c>
      <c r="AD71" s="137">
        <f t="shared" si="2"/>
      </c>
      <c r="AE71" s="138"/>
      <c r="AF71" s="139"/>
      <c r="AG71" s="132">
        <f>SUM(AG67:AG70)</f>
      </c>
      <c r="AH71" s="132">
        <f>SUM(AH67:AH70)</f>
      </c>
      <c r="AI71" s="132">
        <f>SUM(AI67:AI70)</f>
      </c>
      <c r="AJ71" s="132">
        <f>SUM(AJ67:AJ70)</f>
      </c>
      <c r="AK71" s="132">
        <f>SUM(AK67:AK70)</f>
      </c>
      <c r="AL71" s="132">
        <f>SUM(AL67:AL70)</f>
      </c>
    </row>
    <row r="72">
      <c r="A72" s="108"/>
      <c r="B72" s="109" t="s">
        <v>139</v>
      </c>
      <c r="C72" s="110" t="s">
        <v>141</v>
      </c>
      <c r="D72" s="111">
        <f t="shared" ref="D72:D74" si="301">E72+F72+G72+H72</f>
      </c>
      <c r="E72" s="110">
        <v>376.66</v>
      </c>
      <c r="F72" s="140">
        <v>5963.25</v>
      </c>
      <c r="G72" s="113">
        <v>0</v>
      </c>
      <c r="H72" s="113">
        <v>0</v>
      </c>
      <c r="I72" s="113">
        <f t="shared" ref="I72:I74" si="430">AB72+AC72</f>
      </c>
      <c r="J72" s="114">
        <f>1871.64+2603.88+676.08</f>
      </c>
      <c r="K72" s="115">
        <f t="shared" ref="K72:K74" si="43">I72-J72</f>
      </c>
      <c r="L72" s="115">
        <f t="shared" ref="L72:L74" si="172">(I72-AC72)/12+AC72</f>
      </c>
      <c r="M72" s="116">
        <f t="shared" si="608"/>
      </c>
      <c r="N72" s="117">
        <f t="shared" si="638"/>
      </c>
      <c r="O72" s="118">
        <f t="shared" si="548"/>
      </c>
      <c r="P72" s="119">
        <f t="shared" si="578"/>
      </c>
      <c r="Q72" s="119">
        <f t="shared" si="758"/>
      </c>
      <c r="R72" s="119">
        <f t="shared" si="788"/>
      </c>
      <c r="S72" s="120">
        <f t="shared" si="668"/>
      </c>
      <c r="T72" s="121">
        <f t="shared" si="698"/>
      </c>
      <c r="U72" s="119">
        <f t="shared" si="977"/>
      </c>
      <c r="V72" s="122">
        <f t="shared" si="728"/>
      </c>
      <c r="W72" s="122">
        <f t="shared" si="1007"/>
      </c>
      <c r="X72" s="119">
        <f t="shared" si="818"/>
      </c>
      <c r="Y72" s="123">
        <f t="shared" ref="Y72:Y74" si="859">Z72+AA72</f>
      </c>
      <c r="Z72" s="123">
        <v>6</v>
      </c>
      <c r="AA72" s="123">
        <v>12</v>
      </c>
      <c r="AB72" s="124">
        <v>14875.919999999987</v>
      </c>
      <c r="AC72" s="124">
        <v>602.9999999999991</v>
      </c>
      <c r="AD72" s="120">
        <f t="shared" si="2"/>
      </c>
      <c r="AE72" s="125" t="s">
        <v>136</v>
      </c>
      <c r="AF72" s="126" t="s">
        <v>137</v>
      </c>
      <c r="AG72" s="127">
        <v>8</v>
      </c>
      <c r="AH72" s="128">
        <v>77431</v>
      </c>
      <c r="AI72" s="128">
        <v>1037</v>
      </c>
      <c r="AJ72" s="128">
        <v>996</v>
      </c>
      <c r="AK72" s="129">
        <v>138</v>
      </c>
      <c r="AL72" s="129">
        <v>207</v>
      </c>
    </row>
    <row r="73">
      <c r="A73" s="108"/>
      <c r="B73" s="109" t="s">
        <v>139</v>
      </c>
      <c r="C73" s="141" t="s">
        <v>142</v>
      </c>
      <c r="D73" s="111">
        <f t="shared" si="301"/>
      </c>
      <c r="E73" s="110">
        <v>262.61</v>
      </c>
      <c r="F73" s="140">
        <v>5023.42</v>
      </c>
      <c r="G73" s="113">
        <v>0</v>
      </c>
      <c r="H73" s="113">
        <v>0</v>
      </c>
      <c r="I73" s="113">
        <f t="shared" si="430"/>
      </c>
      <c r="J73" s="114">
        <f>1736.64+2703.24</f>
      </c>
      <c r="K73" s="115">
        <f t="shared" si="43"/>
      </c>
      <c r="L73" s="115">
        <f t="shared" si="172"/>
      </c>
      <c r="M73" s="116">
        <f t="shared" si="608"/>
      </c>
      <c r="N73" s="117">
        <f t="shared" si="638"/>
      </c>
      <c r="O73" s="118">
        <f t="shared" si="548"/>
      </c>
      <c r="P73" s="119">
        <f t="shared" si="578"/>
      </c>
      <c r="Q73" s="119">
        <f t="shared" si="758"/>
      </c>
      <c r="R73" s="119">
        <f t="shared" si="788"/>
      </c>
      <c r="S73" s="120">
        <f t="shared" si="668"/>
      </c>
      <c r="T73" s="121">
        <f t="shared" si="698"/>
      </c>
      <c r="U73" s="119">
        <f t="shared" si="977"/>
      </c>
      <c r="V73" s="122">
        <f t="shared" si="728"/>
      </c>
      <c r="W73" s="122">
        <f t="shared" si="1007"/>
      </c>
      <c r="X73" s="119">
        <f t="shared" si="818"/>
      </c>
      <c r="Y73" s="123">
        <f t="shared" si="859"/>
      </c>
      <c r="Z73" s="123">
        <v>3</v>
      </c>
      <c r="AA73" s="123">
        <v>6</v>
      </c>
      <c r="AB73" s="124">
        <v>9728.640000000018</v>
      </c>
      <c r="AC73" s="124">
        <v>0</v>
      </c>
      <c r="AD73" s="120">
        <f t="shared" si="2"/>
      </c>
      <c r="AE73" s="125" t="s">
        <v>136</v>
      </c>
      <c r="AF73" s="126" t="s">
        <v>137</v>
      </c>
      <c r="AG73" s="127">
        <v>6</v>
      </c>
      <c r="AH73" s="128">
        <v>64867</v>
      </c>
      <c r="AI73" s="128">
        <v>832</v>
      </c>
      <c r="AJ73" s="128">
        <v>838</v>
      </c>
      <c r="AK73" s="129">
        <v>133</v>
      </c>
      <c r="AL73" s="129">
        <v>168</v>
      </c>
    </row>
    <row r="74">
      <c r="A74" s="108"/>
      <c r="B74" s="109" t="s">
        <v>139</v>
      </c>
      <c r="C74" s="141" t="s">
        <v>144</v>
      </c>
      <c r="D74" s="111">
        <f t="shared" si="301"/>
      </c>
      <c r="E74" s="110">
        <v>436.03</v>
      </c>
      <c r="F74" s="140">
        <v>8385.17</v>
      </c>
      <c r="G74" s="113">
        <v>0</v>
      </c>
      <c r="H74" s="113">
        <v>0</v>
      </c>
      <c r="I74" s="113">
        <f t="shared" si="430"/>
      </c>
      <c r="J74" s="114">
        <f>5454+752.76+3048.84</f>
      </c>
      <c r="K74" s="115">
        <f t="shared" si="43"/>
      </c>
      <c r="L74" s="115">
        <f t="shared" si="172"/>
      </c>
      <c r="M74" s="116">
        <f t="shared" si="608"/>
      </c>
      <c r="N74" s="117">
        <f t="shared" si="638"/>
      </c>
      <c r="O74" s="118">
        <f t="shared" si="548"/>
      </c>
      <c r="P74" s="119">
        <f t="shared" si="578"/>
      </c>
      <c r="Q74" s="119">
        <f t="shared" si="758"/>
      </c>
      <c r="R74" s="119">
        <f t="shared" si="788"/>
      </c>
      <c r="S74" s="120">
        <f t="shared" si="668"/>
      </c>
      <c r="T74" s="121">
        <f t="shared" si="698"/>
      </c>
      <c r="U74" s="119">
        <f t="shared" si="977"/>
      </c>
      <c r="V74" s="122">
        <f t="shared" si="728"/>
      </c>
      <c r="W74" s="122">
        <f t="shared" si="1007"/>
      </c>
      <c r="X74" s="119">
        <f t="shared" si="818"/>
      </c>
      <c r="Y74" s="123">
        <f t="shared" si="859"/>
      </c>
      <c r="Z74" s="123">
        <v>11</v>
      </c>
      <c r="AA74" s="123">
        <v>18</v>
      </c>
      <c r="AB74" s="124">
        <v>34019.999999999985</v>
      </c>
      <c r="AC74" s="124">
        <v>2740.999999999999</v>
      </c>
      <c r="AD74" s="120">
        <f t="shared" si="2"/>
      </c>
      <c r="AE74" s="125" t="s">
        <v>136</v>
      </c>
      <c r="AF74" s="126" t="s">
        <v>137</v>
      </c>
      <c r="AG74" s="129">
        <v>15</v>
      </c>
      <c r="AH74" s="128">
        <v>103411</v>
      </c>
      <c r="AI74" s="128">
        <v>1212</v>
      </c>
      <c r="AJ74" s="128">
        <v>1155</v>
      </c>
      <c r="AK74" s="129">
        <v>191</v>
      </c>
      <c r="AL74" s="129">
        <v>287</v>
      </c>
    </row>
    <row r="75">
      <c r="A75" s="108"/>
      <c r="B75" s="130" t="s">
        <v>127</v>
      </c>
      <c r="C75" s="131">
        <v>3</v>
      </c>
      <c r="D75" s="132">
        <f>SUM(D72:D74)</f>
      </c>
      <c r="E75" s="132">
        <f>SUM(E72:E74)</f>
      </c>
      <c r="F75" s="132">
        <f>SUM(F72:F74)</f>
      </c>
      <c r="G75" s="132">
        <f>SUM(G72:G74)</f>
      </c>
      <c r="H75" s="132">
        <f>SUM(H72:H74)</f>
      </c>
      <c r="I75" s="132">
        <f>SUM(I72:I74)</f>
      </c>
      <c r="J75" s="132">
        <f>SUM(J72:J74)</f>
      </c>
      <c r="K75" s="132">
        <f>SUM(K72:K74)</f>
      </c>
      <c r="L75" s="132">
        <f>SUM(L72:L74)</f>
      </c>
      <c r="M75" s="133">
        <f t="shared" si="608"/>
      </c>
      <c r="N75" s="134">
        <f t="shared" si="638"/>
      </c>
      <c r="O75" s="134">
        <f t="shared" si="548"/>
      </c>
      <c r="P75" s="135">
        <f t="shared" si="578"/>
      </c>
      <c r="Q75" s="135">
        <f t="shared" si="758"/>
      </c>
      <c r="R75" s="135">
        <f t="shared" si="788"/>
      </c>
      <c r="S75" s="136">
        <f t="shared" si="668"/>
      </c>
      <c r="T75" s="136">
        <f t="shared" si="698"/>
      </c>
      <c r="U75" s="135">
        <f t="shared" si="977"/>
      </c>
      <c r="V75" s="136">
        <f t="shared" si="728"/>
      </c>
      <c r="W75" s="136">
        <f t="shared" si="1007"/>
      </c>
      <c r="X75" s="135">
        <f t="shared" si="818"/>
      </c>
      <c r="Y75" s="132">
        <f>SUM(Y72:Y74)</f>
      </c>
      <c r="Z75" s="132">
        <f>SUM(Z72:Z74)</f>
      </c>
      <c r="AA75" s="132">
        <f>SUM(AA72:AA74)</f>
      </c>
      <c r="AB75" s="132">
        <f>SUM(AB72:AB74)</f>
      </c>
      <c r="AC75" s="132">
        <f>SUM(AC72:AC74)</f>
      </c>
      <c r="AD75" s="137">
        <f t="shared" si="2"/>
      </c>
      <c r="AE75" s="138"/>
      <c r="AF75" s="139"/>
      <c r="AG75" s="132">
        <f>SUM(AG72:AG74)</f>
      </c>
      <c r="AH75" s="132">
        <f>SUM(AH72:AH74)</f>
      </c>
      <c r="AI75" s="132">
        <f>SUM(AI72:AI74)</f>
      </c>
      <c r="AJ75" s="132">
        <f>SUM(AJ72:AJ74)</f>
      </c>
      <c r="AK75" s="132">
        <f>SUM(AK72:AK74)</f>
      </c>
      <c r="AL75" s="132">
        <f>SUM(AL72:AL74)</f>
      </c>
    </row>
    <row r="76">
      <c r="A76" s="108"/>
      <c r="B76" s="109" t="s">
        <v>151</v>
      </c>
      <c r="C76" s="110" t="s">
        <v>145</v>
      </c>
      <c r="D76" s="143">
        <f t="shared" ref="D76:D79" si="302">E76+F76+G76+H76</f>
      </c>
      <c r="E76" s="147">
        <v>490.92</v>
      </c>
      <c r="F76" s="145">
        <v>10145.11</v>
      </c>
      <c r="G76" s="113">
        <v>0</v>
      </c>
      <c r="H76" s="113">
        <v>0</v>
      </c>
      <c r="I76" s="113">
        <f t="shared" ref="I76:I79" si="431">AB76+AC76</f>
      </c>
      <c r="J76" s="114">
        <v>0</v>
      </c>
      <c r="K76" s="115">
        <f t="shared" ref="K76:K79" si="44">I76-J76</f>
      </c>
      <c r="L76" s="115">
        <f t="shared" ref="L76:L79" si="173">(I76-AC76)/12+AC76</f>
      </c>
      <c r="M76" s="116">
        <f t="shared" si="608"/>
      </c>
      <c r="N76" s="117">
        <f t="shared" si="638"/>
      </c>
      <c r="O76" s="118">
        <f t="shared" si="548"/>
      </c>
      <c r="P76" s="119">
        <f t="shared" si="578"/>
      </c>
      <c r="Q76" s="119">
        <f t="shared" si="758"/>
      </c>
      <c r="R76" s="119">
        <f t="shared" si="788"/>
      </c>
      <c r="S76" s="120">
        <f t="shared" si="668"/>
      </c>
      <c r="T76" s="121">
        <f t="shared" si="698"/>
      </c>
      <c r="U76" s="119">
        <f t="shared" si="977"/>
      </c>
      <c r="V76" s="122">
        <f t="shared" si="728"/>
      </c>
      <c r="W76" s="122">
        <f t="shared" si="1007"/>
      </c>
      <c r="X76" s="119">
        <f t="shared" si="818"/>
      </c>
      <c r="Y76" s="123">
        <f t="shared" ref="Y76:Y79" si="860">Z76+AA76</f>
      </c>
      <c r="Z76" s="123">
        <v>5</v>
      </c>
      <c r="AA76" s="123">
        <v>7</v>
      </c>
      <c r="AB76" s="124">
        <v>10339.920000000016</v>
      </c>
      <c r="AC76" s="124">
        <v>0</v>
      </c>
      <c r="AD76" s="120">
        <f t="shared" si="2"/>
      </c>
      <c r="AE76" s="125" t="s">
        <v>136</v>
      </c>
      <c r="AF76" s="126" t="s">
        <v>137</v>
      </c>
      <c r="AG76" s="127">
        <v>7</v>
      </c>
      <c r="AH76" s="128">
        <v>129372</v>
      </c>
      <c r="AI76" s="128">
        <v>1521</v>
      </c>
      <c r="AJ76" s="128">
        <v>1545</v>
      </c>
      <c r="AK76" s="129">
        <v>193</v>
      </c>
      <c r="AL76" s="129">
        <v>252</v>
      </c>
    </row>
    <row r="77">
      <c r="A77" s="108"/>
      <c r="B77" s="109" t="s">
        <v>151</v>
      </c>
      <c r="C77" s="141" t="s">
        <v>146</v>
      </c>
      <c r="D77" s="143">
        <f t="shared" si="302"/>
      </c>
      <c r="E77" s="147">
        <v>1242.8</v>
      </c>
      <c r="F77" s="147">
        <v>7197.87</v>
      </c>
      <c r="G77" s="113">
        <v>0</v>
      </c>
      <c r="H77" s="113">
        <v>0</v>
      </c>
      <c r="I77" s="113">
        <f t="shared" si="431"/>
      </c>
      <c r="J77" s="114">
        <v>0</v>
      </c>
      <c r="K77" s="115">
        <f t="shared" si="44"/>
      </c>
      <c r="L77" s="115">
        <f t="shared" si="173"/>
      </c>
      <c r="M77" s="116">
        <f t="shared" si="608"/>
      </c>
      <c r="N77" s="117">
        <f t="shared" si="638"/>
      </c>
      <c r="O77" s="118">
        <f t="shared" si="548"/>
      </c>
      <c r="P77" s="119">
        <f t="shared" si="578"/>
      </c>
      <c r="Q77" s="119">
        <f t="shared" si="758"/>
      </c>
      <c r="R77" s="119">
        <f t="shared" si="788"/>
      </c>
      <c r="S77" s="120">
        <f t="shared" si="668"/>
      </c>
      <c r="T77" s="121">
        <f t="shared" si="698"/>
      </c>
      <c r="U77" s="119">
        <f t="shared" si="977"/>
      </c>
      <c r="V77" s="122">
        <f t="shared" si="728"/>
      </c>
      <c r="W77" s="122">
        <f t="shared" si="1007"/>
      </c>
      <c r="X77" s="119">
        <f t="shared" si="818"/>
      </c>
      <c r="Y77" s="123">
        <f t="shared" si="860"/>
      </c>
      <c r="Z77" s="123">
        <v>1</v>
      </c>
      <c r="AA77" s="123">
        <v>5</v>
      </c>
      <c r="AB77" s="124">
        <v>5150.519999999993</v>
      </c>
      <c r="AC77" s="124">
        <v>0</v>
      </c>
      <c r="AD77" s="120">
        <f t="shared" si="2"/>
      </c>
      <c r="AE77" s="125" t="s">
        <v>136</v>
      </c>
      <c r="AF77" s="126" t="s">
        <v>137</v>
      </c>
      <c r="AG77" s="129">
        <v>3</v>
      </c>
      <c r="AH77" s="128">
        <v>94154</v>
      </c>
      <c r="AI77" s="128">
        <v>1320</v>
      </c>
      <c r="AJ77" s="128">
        <v>1372</v>
      </c>
      <c r="AK77" s="129">
        <v>156</v>
      </c>
      <c r="AL77" s="129">
        <v>197</v>
      </c>
    </row>
    <row r="78">
      <c r="A78" s="108"/>
      <c r="B78" s="109" t="s">
        <v>151</v>
      </c>
      <c r="C78" s="110" t="s">
        <v>147</v>
      </c>
      <c r="D78" s="143">
        <f t="shared" si="302"/>
      </c>
      <c r="E78" s="147">
        <v>523.12</v>
      </c>
      <c r="F78" s="145">
        <v>6849.47</v>
      </c>
      <c r="G78" s="113">
        <v>0</v>
      </c>
      <c r="H78" s="113">
        <v>0</v>
      </c>
      <c r="I78" s="113">
        <f t="shared" si="431"/>
      </c>
      <c r="J78" s="114">
        <v>0</v>
      </c>
      <c r="K78" s="115">
        <f t="shared" si="44"/>
      </c>
      <c r="L78" s="115">
        <f t="shared" si="173"/>
      </c>
      <c r="M78" s="116">
        <f t="shared" si="608"/>
      </c>
      <c r="N78" s="117">
        <f t="shared" si="638"/>
      </c>
      <c r="O78" s="118">
        <f t="shared" si="548"/>
      </c>
      <c r="P78" s="119">
        <f t="shared" si="578"/>
      </c>
      <c r="Q78" s="119">
        <f t="shared" si="758"/>
      </c>
      <c r="R78" s="119">
        <f t="shared" si="788"/>
      </c>
      <c r="S78" s="120">
        <f t="shared" si="668"/>
      </c>
      <c r="T78" s="121">
        <f t="shared" si="698"/>
      </c>
      <c r="U78" s="119">
        <f t="shared" si="977"/>
      </c>
      <c r="V78" s="122">
        <f t="shared" si="728"/>
      </c>
      <c r="W78" s="122">
        <f t="shared" si="1007"/>
      </c>
      <c r="X78" s="119">
        <f t="shared" si="818"/>
      </c>
      <c r="Y78" s="123">
        <f t="shared" si="860"/>
      </c>
      <c r="Z78" s="123">
        <v>11</v>
      </c>
      <c r="AA78" s="123">
        <v>6</v>
      </c>
      <c r="AB78" s="124">
        <v>14953.68</v>
      </c>
      <c r="AC78" s="124">
        <v>0</v>
      </c>
      <c r="AD78" s="120">
        <f t="shared" si="2"/>
      </c>
      <c r="AE78" s="125" t="s">
        <v>136</v>
      </c>
      <c r="AF78" s="126" t="s">
        <v>137</v>
      </c>
      <c r="AG78" s="127">
        <v>6</v>
      </c>
      <c r="AH78" s="128">
        <v>93097</v>
      </c>
      <c r="AI78" s="128">
        <v>1300</v>
      </c>
      <c r="AJ78" s="128">
        <v>1356</v>
      </c>
      <c r="AK78" s="129">
        <v>162</v>
      </c>
      <c r="AL78" s="129">
        <v>205</v>
      </c>
    </row>
    <row r="79">
      <c r="A79" s="108"/>
      <c r="B79" s="109" t="s">
        <v>151</v>
      </c>
      <c r="C79" s="110" t="s">
        <v>148</v>
      </c>
      <c r="D79" s="143">
        <f t="shared" si="302"/>
      </c>
      <c r="E79" s="144">
        <v>213.8</v>
      </c>
      <c r="F79" s="145">
        <v>3261.22</v>
      </c>
      <c r="G79" s="113">
        <v>0</v>
      </c>
      <c r="H79" s="113">
        <v>0</v>
      </c>
      <c r="I79" s="113">
        <f t="shared" si="431"/>
      </c>
      <c r="J79" s="114">
        <v>0</v>
      </c>
      <c r="K79" s="115">
        <f t="shared" si="44"/>
      </c>
      <c r="L79" s="115">
        <f t="shared" si="173"/>
      </c>
      <c r="M79" s="116">
        <f t="shared" si="608"/>
      </c>
      <c r="N79" s="117">
        <f t="shared" si="638"/>
      </c>
      <c r="O79" s="118">
        <f t="shared" si="548"/>
      </c>
      <c r="P79" s="119">
        <f t="shared" si="578"/>
      </c>
      <c r="Q79" s="119">
        <f t="shared" si="758"/>
      </c>
      <c r="R79" s="119">
        <f t="shared" si="788"/>
      </c>
      <c r="S79" s="120">
        <f t="shared" si="668"/>
      </c>
      <c r="T79" s="121">
        <f t="shared" si="698"/>
      </c>
      <c r="U79" s="119">
        <f t="shared" si="977"/>
      </c>
      <c r="V79" s="122">
        <f t="shared" si="728"/>
      </c>
      <c r="W79" s="122">
        <f t="shared" si="1007"/>
      </c>
      <c r="X79" s="119">
        <f t="shared" si="818"/>
      </c>
      <c r="Y79" s="123">
        <f t="shared" si="860"/>
      </c>
      <c r="Z79" s="123">
        <v>7</v>
      </c>
      <c r="AA79" s="123">
        <v>3</v>
      </c>
      <c r="AB79" s="124">
        <v>5457.239999999998</v>
      </c>
      <c r="AC79" s="124">
        <v>0</v>
      </c>
      <c r="AD79" s="120">
        <f t="shared" si="2"/>
      </c>
      <c r="AE79" s="125" t="s">
        <v>136</v>
      </c>
      <c r="AF79" s="126" t="s">
        <v>137</v>
      </c>
      <c r="AG79" s="127">
        <v>3</v>
      </c>
      <c r="AH79" s="128">
        <v>31900</v>
      </c>
      <c r="AI79" s="128">
        <v>737</v>
      </c>
      <c r="AJ79" s="128">
        <v>824</v>
      </c>
      <c r="AK79" s="127">
        <v>89</v>
      </c>
      <c r="AL79" s="127">
        <v>94</v>
      </c>
    </row>
    <row r="80">
      <c r="A80" s="108"/>
      <c r="B80" s="130" t="s">
        <v>127</v>
      </c>
      <c r="C80" s="131">
        <v>5</v>
      </c>
      <c r="D80" s="132">
        <f>SUM(D76:D79)</f>
      </c>
      <c r="E80" s="148">
        <f>SUM(E76:E79)</f>
      </c>
      <c r="F80" s="148">
        <f>SUM(F76:F79)</f>
      </c>
      <c r="G80" s="132">
        <f>SUM(G76:G79)</f>
      </c>
      <c r="H80" s="132">
        <f>SUM(H76:H79)</f>
      </c>
      <c r="I80" s="132">
        <f>SUM(I76:I79)</f>
      </c>
      <c r="J80" s="132">
        <f>SUM(J76:J79)</f>
      </c>
      <c r="K80" s="132">
        <f>SUM(K76:K79)</f>
      </c>
      <c r="L80" s="132">
        <f>SUM(L76:L79)</f>
      </c>
      <c r="M80" s="133">
        <f t="shared" si="608"/>
      </c>
      <c r="N80" s="134">
        <f t="shared" si="638"/>
      </c>
      <c r="O80" s="134">
        <f t="shared" si="548"/>
      </c>
      <c r="P80" s="135">
        <f t="shared" si="578"/>
      </c>
      <c r="Q80" s="135">
        <f t="shared" si="758"/>
      </c>
      <c r="R80" s="135">
        <f t="shared" si="788"/>
      </c>
      <c r="S80" s="136">
        <f t="shared" si="668"/>
      </c>
      <c r="T80" s="136">
        <f t="shared" si="698"/>
      </c>
      <c r="U80" s="135">
        <f t="shared" si="977"/>
      </c>
      <c r="V80" s="136">
        <f t="shared" si="728"/>
      </c>
      <c r="W80" s="136">
        <f t="shared" si="1007"/>
      </c>
      <c r="X80" s="135">
        <f t="shared" si="818"/>
      </c>
      <c r="Y80" s="132">
        <f>SUM(Y76:Y79)</f>
      </c>
      <c r="Z80" s="132">
        <f>SUM(Z76:Z79)</f>
      </c>
      <c r="AA80" s="132">
        <f>SUM(AA76:AA79)</f>
      </c>
      <c r="AB80" s="132">
        <f>SUM(AB76:AB79)</f>
      </c>
      <c r="AC80" s="149">
        <f>SUM(AC76:AC79)</f>
      </c>
      <c r="AD80" s="150">
        <f t="shared" si="2"/>
      </c>
      <c r="AE80" s="151"/>
      <c r="AF80" s="139"/>
      <c r="AG80" s="132">
        <f>SUM(AG76:AG79)</f>
      </c>
      <c r="AH80" s="132">
        <f>SUM(AH76:AH79)</f>
      </c>
      <c r="AI80" s="132">
        <f>SUM(AI76:AI79)</f>
      </c>
      <c r="AJ80" s="132">
        <f>SUM(AJ76:AJ79)</f>
      </c>
      <c r="AK80" s="132">
        <f>SUM(AK76:AK79)</f>
      </c>
      <c r="AL80" s="132">
        <f>SUM(AL76:AL79)</f>
      </c>
    </row>
    <row r="81">
      <c r="A81" s="108"/>
      <c r="B81" s="152" t="s">
        <v>127</v>
      </c>
      <c r="C81" s="153">
        <f>C61+C66+C75+C80+C71</f>
      </c>
      <c r="D81" s="153">
        <f>D61+D66+D75+D80+D71</f>
      </c>
      <c r="E81" s="153">
        <f>E61+E66+E75+E80+E71</f>
      </c>
      <c r="F81" s="153">
        <f>F61+F66+F75+F80+F71</f>
      </c>
      <c r="G81" s="153">
        <f>G61+G66+G75+G80+G71</f>
      </c>
      <c r="H81" s="153">
        <f>H61+H66+H75+H80+H71</f>
      </c>
      <c r="I81" s="153">
        <f>I61+I66+I75+I80+I71</f>
      </c>
      <c r="J81" s="153">
        <f>J61+J66+J75+J80+J71</f>
      </c>
      <c r="K81" s="153">
        <f>K61+K66+K75+K80+K71</f>
      </c>
      <c r="L81" s="153">
        <f>L61+L66+L75+L80+L71</f>
      </c>
      <c r="M81" s="154">
        <f t="shared" si="608"/>
      </c>
      <c r="N81" s="154">
        <f t="shared" si="638"/>
      </c>
      <c r="O81" s="154">
        <f t="shared" si="548"/>
      </c>
      <c r="P81" s="154">
        <f t="shared" si="578"/>
      </c>
      <c r="Q81" s="154">
        <f t="shared" si="758"/>
      </c>
      <c r="R81" s="154">
        <f t="shared" si="788"/>
      </c>
      <c r="S81" s="155">
        <f t="shared" si="668"/>
      </c>
      <c r="T81" s="155">
        <f t="shared" si="698"/>
      </c>
      <c r="U81" s="154">
        <f t="shared" si="977"/>
      </c>
      <c r="V81" s="155">
        <f t="shared" si="728"/>
      </c>
      <c r="W81" s="155">
        <f t="shared" si="1007"/>
      </c>
      <c r="X81" s="154">
        <f t="shared" si="818"/>
      </c>
      <c r="Y81" s="156">
        <f>Y61+Y66+Y75+Y80+Y71</f>
      </c>
      <c r="Z81" s="156">
        <f>Z61+Z66+Z75+Z80+Z71</f>
      </c>
      <c r="AA81" s="156">
        <f>AA61+AA66+AA75+AA80+AA71</f>
      </c>
      <c r="AB81" s="156">
        <f>AB61+AB66+AB75+AB80+AB71</f>
      </c>
      <c r="AC81" s="156">
        <f>AC61+AC66+AC75+AC80+AC71</f>
      </c>
      <c r="AD81" s="157">
        <f t="shared" si="2"/>
      </c>
      <c r="AE81" s="158"/>
      <c r="AF81" s="159"/>
      <c r="AG81" s="153">
        <f>AG61+AG66+AG75+AG80+AG71</f>
      </c>
      <c r="AH81" s="153">
        <f>AH61+AH66+AH75+AH80+AH71</f>
      </c>
      <c r="AI81" s="153">
        <f>AI61+AI66+AI75+AI80+AI71</f>
      </c>
      <c r="AJ81" s="153">
        <f>AJ61+AJ66+AJ75+AJ80+AJ71</f>
      </c>
      <c r="AK81" s="153">
        <f>AK61+AK66+AK75+AK80+AK71</f>
      </c>
      <c r="AL81" s="153">
        <f>AL61+AL66+AL75+AL80+AL71</f>
      </c>
    </row>
    <row r="82">
      <c r="A82" s="94" t="s">
        <v>81</v>
      </c>
      <c r="B82" s="95" t="s">
        <v>82</v>
      </c>
      <c r="C82" s="95" t="s">
        <v>83</v>
      </c>
      <c r="D82" s="96" t="s">
        <v>84</v>
      </c>
      <c r="E82" s="95" t="s">
        <v>85</v>
      </c>
      <c r="F82" s="95" t="s">
        <v>86</v>
      </c>
      <c r="G82" s="97" t="s">
        <v>87</v>
      </c>
      <c r="H82" s="97" t="s">
        <v>88</v>
      </c>
      <c r="I82" s="96" t="s">
        <v>89</v>
      </c>
      <c r="J82" s="98" t="s">
        <v>90</v>
      </c>
      <c r="K82" s="99" t="s">
        <v>91</v>
      </c>
      <c r="L82" s="99" t="s">
        <v>92</v>
      </c>
      <c r="M82" s="100" t="s">
        <v>93</v>
      </c>
      <c r="N82" s="99" t="s">
        <v>94</v>
      </c>
      <c r="O82" s="95" t="s">
        <v>95</v>
      </c>
      <c r="P82" s="100" t="s">
        <v>96</v>
      </c>
      <c r="Q82" s="101" t="s">
        <v>97</v>
      </c>
      <c r="R82" s="101" t="s">
        <v>98</v>
      </c>
      <c r="S82" s="96" t="s">
        <v>99</v>
      </c>
      <c r="T82" s="102" t="s">
        <v>100</v>
      </c>
      <c r="U82" s="100" t="s">
        <v>101</v>
      </c>
      <c r="V82" s="103" t="s">
        <v>102</v>
      </c>
      <c r="W82" s="104" t="s">
        <v>103</v>
      </c>
      <c r="X82" s="100" t="s">
        <v>104</v>
      </c>
      <c r="Y82" s="105" t="s">
        <v>105</v>
      </c>
      <c r="Z82" s="106" t="s">
        <v>106</v>
      </c>
      <c r="AA82" s="105" t="s">
        <v>107</v>
      </c>
      <c r="AB82" s="107" t="s">
        <v>108</v>
      </c>
      <c r="AC82" s="107" t="s">
        <v>109</v>
      </c>
      <c r="AD82" s="99" t="s">
        <v>110</v>
      </c>
      <c r="AE82" s="98" t="s">
        <v>111</v>
      </c>
      <c r="AF82" s="99" t="s">
        <v>112</v>
      </c>
      <c r="AG82" s="98" t="s">
        <v>113</v>
      </c>
      <c r="AH82" s="98" t="s">
        <v>114</v>
      </c>
      <c r="AI82" s="99" t="s">
        <v>115</v>
      </c>
      <c r="AJ82" s="98" t="s">
        <v>116</v>
      </c>
      <c r="AK82" s="99" t="s">
        <v>117</v>
      </c>
      <c r="AL82" s="98" t="s">
        <v>118</v>
      </c>
    </row>
    <row r="83">
      <c r="A83" s="108">
        <v>46269</v>
      </c>
      <c r="B83" s="109" t="s">
        <v>119</v>
      </c>
      <c r="C83" s="110" t="s">
        <v>120</v>
      </c>
      <c r="D83" s="111">
        <f t="shared" ref="D83:D87" si="303">E83+F83+G83+H83</f>
      </c>
      <c r="E83" s="112">
        <v>1039.11</v>
      </c>
      <c r="F83" s="113">
        <v>6067.34</v>
      </c>
      <c r="G83" s="113">
        <v>0</v>
      </c>
      <c r="H83" s="113">
        <v>0</v>
      </c>
      <c r="I83" s="113">
        <f t="shared" ref="I83:I87" si="432">AB83+AC83</f>
      </c>
      <c r="J83" s="114">
        <v>2218.17</v>
      </c>
      <c r="K83" s="115">
        <f t="shared" ref="K83:K87" si="45">I83-J83</f>
      </c>
      <c r="L83" s="115">
        <f t="shared" ref="L83:L87" si="174">(I83-AC83)/12+AC83</f>
      </c>
      <c r="M83" s="116">
        <f t="shared" ref="M83:M104" si="609">I83/D83</f>
      </c>
      <c r="N83" s="117">
        <f t="shared" ref="N83:N104" si="639">(I83-J83)/D83</f>
      </c>
      <c r="O83" s="118">
        <f t="shared" ref="O83:O104" si="549">(AC83+AB83/12)/D83</f>
      </c>
      <c r="P83" s="119">
        <f t="shared" ref="P83:P104" si="579">I83/AA83</f>
      </c>
      <c r="Q83" s="119">
        <f t="shared" ref="Q83:Q104" si="759">D83/AA83</f>
      </c>
      <c r="R83" s="119">
        <f t="shared" ref="R83:R104" si="789">D83/AG83</f>
      </c>
      <c r="S83" s="120">
        <f t="shared" ref="S83:S104" si="669">AA83/Y83</f>
      </c>
      <c r="T83" s="121">
        <f t="shared" ref="T83:T104" si="699">AI83/AH83</f>
      </c>
      <c r="U83" s="119">
        <f t="shared" ref="U83:U104" si="978">D83/AJ83</f>
      </c>
      <c r="V83" s="122">
        <f t="shared" ref="V83:V104" si="729">AK83/AJ83</f>
      </c>
      <c r="W83" s="122">
        <f t="shared" ref="W83:W104" si="1008">AL83/AJ83</f>
      </c>
      <c r="X83" s="119">
        <f t="shared" ref="X83:X104" si="819">D83/AL83</f>
      </c>
      <c r="Y83" s="123">
        <f t="shared" ref="Y83:Y87" si="861">Z83+AA83</f>
      </c>
      <c r="Z83" s="123">
        <v>10</v>
      </c>
      <c r="AA83" s="123">
        <v>5</v>
      </c>
      <c r="AB83" s="124">
        <v>4289.760000000002</v>
      </c>
      <c r="AC83" s="124">
        <v>1484.85</v>
      </c>
      <c r="AD83" s="120">
        <f t="shared" ref="AD83:AD104" si="3">AC83/I83</f>
      </c>
      <c r="AE83" s="125" t="s">
        <v>121</v>
      </c>
      <c r="AF83" s="126" t="s">
        <v>149</v>
      </c>
      <c r="AG83" s="127">
        <v>5</v>
      </c>
      <c r="AH83" s="127">
        <v>66299</v>
      </c>
      <c r="AI83" s="128">
        <v>1897</v>
      </c>
      <c r="AJ83" s="128">
        <v>2094</v>
      </c>
      <c r="AK83" s="127">
        <v>186</v>
      </c>
      <c r="AL83" s="129">
        <v>190</v>
      </c>
    </row>
    <row r="84">
      <c r="A84" s="108"/>
      <c r="B84" s="109" t="s">
        <v>119</v>
      </c>
      <c r="C84" s="110" t="s">
        <v>123</v>
      </c>
      <c r="D84" s="111">
        <f t="shared" si="303"/>
      </c>
      <c r="E84" s="110">
        <v>1283.59</v>
      </c>
      <c r="F84" s="113">
        <v>8370.46</v>
      </c>
      <c r="G84" s="113">
        <v>0</v>
      </c>
      <c r="H84" s="113">
        <v>0</v>
      </c>
      <c r="I84" s="113">
        <f t="shared" si="432"/>
      </c>
      <c r="J84" s="114">
        <v>5343.24</v>
      </c>
      <c r="K84" s="115">
        <f t="shared" si="45"/>
      </c>
      <c r="L84" s="115">
        <f t="shared" si="174"/>
      </c>
      <c r="M84" s="116">
        <f t="shared" si="609"/>
      </c>
      <c r="N84" s="117">
        <f t="shared" si="639"/>
      </c>
      <c r="O84" s="118">
        <f t="shared" si="549"/>
      </c>
      <c r="P84" s="119">
        <f t="shared" si="579"/>
      </c>
      <c r="Q84" s="119">
        <f t="shared" si="759"/>
      </c>
      <c r="R84" s="119">
        <f t="shared" si="789"/>
      </c>
      <c r="S84" s="120">
        <f t="shared" si="669"/>
      </c>
      <c r="T84" s="121">
        <f t="shared" si="699"/>
      </c>
      <c r="U84" s="119">
        <f t="shared" si="978"/>
      </c>
      <c r="V84" s="122">
        <f t="shared" si="729"/>
      </c>
      <c r="W84" s="122">
        <f t="shared" si="1008"/>
      </c>
      <c r="X84" s="119">
        <f t="shared" si="819"/>
      </c>
      <c r="Y84" s="123">
        <f t="shared" si="861"/>
      </c>
      <c r="Z84" s="123">
        <v>8</v>
      </c>
      <c r="AA84" s="123">
        <v>9</v>
      </c>
      <c r="AB84" s="124">
        <v>10100.159999999996</v>
      </c>
      <c r="AC84" s="124">
        <v>1997</v>
      </c>
      <c r="AD84" s="120">
        <f t="shared" si="3"/>
      </c>
      <c r="AE84" s="125" t="s">
        <v>121</v>
      </c>
      <c r="AF84" s="126" t="s">
        <v>149</v>
      </c>
      <c r="AG84" s="127">
        <v>8</v>
      </c>
      <c r="AH84" s="128">
        <v>94835</v>
      </c>
      <c r="AI84" s="128">
        <v>1498</v>
      </c>
      <c r="AJ84" s="128">
        <v>1606</v>
      </c>
      <c r="AK84" s="129">
        <v>235</v>
      </c>
      <c r="AL84" s="129">
        <v>287</v>
      </c>
    </row>
    <row r="85">
      <c r="A85" s="108"/>
      <c r="B85" s="109" t="s">
        <v>119</v>
      </c>
      <c r="C85" s="110" t="s">
        <v>124</v>
      </c>
      <c r="D85" s="111">
        <f t="shared" si="303"/>
      </c>
      <c r="E85" s="110">
        <v>895.05</v>
      </c>
      <c r="F85" s="110">
        <v>5612.57</v>
      </c>
      <c r="G85" s="113">
        <v>0</v>
      </c>
      <c r="H85" s="113">
        <v>0</v>
      </c>
      <c r="I85" s="113">
        <f t="shared" si="432"/>
      </c>
      <c r="J85" s="114">
        <v>4139.64</v>
      </c>
      <c r="K85" s="115">
        <f t="shared" si="45"/>
      </c>
      <c r="L85" s="115">
        <f t="shared" si="174"/>
      </c>
      <c r="M85" s="116">
        <f t="shared" si="609"/>
      </c>
      <c r="N85" s="117">
        <f t="shared" si="639"/>
      </c>
      <c r="O85" s="118">
        <f t="shared" si="549"/>
      </c>
      <c r="P85" s="119">
        <f t="shared" si="579"/>
      </c>
      <c r="Q85" s="119">
        <f t="shared" si="759"/>
      </c>
      <c r="R85" s="119">
        <f t="shared" si="789"/>
      </c>
      <c r="S85" s="120">
        <f t="shared" si="669"/>
      </c>
      <c r="T85" s="121">
        <f t="shared" si="699"/>
      </c>
      <c r="U85" s="119">
        <f t="shared" si="978"/>
      </c>
      <c r="V85" s="122">
        <f t="shared" si="729"/>
      </c>
      <c r="W85" s="122">
        <f t="shared" si="1008"/>
      </c>
      <c r="X85" s="119">
        <f t="shared" si="819"/>
      </c>
      <c r="Y85" s="123">
        <f t="shared" si="861"/>
      </c>
      <c r="Z85" s="123">
        <v>0</v>
      </c>
      <c r="AA85" s="123">
        <v>5</v>
      </c>
      <c r="AB85" s="124">
        <v>7610.760000000002</v>
      </c>
      <c r="AC85" s="124">
        <v>663.0000000000005</v>
      </c>
      <c r="AD85" s="120">
        <f t="shared" si="3"/>
      </c>
      <c r="AE85" s="125" t="s">
        <v>121</v>
      </c>
      <c r="AF85" s="126" t="s">
        <v>149</v>
      </c>
      <c r="AG85" s="129">
        <v>4</v>
      </c>
      <c r="AH85" s="128">
        <v>52747</v>
      </c>
      <c r="AI85" s="128">
        <v>875</v>
      </c>
      <c r="AJ85" s="128">
        <v>922</v>
      </c>
      <c r="AK85" s="129">
        <v>140</v>
      </c>
      <c r="AL85" s="129">
        <v>156</v>
      </c>
    </row>
    <row r="86">
      <c r="A86" s="108"/>
      <c r="B86" s="109" t="s">
        <v>119</v>
      </c>
      <c r="C86" s="110" t="s">
        <v>125</v>
      </c>
      <c r="D86" s="111">
        <f t="shared" si="303"/>
      </c>
      <c r="E86" s="110">
        <v>464.69</v>
      </c>
      <c r="F86" s="113">
        <v>5095.19</v>
      </c>
      <c r="G86" s="113">
        <v>0</v>
      </c>
      <c r="H86" s="113">
        <v>0</v>
      </c>
      <c r="I86" s="113">
        <f t="shared" si="432"/>
      </c>
      <c r="J86" s="114">
        <v>1128.6</v>
      </c>
      <c r="K86" s="115">
        <f t="shared" si="45"/>
      </c>
      <c r="L86" s="115">
        <f t="shared" si="174"/>
      </c>
      <c r="M86" s="116">
        <f t="shared" si="609"/>
      </c>
      <c r="N86" s="117">
        <f t="shared" si="639"/>
      </c>
      <c r="O86" s="118">
        <f t="shared" si="549"/>
      </c>
      <c r="P86" s="119">
        <f t="shared" si="579"/>
      </c>
      <c r="Q86" s="119">
        <f t="shared" si="759"/>
      </c>
      <c r="R86" s="119">
        <f t="shared" si="789"/>
      </c>
      <c r="S86" s="120">
        <f t="shared" si="669"/>
      </c>
      <c r="T86" s="121">
        <f t="shared" si="699"/>
      </c>
      <c r="U86" s="119">
        <f t="shared" si="978"/>
      </c>
      <c r="V86" s="122">
        <f t="shared" si="729"/>
      </c>
      <c r="W86" s="122">
        <f t="shared" si="1008"/>
      </c>
      <c r="X86" s="119">
        <f t="shared" si="819"/>
      </c>
      <c r="Y86" s="123">
        <f t="shared" si="861"/>
      </c>
      <c r="Z86" s="123">
        <v>2</v>
      </c>
      <c r="AA86" s="123">
        <v>4</v>
      </c>
      <c r="AB86" s="124">
        <v>6015.5999999999985</v>
      </c>
      <c r="AC86" s="124">
        <v>3894.0499999999993</v>
      </c>
      <c r="AD86" s="120">
        <f t="shared" si="3"/>
      </c>
      <c r="AE86" s="125" t="s">
        <v>121</v>
      </c>
      <c r="AF86" s="126" t="s">
        <v>149</v>
      </c>
      <c r="AG86" s="127">
        <v>2</v>
      </c>
      <c r="AH86" s="128">
        <v>39443</v>
      </c>
      <c r="AI86" s="128">
        <v>650</v>
      </c>
      <c r="AJ86" s="128">
        <v>677</v>
      </c>
      <c r="AK86" s="129">
        <v>110</v>
      </c>
      <c r="AL86" s="129">
        <v>132</v>
      </c>
    </row>
    <row r="87">
      <c r="A87" s="108"/>
      <c r="B87" s="109" t="s">
        <v>119</v>
      </c>
      <c r="C87" s="110" t="s">
        <v>126</v>
      </c>
      <c r="D87" s="111">
        <f t="shared" si="303"/>
      </c>
      <c r="E87" s="112">
        <v>448.63</v>
      </c>
      <c r="F87" s="113">
        <v>5402.46</v>
      </c>
      <c r="G87" s="113">
        <v>0</v>
      </c>
      <c r="H87" s="113">
        <v>0</v>
      </c>
      <c r="I87" s="113">
        <f t="shared" si="432"/>
      </c>
      <c r="J87" s="114">
        <v>3697.92</v>
      </c>
      <c r="K87" s="115">
        <f t="shared" si="45"/>
      </c>
      <c r="L87" s="115">
        <f t="shared" si="174"/>
      </c>
      <c r="M87" s="116">
        <f t="shared" si="609"/>
      </c>
      <c r="N87" s="117">
        <f t="shared" si="639"/>
      </c>
      <c r="O87" s="118">
        <f t="shared" si="549"/>
      </c>
      <c r="P87" s="119">
        <f t="shared" si="579"/>
      </c>
      <c r="Q87" s="119">
        <f t="shared" si="759"/>
      </c>
      <c r="R87" s="119">
        <f t="shared" si="789"/>
      </c>
      <c r="S87" s="120">
        <f t="shared" si="669"/>
      </c>
      <c r="T87" s="121">
        <f t="shared" si="699"/>
      </c>
      <c r="U87" s="119">
        <f t="shared" si="978"/>
      </c>
      <c r="V87" s="122">
        <f t="shared" si="729"/>
      </c>
      <c r="W87" s="122">
        <f t="shared" si="1008"/>
      </c>
      <c r="X87" s="119">
        <f t="shared" si="819"/>
      </c>
      <c r="Y87" s="123">
        <f t="shared" si="861"/>
      </c>
      <c r="Z87" s="123">
        <v>4</v>
      </c>
      <c r="AA87" s="123">
        <v>4</v>
      </c>
      <c r="AB87" s="124">
        <v>15005.880000000005</v>
      </c>
      <c r="AC87" s="124">
        <v>0</v>
      </c>
      <c r="AD87" s="120">
        <f t="shared" si="3"/>
      </c>
      <c r="AE87" s="125" t="s">
        <v>121</v>
      </c>
      <c r="AF87" s="126" t="s">
        <v>149</v>
      </c>
      <c r="AG87" s="127">
        <v>3</v>
      </c>
      <c r="AH87" s="128">
        <v>32778</v>
      </c>
      <c r="AI87" s="128">
        <v>575</v>
      </c>
      <c r="AJ87" s="128">
        <v>590</v>
      </c>
      <c r="AK87" s="127">
        <v>116</v>
      </c>
      <c r="AL87" s="127">
        <v>160</v>
      </c>
    </row>
    <row r="88">
      <c r="A88" s="108"/>
      <c r="B88" s="130" t="s">
        <v>127</v>
      </c>
      <c r="C88" s="131">
        <v>5</v>
      </c>
      <c r="D88" s="132">
        <f>SUM(D83:D87)</f>
      </c>
      <c r="E88" s="132">
        <f>SUM(E83:E87)</f>
      </c>
      <c r="F88" s="132">
        <f>SUM(F83:F87)</f>
      </c>
      <c r="G88" s="132">
        <f>SUM(G83:G87)</f>
      </c>
      <c r="H88" s="132">
        <f>SUM(H83:H87)</f>
      </c>
      <c r="I88" s="132">
        <f>SUM(I83:I87)</f>
      </c>
      <c r="J88" s="132">
        <f>SUM(J83:J87)</f>
      </c>
      <c r="K88" s="132">
        <f>SUM(K83:K87)</f>
      </c>
      <c r="L88" s="132">
        <f>SUM(L83:L87)</f>
      </c>
      <c r="M88" s="133">
        <f t="shared" si="609"/>
      </c>
      <c r="N88" s="134">
        <f t="shared" si="639"/>
      </c>
      <c r="O88" s="134">
        <f t="shared" si="549"/>
      </c>
      <c r="P88" s="135">
        <f t="shared" si="579"/>
      </c>
      <c r="Q88" s="135">
        <f t="shared" si="759"/>
      </c>
      <c r="R88" s="135">
        <f t="shared" si="789"/>
      </c>
      <c r="S88" s="136">
        <f t="shared" si="669"/>
      </c>
      <c r="T88" s="136">
        <f t="shared" si="699"/>
      </c>
      <c r="U88" s="135">
        <f t="shared" si="978"/>
      </c>
      <c r="V88" s="136">
        <f t="shared" si="729"/>
      </c>
      <c r="W88" s="136">
        <f t="shared" si="1008"/>
      </c>
      <c r="X88" s="135">
        <f t="shared" si="819"/>
      </c>
      <c r="Y88" s="132">
        <f>SUM(Y83:Y87)</f>
      </c>
      <c r="Z88" s="132">
        <f>SUM(Z83:Z87)</f>
      </c>
      <c r="AA88" s="132">
        <f>SUM(AA83:AA87)</f>
      </c>
      <c r="AB88" s="132">
        <f>SUM(AB83:AB87)</f>
      </c>
      <c r="AC88" s="132">
        <f>SUM(AC83:AC87)</f>
      </c>
      <c r="AD88" s="137">
        <f t="shared" si="3"/>
      </c>
      <c r="AE88" s="138"/>
      <c r="AF88" s="139"/>
      <c r="AG88" s="132">
        <f>SUM(AG83:AG87)</f>
      </c>
      <c r="AH88" s="132">
        <f>SUM(AH83:AH87)</f>
      </c>
      <c r="AI88" s="132">
        <f>SUM(AI83:AI87)</f>
      </c>
      <c r="AJ88" s="132">
        <f>SUM(AJ83:AJ87)</f>
      </c>
      <c r="AK88" s="132">
        <f>SUM(AK83:AK87)</f>
      </c>
      <c r="AL88" s="132">
        <f>SUM(AL83:AL87)</f>
      </c>
    </row>
    <row r="89">
      <c r="A89" s="108"/>
      <c r="B89" s="109" t="s">
        <v>143</v>
      </c>
      <c r="C89" s="110" t="s">
        <v>129</v>
      </c>
      <c r="D89" s="111">
        <f t="shared" ref="D89:D93" si="304">E89+F89+G89+H89</f>
      </c>
      <c r="E89" s="112">
        <v>496.33</v>
      </c>
      <c r="F89" s="113">
        <v>4109.43</v>
      </c>
      <c r="G89" s="113">
        <v>7.02</v>
      </c>
      <c r="H89" s="113">
        <v>0</v>
      </c>
      <c r="I89" s="113">
        <f t="shared" ref="I89:I93" si="433">AB89+AC89</f>
      </c>
      <c r="J89" s="114">
        <f>2923.83+1320.84</f>
      </c>
      <c r="K89" s="115">
        <f t="shared" ref="K89:K93" si="46">I89-J89</f>
      </c>
      <c r="L89" s="115">
        <f t="shared" ref="L89:L93" si="175">(I89-AC89)/12+AC89</f>
      </c>
      <c r="M89" s="116">
        <f t="shared" si="609"/>
      </c>
      <c r="N89" s="117">
        <f t="shared" si="639"/>
      </c>
      <c r="O89" s="118">
        <f t="shared" si="549"/>
      </c>
      <c r="P89" s="119">
        <f t="shared" si="579"/>
      </c>
      <c r="Q89" s="119">
        <f t="shared" si="759"/>
      </c>
      <c r="R89" s="119">
        <f t="shared" si="789"/>
      </c>
      <c r="S89" s="120">
        <f t="shared" si="669"/>
      </c>
      <c r="T89" s="121">
        <f t="shared" si="699"/>
      </c>
      <c r="U89" s="119">
        <f t="shared" si="978"/>
      </c>
      <c r="V89" s="122">
        <f t="shared" si="729"/>
      </c>
      <c r="W89" s="122">
        <f t="shared" si="1008"/>
      </c>
      <c r="X89" s="119">
        <f t="shared" si="819"/>
      </c>
      <c r="Y89" s="123">
        <f t="shared" ref="Y89:Y93" si="862">Z89+AA89</f>
      </c>
      <c r="Z89" s="123">
        <v>2</v>
      </c>
      <c r="AA89" s="123">
        <v>11</v>
      </c>
      <c r="AB89" s="124">
        <v>17502.48</v>
      </c>
      <c r="AC89" s="124">
        <v>2270.5</v>
      </c>
      <c r="AD89" s="120">
        <f t="shared" si="3"/>
      </c>
      <c r="AE89" s="125" t="s">
        <v>121</v>
      </c>
      <c r="AF89" s="126" t="s">
        <v>149</v>
      </c>
      <c r="AG89" s="127">
        <v>9</v>
      </c>
      <c r="AH89" s="128">
        <v>28584</v>
      </c>
      <c r="AI89" s="128">
        <v>483</v>
      </c>
      <c r="AJ89" s="128">
        <v>506</v>
      </c>
      <c r="AK89" s="127">
        <v>85</v>
      </c>
      <c r="AL89" s="127">
        <v>115</v>
      </c>
    </row>
    <row r="90">
      <c r="A90" s="108"/>
      <c r="B90" s="109" t="s">
        <v>143</v>
      </c>
      <c r="C90" s="110" t="s">
        <v>130</v>
      </c>
      <c r="D90" s="111">
        <f t="shared" si="304"/>
      </c>
      <c r="E90" s="110">
        <v>564.72</v>
      </c>
      <c r="F90" s="113">
        <v>4695.91</v>
      </c>
      <c r="G90" s="113">
        <v>620.75</v>
      </c>
      <c r="H90" s="113">
        <v>0</v>
      </c>
      <c r="I90" s="113">
        <f t="shared" si="433"/>
      </c>
      <c r="J90" s="114">
        <f>1953.72+3110.4</f>
      </c>
      <c r="K90" s="115">
        <f t="shared" si="46"/>
      </c>
      <c r="L90" s="115">
        <f t="shared" si="175"/>
      </c>
      <c r="M90" s="116">
        <f t="shared" si="609"/>
      </c>
      <c r="N90" s="117">
        <f t="shared" si="639"/>
      </c>
      <c r="O90" s="118">
        <f t="shared" si="549"/>
      </c>
      <c r="P90" s="119">
        <f t="shared" si="579"/>
      </c>
      <c r="Q90" s="119">
        <f t="shared" si="759"/>
      </c>
      <c r="R90" s="119">
        <f t="shared" si="789"/>
      </c>
      <c r="S90" s="120">
        <f t="shared" si="669"/>
      </c>
      <c r="T90" s="121">
        <f t="shared" si="699"/>
      </c>
      <c r="U90" s="119">
        <f t="shared" si="978"/>
      </c>
      <c r="V90" s="122">
        <f t="shared" si="729"/>
      </c>
      <c r="W90" s="122">
        <f t="shared" si="1008"/>
      </c>
      <c r="X90" s="119">
        <f t="shared" si="819"/>
      </c>
      <c r="Y90" s="123">
        <f t="shared" si="862"/>
      </c>
      <c r="Z90" s="123">
        <v>6</v>
      </c>
      <c r="AA90" s="123">
        <v>4</v>
      </c>
      <c r="AB90" s="124">
        <v>6213.240000000005</v>
      </c>
      <c r="AC90" s="124">
        <v>0</v>
      </c>
      <c r="AD90" s="120">
        <f t="shared" si="3"/>
      </c>
      <c r="AE90" s="125" t="s">
        <v>121</v>
      </c>
      <c r="AF90" s="126" t="s">
        <v>149</v>
      </c>
      <c r="AG90" s="127">
        <v>3</v>
      </c>
      <c r="AH90" s="128">
        <v>42318</v>
      </c>
      <c r="AI90" s="128">
        <v>822</v>
      </c>
      <c r="AJ90" s="128">
        <v>865</v>
      </c>
      <c r="AK90" s="129">
        <v>103</v>
      </c>
      <c r="AL90" s="129">
        <v>159</v>
      </c>
    </row>
    <row r="91">
      <c r="A91" s="108"/>
      <c r="B91" s="109" t="s">
        <v>143</v>
      </c>
      <c r="C91" s="110" t="s">
        <v>131</v>
      </c>
      <c r="D91" s="111">
        <f t="shared" si="304"/>
      </c>
      <c r="E91" s="110">
        <v>476.76</v>
      </c>
      <c r="F91" s="110">
        <v>2905.89</v>
      </c>
      <c r="G91" s="113">
        <v>1477.73</v>
      </c>
      <c r="H91" s="113">
        <v>0</v>
      </c>
      <c r="I91" s="113">
        <f t="shared" si="433"/>
      </c>
      <c r="J91" s="114">
        <f>546.48+443.88</f>
      </c>
      <c r="K91" s="115">
        <f t="shared" si="46"/>
      </c>
      <c r="L91" s="115">
        <f t="shared" si="175"/>
      </c>
      <c r="M91" s="116">
        <f t="shared" si="609"/>
      </c>
      <c r="N91" s="117">
        <f t="shared" si="639"/>
      </c>
      <c r="O91" s="118">
        <f t="shared" si="549"/>
      </c>
      <c r="P91" s="119">
        <f t="shared" si="579"/>
      </c>
      <c r="Q91" s="119">
        <f t="shared" si="759"/>
      </c>
      <c r="R91" s="119">
        <f t="shared" si="789"/>
      </c>
      <c r="S91" s="120">
        <f t="shared" si="669"/>
      </c>
      <c r="T91" s="121">
        <f t="shared" si="699"/>
      </c>
      <c r="U91" s="119">
        <f t="shared" si="978"/>
      </c>
      <c r="V91" s="122">
        <f t="shared" si="729"/>
      </c>
      <c r="W91" s="122">
        <f t="shared" si="1008"/>
      </c>
      <c r="X91" s="119">
        <f t="shared" si="819"/>
      </c>
      <c r="Y91" s="123">
        <f t="shared" si="862"/>
      </c>
      <c r="Z91" s="123">
        <v>3</v>
      </c>
      <c r="AA91" s="123">
        <v>8</v>
      </c>
      <c r="AB91" s="124">
        <v>7797.599999999991</v>
      </c>
      <c r="AC91" s="124">
        <v>420</v>
      </c>
      <c r="AD91" s="120">
        <f t="shared" si="3"/>
      </c>
      <c r="AE91" s="125" t="s">
        <v>121</v>
      </c>
      <c r="AF91" s="126" t="s">
        <v>149</v>
      </c>
      <c r="AG91" s="129">
        <v>5</v>
      </c>
      <c r="AH91" s="128">
        <v>36729</v>
      </c>
      <c r="AI91" s="128">
        <v>820</v>
      </c>
      <c r="AJ91" s="128">
        <v>842</v>
      </c>
      <c r="AK91" s="129">
        <v>128</v>
      </c>
      <c r="AL91" s="129">
        <v>174</v>
      </c>
    </row>
    <row r="92">
      <c r="A92" s="108"/>
      <c r="B92" s="109" t="s">
        <v>143</v>
      </c>
      <c r="C92" s="110" t="s">
        <v>132</v>
      </c>
      <c r="D92" s="111">
        <f t="shared" si="304"/>
      </c>
      <c r="E92" s="110">
        <v>490.59</v>
      </c>
      <c r="F92" s="113">
        <v>4245.33</v>
      </c>
      <c r="G92" s="113">
        <v>2171.81</v>
      </c>
      <c r="H92" s="113">
        <v>0</v>
      </c>
      <c r="I92" s="113">
        <f t="shared" si="433"/>
      </c>
      <c r="J92" s="114">
        <f>488.16+465.48</f>
      </c>
      <c r="K92" s="115">
        <f t="shared" si="46"/>
      </c>
      <c r="L92" s="115">
        <f t="shared" si="175"/>
      </c>
      <c r="M92" s="116">
        <f t="shared" si="609"/>
      </c>
      <c r="N92" s="117">
        <f t="shared" si="639"/>
      </c>
      <c r="O92" s="118">
        <f t="shared" si="549"/>
      </c>
      <c r="P92" s="119">
        <f t="shared" si="579"/>
      </c>
      <c r="Q92" s="119">
        <f t="shared" si="759"/>
      </c>
      <c r="R92" s="119">
        <f t="shared" si="789"/>
      </c>
      <c r="S92" s="120">
        <f t="shared" si="669"/>
      </c>
      <c r="T92" s="121">
        <f t="shared" si="699"/>
      </c>
      <c r="U92" s="119">
        <f t="shared" si="978"/>
      </c>
      <c r="V92" s="122">
        <f t="shared" si="729"/>
      </c>
      <c r="W92" s="122">
        <f t="shared" si="1008"/>
      </c>
      <c r="X92" s="119">
        <f t="shared" si="819"/>
      </c>
      <c r="Y92" s="123">
        <f t="shared" si="862"/>
      </c>
      <c r="Z92" s="123">
        <v>3</v>
      </c>
      <c r="AA92" s="123">
        <v>9</v>
      </c>
      <c r="AB92" s="114">
        <v>9113.520000000004</v>
      </c>
      <c r="AC92" s="124">
        <v>0</v>
      </c>
      <c r="AD92" s="120">
        <f t="shared" si="3"/>
      </c>
      <c r="AE92" s="125" t="s">
        <v>121</v>
      </c>
      <c r="AF92" s="126" t="s">
        <v>149</v>
      </c>
      <c r="AG92" s="127">
        <v>8</v>
      </c>
      <c r="AH92" s="128">
        <v>52413</v>
      </c>
      <c r="AI92" s="128">
        <v>898</v>
      </c>
      <c r="AJ92" s="128">
        <v>910</v>
      </c>
      <c r="AK92" s="129">
        <v>156</v>
      </c>
      <c r="AL92" s="129">
        <v>215</v>
      </c>
    </row>
    <row r="93">
      <c r="A93" s="108"/>
      <c r="B93" s="109" t="s">
        <v>143</v>
      </c>
      <c r="C93" s="110" t="s">
        <v>134</v>
      </c>
      <c r="D93" s="111">
        <f t="shared" si="304"/>
      </c>
      <c r="E93" s="110">
        <v>200.95</v>
      </c>
      <c r="F93" s="140">
        <v>4029.13</v>
      </c>
      <c r="G93" s="113">
        <v>1212.01</v>
      </c>
      <c r="H93" s="113">
        <v>0</v>
      </c>
      <c r="I93" s="113">
        <f t="shared" si="433"/>
      </c>
      <c r="J93" s="160">
        <f>551.95+2819.88</f>
      </c>
      <c r="K93" s="115">
        <f t="shared" si="46"/>
      </c>
      <c r="L93" s="115">
        <f t="shared" si="175"/>
      </c>
      <c r="M93" s="116">
        <f t="shared" si="609"/>
      </c>
      <c r="N93" s="117">
        <f t="shared" si="639"/>
      </c>
      <c r="O93" s="118">
        <f t="shared" si="549"/>
      </c>
      <c r="P93" s="119">
        <f t="shared" si="579"/>
      </c>
      <c r="Q93" s="119">
        <f t="shared" si="759"/>
      </c>
      <c r="R93" s="119">
        <f t="shared" si="789"/>
      </c>
      <c r="S93" s="120">
        <f t="shared" si="669"/>
      </c>
      <c r="T93" s="121">
        <f t="shared" si="699"/>
      </c>
      <c r="U93" s="119">
        <f t="shared" si="978"/>
      </c>
      <c r="V93" s="122">
        <f t="shared" si="729"/>
      </c>
      <c r="W93" s="122">
        <f t="shared" si="1008"/>
      </c>
      <c r="X93" s="119">
        <f t="shared" si="819"/>
      </c>
      <c r="Y93" s="123">
        <f t="shared" si="862"/>
      </c>
      <c r="Z93" s="123">
        <v>3</v>
      </c>
      <c r="AA93" s="123">
        <v>6</v>
      </c>
      <c r="AB93" s="124">
        <v>9319.32</v>
      </c>
      <c r="AC93" s="124">
        <v>0</v>
      </c>
      <c r="AD93" s="120">
        <f t="shared" si="3"/>
      </c>
      <c r="AE93" s="125" t="s">
        <v>121</v>
      </c>
      <c r="AF93" s="126" t="s">
        <v>149</v>
      </c>
      <c r="AG93" s="127">
        <v>6</v>
      </c>
      <c r="AH93" s="128">
        <v>48820</v>
      </c>
      <c r="AI93" s="128">
        <v>807</v>
      </c>
      <c r="AJ93" s="128">
        <v>835</v>
      </c>
      <c r="AK93" s="129">
        <v>134</v>
      </c>
      <c r="AL93" s="129">
        <v>173</v>
      </c>
    </row>
    <row r="94">
      <c r="A94" s="108"/>
      <c r="B94" s="130" t="s">
        <v>127</v>
      </c>
      <c r="C94" s="131">
        <v>5</v>
      </c>
      <c r="D94" s="132">
        <f>SUM(D89:D93)</f>
      </c>
      <c r="E94" s="132">
        <f>SUM(E89:E93)</f>
      </c>
      <c r="F94" s="132">
        <f>SUM(F89:F93)</f>
      </c>
      <c r="G94" s="132">
        <f>SUM(G89:G93)</f>
      </c>
      <c r="H94" s="132">
        <f>SUM(H89:H93)</f>
      </c>
      <c r="I94" s="132">
        <f>SUM(I89:I93)</f>
      </c>
      <c r="J94" s="132">
        <f>SUM(J89:J93)</f>
      </c>
      <c r="K94" s="132">
        <f>SUM(K89:K93)</f>
      </c>
      <c r="L94" s="132">
        <f>SUM(L89:L93)</f>
      </c>
      <c r="M94" s="133">
        <f t="shared" si="609"/>
      </c>
      <c r="N94" s="134">
        <f t="shared" si="639"/>
      </c>
      <c r="O94" s="134">
        <f t="shared" si="549"/>
      </c>
      <c r="P94" s="135">
        <f t="shared" si="579"/>
      </c>
      <c r="Q94" s="135">
        <f t="shared" si="759"/>
      </c>
      <c r="R94" s="135">
        <f t="shared" si="789"/>
      </c>
      <c r="S94" s="136">
        <f t="shared" si="669"/>
      </c>
      <c r="T94" s="136">
        <f t="shared" si="699"/>
      </c>
      <c r="U94" s="135">
        <f t="shared" si="978"/>
      </c>
      <c r="V94" s="136">
        <f t="shared" si="729"/>
      </c>
      <c r="W94" s="136">
        <f t="shared" si="1008"/>
      </c>
      <c r="X94" s="135">
        <f t="shared" si="819"/>
      </c>
      <c r="Y94" s="132">
        <f>SUM(Y89:Y93)</f>
      </c>
      <c r="Z94" s="132">
        <f>SUM(Z89:Z93)</f>
      </c>
      <c r="AA94" s="132">
        <f>SUM(AA89:AA93)</f>
      </c>
      <c r="AB94" s="132">
        <f>SUM(AB89:AB93)</f>
      </c>
      <c r="AC94" s="132">
        <f>SUM(AC89:AC93)</f>
      </c>
      <c r="AD94" s="137">
        <f t="shared" si="3"/>
      </c>
      <c r="AE94" s="138"/>
      <c r="AF94" s="139"/>
      <c r="AG94" s="132">
        <f>SUM(AG89:AG93)</f>
      </c>
      <c r="AH94" s="132">
        <f>SUM(AH89:AH93)</f>
      </c>
      <c r="AI94" s="132">
        <f>SUM(AI89:AI93)</f>
      </c>
      <c r="AJ94" s="132">
        <f>SUM(AJ89:AJ93)</f>
      </c>
      <c r="AK94" s="132">
        <f>SUM(AK89:AK93)</f>
      </c>
      <c r="AL94" s="132">
        <f>SUM(AL89:AL93)</f>
      </c>
    </row>
    <row r="95">
      <c r="A95" s="108"/>
      <c r="B95" s="109" t="s">
        <v>128</v>
      </c>
      <c r="C95" s="110" t="s">
        <v>135</v>
      </c>
      <c r="D95" s="111">
        <f t="shared" ref="D95:D98" si="305">E95+F95+G95+H95</f>
      </c>
      <c r="E95" s="110">
        <v>81.99</v>
      </c>
      <c r="F95" s="140">
        <v>4643.43</v>
      </c>
      <c r="G95" s="113">
        <v>706.76</v>
      </c>
      <c r="H95" s="113">
        <v>0</v>
      </c>
      <c r="I95" s="113">
        <f t="shared" ref="I95:I98" si="434">AB95+AC95</f>
      </c>
      <c r="J95" s="160">
        <f>2114.64+1360.8+3048.84</f>
      </c>
      <c r="K95" s="115">
        <f t="shared" ref="K95:K98" si="47">I95-J95</f>
      </c>
      <c r="L95" s="115">
        <f t="shared" ref="L95:L98" si="176">(I95-AC95)/12+AC95</f>
      </c>
      <c r="M95" s="116">
        <f t="shared" si="609"/>
      </c>
      <c r="N95" s="117">
        <f t="shared" si="639"/>
      </c>
      <c r="O95" s="118">
        <f t="shared" si="549"/>
      </c>
      <c r="P95" s="119">
        <f t="shared" si="579"/>
      </c>
      <c r="Q95" s="119">
        <f t="shared" si="759"/>
      </c>
      <c r="R95" s="119">
        <f t="shared" si="789"/>
      </c>
      <c r="S95" s="120">
        <f t="shared" si="669"/>
      </c>
      <c r="T95" s="121">
        <f t="shared" si="699"/>
      </c>
      <c r="U95" s="119">
        <f t="shared" si="978"/>
      </c>
      <c r="V95" s="122">
        <f t="shared" si="729"/>
      </c>
      <c r="W95" s="122">
        <f t="shared" si="1008"/>
      </c>
      <c r="X95" s="119">
        <f t="shared" si="819"/>
      </c>
      <c r="Y95" s="123">
        <f t="shared" ref="Y95:Y98" si="863">Z95+AA95</f>
      </c>
      <c r="Z95" s="123">
        <v>6</v>
      </c>
      <c r="AA95" s="123">
        <v>8</v>
      </c>
      <c r="AB95" s="124">
        <v>12598.2</v>
      </c>
      <c r="AC95" s="124">
        <v>0</v>
      </c>
      <c r="AD95" s="120">
        <f t="shared" si="3"/>
      </c>
      <c r="AE95" s="125" t="s">
        <v>136</v>
      </c>
      <c r="AF95" s="126" t="s">
        <v>137</v>
      </c>
      <c r="AG95" s="127">
        <v>5</v>
      </c>
      <c r="AH95" s="128">
        <v>49240</v>
      </c>
      <c r="AI95" s="128">
        <v>540</v>
      </c>
      <c r="AJ95" s="128">
        <v>563</v>
      </c>
      <c r="AK95" s="129">
        <v>121</v>
      </c>
      <c r="AL95" s="129">
        <v>164</v>
      </c>
    </row>
    <row r="96">
      <c r="A96" s="108"/>
      <c r="B96" s="109" t="s">
        <v>128</v>
      </c>
      <c r="C96" s="110" t="s">
        <v>138</v>
      </c>
      <c r="D96" s="111">
        <f t="shared" si="305"/>
      </c>
      <c r="E96" s="141">
        <v>78.66</v>
      </c>
      <c r="F96" s="142">
        <v>5218.57</v>
      </c>
      <c r="G96" s="113">
        <v>0</v>
      </c>
      <c r="H96" s="113">
        <v>0</v>
      </c>
      <c r="I96" s="113">
        <f t="shared" si="434"/>
      </c>
      <c r="J96" s="160">
        <f>2662.2+2748.6+5014.44+421.2</f>
      </c>
      <c r="K96" s="115">
        <f t="shared" si="47"/>
      </c>
      <c r="L96" s="115">
        <f t="shared" si="176"/>
      </c>
      <c r="M96" s="116">
        <f t="shared" si="609"/>
      </c>
      <c r="N96" s="117">
        <f t="shared" si="639"/>
      </c>
      <c r="O96" s="118">
        <f t="shared" si="549"/>
      </c>
      <c r="P96" s="119">
        <f t="shared" si="579"/>
      </c>
      <c r="Q96" s="119">
        <f t="shared" si="759"/>
      </c>
      <c r="R96" s="119">
        <f t="shared" si="789"/>
      </c>
      <c r="S96" s="120">
        <f t="shared" si="669"/>
      </c>
      <c r="T96" s="121">
        <f t="shared" si="699"/>
      </c>
      <c r="U96" s="119">
        <f t="shared" si="978"/>
      </c>
      <c r="V96" s="122">
        <f t="shared" si="729"/>
      </c>
      <c r="W96" s="122">
        <f t="shared" si="1008"/>
      </c>
      <c r="X96" s="119">
        <f t="shared" si="819"/>
      </c>
      <c r="Y96" s="123">
        <f t="shared" si="863"/>
      </c>
      <c r="Z96" s="123">
        <v>3</v>
      </c>
      <c r="AA96" s="123">
        <v>9</v>
      </c>
      <c r="AB96" s="124">
        <v>18160.20000000001</v>
      </c>
      <c r="AC96" s="124">
        <v>0</v>
      </c>
      <c r="AD96" s="120">
        <f t="shared" si="3"/>
      </c>
      <c r="AE96" s="125" t="s">
        <v>136</v>
      </c>
      <c r="AF96" s="126" t="s">
        <v>137</v>
      </c>
      <c r="AG96" s="129">
        <v>6</v>
      </c>
      <c r="AH96" s="128">
        <v>53173</v>
      </c>
      <c r="AI96" s="128">
        <v>682</v>
      </c>
      <c r="AJ96" s="128">
        <v>681</v>
      </c>
      <c r="AK96" s="129">
        <v>123</v>
      </c>
      <c r="AL96" s="129">
        <v>146</v>
      </c>
    </row>
    <row r="97">
      <c r="A97" s="108"/>
      <c r="B97" s="109" t="s">
        <v>128</v>
      </c>
      <c r="C97" s="110" t="s">
        <v>140</v>
      </c>
      <c r="D97" s="111">
        <f t="shared" si="305"/>
      </c>
      <c r="E97" s="110">
        <v>212</v>
      </c>
      <c r="F97" s="140">
        <v>5413.87</v>
      </c>
      <c r="G97" s="113">
        <v>0</v>
      </c>
      <c r="H97" s="113">
        <v>0</v>
      </c>
      <c r="I97" s="113">
        <f t="shared" si="434"/>
      </c>
      <c r="J97" s="160">
        <v>4116.96</v>
      </c>
      <c r="K97" s="115">
        <f t="shared" si="47"/>
      </c>
      <c r="L97" s="115">
        <f t="shared" si="176"/>
      </c>
      <c r="M97" s="116">
        <f t="shared" si="609"/>
      </c>
      <c r="N97" s="117">
        <f t="shared" si="639"/>
      </c>
      <c r="O97" s="118">
        <f t="shared" si="549"/>
      </c>
      <c r="P97" s="119">
        <f t="shared" si="579"/>
      </c>
      <c r="Q97" s="119">
        <f t="shared" si="759"/>
      </c>
      <c r="R97" s="119">
        <f t="shared" si="789"/>
      </c>
      <c r="S97" s="120">
        <f t="shared" si="669"/>
      </c>
      <c r="T97" s="121">
        <f t="shared" si="699"/>
      </c>
      <c r="U97" s="119">
        <f t="shared" si="978"/>
      </c>
      <c r="V97" s="122">
        <f t="shared" si="729"/>
      </c>
      <c r="W97" s="122">
        <f t="shared" si="1008"/>
      </c>
      <c r="X97" s="119">
        <f t="shared" si="819"/>
      </c>
      <c r="Y97" s="123">
        <f t="shared" si="863"/>
      </c>
      <c r="Z97" s="123">
        <v>4</v>
      </c>
      <c r="AA97" s="123">
        <v>6</v>
      </c>
      <c r="AB97" s="124">
        <v>11697.479999999981</v>
      </c>
      <c r="AC97" s="124">
        <v>1809</v>
      </c>
      <c r="AD97" s="120">
        <f t="shared" si="3"/>
      </c>
      <c r="AE97" s="125" t="s">
        <v>136</v>
      </c>
      <c r="AF97" s="126" t="s">
        <v>137</v>
      </c>
      <c r="AG97" s="127">
        <v>5</v>
      </c>
      <c r="AH97" s="128">
        <v>60370</v>
      </c>
      <c r="AI97" s="128">
        <v>677</v>
      </c>
      <c r="AJ97" s="128">
        <v>694</v>
      </c>
      <c r="AK97" s="129">
        <v>114</v>
      </c>
      <c r="AL97" s="129">
        <v>155</v>
      </c>
    </row>
    <row r="98">
      <c r="A98" s="108"/>
      <c r="B98" s="109" t="s">
        <v>128</v>
      </c>
      <c r="C98" s="141" t="s">
        <v>141</v>
      </c>
      <c r="D98" s="111">
        <f t="shared" si="305"/>
      </c>
      <c r="E98" s="110">
        <v>122.99</v>
      </c>
      <c r="F98" s="140">
        <v>6406.01</v>
      </c>
      <c r="G98" s="113">
        <v>0</v>
      </c>
      <c r="H98" s="113">
        <v>0</v>
      </c>
      <c r="I98" s="113">
        <f t="shared" si="434"/>
      </c>
      <c r="J98" s="160">
        <v>0</v>
      </c>
      <c r="K98" s="115">
        <f t="shared" si="47"/>
      </c>
      <c r="L98" s="115">
        <f t="shared" si="176"/>
      </c>
      <c r="M98" s="116">
        <f t="shared" si="609"/>
      </c>
      <c r="N98" s="117">
        <f t="shared" si="639"/>
      </c>
      <c r="O98" s="118">
        <f t="shared" si="549"/>
      </c>
      <c r="P98" s="119">
        <f t="shared" si="579"/>
      </c>
      <c r="Q98" s="119">
        <f t="shared" si="759"/>
      </c>
      <c r="R98" s="119">
        <f t="shared" si="789"/>
      </c>
      <c r="S98" s="120">
        <f t="shared" si="669"/>
      </c>
      <c r="T98" s="121">
        <f t="shared" si="699"/>
      </c>
      <c r="U98" s="119">
        <f t="shared" si="978"/>
      </c>
      <c r="V98" s="122">
        <f t="shared" si="729"/>
      </c>
      <c r="W98" s="122">
        <f t="shared" si="1008"/>
      </c>
      <c r="X98" s="119">
        <f t="shared" si="819"/>
      </c>
      <c r="Y98" s="123">
        <f t="shared" si="863"/>
      </c>
      <c r="Z98" s="123">
        <v>0</v>
      </c>
      <c r="AA98" s="123">
        <v>5</v>
      </c>
      <c r="AB98" s="124">
        <v>7221.95999999999</v>
      </c>
      <c r="AC98" s="124">
        <v>0</v>
      </c>
      <c r="AD98" s="120">
        <f t="shared" si="3"/>
      </c>
      <c r="AE98" s="125" t="s">
        <v>136</v>
      </c>
      <c r="AF98" s="126" t="s">
        <v>137</v>
      </c>
      <c r="AG98" s="127">
        <v>4</v>
      </c>
      <c r="AH98" s="128">
        <v>75245</v>
      </c>
      <c r="AI98" s="128">
        <v>713</v>
      </c>
      <c r="AJ98" s="128">
        <v>698</v>
      </c>
      <c r="AK98" s="129">
        <v>111</v>
      </c>
      <c r="AL98" s="129">
        <v>163</v>
      </c>
    </row>
    <row r="99">
      <c r="A99" s="108"/>
      <c r="B99" s="130" t="s">
        <v>127</v>
      </c>
      <c r="C99" s="131">
        <v>4</v>
      </c>
      <c r="D99" s="132">
        <f>SUM(D95:D98)</f>
      </c>
      <c r="E99" s="149">
        <f>SUM(E95:E98)</f>
      </c>
      <c r="F99" s="149">
        <f>SUM(F95:F98)</f>
      </c>
      <c r="G99" s="132">
        <f>SUM(G95:G98)</f>
      </c>
      <c r="H99" s="132">
        <f>SUM(H95:H98)</f>
      </c>
      <c r="I99" s="132">
        <f>SUM(I95:I98)</f>
      </c>
      <c r="J99" s="132">
        <f>SUM(J95:J98)</f>
      </c>
      <c r="K99" s="132">
        <f>SUM(K95:K98)</f>
      </c>
      <c r="L99" s="132">
        <f>SUM(L95:L98)</f>
      </c>
      <c r="M99" s="133">
        <f t="shared" si="609"/>
      </c>
      <c r="N99" s="134">
        <f t="shared" si="639"/>
      </c>
      <c r="O99" s="134">
        <f t="shared" si="549"/>
      </c>
      <c r="P99" s="135">
        <f t="shared" si="579"/>
      </c>
      <c r="Q99" s="135">
        <f t="shared" si="759"/>
      </c>
      <c r="R99" s="135">
        <f t="shared" si="789"/>
      </c>
      <c r="S99" s="136">
        <f t="shared" si="669"/>
      </c>
      <c r="T99" s="136">
        <f t="shared" si="699"/>
      </c>
      <c r="U99" s="135">
        <f t="shared" si="978"/>
      </c>
      <c r="V99" s="136">
        <f t="shared" si="729"/>
      </c>
      <c r="W99" s="136">
        <f t="shared" si="1008"/>
      </c>
      <c r="X99" s="135">
        <f t="shared" si="819"/>
      </c>
      <c r="Y99" s="132">
        <f>SUM(Y95:Y98)</f>
      </c>
      <c r="Z99" s="132">
        <f>SUM(Z95:Z98)</f>
      </c>
      <c r="AA99" s="132">
        <f>SUM(AA95:AA98)</f>
      </c>
      <c r="AB99" s="132">
        <f>SUM(AB95:AB98)</f>
      </c>
      <c r="AC99" s="132">
        <f>SUM(AC95:AC98)</f>
      </c>
      <c r="AD99" s="137">
        <f t="shared" si="3"/>
      </c>
      <c r="AE99" s="138"/>
      <c r="AF99" s="139"/>
      <c r="AG99" s="132">
        <f>SUM(AG95:AG98)</f>
      </c>
      <c r="AH99" s="132">
        <f>SUM(AH95:AH98)</f>
      </c>
      <c r="AI99" s="132">
        <f>SUM(AI95:AI98)</f>
      </c>
      <c r="AJ99" s="132">
        <f>SUM(AJ95:AJ98)</f>
      </c>
      <c r="AK99" s="132">
        <f>SUM(AK95:AK98)</f>
      </c>
      <c r="AL99" s="132">
        <f>SUM(AL95:AL98)</f>
      </c>
    </row>
    <row r="100">
      <c r="A100" s="108"/>
      <c r="B100" s="109" t="s">
        <v>139</v>
      </c>
      <c r="C100" s="141" t="s">
        <v>142</v>
      </c>
      <c r="D100" s="143">
        <f t="shared" ref="D100:D102" si="306">E100+F100+G100+H100</f>
      </c>
      <c r="E100" s="144">
        <v>288.83</v>
      </c>
      <c r="F100" s="145">
        <v>4673.72</v>
      </c>
      <c r="G100" s="113">
        <v>0</v>
      </c>
      <c r="H100" s="113">
        <v>0</v>
      </c>
      <c r="I100" s="113">
        <f t="shared" ref="I100:I102" si="435">AB100+AC100</f>
      </c>
      <c r="J100" s="114">
        <v>0</v>
      </c>
      <c r="K100" s="115">
        <f t="shared" ref="K100:K102" si="48">I100-J100</f>
      </c>
      <c r="L100" s="115">
        <f t="shared" ref="L100:L102" si="177">(I100-AC100)/12+AC100</f>
      </c>
      <c r="M100" s="116">
        <f t="shared" si="609"/>
      </c>
      <c r="N100" s="117">
        <f t="shared" si="639"/>
      </c>
      <c r="O100" s="118">
        <f t="shared" si="549"/>
      </c>
      <c r="P100" s="119">
        <f t="shared" si="579"/>
      </c>
      <c r="Q100" s="119">
        <f t="shared" si="759"/>
      </c>
      <c r="R100" s="119">
        <f t="shared" si="789"/>
      </c>
      <c r="S100" s="120">
        <f t="shared" si="669"/>
      </c>
      <c r="T100" s="121">
        <f t="shared" si="699"/>
      </c>
      <c r="U100" s="119">
        <f t="shared" si="978"/>
      </c>
      <c r="V100" s="122">
        <f t="shared" si="729"/>
      </c>
      <c r="W100" s="122">
        <f t="shared" si="1008"/>
      </c>
      <c r="X100" s="119">
        <f t="shared" si="819"/>
      </c>
      <c r="Y100" s="123">
        <f t="shared" ref="Y100:Y102" si="864">Z100+AA100</f>
      </c>
      <c r="Z100" s="123">
        <v>3</v>
      </c>
      <c r="AA100" s="123">
        <v>2</v>
      </c>
      <c r="AB100" s="124">
        <v>1126.4400000000169</v>
      </c>
      <c r="AC100" s="124">
        <v>800</v>
      </c>
      <c r="AD100" s="120">
        <f t="shared" si="3"/>
      </c>
      <c r="AE100" s="125" t="s">
        <v>136</v>
      </c>
      <c r="AF100" s="126" t="s">
        <v>137</v>
      </c>
      <c r="AG100" s="127">
        <v>2</v>
      </c>
      <c r="AH100" s="127">
        <v>57106</v>
      </c>
      <c r="AI100" s="128">
        <v>581</v>
      </c>
      <c r="AJ100" s="128">
        <v>577</v>
      </c>
      <c r="AK100" s="127">
        <v>103</v>
      </c>
      <c r="AL100" s="129">
        <v>153</v>
      </c>
    </row>
    <row r="101">
      <c r="A101" s="108"/>
      <c r="B101" s="109" t="s">
        <v>139</v>
      </c>
      <c r="C101" s="141" t="s">
        <v>144</v>
      </c>
      <c r="D101" s="143">
        <f t="shared" si="306"/>
      </c>
      <c r="E101" s="147">
        <v>339.55</v>
      </c>
      <c r="F101" s="145">
        <v>5980.53</v>
      </c>
      <c r="G101" s="113">
        <v>0</v>
      </c>
      <c r="H101" s="113">
        <v>0</v>
      </c>
      <c r="I101" s="113">
        <f t="shared" si="435"/>
      </c>
      <c r="J101" s="114">
        <v>0</v>
      </c>
      <c r="K101" s="115">
        <f t="shared" si="48"/>
      </c>
      <c r="L101" s="115">
        <f t="shared" si="177"/>
      </c>
      <c r="M101" s="116">
        <f t="shared" si="609"/>
      </c>
      <c r="N101" s="117">
        <f t="shared" si="639"/>
      </c>
      <c r="O101" s="118">
        <f t="shared" si="549"/>
      </c>
      <c r="P101" s="119">
        <f t="shared" si="579"/>
      </c>
      <c r="Q101" s="119">
        <f t="shared" si="759"/>
      </c>
      <c r="R101" s="119">
        <f t="shared" si="789"/>
      </c>
      <c r="S101" s="120">
        <f t="shared" si="669"/>
      </c>
      <c r="T101" s="121">
        <f t="shared" si="699"/>
      </c>
      <c r="U101" s="119">
        <f t="shared" si="978"/>
      </c>
      <c r="V101" s="122">
        <f t="shared" si="729"/>
      </c>
      <c r="W101" s="122">
        <f t="shared" si="1008"/>
      </c>
      <c r="X101" s="119">
        <f t="shared" si="819"/>
      </c>
      <c r="Y101" s="123">
        <f t="shared" si="864"/>
      </c>
      <c r="Z101" s="123">
        <v>3</v>
      </c>
      <c r="AA101" s="123">
        <v>5</v>
      </c>
      <c r="AB101" s="124">
        <v>8120.520000000033</v>
      </c>
      <c r="AC101" s="124">
        <v>499</v>
      </c>
      <c r="AD101" s="120">
        <f t="shared" si="3"/>
      </c>
      <c r="AE101" s="125" t="s">
        <v>136</v>
      </c>
      <c r="AF101" s="126" t="s">
        <v>137</v>
      </c>
      <c r="AG101" s="127">
        <v>4</v>
      </c>
      <c r="AH101" s="128">
        <v>83926</v>
      </c>
      <c r="AI101" s="128">
        <v>646</v>
      </c>
      <c r="AJ101" s="128">
        <v>603</v>
      </c>
      <c r="AK101" s="129">
        <v>141</v>
      </c>
      <c r="AL101" s="129">
        <v>165</v>
      </c>
    </row>
    <row r="102">
      <c r="A102" s="108"/>
      <c r="B102" s="109" t="s">
        <v>139</v>
      </c>
      <c r="C102" s="110" t="s">
        <v>145</v>
      </c>
      <c r="D102" s="143">
        <f t="shared" si="306"/>
      </c>
      <c r="E102" s="147">
        <f>355.82+47.39</f>
      </c>
      <c r="F102" s="147">
        <f>4719.47+448.62</f>
      </c>
      <c r="G102" s="113">
        <v>0</v>
      </c>
      <c r="H102" s="113">
        <v>0</v>
      </c>
      <c r="I102" s="113">
        <f t="shared" si="435"/>
      </c>
      <c r="J102" s="114">
        <v>0</v>
      </c>
      <c r="K102" s="115">
        <f t="shared" si="48"/>
      </c>
      <c r="L102" s="115">
        <f t="shared" si="177"/>
      </c>
      <c r="M102" s="116">
        <f t="shared" si="609"/>
      </c>
      <c r="N102" s="117">
        <f t="shared" si="639"/>
      </c>
      <c r="O102" s="118">
        <f t="shared" si="549"/>
      </c>
      <c r="P102" s="119">
        <f t="shared" si="579"/>
      </c>
      <c r="Q102" s="119">
        <f t="shared" si="759"/>
      </c>
      <c r="R102" s="119">
        <f t="shared" si="789"/>
      </c>
      <c r="S102" s="120">
        <f t="shared" si="669"/>
      </c>
      <c r="T102" s="121">
        <f t="shared" si="699"/>
      </c>
      <c r="U102" s="119">
        <f t="shared" si="978"/>
      </c>
      <c r="V102" s="122">
        <f t="shared" si="729"/>
      </c>
      <c r="W102" s="122">
        <f t="shared" si="1008"/>
      </c>
      <c r="X102" s="119">
        <f t="shared" si="819"/>
      </c>
      <c r="Y102" s="123">
        <f t="shared" si="864"/>
      </c>
      <c r="Z102" s="123">
        <v>0</v>
      </c>
      <c r="AA102" s="123">
        <v>0</v>
      </c>
      <c r="AB102" s="124">
        <v>0</v>
      </c>
      <c r="AC102" s="124">
        <v>0</v>
      </c>
      <c r="AD102" s="120">
        <f t="shared" si="3"/>
      </c>
      <c r="AE102" s="125" t="s">
        <v>136</v>
      </c>
      <c r="AF102" s="126" t="s">
        <v>137</v>
      </c>
      <c r="AG102" s="129">
        <v>0</v>
      </c>
      <c r="AH102" s="128">
        <v>51770</v>
      </c>
      <c r="AI102" s="128">
        <v>666</v>
      </c>
      <c r="AJ102" s="128">
        <v>675</v>
      </c>
      <c r="AK102" s="129">
        <v>103</v>
      </c>
      <c r="AL102" s="129">
        <v>137</v>
      </c>
    </row>
    <row r="103">
      <c r="A103" s="108"/>
      <c r="B103" s="130" t="s">
        <v>127</v>
      </c>
      <c r="C103" s="131">
        <v>3</v>
      </c>
      <c r="D103" s="132">
        <f>SUM(D100:D102)</f>
      </c>
      <c r="E103" s="148">
        <f>SUM(E100:E102)</f>
      </c>
      <c r="F103" s="148">
        <f>SUM(F100:F102)</f>
      </c>
      <c r="G103" s="132">
        <f>SUM(G100:G102)</f>
      </c>
      <c r="H103" s="132">
        <f>SUM(H100:H102)</f>
      </c>
      <c r="I103" s="132">
        <f>SUM(I100:I102)</f>
      </c>
      <c r="J103" s="132">
        <f>SUM(J100:J102)</f>
      </c>
      <c r="K103" s="132">
        <f>SUM(K100:K102)</f>
      </c>
      <c r="L103" s="132">
        <f>SUM(L100:L102)</f>
      </c>
      <c r="M103" s="133">
        <f t="shared" si="609"/>
      </c>
      <c r="N103" s="134">
        <f t="shared" si="639"/>
      </c>
      <c r="O103" s="134">
        <f t="shared" si="549"/>
      </c>
      <c r="P103" s="135">
        <f t="shared" si="579"/>
      </c>
      <c r="Q103" s="135">
        <f t="shared" si="759"/>
      </c>
      <c r="R103" s="135">
        <f t="shared" si="789"/>
      </c>
      <c r="S103" s="136">
        <f t="shared" si="669"/>
      </c>
      <c r="T103" s="136">
        <f t="shared" si="699"/>
      </c>
      <c r="U103" s="135">
        <f t="shared" si="978"/>
      </c>
      <c r="V103" s="136">
        <f t="shared" si="729"/>
      </c>
      <c r="W103" s="136">
        <f t="shared" si="1008"/>
      </c>
      <c r="X103" s="135">
        <f t="shared" si="819"/>
      </c>
      <c r="Y103" s="132">
        <f>SUM(Y100:Y102)</f>
      </c>
      <c r="Z103" s="132">
        <f>SUM(Z100:Z102)</f>
      </c>
      <c r="AA103" s="132">
        <f>SUM(AA100:AA102)</f>
      </c>
      <c r="AB103" s="132">
        <f>SUM(AB100:AB102)</f>
      </c>
      <c r="AC103" s="149">
        <f>SUM(AC100:AC102)</f>
      </c>
      <c r="AD103" s="150">
        <f t="shared" si="3"/>
      </c>
      <c r="AE103" s="151"/>
      <c r="AF103" s="139"/>
      <c r="AG103" s="132">
        <f>SUM(AG100:AG102)</f>
      </c>
      <c r="AH103" s="132">
        <f>SUM(AH100:AH102)</f>
      </c>
      <c r="AI103" s="132">
        <f>SUM(AI100:AI102)</f>
      </c>
      <c r="AJ103" s="132">
        <f>SUM(AJ100:AJ102)</f>
      </c>
      <c r="AK103" s="132">
        <f>SUM(AK100:AK102)</f>
      </c>
      <c r="AL103" s="132">
        <f>SUM(AL100:AL102)</f>
      </c>
    </row>
    <row r="104">
      <c r="A104" s="108"/>
      <c r="B104" s="152" t="s">
        <v>127</v>
      </c>
      <c r="C104" s="153">
        <f>C88+C94+C99+C103</f>
      </c>
      <c r="D104" s="153">
        <f>D88+D94+D99+D103</f>
      </c>
      <c r="E104" s="153">
        <f>E88+E94+E99+E103</f>
      </c>
      <c r="F104" s="153">
        <f>F88+F94+F99+F103</f>
      </c>
      <c r="G104" s="153">
        <f>G88+G94+G99+G103</f>
      </c>
      <c r="H104" s="153">
        <f>H88+H94+H99+H103</f>
      </c>
      <c r="I104" s="153">
        <f>I88+I94+I99+I103</f>
      </c>
      <c r="J104" s="153">
        <f>J88+J94+J99+J103</f>
      </c>
      <c r="K104" s="153">
        <f>K88+K94+K99+K103</f>
      </c>
      <c r="L104" s="153">
        <f>L88+L94+L99+L103</f>
      </c>
      <c r="M104" s="154">
        <f t="shared" si="609"/>
      </c>
      <c r="N104" s="154">
        <f t="shared" si="639"/>
      </c>
      <c r="O104" s="154">
        <f t="shared" si="549"/>
      </c>
      <c r="P104" s="154">
        <f t="shared" si="579"/>
      </c>
      <c r="Q104" s="154">
        <f t="shared" si="759"/>
      </c>
      <c r="R104" s="154">
        <f t="shared" si="789"/>
      </c>
      <c r="S104" s="155">
        <f t="shared" si="669"/>
      </c>
      <c r="T104" s="155">
        <f t="shared" si="699"/>
      </c>
      <c r="U104" s="154">
        <f t="shared" si="978"/>
      </c>
      <c r="V104" s="155">
        <f t="shared" si="729"/>
      </c>
      <c r="W104" s="155">
        <f t="shared" si="1008"/>
      </c>
      <c r="X104" s="154">
        <f t="shared" si="819"/>
      </c>
      <c r="Y104" s="156">
        <f>Y88+Y94+Y99+Y103</f>
      </c>
      <c r="Z104" s="156">
        <f>Z88+Z94+Z99+Z103</f>
      </c>
      <c r="AA104" s="156">
        <f>AA88+AA94+AA99+AA103</f>
      </c>
      <c r="AB104" s="156">
        <f>AB88+AB94+AB99+AB103</f>
      </c>
      <c r="AC104" s="156">
        <f>AC88+AC94+AC99+AC103</f>
      </c>
      <c r="AD104" s="157">
        <f t="shared" si="3"/>
      </c>
      <c r="AE104" s="158"/>
      <c r="AF104" s="159"/>
      <c r="AG104" s="153">
        <f>AG88+AG94+AG99+AG103</f>
      </c>
      <c r="AH104" s="153">
        <f>AH88+AH94+AH99+AH103</f>
      </c>
      <c r="AI104" s="153">
        <f>AI88+AI94+AI99+AI103</f>
      </c>
      <c r="AJ104" s="153">
        <f>AJ88+AJ94+AJ99+AJ103</f>
      </c>
      <c r="AK104" s="153">
        <f>AK88+AK94+AK99+AK103</f>
      </c>
      <c r="AL104" s="153">
        <f>AL88+AL94+AL99+AL103</f>
      </c>
    </row>
    <row r="105">
      <c r="A105" s="94" t="s">
        <v>81</v>
      </c>
      <c r="B105" s="95" t="s">
        <v>82</v>
      </c>
      <c r="C105" s="95" t="s">
        <v>83</v>
      </c>
      <c r="D105" s="96" t="s">
        <v>84</v>
      </c>
      <c r="E105" s="95" t="s">
        <v>85</v>
      </c>
      <c r="F105" s="95" t="s">
        <v>86</v>
      </c>
      <c r="G105" s="97" t="s">
        <v>87</v>
      </c>
      <c r="H105" s="97" t="s">
        <v>88</v>
      </c>
      <c r="I105" s="96" t="s">
        <v>89</v>
      </c>
      <c r="J105" s="98" t="s">
        <v>90</v>
      </c>
      <c r="K105" s="99" t="s">
        <v>91</v>
      </c>
      <c r="L105" s="99" t="s">
        <v>92</v>
      </c>
      <c r="M105" s="100" t="s">
        <v>93</v>
      </c>
      <c r="N105" s="99" t="s">
        <v>94</v>
      </c>
      <c r="O105" s="95" t="s">
        <v>95</v>
      </c>
      <c r="P105" s="100" t="s">
        <v>96</v>
      </c>
      <c r="Q105" s="101" t="s">
        <v>97</v>
      </c>
      <c r="R105" s="101" t="s">
        <v>98</v>
      </c>
      <c r="S105" s="96" t="s">
        <v>99</v>
      </c>
      <c r="T105" s="102" t="s">
        <v>100</v>
      </c>
      <c r="U105" s="100" t="s">
        <v>101</v>
      </c>
      <c r="V105" s="103" t="s">
        <v>102</v>
      </c>
      <c r="W105" s="104" t="s">
        <v>103</v>
      </c>
      <c r="X105" s="100" t="s">
        <v>104</v>
      </c>
      <c r="Y105" s="105" t="s">
        <v>105</v>
      </c>
      <c r="Z105" s="106" t="s">
        <v>106</v>
      </c>
      <c r="AA105" s="105" t="s">
        <v>107</v>
      </c>
      <c r="AB105" s="107" t="s">
        <v>108</v>
      </c>
      <c r="AC105" s="107" t="s">
        <v>109</v>
      </c>
      <c r="AD105" s="99" t="s">
        <v>110</v>
      </c>
      <c r="AE105" s="98" t="s">
        <v>111</v>
      </c>
      <c r="AF105" s="99" t="s">
        <v>112</v>
      </c>
      <c r="AG105" s="98" t="s">
        <v>113</v>
      </c>
      <c r="AH105" s="98" t="s">
        <v>114</v>
      </c>
      <c r="AI105" s="99" t="s">
        <v>115</v>
      </c>
      <c r="AJ105" s="98" t="s">
        <v>116</v>
      </c>
      <c r="AK105" s="99" t="s">
        <v>117</v>
      </c>
      <c r="AL105" s="98" t="s">
        <v>118</v>
      </c>
    </row>
    <row r="106">
      <c r="A106" s="108">
        <v>46270</v>
      </c>
      <c r="B106" s="109" t="s">
        <v>143</v>
      </c>
      <c r="C106" s="110" t="s">
        <v>120</v>
      </c>
      <c r="D106" s="111">
        <f t="shared" ref="D106:D110" si="307">E106+F106+G106+H106</f>
      </c>
      <c r="E106" s="112">
        <v>963.54</v>
      </c>
      <c r="F106" s="113">
        <f>0.06+8027.95</f>
      </c>
      <c r="G106" s="113">
        <v>1025.21</v>
      </c>
      <c r="H106" s="113">
        <v>0</v>
      </c>
      <c r="I106" s="113">
        <f t="shared" ref="I106:I110" si="436">AB106+AC106</f>
      </c>
      <c r="J106" s="114">
        <f>1320.84+1551.96</f>
      </c>
      <c r="K106" s="115">
        <f t="shared" ref="K106:K110" si="49">I106-J106</f>
      </c>
      <c r="L106" s="115">
        <f t="shared" ref="L106:L110" si="178">(I106-AC106)/12+AC106</f>
      </c>
      <c r="M106" s="116">
        <f t="shared" ref="M106:M130" si="610">I106/D106</f>
      </c>
      <c r="N106" s="117">
        <f t="shared" ref="N106:N130" si="640">(I106-J106)/D106</f>
      </c>
      <c r="O106" s="118">
        <f t="shared" ref="O106:O130" si="550">(AC106+AB106/12)/D106</f>
      </c>
      <c r="P106" s="119">
        <f t="shared" ref="P106:P130" si="580">I106/AA106</f>
      </c>
      <c r="Q106" s="119">
        <f t="shared" ref="Q106:Q130" si="760">D106/AA106</f>
      </c>
      <c r="R106" s="119">
        <f t="shared" ref="R106:R130" si="790">D106/AG106</f>
      </c>
      <c r="S106" s="120">
        <f t="shared" ref="S106:S130" si="670">AA106/Y106</f>
      </c>
      <c r="T106" s="121">
        <f t="shared" ref="T106:T130" si="700">AI106/AH106</f>
      </c>
      <c r="U106" s="119">
        <f t="shared" ref="U106:U130" si="979">D106/AJ106</f>
      </c>
      <c r="V106" s="122">
        <f t="shared" ref="V106:V130" si="730">AK106/AJ106</f>
      </c>
      <c r="W106" s="122">
        <f t="shared" ref="W106:W130" si="1009">AL106/AJ106</f>
      </c>
      <c r="X106" s="119">
        <f t="shared" ref="X106:X130" si="820">D106/AL106</f>
      </c>
      <c r="Y106" s="123">
        <f t="shared" ref="Y106:Y110" si="865">Z106+AA106</f>
      </c>
      <c r="Z106" s="123">
        <v>14</v>
      </c>
      <c r="AA106" s="123">
        <v>12</v>
      </c>
      <c r="AB106" s="124">
        <v>18507.96</v>
      </c>
      <c r="AC106" s="124">
        <v>0</v>
      </c>
      <c r="AD106" s="120">
        <f t="shared" ref="AD106:AD129" si="4">AC106/I106</f>
      </c>
      <c r="AE106" s="125" t="s">
        <v>121</v>
      </c>
      <c r="AF106" s="126" t="s">
        <v>122</v>
      </c>
      <c r="AG106" s="127">
        <v>8</v>
      </c>
      <c r="AH106" s="127">
        <v>99786</v>
      </c>
      <c r="AI106" s="128">
        <v>1825</v>
      </c>
      <c r="AJ106" s="128">
        <v>1965</v>
      </c>
      <c r="AK106" s="127">
        <v>297</v>
      </c>
      <c r="AL106" s="129">
        <v>300</v>
      </c>
    </row>
    <row r="107">
      <c r="A107" s="108"/>
      <c r="B107" s="109" t="s">
        <v>143</v>
      </c>
      <c r="C107" s="110" t="s">
        <v>123</v>
      </c>
      <c r="D107" s="111">
        <f t="shared" si="307"/>
      </c>
      <c r="E107" s="110">
        <v>1169.63</v>
      </c>
      <c r="F107" s="113">
        <v>6528.02</v>
      </c>
      <c r="G107" s="113">
        <v>279.01</v>
      </c>
      <c r="H107" s="113">
        <v>0</v>
      </c>
      <c r="I107" s="113">
        <f t="shared" si="436"/>
      </c>
      <c r="J107" s="114">
        <f>1591.92+1591.92+613.56+1114.32+2603.88</f>
      </c>
      <c r="K107" s="115">
        <f t="shared" si="49"/>
      </c>
      <c r="L107" s="115">
        <f t="shared" si="178"/>
      </c>
      <c r="M107" s="116">
        <f t="shared" si="610"/>
      </c>
      <c r="N107" s="117">
        <f t="shared" si="640"/>
      </c>
      <c r="O107" s="118">
        <f t="shared" si="550"/>
      </c>
      <c r="P107" s="119">
        <f t="shared" si="580"/>
      </c>
      <c r="Q107" s="119">
        <f t="shared" si="760"/>
      </c>
      <c r="R107" s="119">
        <f t="shared" si="790"/>
      </c>
      <c r="S107" s="120">
        <f t="shared" si="670"/>
      </c>
      <c r="T107" s="121">
        <f t="shared" si="700"/>
      </c>
      <c r="U107" s="119">
        <f t="shared" si="979"/>
      </c>
      <c r="V107" s="122">
        <f t="shared" si="730"/>
      </c>
      <c r="W107" s="122">
        <f t="shared" si="1009"/>
      </c>
      <c r="X107" s="119">
        <f t="shared" si="820"/>
      </c>
      <c r="Y107" s="123">
        <f t="shared" si="865"/>
      </c>
      <c r="Z107" s="123">
        <v>9</v>
      </c>
      <c r="AA107" s="123">
        <v>10</v>
      </c>
      <c r="AB107" s="124">
        <v>18003.480000000003</v>
      </c>
      <c r="AC107" s="124">
        <v>0</v>
      </c>
      <c r="AD107" s="120">
        <f t="shared" si="4"/>
      </c>
      <c r="AE107" s="125" t="s">
        <v>121</v>
      </c>
      <c r="AF107" s="126" t="s">
        <v>122</v>
      </c>
      <c r="AG107" s="127">
        <v>7</v>
      </c>
      <c r="AH107" s="128">
        <v>68155</v>
      </c>
      <c r="AI107" s="128">
        <v>1127</v>
      </c>
      <c r="AJ107" s="128">
        <v>1212</v>
      </c>
      <c r="AK107" s="129">
        <v>192</v>
      </c>
      <c r="AL107" s="129">
        <v>225</v>
      </c>
    </row>
    <row r="108">
      <c r="A108" s="108"/>
      <c r="B108" s="109" t="s">
        <v>143</v>
      </c>
      <c r="C108" s="110" t="s">
        <v>124</v>
      </c>
      <c r="D108" s="111">
        <f t="shared" si="307"/>
      </c>
      <c r="E108" s="110">
        <v>1372.99</v>
      </c>
      <c r="F108" s="110">
        <v>4971.37</v>
      </c>
      <c r="G108" s="113">
        <v>930.97</v>
      </c>
      <c r="H108" s="113">
        <v>0</v>
      </c>
      <c r="I108" s="113">
        <f t="shared" si="436"/>
      </c>
      <c r="J108" s="114">
        <v>1278.72</v>
      </c>
      <c r="K108" s="115">
        <f t="shared" si="49"/>
      </c>
      <c r="L108" s="115">
        <f t="shared" si="178"/>
      </c>
      <c r="M108" s="116">
        <f t="shared" si="610"/>
      </c>
      <c r="N108" s="117">
        <f t="shared" si="640"/>
      </c>
      <c r="O108" s="118">
        <f t="shared" si="550"/>
      </c>
      <c r="P108" s="119">
        <f t="shared" si="580"/>
      </c>
      <c r="Q108" s="119">
        <f t="shared" si="760"/>
      </c>
      <c r="R108" s="119">
        <f t="shared" si="790"/>
      </c>
      <c r="S108" s="120">
        <f t="shared" si="670"/>
      </c>
      <c r="T108" s="121">
        <f t="shared" si="700"/>
      </c>
      <c r="U108" s="119">
        <f t="shared" si="979"/>
      </c>
      <c r="V108" s="122">
        <f t="shared" si="730"/>
      </c>
      <c r="W108" s="122">
        <f t="shared" si="1009"/>
      </c>
      <c r="X108" s="119">
        <f t="shared" si="820"/>
      </c>
      <c r="Y108" s="123">
        <f t="shared" si="865"/>
      </c>
      <c r="Z108" s="123">
        <v>6</v>
      </c>
      <c r="AA108" s="123">
        <v>1</v>
      </c>
      <c r="AB108" s="124">
        <v>1278.7200000000012</v>
      </c>
      <c r="AC108" s="124">
        <v>0</v>
      </c>
      <c r="AD108" s="120">
        <f t="shared" si="4"/>
      </c>
      <c r="AE108" s="125" t="s">
        <v>121</v>
      </c>
      <c r="AF108" s="126" t="s">
        <v>122</v>
      </c>
      <c r="AG108" s="129">
        <v>1</v>
      </c>
      <c r="AH108" s="128">
        <v>51546</v>
      </c>
      <c r="AI108" s="128">
        <v>868</v>
      </c>
      <c r="AJ108" s="128">
        <v>941</v>
      </c>
      <c r="AK108" s="129">
        <v>169</v>
      </c>
      <c r="AL108" s="129">
        <v>211</v>
      </c>
    </row>
    <row r="109">
      <c r="A109" s="108"/>
      <c r="B109" s="109" t="s">
        <v>143</v>
      </c>
      <c r="C109" s="110" t="s">
        <v>125</v>
      </c>
      <c r="D109" s="111">
        <f t="shared" si="307"/>
      </c>
      <c r="E109" s="110">
        <v>561.83</v>
      </c>
      <c r="F109" s="113">
        <v>3549.99</v>
      </c>
      <c r="G109" s="113">
        <v>1128.27</v>
      </c>
      <c r="H109" s="113">
        <v>0</v>
      </c>
      <c r="I109" s="113">
        <f t="shared" si="436"/>
      </c>
      <c r="J109" s="114">
        <f>708.48+752.76+2707.92+1043.88+3493.32</f>
      </c>
      <c r="K109" s="115">
        <f t="shared" si="49"/>
      </c>
      <c r="L109" s="115">
        <f t="shared" si="178"/>
      </c>
      <c r="M109" s="116">
        <f t="shared" si="610"/>
      </c>
      <c r="N109" s="117">
        <f t="shared" si="640"/>
      </c>
      <c r="O109" s="118">
        <f t="shared" si="550"/>
      </c>
      <c r="P109" s="119">
        <f t="shared" si="580"/>
      </c>
      <c r="Q109" s="119">
        <f t="shared" si="760"/>
      </c>
      <c r="R109" s="119">
        <f t="shared" si="790"/>
      </c>
      <c r="S109" s="120">
        <f t="shared" si="670"/>
      </c>
      <c r="T109" s="121">
        <f t="shared" si="700"/>
      </c>
      <c r="U109" s="119">
        <f t="shared" si="979"/>
      </c>
      <c r="V109" s="122">
        <f t="shared" si="730"/>
      </c>
      <c r="W109" s="122">
        <f t="shared" si="1009"/>
      </c>
      <c r="X109" s="119">
        <f t="shared" si="820"/>
      </c>
      <c r="Y109" s="123">
        <f t="shared" si="865"/>
      </c>
      <c r="Z109" s="123">
        <v>2</v>
      </c>
      <c r="AA109" s="123">
        <v>3</v>
      </c>
      <c r="AB109" s="124">
        <v>8706.359999999993</v>
      </c>
      <c r="AC109" s="124">
        <v>0</v>
      </c>
      <c r="AD109" s="120">
        <f t="shared" si="4"/>
      </c>
      <c r="AE109" s="125" t="s">
        <v>121</v>
      </c>
      <c r="AF109" s="126" t="s">
        <v>122</v>
      </c>
      <c r="AG109" s="127">
        <v>3</v>
      </c>
      <c r="AH109" s="128">
        <v>36162</v>
      </c>
      <c r="AI109" s="128">
        <v>585</v>
      </c>
      <c r="AJ109" s="128">
        <v>634</v>
      </c>
      <c r="AK109" s="129">
        <v>112</v>
      </c>
      <c r="AL109" s="129">
        <v>122</v>
      </c>
    </row>
    <row r="110">
      <c r="A110" s="108"/>
      <c r="B110" s="109" t="s">
        <v>143</v>
      </c>
      <c r="C110" s="110" t="s">
        <v>126</v>
      </c>
      <c r="D110" s="111">
        <f t="shared" si="307"/>
      </c>
      <c r="E110" s="112">
        <v>519.06</v>
      </c>
      <c r="F110" s="113">
        <v>3387.5</v>
      </c>
      <c r="G110" s="113">
        <v>1750.58</v>
      </c>
      <c r="H110" s="113">
        <v>0</v>
      </c>
      <c r="I110" s="113">
        <f t="shared" si="436"/>
      </c>
      <c r="J110" s="114">
        <f>1398+2026.08+6016.68</f>
      </c>
      <c r="K110" s="115">
        <f t="shared" si="49"/>
      </c>
      <c r="L110" s="115">
        <f t="shared" si="178"/>
      </c>
      <c r="M110" s="116">
        <f t="shared" si="610"/>
      </c>
      <c r="N110" s="117">
        <f t="shared" si="640"/>
      </c>
      <c r="O110" s="118">
        <f t="shared" si="550"/>
      </c>
      <c r="P110" s="119">
        <f t="shared" si="580"/>
      </c>
      <c r="Q110" s="119">
        <f t="shared" si="760"/>
      </c>
      <c r="R110" s="119">
        <f t="shared" si="790"/>
      </c>
      <c r="S110" s="120">
        <f t="shared" si="670"/>
      </c>
      <c r="T110" s="121">
        <f t="shared" si="700"/>
      </c>
      <c r="U110" s="119">
        <f t="shared" si="979"/>
      </c>
      <c r="V110" s="122">
        <f t="shared" si="730"/>
      </c>
      <c r="W110" s="122">
        <f t="shared" si="1009"/>
      </c>
      <c r="X110" s="119">
        <f t="shared" si="820"/>
      </c>
      <c r="Y110" s="123">
        <f t="shared" si="865"/>
      </c>
      <c r="Z110" s="123">
        <v>5</v>
      </c>
      <c r="AA110" s="123">
        <v>10</v>
      </c>
      <c r="AB110" s="124">
        <v>15211.8</v>
      </c>
      <c r="AC110" s="124">
        <v>8002</v>
      </c>
      <c r="AD110" s="120">
        <f t="shared" si="4"/>
      </c>
      <c r="AE110" s="125" t="s">
        <v>121</v>
      </c>
      <c r="AF110" s="126" t="s">
        <v>122</v>
      </c>
      <c r="AG110" s="127">
        <v>10</v>
      </c>
      <c r="AH110" s="128">
        <v>38500</v>
      </c>
      <c r="AI110" s="128">
        <v>695</v>
      </c>
      <c r="AJ110" s="128">
        <v>750</v>
      </c>
      <c r="AK110" s="127">
        <v>146</v>
      </c>
      <c r="AL110" s="127">
        <v>177</v>
      </c>
    </row>
    <row r="111">
      <c r="A111" s="108"/>
      <c r="B111" s="130" t="s">
        <v>127</v>
      </c>
      <c r="C111" s="131">
        <v>5</v>
      </c>
      <c r="D111" s="132">
        <f>SUM(D106:D110)</f>
      </c>
      <c r="E111" s="132">
        <f>SUM(E106:E110)</f>
      </c>
      <c r="F111" s="132">
        <f>SUM(F106:F110)</f>
      </c>
      <c r="G111" s="132">
        <f>SUM(G106:G110)</f>
      </c>
      <c r="H111" s="132">
        <f>SUM(H106:H110)</f>
      </c>
      <c r="I111" s="132">
        <f>SUM(I106:I110)</f>
      </c>
      <c r="J111" s="132">
        <f>SUM(J106:J110)</f>
      </c>
      <c r="K111" s="132">
        <f>SUM(K106:K110)</f>
      </c>
      <c r="L111" s="132">
        <f>SUM(L106:L110)</f>
      </c>
      <c r="M111" s="133">
        <f t="shared" si="610"/>
      </c>
      <c r="N111" s="134">
        <f t="shared" si="640"/>
      </c>
      <c r="O111" s="134">
        <f t="shared" si="550"/>
      </c>
      <c r="P111" s="135">
        <f t="shared" si="580"/>
      </c>
      <c r="Q111" s="135">
        <f t="shared" si="760"/>
      </c>
      <c r="R111" s="135">
        <f t="shared" si="790"/>
      </c>
      <c r="S111" s="136">
        <f t="shared" si="670"/>
      </c>
      <c r="T111" s="136">
        <f t="shared" si="700"/>
      </c>
      <c r="U111" s="135">
        <f t="shared" si="979"/>
      </c>
      <c r="V111" s="136">
        <f t="shared" si="730"/>
      </c>
      <c r="W111" s="136">
        <f t="shared" si="1009"/>
      </c>
      <c r="X111" s="135">
        <f t="shared" si="820"/>
      </c>
      <c r="Y111" s="132">
        <f>SUM(Y106:Y110)</f>
      </c>
      <c r="Z111" s="132">
        <f>SUM(Z106:Z110)</f>
      </c>
      <c r="AA111" s="132">
        <f>SUM(AA106:AA110)</f>
      </c>
      <c r="AB111" s="132">
        <f>SUM(AB106:AB110)</f>
      </c>
      <c r="AC111" s="132">
        <f>SUM(AC106:AC110)</f>
      </c>
      <c r="AD111" s="137">
        <f t="shared" si="4"/>
      </c>
      <c r="AE111" s="138"/>
      <c r="AF111" s="139"/>
      <c r="AG111" s="132">
        <f>SUM(AG106:AG110)</f>
      </c>
      <c r="AH111" s="132">
        <f>SUM(AH106:AH110)</f>
      </c>
      <c r="AI111" s="132">
        <f>SUM(AI106:AI110)</f>
      </c>
      <c r="AJ111" s="132">
        <f>SUM(AJ106:AJ110)</f>
      </c>
      <c r="AK111" s="132">
        <f>SUM(AK106:AK110)</f>
      </c>
      <c r="AL111" s="132">
        <f>SUM(AL106:AL110)</f>
      </c>
    </row>
    <row r="112">
      <c r="A112" s="108"/>
      <c r="B112" s="109" t="s">
        <v>128</v>
      </c>
      <c r="C112" s="110" t="s">
        <v>129</v>
      </c>
      <c r="D112" s="111">
        <f t="shared" ref="D112:D116" si="308">E112+F112+G112+H112</f>
      </c>
      <c r="E112" s="112">
        <v>583.37</v>
      </c>
      <c r="F112" s="113">
        <v>5168.26</v>
      </c>
      <c r="G112" s="113">
        <v>2187.19</v>
      </c>
      <c r="H112" s="113">
        <v>0</v>
      </c>
      <c r="I112" s="113">
        <f t="shared" ref="I112:I116" si="437">AB112+AC112</f>
      </c>
      <c r="J112" s="114">
        <f>1245.24+3110.4</f>
      </c>
      <c r="K112" s="115">
        <f t="shared" ref="K112:K116" si="50">I112-J112</f>
      </c>
      <c r="L112" s="115">
        <f t="shared" ref="L112:L116" si="179">(I112-AC112)/12+AC112</f>
      </c>
      <c r="M112" s="116">
        <f t="shared" si="610"/>
      </c>
      <c r="N112" s="117">
        <f t="shared" si="640"/>
      </c>
      <c r="O112" s="118">
        <f t="shared" si="550"/>
      </c>
      <c r="P112" s="119">
        <f t="shared" si="580"/>
      </c>
      <c r="Q112" s="119">
        <f t="shared" si="760"/>
      </c>
      <c r="R112" s="119">
        <f t="shared" si="790"/>
      </c>
      <c r="S112" s="120">
        <f t="shared" si="670"/>
      </c>
      <c r="T112" s="121">
        <f t="shared" si="700"/>
      </c>
      <c r="U112" s="119">
        <f t="shared" si="979"/>
      </c>
      <c r="V112" s="122">
        <f t="shared" si="730"/>
      </c>
      <c r="W112" s="122">
        <f t="shared" si="1009"/>
      </c>
      <c r="X112" s="119">
        <f t="shared" si="820"/>
      </c>
      <c r="Y112" s="123">
        <f t="shared" ref="Y112:Y116" si="866">Z112+AA112</f>
      </c>
      <c r="Z112" s="123">
        <v>3</v>
      </c>
      <c r="AA112" s="123">
        <v>4</v>
      </c>
      <c r="AB112" s="124">
        <v>8086.560000000012</v>
      </c>
      <c r="AC112" s="124">
        <v>0</v>
      </c>
      <c r="AD112" s="120">
        <f t="shared" si="4"/>
      </c>
      <c r="AE112" s="125" t="s">
        <v>121</v>
      </c>
      <c r="AF112" s="126" t="s">
        <v>122</v>
      </c>
      <c r="AG112" s="127">
        <v>4</v>
      </c>
      <c r="AH112" s="128">
        <v>59041</v>
      </c>
      <c r="AI112" s="128">
        <v>615</v>
      </c>
      <c r="AJ112" s="128">
        <v>619</v>
      </c>
      <c r="AK112" s="127">
        <v>133</v>
      </c>
      <c r="AL112" s="127">
        <v>169</v>
      </c>
    </row>
    <row r="113">
      <c r="A113" s="108"/>
      <c r="B113" s="109" t="s">
        <v>128</v>
      </c>
      <c r="C113" s="110" t="s">
        <v>130</v>
      </c>
      <c r="D113" s="111">
        <f t="shared" si="308"/>
      </c>
      <c r="E113" s="110">
        <v>408.4</v>
      </c>
      <c r="F113" s="113">
        <v>4927.29</v>
      </c>
      <c r="G113" s="113">
        <v>1799.68</v>
      </c>
      <c r="H113" s="113">
        <v>0</v>
      </c>
      <c r="I113" s="113">
        <f t="shared" si="437"/>
      </c>
      <c r="J113" s="114">
        <f>3218.4+630.72</f>
      </c>
      <c r="K113" s="115">
        <f t="shared" si="50"/>
      </c>
      <c r="L113" s="115">
        <f t="shared" si="179"/>
      </c>
      <c r="M113" s="116">
        <f t="shared" si="610"/>
      </c>
      <c r="N113" s="117">
        <f t="shared" si="640"/>
      </c>
      <c r="O113" s="118">
        <f t="shared" si="550"/>
      </c>
      <c r="P113" s="119">
        <f t="shared" si="580"/>
      </c>
      <c r="Q113" s="119">
        <f t="shared" si="760"/>
      </c>
      <c r="R113" s="119">
        <f t="shared" si="790"/>
      </c>
      <c r="S113" s="120">
        <f t="shared" si="670"/>
      </c>
      <c r="T113" s="121">
        <f t="shared" si="700"/>
      </c>
      <c r="U113" s="119">
        <f t="shared" si="979"/>
      </c>
      <c r="V113" s="122">
        <f t="shared" si="730"/>
      </c>
      <c r="W113" s="122">
        <f t="shared" si="1009"/>
      </c>
      <c r="X113" s="119">
        <f t="shared" si="820"/>
      </c>
      <c r="Y113" s="123">
        <f t="shared" si="866"/>
      </c>
      <c r="Z113" s="123">
        <v>4</v>
      </c>
      <c r="AA113" s="123">
        <v>8</v>
      </c>
      <c r="AB113" s="124">
        <v>13836.959999999992</v>
      </c>
      <c r="AC113" s="124">
        <v>2611</v>
      </c>
      <c r="AD113" s="120">
        <f t="shared" si="4"/>
      </c>
      <c r="AE113" s="125" t="s">
        <v>121</v>
      </c>
      <c r="AF113" s="126" t="s">
        <v>122</v>
      </c>
      <c r="AG113" s="127">
        <v>7</v>
      </c>
      <c r="AH113" s="128">
        <v>69787</v>
      </c>
      <c r="AI113" s="128">
        <v>739</v>
      </c>
      <c r="AJ113" s="128">
        <v>747</v>
      </c>
      <c r="AK113" s="129">
        <v>144</v>
      </c>
      <c r="AL113" s="129">
        <v>201</v>
      </c>
    </row>
    <row r="114">
      <c r="A114" s="108"/>
      <c r="B114" s="109" t="s">
        <v>128</v>
      </c>
      <c r="C114" s="110" t="s">
        <v>131</v>
      </c>
      <c r="D114" s="111">
        <f t="shared" si="308"/>
      </c>
      <c r="E114" s="110">
        <v>456.29</v>
      </c>
      <c r="F114" s="110">
        <v>5503.98</v>
      </c>
      <c r="G114" s="113">
        <v>1059.79</v>
      </c>
      <c r="H114" s="113">
        <v>0</v>
      </c>
      <c r="I114" s="113">
        <f t="shared" si="437"/>
      </c>
      <c r="J114" s="114">
        <f>646.92+676.08</f>
      </c>
      <c r="K114" s="115">
        <f t="shared" si="50"/>
      </c>
      <c r="L114" s="115">
        <f t="shared" si="179"/>
      </c>
      <c r="M114" s="116">
        <f t="shared" si="610"/>
      </c>
      <c r="N114" s="117">
        <f t="shared" si="640"/>
      </c>
      <c r="O114" s="118">
        <f t="shared" si="550"/>
      </c>
      <c r="P114" s="119">
        <f t="shared" si="580"/>
      </c>
      <c r="Q114" s="119">
        <f t="shared" si="760"/>
      </c>
      <c r="R114" s="119">
        <f t="shared" si="790"/>
      </c>
      <c r="S114" s="120">
        <f t="shared" si="670"/>
      </c>
      <c r="T114" s="121">
        <f t="shared" si="700"/>
      </c>
      <c r="U114" s="119">
        <f t="shared" si="979"/>
      </c>
      <c r="V114" s="122">
        <f t="shared" si="730"/>
      </c>
      <c r="W114" s="122">
        <f t="shared" si="1009"/>
      </c>
      <c r="X114" s="119">
        <f t="shared" si="820"/>
      </c>
      <c r="Y114" s="123">
        <f t="shared" si="866"/>
      </c>
      <c r="Z114" s="123">
        <v>6</v>
      </c>
      <c r="AA114" s="123">
        <v>4</v>
      </c>
      <c r="AB114" s="124">
        <v>2533.6800000000076</v>
      </c>
      <c r="AC114" s="124">
        <v>0</v>
      </c>
      <c r="AD114" s="120">
        <f t="shared" si="4"/>
      </c>
      <c r="AE114" s="125" t="s">
        <v>121</v>
      </c>
      <c r="AF114" s="126" t="s">
        <v>122</v>
      </c>
      <c r="AG114" s="129">
        <v>4</v>
      </c>
      <c r="AH114" s="128">
        <v>76537</v>
      </c>
      <c r="AI114" s="128">
        <v>629</v>
      </c>
      <c r="AJ114" s="128">
        <v>644</v>
      </c>
      <c r="AK114" s="129">
        <v>142</v>
      </c>
      <c r="AL114" s="129">
        <v>196</v>
      </c>
    </row>
    <row r="115">
      <c r="A115" s="108"/>
      <c r="B115" s="109" t="s">
        <v>128</v>
      </c>
      <c r="C115" s="110" t="s">
        <v>132</v>
      </c>
      <c r="D115" s="111">
        <f t="shared" si="308"/>
      </c>
      <c r="E115" s="110">
        <v>683.13</v>
      </c>
      <c r="F115" s="113">
        <v>4566.78</v>
      </c>
      <c r="G115" s="113">
        <v>573.42</v>
      </c>
      <c r="H115" s="113">
        <v>0</v>
      </c>
      <c r="I115" s="113">
        <f t="shared" si="437"/>
      </c>
      <c r="J115" s="114">
        <f>628.56+970.92</f>
      </c>
      <c r="K115" s="115">
        <f t="shared" si="50"/>
      </c>
      <c r="L115" s="115">
        <f t="shared" si="179"/>
      </c>
      <c r="M115" s="116">
        <f t="shared" si="610"/>
      </c>
      <c r="N115" s="117">
        <f t="shared" si="640"/>
      </c>
      <c r="O115" s="118">
        <f t="shared" si="550"/>
      </c>
      <c r="P115" s="119">
        <f t="shared" si="580"/>
      </c>
      <c r="Q115" s="119">
        <f t="shared" si="760"/>
      </c>
      <c r="R115" s="119">
        <f t="shared" si="790"/>
      </c>
      <c r="S115" s="120">
        <f t="shared" si="670"/>
      </c>
      <c r="T115" s="121">
        <f t="shared" si="700"/>
      </c>
      <c r="U115" s="119">
        <f t="shared" si="979"/>
      </c>
      <c r="V115" s="122">
        <f t="shared" si="730"/>
      </c>
      <c r="W115" s="122">
        <f t="shared" si="1009"/>
      </c>
      <c r="X115" s="119">
        <f t="shared" si="820"/>
      </c>
      <c r="Y115" s="123">
        <f t="shared" si="866"/>
      </c>
      <c r="Z115" s="123">
        <v>3</v>
      </c>
      <c r="AA115" s="123">
        <v>6</v>
      </c>
      <c r="AB115" s="114">
        <v>8895.23999999999</v>
      </c>
      <c r="AC115" s="124">
        <v>0</v>
      </c>
      <c r="AD115" s="120">
        <f t="shared" si="4"/>
      </c>
      <c r="AE115" s="125" t="s">
        <v>121</v>
      </c>
      <c r="AF115" s="126" t="s">
        <v>122</v>
      </c>
      <c r="AG115" s="127">
        <v>4</v>
      </c>
      <c r="AH115" s="128">
        <v>70707</v>
      </c>
      <c r="AI115" s="128">
        <v>649</v>
      </c>
      <c r="AJ115" s="128">
        <v>693</v>
      </c>
      <c r="AK115" s="129">
        <v>134</v>
      </c>
      <c r="AL115" s="129">
        <v>165</v>
      </c>
    </row>
    <row r="116">
      <c r="A116" s="108"/>
      <c r="B116" s="109" t="s">
        <v>128</v>
      </c>
      <c r="C116" s="110" t="s">
        <v>134</v>
      </c>
      <c r="D116" s="111">
        <f t="shared" si="308"/>
      </c>
      <c r="E116" s="110">
        <v>587.17</v>
      </c>
      <c r="F116" s="140">
        <v>2682.42</v>
      </c>
      <c r="G116" s="113">
        <v>627.15</v>
      </c>
      <c r="H116" s="113">
        <v>0</v>
      </c>
      <c r="I116" s="113">
        <f t="shared" si="437"/>
      </c>
      <c r="J116" s="160">
        <v>2095.2</v>
      </c>
      <c r="K116" s="115">
        <f t="shared" si="50"/>
      </c>
      <c r="L116" s="115">
        <f t="shared" si="179"/>
      </c>
      <c r="M116" s="116">
        <f t="shared" si="610"/>
      </c>
      <c r="N116" s="117">
        <f t="shared" si="640"/>
      </c>
      <c r="O116" s="118">
        <f t="shared" si="550"/>
      </c>
      <c r="P116" s="119">
        <f t="shared" si="580"/>
      </c>
      <c r="Q116" s="119">
        <f t="shared" si="760"/>
      </c>
      <c r="R116" s="119">
        <f t="shared" si="790"/>
      </c>
      <c r="S116" s="120">
        <f t="shared" si="670"/>
      </c>
      <c r="T116" s="121">
        <f t="shared" si="700"/>
      </c>
      <c r="U116" s="119">
        <f t="shared" si="979"/>
      </c>
      <c r="V116" s="122">
        <f t="shared" si="730"/>
      </c>
      <c r="W116" s="122">
        <f t="shared" si="1009"/>
      </c>
      <c r="X116" s="119">
        <f t="shared" si="820"/>
      </c>
      <c r="Y116" s="123">
        <f t="shared" si="866"/>
      </c>
      <c r="Z116" s="123">
        <v>6</v>
      </c>
      <c r="AA116" s="123">
        <v>5</v>
      </c>
      <c r="AB116" s="124">
        <v>8943.240000000005</v>
      </c>
      <c r="AC116" s="124">
        <v>0</v>
      </c>
      <c r="AD116" s="120">
        <f t="shared" si="4"/>
      </c>
      <c r="AE116" s="125" t="s">
        <v>121</v>
      </c>
      <c r="AF116" s="126" t="s">
        <v>122</v>
      </c>
      <c r="AG116" s="127">
        <v>3</v>
      </c>
      <c r="AH116" s="128">
        <v>40133</v>
      </c>
      <c r="AI116" s="128">
        <v>577</v>
      </c>
      <c r="AJ116" s="128">
        <v>630</v>
      </c>
      <c r="AK116" s="129">
        <v>103</v>
      </c>
      <c r="AL116" s="129">
        <v>112</v>
      </c>
    </row>
    <row r="117">
      <c r="A117" s="108"/>
      <c r="B117" s="130" t="s">
        <v>127</v>
      </c>
      <c r="C117" s="131">
        <v>5</v>
      </c>
      <c r="D117" s="132">
        <f>SUM(D112:D116)</f>
      </c>
      <c r="E117" s="132">
        <f>SUM(E112:E116)</f>
      </c>
      <c r="F117" s="132">
        <f>SUM(F112:F116)</f>
      </c>
      <c r="G117" s="132">
        <f>SUM(G112:G116)</f>
      </c>
      <c r="H117" s="132">
        <f>SUM(H112:H116)</f>
      </c>
      <c r="I117" s="132">
        <f>SUM(I112:I116)</f>
      </c>
      <c r="J117" s="132">
        <f>SUM(J112:J116)</f>
      </c>
      <c r="K117" s="132">
        <f>SUM(K112:K116)</f>
      </c>
      <c r="L117" s="132">
        <f>SUM(L112:L116)</f>
      </c>
      <c r="M117" s="133">
        <f t="shared" si="610"/>
      </c>
      <c r="N117" s="134">
        <f t="shared" si="640"/>
      </c>
      <c r="O117" s="134">
        <f t="shared" si="550"/>
      </c>
      <c r="P117" s="135">
        <f t="shared" si="580"/>
      </c>
      <c r="Q117" s="135">
        <f t="shared" si="760"/>
      </c>
      <c r="R117" s="135">
        <f t="shared" si="790"/>
      </c>
      <c r="S117" s="136">
        <f t="shared" si="670"/>
      </c>
      <c r="T117" s="136">
        <f t="shared" si="700"/>
      </c>
      <c r="U117" s="135">
        <f t="shared" si="979"/>
      </c>
      <c r="V117" s="136">
        <f t="shared" si="730"/>
      </c>
      <c r="W117" s="136">
        <f t="shared" si="1009"/>
      </c>
      <c r="X117" s="135">
        <f t="shared" si="820"/>
      </c>
      <c r="Y117" s="132">
        <f>SUM(Y112:Y116)</f>
      </c>
      <c r="Z117" s="132">
        <f>SUM(Z112:Z116)</f>
      </c>
      <c r="AA117" s="132">
        <f>SUM(AA112:AA116)</f>
      </c>
      <c r="AB117" s="132">
        <f>SUM(AB112:AB116)</f>
      </c>
      <c r="AC117" s="132">
        <f>SUM(AC112:AC116)</f>
      </c>
      <c r="AD117" s="137">
        <f t="shared" si="4"/>
      </c>
      <c r="AE117" s="138"/>
      <c r="AF117" s="139"/>
      <c r="AG117" s="132">
        <f>SUM(AG112:AG116)</f>
      </c>
      <c r="AH117" s="132">
        <f>SUM(AH112:AH116)</f>
      </c>
      <c r="AI117" s="132">
        <f>SUM(AI112:AI116)</f>
      </c>
      <c r="AJ117" s="132">
        <f>SUM(AJ112:AJ116)</f>
      </c>
      <c r="AK117" s="132">
        <f>SUM(AK112:AK116)</f>
      </c>
      <c r="AL117" s="132">
        <f>SUM(AL112:AL116)</f>
      </c>
    </row>
    <row r="118">
      <c r="A118" s="108"/>
      <c r="B118" s="109" t="s">
        <v>133</v>
      </c>
      <c r="C118" s="110" t="s">
        <v>135</v>
      </c>
      <c r="D118" s="111">
        <f t="shared" ref="D118:D122" si="309">E118+F118+G118+H118</f>
      </c>
      <c r="E118" s="110">
        <v>397.49</v>
      </c>
      <c r="F118" s="140">
        <v>3147.48</v>
      </c>
      <c r="G118" s="113">
        <v>693.17</v>
      </c>
      <c r="H118" s="113">
        <v>0</v>
      </c>
      <c r="I118" s="113">
        <f t="shared" ref="I118:I122" si="438">AB118+AC118</f>
      </c>
      <c r="J118" s="160">
        <v>0</v>
      </c>
      <c r="K118" s="115">
        <f t="shared" ref="K118:K122" si="51">I118-J118</f>
      </c>
      <c r="L118" s="115">
        <f t="shared" ref="L118:L122" si="180">(I118-AC118)/12+AC118</f>
      </c>
      <c r="M118" s="116">
        <f t="shared" si="610"/>
      </c>
      <c r="N118" s="117">
        <f t="shared" si="640"/>
      </c>
      <c r="O118" s="118">
        <f t="shared" si="550"/>
      </c>
      <c r="P118" s="119">
        <f t="shared" si="580"/>
      </c>
      <c r="Q118" s="119">
        <f t="shared" si="760"/>
      </c>
      <c r="R118" s="119">
        <f t="shared" si="790"/>
      </c>
      <c r="S118" s="120">
        <f t="shared" si="670"/>
      </c>
      <c r="T118" s="121">
        <f t="shared" si="700"/>
      </c>
      <c r="U118" s="119">
        <f t="shared" si="979"/>
      </c>
      <c r="V118" s="122">
        <f t="shared" si="730"/>
      </c>
      <c r="W118" s="122">
        <f t="shared" si="1009"/>
      </c>
      <c r="X118" s="119">
        <f t="shared" si="820"/>
      </c>
      <c r="Y118" s="123">
        <f t="shared" ref="Y118:Y122" si="867">Z118+AA118</f>
      </c>
      <c r="Z118" s="123">
        <v>2</v>
      </c>
      <c r="AA118" s="123">
        <v>0</v>
      </c>
      <c r="AB118" s="124">
        <v>0</v>
      </c>
      <c r="AC118" s="124">
        <v>0</v>
      </c>
      <c r="AD118" s="120">
        <f t="shared" si="4"/>
      </c>
      <c r="AE118" s="125" t="s">
        <v>121</v>
      </c>
      <c r="AF118" s="126" t="s">
        <v>137</v>
      </c>
      <c r="AG118" s="127">
        <v>0</v>
      </c>
      <c r="AH118" s="128">
        <v>47255</v>
      </c>
      <c r="AI118" s="128">
        <v>541</v>
      </c>
      <c r="AJ118" s="128">
        <v>573</v>
      </c>
      <c r="AK118" s="129">
        <v>84</v>
      </c>
      <c r="AL118" s="129">
        <v>119</v>
      </c>
    </row>
    <row r="119">
      <c r="A119" s="108"/>
      <c r="B119" s="109" t="s">
        <v>133</v>
      </c>
      <c r="C119" s="110" t="s">
        <v>138</v>
      </c>
      <c r="D119" s="111">
        <f t="shared" si="309"/>
      </c>
      <c r="E119" s="141">
        <v>494.67</v>
      </c>
      <c r="F119" s="142">
        <v>2482.12</v>
      </c>
      <c r="G119" s="113">
        <v>1392.18</v>
      </c>
      <c r="H119" s="113">
        <v>0</v>
      </c>
      <c r="I119" s="113">
        <f t="shared" si="438"/>
      </c>
      <c r="J119" s="160">
        <v>0</v>
      </c>
      <c r="K119" s="115">
        <f t="shared" si="51"/>
      </c>
      <c r="L119" s="115">
        <f t="shared" si="180"/>
      </c>
      <c r="M119" s="116">
        <f t="shared" si="610"/>
      </c>
      <c r="N119" s="117">
        <f t="shared" si="640"/>
      </c>
      <c r="O119" s="118">
        <f t="shared" si="550"/>
      </c>
      <c r="P119" s="119">
        <f t="shared" si="580"/>
      </c>
      <c r="Q119" s="119">
        <f t="shared" si="760"/>
      </c>
      <c r="R119" s="119">
        <f t="shared" si="790"/>
      </c>
      <c r="S119" s="120">
        <f t="shared" si="670"/>
      </c>
      <c r="T119" s="121">
        <f t="shared" si="700"/>
      </c>
      <c r="U119" s="119">
        <f t="shared" si="979"/>
      </c>
      <c r="V119" s="122">
        <f t="shared" si="730"/>
      </c>
      <c r="W119" s="122">
        <f t="shared" si="1009"/>
      </c>
      <c r="X119" s="119">
        <f t="shared" si="820"/>
      </c>
      <c r="Y119" s="123">
        <f t="shared" si="867"/>
      </c>
      <c r="Z119" s="123">
        <v>4</v>
      </c>
      <c r="AA119" s="123">
        <v>4</v>
      </c>
      <c r="AB119" s="124">
        <v>7514.639999999999</v>
      </c>
      <c r="AC119" s="124">
        <v>0</v>
      </c>
      <c r="AD119" s="120">
        <f t="shared" si="4"/>
      </c>
      <c r="AE119" s="125" t="s">
        <v>121</v>
      </c>
      <c r="AF119" s="126" t="s">
        <v>137</v>
      </c>
      <c r="AG119" s="129">
        <v>3</v>
      </c>
      <c r="AH119" s="128">
        <v>36906</v>
      </c>
      <c r="AI119" s="128">
        <v>594</v>
      </c>
      <c r="AJ119" s="128">
        <v>623</v>
      </c>
      <c r="AK119" s="129">
        <v>95</v>
      </c>
      <c r="AL119" s="129">
        <v>132</v>
      </c>
    </row>
    <row r="120">
      <c r="A120" s="108"/>
      <c r="B120" s="109" t="s">
        <v>133</v>
      </c>
      <c r="C120" s="110" t="s">
        <v>140</v>
      </c>
      <c r="D120" s="111">
        <f t="shared" si="309"/>
      </c>
      <c r="E120" s="110">
        <v>327.24</v>
      </c>
      <c r="F120" s="140">
        <v>2701.08</v>
      </c>
      <c r="G120" s="113">
        <v>1693.51</v>
      </c>
      <c r="H120" s="113">
        <v>0</v>
      </c>
      <c r="I120" s="113">
        <f t="shared" si="438"/>
      </c>
      <c r="J120" s="160">
        <f>651.24+1480.68</f>
      </c>
      <c r="K120" s="115">
        <f t="shared" si="51"/>
      </c>
      <c r="L120" s="115">
        <f t="shared" si="180"/>
      </c>
      <c r="M120" s="116">
        <f t="shared" si="610"/>
      </c>
      <c r="N120" s="117">
        <f t="shared" si="640"/>
      </c>
      <c r="O120" s="118">
        <f t="shared" si="550"/>
      </c>
      <c r="P120" s="119">
        <f t="shared" si="580"/>
      </c>
      <c r="Q120" s="119">
        <f t="shared" si="760"/>
      </c>
      <c r="R120" s="119">
        <f t="shared" si="790"/>
      </c>
      <c r="S120" s="120">
        <f t="shared" si="670"/>
      </c>
      <c r="T120" s="121">
        <f t="shared" si="700"/>
      </c>
      <c r="U120" s="119">
        <f t="shared" si="979"/>
      </c>
      <c r="V120" s="122">
        <f t="shared" si="730"/>
      </c>
      <c r="W120" s="122">
        <f t="shared" si="1009"/>
      </c>
      <c r="X120" s="119">
        <f t="shared" si="820"/>
      </c>
      <c r="Y120" s="123">
        <f t="shared" si="867"/>
      </c>
      <c r="Z120" s="123">
        <v>2</v>
      </c>
      <c r="AA120" s="123">
        <v>8</v>
      </c>
      <c r="AB120" s="124">
        <v>9578.520000000004</v>
      </c>
      <c r="AC120" s="124">
        <v>2960</v>
      </c>
      <c r="AD120" s="120">
        <f t="shared" si="4"/>
      </c>
      <c r="AE120" s="125" t="s">
        <v>121</v>
      </c>
      <c r="AF120" s="126" t="s">
        <v>137</v>
      </c>
      <c r="AG120" s="127">
        <v>8</v>
      </c>
      <c r="AH120" s="128">
        <v>46357</v>
      </c>
      <c r="AI120" s="128">
        <v>572</v>
      </c>
      <c r="AJ120" s="128">
        <v>577</v>
      </c>
      <c r="AK120" s="129">
        <v>109</v>
      </c>
      <c r="AL120" s="129">
        <v>147</v>
      </c>
    </row>
    <row r="121">
      <c r="A121" s="108"/>
      <c r="B121" s="109" t="s">
        <v>133</v>
      </c>
      <c r="C121" s="141" t="s">
        <v>141</v>
      </c>
      <c r="D121" s="111">
        <f t="shared" si="309"/>
      </c>
      <c r="E121" s="110">
        <v>366.67</v>
      </c>
      <c r="F121" s="140">
        <v>2075.8</v>
      </c>
      <c r="G121" s="113">
        <v>2457.91</v>
      </c>
      <c r="H121" s="113">
        <v>0</v>
      </c>
      <c r="I121" s="113">
        <f t="shared" si="438"/>
      </c>
      <c r="J121" s="160">
        <f>708.48+1149.12</f>
      </c>
      <c r="K121" s="115">
        <f t="shared" si="51"/>
      </c>
      <c r="L121" s="115">
        <f t="shared" si="180"/>
      </c>
      <c r="M121" s="116">
        <f t="shared" si="610"/>
      </c>
      <c r="N121" s="117">
        <f t="shared" si="640"/>
      </c>
      <c r="O121" s="118">
        <f t="shared" si="550"/>
      </c>
      <c r="P121" s="119">
        <f t="shared" si="580"/>
      </c>
      <c r="Q121" s="119">
        <f t="shared" si="760"/>
      </c>
      <c r="R121" s="119">
        <f t="shared" si="790"/>
      </c>
      <c r="S121" s="120">
        <f t="shared" si="670"/>
      </c>
      <c r="T121" s="121">
        <f t="shared" si="700"/>
      </c>
      <c r="U121" s="119">
        <f t="shared" si="979"/>
      </c>
      <c r="V121" s="122">
        <f t="shared" si="730"/>
      </c>
      <c r="W121" s="122">
        <f t="shared" si="1009"/>
      </c>
      <c r="X121" s="119">
        <f t="shared" si="820"/>
      </c>
      <c r="Y121" s="123">
        <f t="shared" si="867"/>
      </c>
      <c r="Z121" s="123">
        <v>11</v>
      </c>
      <c r="AA121" s="123">
        <v>6</v>
      </c>
      <c r="AB121" s="124">
        <v>10218.959999999992</v>
      </c>
      <c r="AC121" s="124">
        <v>2702</v>
      </c>
      <c r="AD121" s="120">
        <f t="shared" si="4"/>
      </c>
      <c r="AE121" s="125" t="s">
        <v>121</v>
      </c>
      <c r="AF121" s="126" t="s">
        <v>137</v>
      </c>
      <c r="AG121" s="127">
        <v>5</v>
      </c>
      <c r="AH121" s="128">
        <v>44823</v>
      </c>
      <c r="AI121" s="128">
        <v>575</v>
      </c>
      <c r="AJ121" s="128">
        <v>580</v>
      </c>
      <c r="AK121" s="129">
        <v>112</v>
      </c>
      <c r="AL121" s="129">
        <v>149</v>
      </c>
    </row>
    <row customHeight="true" ht="16.666666666666668" r="122">
      <c r="A122" s="108"/>
      <c r="B122" s="109" t="s">
        <v>133</v>
      </c>
      <c r="C122" s="141" t="s">
        <v>142</v>
      </c>
      <c r="D122" s="111">
        <f t="shared" si="309"/>
      </c>
      <c r="E122" s="110">
        <v>458.32</v>
      </c>
      <c r="F122" s="140">
        <v>3499.16</v>
      </c>
      <c r="G122" s="113">
        <v>2556.04</v>
      </c>
      <c r="H122" s="113">
        <v>0</v>
      </c>
      <c r="I122" s="113">
        <f t="shared" si="438"/>
      </c>
      <c r="J122" s="160">
        <f>3048.84+1863+4431.36</f>
      </c>
      <c r="K122" s="115">
        <f t="shared" si="51"/>
      </c>
      <c r="L122" s="115">
        <f t="shared" si="180"/>
      </c>
      <c r="M122" s="116">
        <f t="shared" si="610"/>
      </c>
      <c r="N122" s="117">
        <f t="shared" si="640"/>
      </c>
      <c r="O122" s="118">
        <f t="shared" si="550"/>
      </c>
      <c r="P122" s="119">
        <f t="shared" si="580"/>
      </c>
      <c r="Q122" s="119">
        <f t="shared" si="760"/>
      </c>
      <c r="R122" s="119">
        <f t="shared" si="790"/>
      </c>
      <c r="S122" s="120">
        <f t="shared" si="670"/>
      </c>
      <c r="T122" s="121">
        <f t="shared" si="700"/>
      </c>
      <c r="U122" s="119">
        <f t="shared" si="979"/>
      </c>
      <c r="V122" s="122">
        <f t="shared" si="730"/>
      </c>
      <c r="W122" s="122">
        <f t="shared" si="1009"/>
      </c>
      <c r="X122" s="119">
        <f t="shared" si="820"/>
      </c>
      <c r="Y122" s="123">
        <f t="shared" si="867"/>
      </c>
      <c r="Z122" s="123">
        <v>9</v>
      </c>
      <c r="AA122" s="123">
        <v>11</v>
      </c>
      <c r="AB122" s="124">
        <v>28175.16</v>
      </c>
      <c r="AC122" s="124">
        <v>0</v>
      </c>
      <c r="AD122" s="120">
        <f t="shared" si="4"/>
      </c>
      <c r="AE122" s="125" t="s">
        <v>121</v>
      </c>
      <c r="AF122" s="126" t="s">
        <v>137</v>
      </c>
      <c r="AG122" s="127">
        <v>10</v>
      </c>
      <c r="AH122" s="128">
        <v>64966</v>
      </c>
      <c r="AI122" s="128">
        <v>768</v>
      </c>
      <c r="AJ122" s="128">
        <v>752</v>
      </c>
      <c r="AK122" s="129">
        <v>152</v>
      </c>
      <c r="AL122" s="129">
        <v>185</v>
      </c>
    </row>
    <row r="123">
      <c r="A123" s="108"/>
      <c r="B123" s="130" t="s">
        <v>127</v>
      </c>
      <c r="C123" s="131">
        <v>5</v>
      </c>
      <c r="D123" s="132">
        <f>SUM(D118:D122)</f>
      </c>
      <c r="E123" s="132">
        <f>SUM(E118:E122)</f>
      </c>
      <c r="F123" s="132">
        <f>SUM(F118:F122)</f>
      </c>
      <c r="G123" s="132">
        <f>SUM(G118:G122)</f>
      </c>
      <c r="H123" s="132">
        <f>SUM(H118:H122)</f>
      </c>
      <c r="I123" s="132">
        <f>SUM(I118:I122)</f>
      </c>
      <c r="J123" s="132">
        <f>SUM(J118:J122)</f>
      </c>
      <c r="K123" s="132">
        <f>SUM(K118:K122)</f>
      </c>
      <c r="L123" s="132">
        <f>SUM(L118:L122)</f>
      </c>
      <c r="M123" s="133">
        <f t="shared" si="610"/>
      </c>
      <c r="N123" s="134">
        <f t="shared" si="640"/>
      </c>
      <c r="O123" s="134">
        <f t="shared" si="550"/>
      </c>
      <c r="P123" s="135">
        <f t="shared" si="580"/>
      </c>
      <c r="Q123" s="135">
        <f t="shared" si="760"/>
      </c>
      <c r="R123" s="135">
        <f t="shared" si="790"/>
      </c>
      <c r="S123" s="136">
        <f t="shared" si="670"/>
      </c>
      <c r="T123" s="136">
        <f t="shared" si="700"/>
      </c>
      <c r="U123" s="135">
        <f t="shared" si="979"/>
      </c>
      <c r="V123" s="136">
        <f t="shared" si="730"/>
      </c>
      <c r="W123" s="136">
        <f t="shared" si="1009"/>
      </c>
      <c r="X123" s="135">
        <f t="shared" si="820"/>
      </c>
      <c r="Y123" s="132">
        <f>SUM(Y118:Y122)</f>
      </c>
      <c r="Z123" s="132">
        <f>SUM(Z118:Z122)</f>
      </c>
      <c r="AA123" s="132">
        <f>SUM(AA118:AA122)</f>
      </c>
      <c r="AB123" s="132">
        <f>SUM(AB118:AB122)</f>
      </c>
      <c r="AC123" s="132">
        <f>SUM(AC118:AC122)</f>
      </c>
      <c r="AD123" s="137">
        <f t="shared" si="4"/>
      </c>
      <c r="AE123" s="138"/>
      <c r="AF123" s="139"/>
      <c r="AG123" s="132">
        <f>SUM(AG118:AG122)</f>
      </c>
      <c r="AH123" s="132">
        <f>SUM(AH118:AH122)</f>
      </c>
      <c r="AI123" s="132">
        <f>SUM(AI118:AI122)</f>
      </c>
      <c r="AJ123" s="132">
        <f>SUM(AJ118:AJ122)</f>
      </c>
      <c r="AK123" s="132">
        <f>SUM(AK118:AK122)</f>
      </c>
      <c r="AL123" s="132">
        <f>SUM(AL118:AL122)</f>
      </c>
    </row>
    <row r="124">
      <c r="A124" s="108"/>
      <c r="B124" s="109" t="s">
        <v>139</v>
      </c>
      <c r="C124" s="141" t="s">
        <v>144</v>
      </c>
      <c r="D124" s="143">
        <f t="shared" ref="D124:D128" si="310">E124+F124+G124+H124</f>
      </c>
      <c r="E124" s="144">
        <v>831.71</v>
      </c>
      <c r="F124" s="145">
        <v>4155.95</v>
      </c>
      <c r="G124" s="113">
        <v>1376.49</v>
      </c>
      <c r="H124" s="113">
        <v>0</v>
      </c>
      <c r="I124" s="113">
        <f t="shared" ref="I124:I128" si="439">AB124+AC124</f>
      </c>
      <c r="J124" s="114">
        <v>0</v>
      </c>
      <c r="K124" s="115">
        <f t="shared" ref="K124:K128" si="52">I124-J124</f>
      </c>
      <c r="L124" s="115">
        <f t="shared" ref="L124:L128" si="181">(I124-AC124)/12+AC124</f>
      </c>
      <c r="M124" s="116">
        <f t="shared" si="610"/>
      </c>
      <c r="N124" s="117">
        <f t="shared" si="640"/>
      </c>
      <c r="O124" s="118">
        <f t="shared" si="550"/>
      </c>
      <c r="P124" s="119">
        <f t="shared" si="580"/>
      </c>
      <c r="Q124" s="119">
        <f t="shared" si="760"/>
      </c>
      <c r="R124" s="119">
        <f t="shared" si="790"/>
      </c>
      <c r="S124" s="120">
        <f t="shared" si="670"/>
      </c>
      <c r="T124" s="121">
        <f t="shared" si="700"/>
      </c>
      <c r="U124" s="119">
        <f t="shared" si="979"/>
      </c>
      <c r="V124" s="122">
        <f t="shared" si="730"/>
      </c>
      <c r="W124" s="122">
        <f t="shared" si="1009"/>
      </c>
      <c r="X124" s="119">
        <f t="shared" si="820"/>
      </c>
      <c r="Y124" s="123">
        <f t="shared" ref="Y124:Y128" si="868">Z124+AA124</f>
      </c>
      <c r="Z124" s="123">
        <v>0</v>
      </c>
      <c r="AA124" s="123">
        <v>5</v>
      </c>
      <c r="AB124" s="124">
        <v>6944.399999999994</v>
      </c>
      <c r="AC124" s="124">
        <v>626</v>
      </c>
      <c r="AD124" s="120">
        <f t="shared" si="4"/>
      </c>
      <c r="AE124" s="125" t="s">
        <v>121</v>
      </c>
      <c r="AF124" s="126" t="s">
        <v>137</v>
      </c>
      <c r="AG124" s="127">
        <v>6</v>
      </c>
      <c r="AH124" s="127">
        <v>71383</v>
      </c>
      <c r="AI124" s="128">
        <v>891</v>
      </c>
      <c r="AJ124" s="128">
        <v>898</v>
      </c>
      <c r="AK124" s="127">
        <v>150</v>
      </c>
      <c r="AL124" s="129">
        <v>183</v>
      </c>
    </row>
    <row r="125">
      <c r="A125" s="108"/>
      <c r="B125" s="109" t="s">
        <v>139</v>
      </c>
      <c r="C125" s="110" t="s">
        <v>145</v>
      </c>
      <c r="D125" s="143">
        <f t="shared" si="310"/>
      </c>
      <c r="E125" s="147">
        <v>968.7</v>
      </c>
      <c r="F125" s="145">
        <v>3711.88</v>
      </c>
      <c r="G125" s="113">
        <v>2109.68</v>
      </c>
      <c r="H125" s="113">
        <v>0</v>
      </c>
      <c r="I125" s="113">
        <f t="shared" si="439"/>
      </c>
      <c r="J125" s="114">
        <v>0</v>
      </c>
      <c r="K125" s="115">
        <f t="shared" si="52"/>
      </c>
      <c r="L125" s="115">
        <f t="shared" si="181"/>
      </c>
      <c r="M125" s="116">
        <f t="shared" si="610"/>
      </c>
      <c r="N125" s="117">
        <f t="shared" si="640"/>
      </c>
      <c r="O125" s="118">
        <f t="shared" si="550"/>
      </c>
      <c r="P125" s="119">
        <f t="shared" si="580"/>
      </c>
      <c r="Q125" s="119">
        <f t="shared" si="760"/>
      </c>
      <c r="R125" s="119">
        <f t="shared" si="790"/>
      </c>
      <c r="S125" s="120">
        <f t="shared" si="670"/>
      </c>
      <c r="T125" s="121">
        <f t="shared" si="700"/>
      </c>
      <c r="U125" s="119">
        <f t="shared" si="979"/>
      </c>
      <c r="V125" s="122">
        <f t="shared" si="730"/>
      </c>
      <c r="W125" s="122">
        <f t="shared" si="1009"/>
      </c>
      <c r="X125" s="119">
        <f t="shared" si="820"/>
      </c>
      <c r="Y125" s="123">
        <f t="shared" si="868"/>
      </c>
      <c r="Z125" s="123">
        <v>10</v>
      </c>
      <c r="AA125" s="123">
        <v>9</v>
      </c>
      <c r="AB125" s="124">
        <v>16169.880000000005</v>
      </c>
      <c r="AC125" s="124">
        <v>1474</v>
      </c>
      <c r="AD125" s="120">
        <f t="shared" si="4"/>
      </c>
      <c r="AE125" s="125" t="s">
        <v>121</v>
      </c>
      <c r="AF125" s="126" t="s">
        <v>137</v>
      </c>
      <c r="AG125" s="127">
        <v>9</v>
      </c>
      <c r="AH125" s="128">
        <v>66147</v>
      </c>
      <c r="AI125" s="128">
        <v>942</v>
      </c>
      <c r="AJ125" s="128">
        <v>944</v>
      </c>
      <c r="AK125" s="129">
        <v>168</v>
      </c>
      <c r="AL125" s="129">
        <v>198</v>
      </c>
    </row>
    <row r="126">
      <c r="A126" s="108"/>
      <c r="B126" s="109" t="s">
        <v>139</v>
      </c>
      <c r="C126" s="141" t="s">
        <v>146</v>
      </c>
      <c r="D126" s="143">
        <f t="shared" si="310"/>
      </c>
      <c r="E126" s="147">
        <v>1459.31</v>
      </c>
      <c r="F126" s="147">
        <v>3894.12</v>
      </c>
      <c r="G126" s="113">
        <v>1109.72</v>
      </c>
      <c r="H126" s="113">
        <v>0</v>
      </c>
      <c r="I126" s="113">
        <f t="shared" si="439"/>
      </c>
      <c r="J126" s="114">
        <v>0</v>
      </c>
      <c r="K126" s="115">
        <f t="shared" si="52"/>
      </c>
      <c r="L126" s="115">
        <f t="shared" si="181"/>
      </c>
      <c r="M126" s="116">
        <f t="shared" si="610"/>
      </c>
      <c r="N126" s="117">
        <f t="shared" si="640"/>
      </c>
      <c r="O126" s="118">
        <f t="shared" si="550"/>
      </c>
      <c r="P126" s="119">
        <f t="shared" si="580"/>
      </c>
      <c r="Q126" s="119">
        <f t="shared" si="760"/>
      </c>
      <c r="R126" s="119">
        <f t="shared" si="790"/>
      </c>
      <c r="S126" s="120">
        <f t="shared" si="670"/>
      </c>
      <c r="T126" s="121">
        <f t="shared" si="700"/>
      </c>
      <c r="U126" s="119">
        <f t="shared" si="979"/>
      </c>
      <c r="V126" s="122">
        <f t="shared" si="730"/>
      </c>
      <c r="W126" s="122">
        <f t="shared" si="1009"/>
      </c>
      <c r="X126" s="119">
        <f t="shared" si="820"/>
      </c>
      <c r="Y126" s="123">
        <f t="shared" si="868"/>
      </c>
      <c r="Z126" s="123">
        <v>4</v>
      </c>
      <c r="AA126" s="123">
        <v>2</v>
      </c>
      <c r="AB126" s="124">
        <v>2069.279999999999</v>
      </c>
      <c r="AC126" s="124">
        <v>0</v>
      </c>
      <c r="AD126" s="120">
        <f t="shared" si="4"/>
      </c>
      <c r="AE126" s="125" t="s">
        <v>121</v>
      </c>
      <c r="AF126" s="126" t="s">
        <v>137</v>
      </c>
      <c r="AG126" s="129">
        <v>2</v>
      </c>
      <c r="AH126" s="128">
        <v>69776</v>
      </c>
      <c r="AI126" s="128">
        <v>1293</v>
      </c>
      <c r="AJ126" s="128">
        <v>1348</v>
      </c>
      <c r="AK126" s="129">
        <v>154</v>
      </c>
      <c r="AL126" s="129">
        <v>173</v>
      </c>
    </row>
    <row r="127">
      <c r="A127" s="108"/>
      <c r="B127" s="109" t="s">
        <v>139</v>
      </c>
      <c r="C127" s="110" t="s">
        <v>147</v>
      </c>
      <c r="D127" s="143">
        <f t="shared" si="310"/>
      </c>
      <c r="E127" s="147">
        <v>742.54</v>
      </c>
      <c r="F127" s="145">
        <v>4512.46</v>
      </c>
      <c r="G127" s="113">
        <v>992.82</v>
      </c>
      <c r="H127" s="113">
        <v>0</v>
      </c>
      <c r="I127" s="113">
        <f t="shared" si="439"/>
      </c>
      <c r="J127" s="114">
        <v>0</v>
      </c>
      <c r="K127" s="115">
        <f t="shared" si="52"/>
      </c>
      <c r="L127" s="115">
        <f t="shared" si="181"/>
      </c>
      <c r="M127" s="116">
        <f t="shared" si="610"/>
      </c>
      <c r="N127" s="117">
        <f t="shared" si="640"/>
      </c>
      <c r="O127" s="118">
        <f t="shared" si="550"/>
      </c>
      <c r="P127" s="119">
        <f t="shared" si="580"/>
      </c>
      <c r="Q127" s="119">
        <f t="shared" si="760"/>
      </c>
      <c r="R127" s="119">
        <f t="shared" si="790"/>
      </c>
      <c r="S127" s="120">
        <f t="shared" si="670"/>
      </c>
      <c r="T127" s="121">
        <f t="shared" si="700"/>
      </c>
      <c r="U127" s="119">
        <f t="shared" si="979"/>
      </c>
      <c r="V127" s="122">
        <f t="shared" si="730"/>
      </c>
      <c r="W127" s="122">
        <f t="shared" si="1009"/>
      </c>
      <c r="X127" s="119">
        <f t="shared" si="820"/>
      </c>
      <c r="Y127" s="123">
        <f t="shared" si="868"/>
      </c>
      <c r="Z127" s="123">
        <v>5</v>
      </c>
      <c r="AA127" s="123">
        <v>6</v>
      </c>
      <c r="AB127" s="124">
        <v>9990</v>
      </c>
      <c r="AC127" s="124">
        <v>1907</v>
      </c>
      <c r="AD127" s="120">
        <f t="shared" si="4"/>
      </c>
      <c r="AE127" s="125" t="s">
        <v>121</v>
      </c>
      <c r="AF127" s="126" t="s">
        <v>137</v>
      </c>
      <c r="AG127" s="127">
        <v>5</v>
      </c>
      <c r="AH127" s="128">
        <v>71882</v>
      </c>
      <c r="AI127" s="128">
        <v>1236</v>
      </c>
      <c r="AJ127" s="128">
        <v>1364</v>
      </c>
      <c r="AK127" s="129">
        <v>175</v>
      </c>
      <c r="AL127" s="129">
        <v>191</v>
      </c>
    </row>
    <row customHeight="true" ht="16.666666666666668" r="128">
      <c r="A128" s="108"/>
      <c r="B128" s="109" t="s">
        <v>139</v>
      </c>
      <c r="C128" s="110" t="s">
        <v>148</v>
      </c>
      <c r="D128" s="143">
        <f t="shared" si="310"/>
      </c>
      <c r="E128" s="147">
        <v>281.06</v>
      </c>
      <c r="F128" s="145">
        <f>1569.26+2.56</f>
      </c>
      <c r="G128" s="113">
        <f>211.74+3.33</f>
      </c>
      <c r="H128" s="113">
        <v>0</v>
      </c>
      <c r="I128" s="113">
        <f t="shared" si="439"/>
      </c>
      <c r="J128" s="114">
        <v>0</v>
      </c>
      <c r="K128" s="115">
        <f t="shared" si="52"/>
      </c>
      <c r="L128" s="115">
        <f t="shared" si="181"/>
      </c>
      <c r="M128" s="116">
        <f t="shared" si="610"/>
      </c>
      <c r="N128" s="117">
        <f t="shared" si="640"/>
      </c>
      <c r="O128" s="118">
        <f t="shared" si="550"/>
      </c>
      <c r="P128" s="119">
        <f t="shared" si="580"/>
      </c>
      <c r="Q128" s="119">
        <f t="shared" si="760"/>
      </c>
      <c r="R128" s="119">
        <f t="shared" si="790"/>
      </c>
      <c r="S128" s="120">
        <f t="shared" si="670"/>
      </c>
      <c r="T128" s="121">
        <f t="shared" si="700"/>
      </c>
      <c r="U128" s="119">
        <f t="shared" si="979"/>
      </c>
      <c r="V128" s="122">
        <f t="shared" si="730"/>
      </c>
      <c r="W128" s="122">
        <f t="shared" si="1009"/>
      </c>
      <c r="X128" s="119">
        <f t="shared" si="820"/>
      </c>
      <c r="Y128" s="123">
        <f t="shared" si="868"/>
      </c>
      <c r="Z128" s="123">
        <v>1</v>
      </c>
      <c r="AA128" s="123">
        <v>2</v>
      </c>
      <c r="AB128" s="124">
        <v>1797.1200000000008</v>
      </c>
      <c r="AC128" s="124">
        <v>3227.1499999999996</v>
      </c>
      <c r="AD128" s="120">
        <f t="shared" si="4"/>
      </c>
      <c r="AE128" s="125" t="s">
        <v>121</v>
      </c>
      <c r="AF128" s="126" t="s">
        <v>137</v>
      </c>
      <c r="AG128" s="127">
        <v>2</v>
      </c>
      <c r="AH128" s="128">
        <v>18648</v>
      </c>
      <c r="AI128" s="128">
        <v>554</v>
      </c>
      <c r="AJ128" s="128">
        <v>637</v>
      </c>
      <c r="AK128" s="129">
        <v>79</v>
      </c>
      <c r="AL128" s="129">
        <v>76</v>
      </c>
    </row>
    <row r="129">
      <c r="A129" s="108"/>
      <c r="B129" s="130" t="s">
        <v>127</v>
      </c>
      <c r="C129" s="131">
        <v>5</v>
      </c>
      <c r="D129" s="132">
        <f>SUM(D124:D128)</f>
      </c>
      <c r="E129" s="132">
        <f>SUM(E124:E128)</f>
      </c>
      <c r="F129" s="132">
        <f>SUM(F124:F128)</f>
      </c>
      <c r="G129" s="132">
        <f>SUM(G124:G128)</f>
      </c>
      <c r="H129" s="132">
        <f>SUM(H124:H128)</f>
      </c>
      <c r="I129" s="132">
        <f>SUM(I124:I128)</f>
      </c>
      <c r="J129" s="132">
        <f>SUM(J124:J128)</f>
      </c>
      <c r="K129" s="132">
        <f>SUM(K124:K128)</f>
      </c>
      <c r="L129" s="132">
        <f>SUM(L124:L128)</f>
      </c>
      <c r="M129" s="133">
        <f t="shared" si="610"/>
      </c>
      <c r="N129" s="134">
        <f t="shared" si="640"/>
      </c>
      <c r="O129" s="134">
        <f t="shared" si="550"/>
      </c>
      <c r="P129" s="135">
        <f t="shared" si="580"/>
      </c>
      <c r="Q129" s="135">
        <f t="shared" si="760"/>
      </c>
      <c r="R129" s="135">
        <f t="shared" si="790"/>
      </c>
      <c r="S129" s="136">
        <f t="shared" si="670"/>
      </c>
      <c r="T129" s="136">
        <f t="shared" si="700"/>
      </c>
      <c r="U129" s="135">
        <f t="shared" si="979"/>
      </c>
      <c r="V129" s="136">
        <f t="shared" si="730"/>
      </c>
      <c r="W129" s="136">
        <f t="shared" si="1009"/>
      </c>
      <c r="X129" s="135">
        <f t="shared" si="820"/>
      </c>
      <c r="Y129" s="132">
        <f>SUM(Y124:Y128)</f>
      </c>
      <c r="Z129" s="132">
        <f>SUM(Z124:Z128)</f>
      </c>
      <c r="AA129" s="132">
        <f>SUM(AA124:AA128)</f>
      </c>
      <c r="AB129" s="132">
        <f>SUM(AB124:AB128)</f>
      </c>
      <c r="AC129" s="132">
        <f>SUM(AC124:AC128)</f>
      </c>
      <c r="AD129" s="150">
        <f t="shared" si="4"/>
      </c>
      <c r="AE129" s="151"/>
      <c r="AF129" s="139"/>
      <c r="AG129" s="132">
        <f>SUM(AG124:AG128)</f>
      </c>
      <c r="AH129" s="132">
        <f>SUM(AH124:AH128)</f>
      </c>
      <c r="AI129" s="132">
        <f>SUM(AI124:AI128)</f>
      </c>
      <c r="AJ129" s="132">
        <f>SUM(AJ124:AJ128)</f>
      </c>
      <c r="AK129" s="132">
        <f>SUM(AK124:AK128)</f>
      </c>
      <c r="AL129" s="132">
        <f>SUM(AL124:AL128)</f>
      </c>
    </row>
    <row r="130">
      <c r="A130" s="108"/>
      <c r="B130" s="152" t="s">
        <v>127</v>
      </c>
      <c r="C130" s="153">
        <f>C111+C117+C123+C129</f>
      </c>
      <c r="D130" s="153">
        <f>D111+D117+D123+D129</f>
      </c>
      <c r="E130" s="153">
        <f>E111+E117+E123+E129</f>
      </c>
      <c r="F130" s="153">
        <f>F111+F117+F123+F129</f>
      </c>
      <c r="G130" s="153">
        <f>G111+G117+G123+G129</f>
      </c>
      <c r="H130" s="153">
        <f>H111+H117+H123+H129</f>
      </c>
      <c r="I130" s="153">
        <f>I111+I117+I123+I129</f>
      </c>
      <c r="J130" s="153">
        <f>J111+J117+J123+J129</f>
      </c>
      <c r="K130" s="153">
        <f>K111+K117+K123+K129</f>
      </c>
      <c r="L130" s="153">
        <f>L111+L117+L123+L129</f>
      </c>
      <c r="M130" s="154">
        <f t="shared" si="610"/>
      </c>
      <c r="N130" s="154">
        <f t="shared" si="640"/>
      </c>
      <c r="O130" s="154">
        <f t="shared" si="550"/>
      </c>
      <c r="P130" s="154">
        <f t="shared" si="580"/>
      </c>
      <c r="Q130" s="154">
        <f t="shared" si="760"/>
      </c>
      <c r="R130" s="154">
        <f t="shared" si="790"/>
      </c>
      <c r="S130" s="155">
        <f t="shared" si="670"/>
      </c>
      <c r="T130" s="155">
        <f t="shared" si="700"/>
      </c>
      <c r="U130" s="154">
        <f t="shared" si="979"/>
      </c>
      <c r="V130" s="155">
        <f t="shared" si="730"/>
      </c>
      <c r="W130" s="155">
        <f t="shared" si="1009"/>
      </c>
      <c r="X130" s="154">
        <f t="shared" si="820"/>
      </c>
      <c r="Y130" s="156">
        <f>Y111+Y117+Y123+Y129</f>
      </c>
      <c r="Z130" s="156">
        <f>Z111+Z117+Z123+Z129</f>
      </c>
      <c r="AA130" s="156">
        <f>AA111+AA117+AA123+AA129</f>
      </c>
      <c r="AB130" s="156">
        <f>AB111+AB117+AB123+AB129</f>
      </c>
      <c r="AC130" s="156">
        <f>AC111+AC117+AC123+AC129</f>
      </c>
      <c r="AD130" s="157">
        <f>AD111+AD117+AD123+AD129</f>
      </c>
      <c r="AE130" s="158"/>
      <c r="AF130" s="159"/>
      <c r="AG130" s="153">
        <f>AG111+AG117+AG123+AG129</f>
      </c>
      <c r="AH130" s="153">
        <f>AH111+AH117+AH123+AH129</f>
      </c>
      <c r="AI130" s="153">
        <f>AI111+AI117+AI123+AI129</f>
      </c>
      <c r="AJ130" s="153">
        <f>AJ111+AJ117+AJ123+AJ129</f>
      </c>
      <c r="AK130" s="153">
        <f>AK111+AK117+AK123+AK129</f>
      </c>
      <c r="AL130" s="153">
        <f>AL111+AL117+AL123+AL129</f>
      </c>
    </row>
    <row r="131">
      <c r="A131" s="94" t="s">
        <v>81</v>
      </c>
      <c r="B131" s="95" t="s">
        <v>82</v>
      </c>
      <c r="C131" s="95" t="s">
        <v>83</v>
      </c>
      <c r="D131" s="96" t="s">
        <v>84</v>
      </c>
      <c r="E131" s="95" t="s">
        <v>85</v>
      </c>
      <c r="F131" s="95" t="s">
        <v>86</v>
      </c>
      <c r="G131" s="97" t="s">
        <v>87</v>
      </c>
      <c r="H131" s="97" t="s">
        <v>88</v>
      </c>
      <c r="I131" s="96" t="s">
        <v>89</v>
      </c>
      <c r="J131" s="98" t="s">
        <v>90</v>
      </c>
      <c r="K131" s="99" t="s">
        <v>91</v>
      </c>
      <c r="L131" s="99" t="s">
        <v>92</v>
      </c>
      <c r="M131" s="100" t="s">
        <v>93</v>
      </c>
      <c r="N131" s="99" t="s">
        <v>94</v>
      </c>
      <c r="O131" s="95" t="s">
        <v>95</v>
      </c>
      <c r="P131" s="100" t="s">
        <v>96</v>
      </c>
      <c r="Q131" s="101" t="s">
        <v>97</v>
      </c>
      <c r="R131" s="101" t="s">
        <v>98</v>
      </c>
      <c r="S131" s="96" t="s">
        <v>99</v>
      </c>
      <c r="T131" s="102" t="s">
        <v>100</v>
      </c>
      <c r="U131" s="100" t="s">
        <v>101</v>
      </c>
      <c r="V131" s="103" t="s">
        <v>102</v>
      </c>
      <c r="W131" s="104" t="s">
        <v>103</v>
      </c>
      <c r="X131" s="100" t="s">
        <v>104</v>
      </c>
      <c r="Y131" s="105" t="s">
        <v>105</v>
      </c>
      <c r="Z131" s="106" t="s">
        <v>106</v>
      </c>
      <c r="AA131" s="105" t="s">
        <v>107</v>
      </c>
      <c r="AB131" s="107" t="s">
        <v>108</v>
      </c>
      <c r="AC131" s="107" t="s">
        <v>109</v>
      </c>
      <c r="AD131" s="99" t="s">
        <v>110</v>
      </c>
      <c r="AE131" s="98" t="s">
        <v>111</v>
      </c>
      <c r="AF131" s="99" t="s">
        <v>112</v>
      </c>
      <c r="AG131" s="98" t="s">
        <v>113</v>
      </c>
      <c r="AH131" s="98" t="s">
        <v>114</v>
      </c>
      <c r="AI131" s="99" t="s">
        <v>115</v>
      </c>
      <c r="AJ131" s="98" t="s">
        <v>116</v>
      </c>
      <c r="AK131" s="99" t="s">
        <v>117</v>
      </c>
      <c r="AL131" s="98" t="s">
        <v>118</v>
      </c>
    </row>
    <row r="132">
      <c r="A132" s="108">
        <v>46271</v>
      </c>
      <c r="B132" s="109" t="s">
        <v>143</v>
      </c>
      <c r="C132" s="110" t="s">
        <v>120</v>
      </c>
      <c r="D132" s="111">
        <f t="shared" ref="D132:D136" si="311">E132+F132+G132+H132</f>
      </c>
      <c r="E132" s="112">
        <v>706.28</v>
      </c>
      <c r="F132" s="113">
        <v>5564.31</v>
      </c>
      <c r="G132" s="113">
        <v>1501.09</v>
      </c>
      <c r="H132" s="113">
        <v>0</v>
      </c>
      <c r="I132" s="113">
        <f t="shared" ref="I132:I136" si="440">AB132+AC132</f>
      </c>
      <c r="J132" s="114">
        <v>752.76</v>
      </c>
      <c r="K132" s="115">
        <f t="shared" ref="K132:K136" si="53">I132-J132</f>
      </c>
      <c r="L132" s="115">
        <f t="shared" ref="L132:L136" si="182">(I132-AC132)/12+AC132</f>
      </c>
      <c r="M132" s="116">
        <f t="shared" ref="M132:M156" si="611">I132/D132</f>
      </c>
      <c r="N132" s="117">
        <f t="shared" ref="N132:N156" si="641">(I132-J132)/D132</f>
      </c>
      <c r="O132" s="118">
        <f t="shared" ref="O132:O156" si="551">(AC132+AB132/12)/D132</f>
      </c>
      <c r="P132" s="119">
        <f t="shared" ref="P132:P156" si="581">I132/AA132</f>
      </c>
      <c r="Q132" s="119">
        <f t="shared" ref="Q132:Q156" si="761">D132/AA132</f>
      </c>
      <c r="R132" s="119">
        <f t="shared" ref="R132:R156" si="791">D132/AG132</f>
      </c>
      <c r="S132" s="120">
        <f t="shared" ref="S132:S156" si="671">AA132/Y132</f>
      </c>
      <c r="T132" s="121">
        <f t="shared" ref="T132:T156" si="701">AI132/AH132</f>
      </c>
      <c r="U132" s="119">
        <f t="shared" ref="U132:U156" si="980">D132/AJ132</f>
      </c>
      <c r="V132" s="122">
        <f t="shared" ref="V132:V156" si="731">AK132/AJ132</f>
      </c>
      <c r="W132" s="122">
        <f t="shared" ref="W132:W156" si="1010">AL132/AJ132</f>
      </c>
      <c r="X132" s="119">
        <f t="shared" ref="X132:X156" si="821">D132/AL132</f>
      </c>
      <c r="Y132" s="123">
        <f t="shared" ref="Y132:Y136" si="869">Z132+AA132</f>
      </c>
      <c r="Z132" s="123">
        <v>4</v>
      </c>
      <c r="AA132" s="123">
        <v>2</v>
      </c>
      <c r="AB132" s="124">
        <f>708.48+752.76</f>
      </c>
      <c r="AC132" s="124">
        <v>0</v>
      </c>
      <c r="AD132" s="120">
        <f t="shared" ref="AD132:AD155" si="5">AC132/I132</f>
      </c>
      <c r="AE132" s="125" t="s">
        <v>121</v>
      </c>
      <c r="AF132" s="126" t="s">
        <v>122</v>
      </c>
      <c r="AG132" s="127">
        <v>2</v>
      </c>
      <c r="AH132" s="127">
        <v>68697</v>
      </c>
      <c r="AI132" s="128">
        <v>1869</v>
      </c>
      <c r="AJ132" s="128">
        <v>1935</v>
      </c>
      <c r="AK132" s="127">
        <v>289</v>
      </c>
      <c r="AL132" s="129">
        <v>297</v>
      </c>
    </row>
    <row r="133">
      <c r="A133" s="108"/>
      <c r="B133" s="109" t="s">
        <v>143</v>
      </c>
      <c r="C133" s="110" t="s">
        <v>123</v>
      </c>
      <c r="D133" s="111">
        <f t="shared" si="311"/>
      </c>
      <c r="E133" s="110">
        <v>301.76</v>
      </c>
      <c r="F133" s="113">
        <v>4370.72</v>
      </c>
      <c r="G133" s="113">
        <v>744.87</v>
      </c>
      <c r="H133" s="113">
        <v>0</v>
      </c>
      <c r="I133" s="113">
        <f t="shared" si="440"/>
      </c>
      <c r="J133" s="114">
        <f>2514.24+679</f>
      </c>
      <c r="K133" s="115">
        <f t="shared" si="53"/>
      </c>
      <c r="L133" s="115">
        <f t="shared" si="182"/>
      </c>
      <c r="M133" s="116">
        <f t="shared" si="611"/>
      </c>
      <c r="N133" s="117">
        <f t="shared" si="641"/>
      </c>
      <c r="O133" s="118">
        <f t="shared" si="551"/>
      </c>
      <c r="P133" s="119">
        <f t="shared" si="581"/>
      </c>
      <c r="Q133" s="119">
        <f t="shared" si="761"/>
      </c>
      <c r="R133" s="119">
        <f t="shared" si="791"/>
      </c>
      <c r="S133" s="120">
        <f t="shared" si="671"/>
      </c>
      <c r="T133" s="121">
        <f t="shared" si="701"/>
      </c>
      <c r="U133" s="119">
        <f t="shared" si="980"/>
      </c>
      <c r="V133" s="122">
        <f t="shared" si="731"/>
      </c>
      <c r="W133" s="122">
        <f t="shared" si="1010"/>
      </c>
      <c r="X133" s="119">
        <f t="shared" si="821"/>
      </c>
      <c r="Y133" s="123">
        <f t="shared" si="869"/>
      </c>
      <c r="Z133" s="123">
        <v>5</v>
      </c>
      <c r="AA133" s="123">
        <v>5</v>
      </c>
      <c r="AB133" s="124">
        <v>6773.759999999997</v>
      </c>
      <c r="AC133" s="124">
        <v>679</v>
      </c>
      <c r="AD133" s="120">
        <f t="shared" si="5"/>
      </c>
      <c r="AE133" s="125" t="s">
        <v>121</v>
      </c>
      <c r="AF133" s="126" t="s">
        <v>122</v>
      </c>
      <c r="AG133" s="127">
        <v>5</v>
      </c>
      <c r="AH133" s="128">
        <v>48691</v>
      </c>
      <c r="AI133" s="128">
        <v>807</v>
      </c>
      <c r="AJ133" s="128">
        <v>882</v>
      </c>
      <c r="AK133" s="129">
        <v>165</v>
      </c>
      <c r="AL133" s="129">
        <v>187</v>
      </c>
    </row>
    <row r="134">
      <c r="A134" s="108"/>
      <c r="B134" s="109" t="s">
        <v>143</v>
      </c>
      <c r="C134" s="110" t="s">
        <v>124</v>
      </c>
      <c r="D134" s="111">
        <f t="shared" si="311"/>
      </c>
      <c r="E134" s="110">
        <v>349.82</v>
      </c>
      <c r="F134" s="110">
        <v>3956.54</v>
      </c>
      <c r="G134" s="113">
        <v>728.69</v>
      </c>
      <c r="H134" s="113">
        <v>0</v>
      </c>
      <c r="I134" s="113">
        <f t="shared" si="440"/>
      </c>
      <c r="J134" s="114">
        <f>1300.32+1074</f>
      </c>
      <c r="K134" s="115">
        <f t="shared" si="53"/>
      </c>
      <c r="L134" s="115">
        <f t="shared" si="182"/>
      </c>
      <c r="M134" s="116">
        <f t="shared" si="611"/>
      </c>
      <c r="N134" s="117">
        <f t="shared" si="641"/>
      </c>
      <c r="O134" s="118">
        <f t="shared" si="551"/>
      </c>
      <c r="P134" s="119">
        <f t="shared" si="581"/>
      </c>
      <c r="Q134" s="119">
        <f t="shared" si="761"/>
      </c>
      <c r="R134" s="119">
        <f t="shared" si="791"/>
      </c>
      <c r="S134" s="120">
        <f t="shared" si="671"/>
      </c>
      <c r="T134" s="121">
        <f t="shared" si="701"/>
      </c>
      <c r="U134" s="119">
        <f t="shared" si="980"/>
      </c>
      <c r="V134" s="122">
        <f t="shared" si="731"/>
      </c>
      <c r="W134" s="122">
        <f t="shared" si="1010"/>
      </c>
      <c r="X134" s="119">
        <f t="shared" si="821"/>
      </c>
      <c r="Y134" s="123">
        <f t="shared" si="869"/>
      </c>
      <c r="Z134" s="123">
        <v>1</v>
      </c>
      <c r="AA134" s="123">
        <v>6</v>
      </c>
      <c r="AB134" s="124">
        <v>5616.000000000002</v>
      </c>
      <c r="AC134" s="124">
        <v>2548</v>
      </c>
      <c r="AD134" s="120">
        <f t="shared" si="5"/>
      </c>
      <c r="AE134" s="125" t="s">
        <v>121</v>
      </c>
      <c r="AF134" s="126" t="s">
        <v>122</v>
      </c>
      <c r="AG134" s="129">
        <v>5</v>
      </c>
      <c r="AH134" s="128">
        <v>42903</v>
      </c>
      <c r="AI134" s="128">
        <v>780</v>
      </c>
      <c r="AJ134" s="128">
        <v>871</v>
      </c>
      <c r="AK134" s="129">
        <v>146</v>
      </c>
      <c r="AL134" s="129">
        <v>190</v>
      </c>
    </row>
    <row r="135">
      <c r="A135" s="108"/>
      <c r="B135" s="109" t="s">
        <v>143</v>
      </c>
      <c r="C135" s="110" t="s">
        <v>125</v>
      </c>
      <c r="D135" s="111">
        <f t="shared" si="311"/>
      </c>
      <c r="E135" s="110">
        <v>688.43</v>
      </c>
      <c r="F135" s="113">
        <v>5324.34</v>
      </c>
      <c r="G135" s="113">
        <v>701.37</v>
      </c>
      <c r="H135" s="113">
        <v>0</v>
      </c>
      <c r="I135" s="113">
        <f t="shared" si="440"/>
      </c>
      <c r="J135" s="114">
        <f>473.04+1245.24+1064+1086</f>
      </c>
      <c r="K135" s="115">
        <f t="shared" si="53"/>
      </c>
      <c r="L135" s="115">
        <f t="shared" si="182"/>
      </c>
      <c r="M135" s="116">
        <f t="shared" si="611"/>
      </c>
      <c r="N135" s="117">
        <f t="shared" si="641"/>
      </c>
      <c r="O135" s="118">
        <f t="shared" si="551"/>
      </c>
      <c r="P135" s="119">
        <f t="shared" si="581"/>
      </c>
      <c r="Q135" s="119">
        <f t="shared" si="761"/>
      </c>
      <c r="R135" s="119">
        <f t="shared" si="791"/>
      </c>
      <c r="S135" s="120">
        <f t="shared" si="671"/>
      </c>
      <c r="T135" s="121">
        <f t="shared" si="701"/>
      </c>
      <c r="U135" s="119">
        <f t="shared" si="980"/>
      </c>
      <c r="V135" s="122">
        <f t="shared" si="731"/>
      </c>
      <c r="W135" s="122">
        <f t="shared" si="1010"/>
      </c>
      <c r="X135" s="119">
        <f t="shared" si="821"/>
      </c>
      <c r="Y135" s="123">
        <f t="shared" si="869"/>
      </c>
      <c r="Z135" s="123">
        <v>10</v>
      </c>
      <c r="AA135" s="123">
        <v>9</v>
      </c>
      <c r="AB135" s="124">
        <v>8370.000000000002</v>
      </c>
      <c r="AC135" s="124">
        <v>2150</v>
      </c>
      <c r="AD135" s="120">
        <f t="shared" si="5"/>
      </c>
      <c r="AE135" s="125" t="s">
        <v>121</v>
      </c>
      <c r="AF135" s="126" t="s">
        <v>122</v>
      </c>
      <c r="AG135" s="127">
        <v>8</v>
      </c>
      <c r="AH135" s="128">
        <v>52642</v>
      </c>
      <c r="AI135" s="128">
        <v>883</v>
      </c>
      <c r="AJ135" s="128">
        <v>939</v>
      </c>
      <c r="AK135" s="129">
        <v>180</v>
      </c>
      <c r="AL135" s="129">
        <v>249</v>
      </c>
    </row>
    <row r="136">
      <c r="A136" s="108"/>
      <c r="B136" s="109" t="s">
        <v>143</v>
      </c>
      <c r="C136" s="110" t="s">
        <v>126</v>
      </c>
      <c r="D136" s="111">
        <f t="shared" si="311"/>
      </c>
      <c r="E136" s="112">
        <v>560.7</v>
      </c>
      <c r="F136" s="113">
        <v>7601.71</v>
      </c>
      <c r="G136" s="113">
        <v>917.01</v>
      </c>
      <c r="H136" s="113">
        <v>0</v>
      </c>
      <c r="I136" s="113">
        <f t="shared" si="440"/>
      </c>
      <c r="J136" s="114">
        <f>1699.2+2008.92+1128.6</f>
      </c>
      <c r="K136" s="115">
        <f t="shared" si="53"/>
      </c>
      <c r="L136" s="115">
        <f t="shared" si="182"/>
      </c>
      <c r="M136" s="116">
        <f t="shared" si="611"/>
      </c>
      <c r="N136" s="117">
        <f t="shared" si="641"/>
      </c>
      <c r="O136" s="118">
        <f t="shared" si="551"/>
      </c>
      <c r="P136" s="119">
        <f t="shared" si="581"/>
      </c>
      <c r="Q136" s="119">
        <f t="shared" si="761"/>
      </c>
      <c r="R136" s="119">
        <f t="shared" si="791"/>
      </c>
      <c r="S136" s="120">
        <f t="shared" si="671"/>
      </c>
      <c r="T136" s="121">
        <f t="shared" si="701"/>
      </c>
      <c r="U136" s="119">
        <f t="shared" si="980"/>
      </c>
      <c r="V136" s="122">
        <f t="shared" si="731"/>
      </c>
      <c r="W136" s="122">
        <f t="shared" si="1010"/>
      </c>
      <c r="X136" s="119">
        <f t="shared" si="821"/>
      </c>
      <c r="Y136" s="123">
        <f t="shared" si="869"/>
      </c>
      <c r="Z136" s="123">
        <v>4</v>
      </c>
      <c r="AA136" s="123">
        <v>10</v>
      </c>
      <c r="AB136" s="124">
        <v>13879.56</v>
      </c>
      <c r="AC136" s="124">
        <v>1733</v>
      </c>
      <c r="AD136" s="120">
        <f t="shared" si="5"/>
      </c>
      <c r="AE136" s="125" t="s">
        <v>121</v>
      </c>
      <c r="AF136" s="126" t="s">
        <v>122</v>
      </c>
      <c r="AG136" s="127">
        <v>10</v>
      </c>
      <c r="AH136" s="128">
        <v>76482</v>
      </c>
      <c r="AI136" s="128">
        <v>1057</v>
      </c>
      <c r="AJ136" s="128">
        <v>1117</v>
      </c>
      <c r="AK136" s="127">
        <v>205</v>
      </c>
      <c r="AL136" s="127">
        <v>266</v>
      </c>
    </row>
    <row r="137">
      <c r="A137" s="108"/>
      <c r="B137" s="130" t="s">
        <v>127</v>
      </c>
      <c r="C137" s="131">
        <v>5</v>
      </c>
      <c r="D137" s="132">
        <f>SUM(D132:D136)</f>
      </c>
      <c r="E137" s="132">
        <f>SUM(E132:E136)</f>
      </c>
      <c r="F137" s="132">
        <f>SUM(F132:F136)</f>
      </c>
      <c r="G137" s="132">
        <f>SUM(G132:G136)</f>
      </c>
      <c r="H137" s="132">
        <f>SUM(H132:H136)</f>
      </c>
      <c r="I137" s="132">
        <f>SUM(I132:I136)</f>
      </c>
      <c r="J137" s="132">
        <f>SUM(J132:J136)</f>
      </c>
      <c r="K137" s="132">
        <f>SUM(K132:K136)</f>
      </c>
      <c r="L137" s="132">
        <f>SUM(L132:L136)</f>
      </c>
      <c r="M137" s="133">
        <f t="shared" si="611"/>
      </c>
      <c r="N137" s="134">
        <f t="shared" si="641"/>
      </c>
      <c r="O137" s="134">
        <f t="shared" si="551"/>
      </c>
      <c r="P137" s="135">
        <f t="shared" si="581"/>
      </c>
      <c r="Q137" s="135">
        <f t="shared" si="761"/>
      </c>
      <c r="R137" s="135">
        <f t="shared" si="791"/>
      </c>
      <c r="S137" s="136">
        <f t="shared" si="671"/>
      </c>
      <c r="T137" s="136">
        <f t="shared" si="701"/>
      </c>
      <c r="U137" s="135">
        <f t="shared" si="980"/>
      </c>
      <c r="V137" s="136">
        <f t="shared" si="731"/>
      </c>
      <c r="W137" s="136">
        <f t="shared" si="1010"/>
      </c>
      <c r="X137" s="135">
        <f t="shared" si="821"/>
      </c>
      <c r="Y137" s="132">
        <f>SUM(Y132:Y136)</f>
      </c>
      <c r="Z137" s="132">
        <f>SUM(Z132:Z136)</f>
      </c>
      <c r="AA137" s="132">
        <f>SUM(AA132:AA136)</f>
      </c>
      <c r="AB137" s="132">
        <f>SUM(AB132:AB136)</f>
      </c>
      <c r="AC137" s="132">
        <f>SUM(AC132:AC136)</f>
      </c>
      <c r="AD137" s="137">
        <f t="shared" si="5"/>
      </c>
      <c r="AE137" s="138"/>
      <c r="AF137" s="139"/>
      <c r="AG137" s="132">
        <f>SUM(AG132:AG136)</f>
      </c>
      <c r="AH137" s="132">
        <f>SUM(AH132:AH136)</f>
      </c>
      <c r="AI137" s="132">
        <f>SUM(AI132:AI136)</f>
      </c>
      <c r="AJ137" s="132">
        <f>SUM(AJ132:AJ136)</f>
      </c>
      <c r="AK137" s="132">
        <f>SUM(AK132:AK136)</f>
      </c>
      <c r="AL137" s="132">
        <f>SUM(AL132:AL136)</f>
      </c>
    </row>
    <row r="138">
      <c r="A138" s="108"/>
      <c r="B138" s="109" t="s">
        <v>133</v>
      </c>
      <c r="C138" s="110" t="s">
        <v>129</v>
      </c>
      <c r="D138" s="111">
        <f t="shared" ref="D138:D142" si="312">E138+F138+G138+H138</f>
      </c>
      <c r="E138" s="112">
        <v>680.85</v>
      </c>
      <c r="F138" s="113">
        <v>9022.11</v>
      </c>
      <c r="G138" s="113">
        <v>444.59</v>
      </c>
      <c r="H138" s="113">
        <v>0</v>
      </c>
      <c r="I138" s="113">
        <f t="shared" ref="I138:I142" si="441">AB138+AC138</f>
      </c>
      <c r="J138" s="114">
        <v>708.48</v>
      </c>
      <c r="K138" s="115">
        <f t="shared" ref="K138:K142" si="54">I138-J138</f>
      </c>
      <c r="L138" s="115">
        <f t="shared" ref="L138:L142" si="183">(I138-AC138)/12+AC138</f>
      </c>
      <c r="M138" s="116">
        <f t="shared" si="611"/>
      </c>
      <c r="N138" s="117">
        <f t="shared" si="641"/>
      </c>
      <c r="O138" s="118">
        <f t="shared" si="551"/>
      </c>
      <c r="P138" s="119">
        <f t="shared" si="581"/>
      </c>
      <c r="Q138" s="119">
        <f t="shared" si="761"/>
      </c>
      <c r="R138" s="119">
        <f t="shared" si="791"/>
      </c>
      <c r="S138" s="120">
        <f t="shared" si="671"/>
      </c>
      <c r="T138" s="121">
        <f t="shared" si="701"/>
      </c>
      <c r="U138" s="119">
        <f t="shared" si="980"/>
      </c>
      <c r="V138" s="122">
        <f t="shared" si="731"/>
      </c>
      <c r="W138" s="122">
        <f t="shared" si="1010"/>
      </c>
      <c r="X138" s="119">
        <f t="shared" si="821"/>
      </c>
      <c r="Y138" s="123">
        <f t="shared" ref="Y138:Y142" si="870">Z138+AA138</f>
      </c>
      <c r="Z138" s="123">
        <v>8</v>
      </c>
      <c r="AA138" s="123">
        <v>6</v>
      </c>
      <c r="AB138" s="124">
        <v>10246.56</v>
      </c>
      <c r="AC138" s="124">
        <v>0</v>
      </c>
      <c r="AD138" s="120">
        <f t="shared" si="5"/>
      </c>
      <c r="AE138" s="125" t="s">
        <v>121</v>
      </c>
      <c r="AF138" s="126" t="s">
        <v>122</v>
      </c>
      <c r="AG138" s="127">
        <v>4</v>
      </c>
      <c r="AH138" s="128">
        <v>99447</v>
      </c>
      <c r="AI138" s="128">
        <v>1273</v>
      </c>
      <c r="AJ138" s="128">
        <v>1328</v>
      </c>
      <c r="AK138" s="127">
        <v>213</v>
      </c>
      <c r="AL138" s="127">
        <v>309</v>
      </c>
    </row>
    <row r="139">
      <c r="A139" s="108"/>
      <c r="B139" s="109" t="s">
        <v>133</v>
      </c>
      <c r="C139" s="110" t="s">
        <v>130</v>
      </c>
      <c r="D139" s="111">
        <f t="shared" si="312"/>
      </c>
      <c r="E139" s="110">
        <v>500.22</v>
      </c>
      <c r="F139" s="113">
        <v>7758.5</v>
      </c>
      <c r="G139" s="113">
        <v>0.01</v>
      </c>
      <c r="H139" s="113">
        <v>0</v>
      </c>
      <c r="I139" s="113">
        <f t="shared" si="441"/>
      </c>
      <c r="J139" s="161">
        <v>2469.6</v>
      </c>
      <c r="K139" s="115">
        <f t="shared" si="54"/>
      </c>
      <c r="L139" s="115">
        <f t="shared" si="183"/>
      </c>
      <c r="M139" s="116">
        <f t="shared" si="611"/>
      </c>
      <c r="N139" s="117">
        <f t="shared" si="641"/>
      </c>
      <c r="O139" s="118">
        <f t="shared" si="551"/>
      </c>
      <c r="P139" s="119">
        <f t="shared" si="581"/>
      </c>
      <c r="Q139" s="119">
        <f t="shared" si="761"/>
      </c>
      <c r="R139" s="119">
        <f t="shared" si="791"/>
      </c>
      <c r="S139" s="120">
        <f t="shared" si="671"/>
      </c>
      <c r="T139" s="121">
        <f t="shared" si="701"/>
      </c>
      <c r="U139" s="119">
        <f t="shared" si="980"/>
      </c>
      <c r="V139" s="122">
        <f t="shared" si="731"/>
      </c>
      <c r="W139" s="122">
        <f t="shared" si="1010"/>
      </c>
      <c r="X139" s="119">
        <f t="shared" si="821"/>
      </c>
      <c r="Y139" s="123">
        <f t="shared" si="870"/>
      </c>
      <c r="Z139" s="123">
        <v>9</v>
      </c>
      <c r="AA139" s="123">
        <v>7</v>
      </c>
      <c r="AB139" s="124">
        <v>10252.08000000001</v>
      </c>
      <c r="AC139" s="124">
        <v>0</v>
      </c>
      <c r="AD139" s="120">
        <f t="shared" si="5"/>
      </c>
      <c r="AE139" s="125" t="s">
        <v>121</v>
      </c>
      <c r="AF139" s="126" t="s">
        <v>122</v>
      </c>
      <c r="AG139" s="127">
        <v>6</v>
      </c>
      <c r="AH139" s="128">
        <v>78325</v>
      </c>
      <c r="AI139" s="128">
        <v>1108</v>
      </c>
      <c r="AJ139" s="128">
        <v>1168</v>
      </c>
      <c r="AK139" s="129">
        <v>163</v>
      </c>
      <c r="AL139" s="129">
        <v>214</v>
      </c>
    </row>
    <row r="140">
      <c r="A140" s="108"/>
      <c r="B140" s="109" t="s">
        <v>133</v>
      </c>
      <c r="C140" s="110" t="s">
        <v>131</v>
      </c>
      <c r="D140" s="111">
        <f t="shared" si="312"/>
      </c>
      <c r="E140" s="110">
        <v>451.94</v>
      </c>
      <c r="F140" s="110">
        <v>3683.6</v>
      </c>
      <c r="G140" s="113">
        <v>66.68</v>
      </c>
      <c r="H140" s="113">
        <v>0</v>
      </c>
      <c r="I140" s="113">
        <f t="shared" si="441"/>
      </c>
      <c r="J140" s="114">
        <f>2299.32+1143.8+1847.25</f>
      </c>
      <c r="K140" s="115">
        <f t="shared" si="54"/>
      </c>
      <c r="L140" s="115">
        <f t="shared" si="183"/>
      </c>
      <c r="M140" s="116">
        <f t="shared" si="611"/>
      </c>
      <c r="N140" s="117">
        <f t="shared" si="641"/>
      </c>
      <c r="O140" s="118">
        <f t="shared" si="551"/>
      </c>
      <c r="P140" s="119">
        <f t="shared" si="581"/>
      </c>
      <c r="Q140" s="119">
        <f t="shared" si="761"/>
      </c>
      <c r="R140" s="119">
        <f t="shared" si="791"/>
      </c>
      <c r="S140" s="120">
        <f t="shared" si="671"/>
      </c>
      <c r="T140" s="121">
        <f t="shared" si="701"/>
      </c>
      <c r="U140" s="119">
        <f t="shared" si="980"/>
      </c>
      <c r="V140" s="122">
        <f t="shared" si="731"/>
      </c>
      <c r="W140" s="122">
        <f t="shared" si="1010"/>
      </c>
      <c r="X140" s="119">
        <f t="shared" si="821"/>
      </c>
      <c r="Y140" s="123">
        <f t="shared" si="870"/>
      </c>
      <c r="Z140" s="123">
        <v>6</v>
      </c>
      <c r="AA140" s="123">
        <v>4</v>
      </c>
      <c r="AB140" s="124">
        <v>6818.039999999988</v>
      </c>
      <c r="AC140" s="124">
        <v>2991.050000000001</v>
      </c>
      <c r="AD140" s="120">
        <f t="shared" si="5"/>
      </c>
      <c r="AE140" s="125" t="s">
        <v>121</v>
      </c>
      <c r="AF140" s="126" t="s">
        <v>122</v>
      </c>
      <c r="AG140" s="129">
        <v>4</v>
      </c>
      <c r="AH140" s="128">
        <v>40775</v>
      </c>
      <c r="AI140" s="128">
        <v>966</v>
      </c>
      <c r="AJ140" s="128">
        <v>1038</v>
      </c>
      <c r="AK140" s="129">
        <v>136</v>
      </c>
      <c r="AL140" s="129">
        <v>160</v>
      </c>
    </row>
    <row r="141">
      <c r="A141" s="108"/>
      <c r="B141" s="109" t="s">
        <v>133</v>
      </c>
      <c r="C141" s="110" t="s">
        <v>132</v>
      </c>
      <c r="D141" s="111">
        <f t="shared" si="312"/>
      </c>
      <c r="E141" s="110">
        <v>439.42</v>
      </c>
      <c r="F141" s="113">
        <v>3091.29</v>
      </c>
      <c r="G141" s="113">
        <v>1283.48</v>
      </c>
      <c r="H141" s="113">
        <v>0</v>
      </c>
      <c r="I141" s="113">
        <f t="shared" si="441"/>
      </c>
      <c r="J141" s="114">
        <v>2036.88</v>
      </c>
      <c r="K141" s="115">
        <f t="shared" si="54"/>
      </c>
      <c r="L141" s="115">
        <f t="shared" si="183"/>
      </c>
      <c r="M141" s="116">
        <f t="shared" si="611"/>
      </c>
      <c r="N141" s="117">
        <f t="shared" si="641"/>
      </c>
      <c r="O141" s="118">
        <f t="shared" si="551"/>
      </c>
      <c r="P141" s="119">
        <f t="shared" si="581"/>
      </c>
      <c r="Q141" s="119">
        <f t="shared" si="761"/>
      </c>
      <c r="R141" s="119">
        <f t="shared" si="791"/>
      </c>
      <c r="S141" s="120">
        <f t="shared" si="671"/>
      </c>
      <c r="T141" s="121">
        <f t="shared" si="701"/>
      </c>
      <c r="U141" s="119">
        <f t="shared" si="980"/>
      </c>
      <c r="V141" s="122">
        <f t="shared" si="731"/>
      </c>
      <c r="W141" s="122">
        <f t="shared" si="1010"/>
      </c>
      <c r="X141" s="119">
        <f t="shared" si="821"/>
      </c>
      <c r="Y141" s="123">
        <f t="shared" si="870"/>
      </c>
      <c r="Z141" s="123">
        <v>4</v>
      </c>
      <c r="AA141" s="123">
        <v>7</v>
      </c>
      <c r="AB141" s="114">
        <v>13895.039999999995</v>
      </c>
      <c r="AC141" s="124">
        <v>2328</v>
      </c>
      <c r="AD141" s="120">
        <f t="shared" si="5"/>
      </c>
      <c r="AE141" s="125" t="s">
        <v>121</v>
      </c>
      <c r="AF141" s="126" t="s">
        <v>122</v>
      </c>
      <c r="AG141" s="127">
        <v>6</v>
      </c>
      <c r="AH141" s="128">
        <v>40632</v>
      </c>
      <c r="AI141" s="128">
        <v>792</v>
      </c>
      <c r="AJ141" s="128">
        <v>851</v>
      </c>
      <c r="AK141" s="129">
        <v>147</v>
      </c>
      <c r="AL141" s="129">
        <v>189</v>
      </c>
    </row>
    <row r="142">
      <c r="A142" s="108"/>
      <c r="B142" s="109" t="s">
        <v>133</v>
      </c>
      <c r="C142" s="110" t="s">
        <v>134</v>
      </c>
      <c r="D142" s="111">
        <f t="shared" si="312"/>
      </c>
      <c r="E142" s="110">
        <v>603.35</v>
      </c>
      <c r="F142" s="140">
        <v>4381.84</v>
      </c>
      <c r="G142" s="113">
        <v>814.72</v>
      </c>
      <c r="H142" s="113">
        <v>0</v>
      </c>
      <c r="I142" s="113">
        <f t="shared" si="441"/>
      </c>
      <c r="J142" s="160">
        <f>1405.8+1446.3+415.8+2540.4</f>
      </c>
      <c r="K142" s="115">
        <f t="shared" si="54"/>
      </c>
      <c r="L142" s="115">
        <f t="shared" si="183"/>
      </c>
      <c r="M142" s="116">
        <f t="shared" si="611"/>
      </c>
      <c r="N142" s="117">
        <f t="shared" si="641"/>
      </c>
      <c r="O142" s="118">
        <f t="shared" si="551"/>
      </c>
      <c r="P142" s="119">
        <f t="shared" si="581"/>
      </c>
      <c r="Q142" s="119">
        <f t="shared" si="761"/>
      </c>
      <c r="R142" s="119">
        <f t="shared" si="791"/>
      </c>
      <c r="S142" s="120">
        <f t="shared" si="671"/>
      </c>
      <c r="T142" s="121">
        <f t="shared" si="701"/>
      </c>
      <c r="U142" s="119">
        <f t="shared" si="980"/>
      </c>
      <c r="V142" s="122">
        <f t="shared" si="731"/>
      </c>
      <c r="W142" s="122">
        <f t="shared" si="1010"/>
      </c>
      <c r="X142" s="119">
        <f t="shared" si="821"/>
      </c>
      <c r="Y142" s="123">
        <f t="shared" si="870"/>
      </c>
      <c r="Z142" s="123">
        <v>8</v>
      </c>
      <c r="AA142" s="123">
        <v>3</v>
      </c>
      <c r="AB142" s="124">
        <v>2540.4000000000033</v>
      </c>
      <c r="AC142" s="124">
        <v>5153.899999999998</v>
      </c>
      <c r="AD142" s="120">
        <f t="shared" si="5"/>
      </c>
      <c r="AE142" s="125" t="s">
        <v>121</v>
      </c>
      <c r="AF142" s="126" t="s">
        <v>122</v>
      </c>
      <c r="AG142" s="127">
        <v>3</v>
      </c>
      <c r="AH142" s="128">
        <v>52435</v>
      </c>
      <c r="AI142" s="128">
        <v>906</v>
      </c>
      <c r="AJ142" s="128">
        <v>946</v>
      </c>
      <c r="AK142" s="129">
        <v>182</v>
      </c>
      <c r="AL142" s="129">
        <v>209</v>
      </c>
    </row>
    <row r="143">
      <c r="A143" s="108"/>
      <c r="B143" s="130" t="s">
        <v>127</v>
      </c>
      <c r="C143" s="131">
        <v>5</v>
      </c>
      <c r="D143" s="132">
        <f>SUM(D138:D142)</f>
      </c>
      <c r="E143" s="132">
        <f>SUM(E138:E142)</f>
      </c>
      <c r="F143" s="132">
        <f>SUM(F138:F142)</f>
      </c>
      <c r="G143" s="132">
        <f>SUM(G138:G142)</f>
      </c>
      <c r="H143" s="132">
        <f>SUM(H138:H142)</f>
      </c>
      <c r="I143" s="132">
        <f>SUM(I138:I142)</f>
      </c>
      <c r="J143" s="132">
        <f>SUM(J138:J142)</f>
      </c>
      <c r="K143" s="132">
        <f>SUM(K138:K142)</f>
      </c>
      <c r="L143" s="132">
        <f>SUM(L138:L142)</f>
      </c>
      <c r="M143" s="133">
        <f t="shared" si="611"/>
      </c>
      <c r="N143" s="134">
        <f t="shared" si="641"/>
      </c>
      <c r="O143" s="134">
        <f t="shared" si="551"/>
      </c>
      <c r="P143" s="135">
        <f t="shared" si="581"/>
      </c>
      <c r="Q143" s="135">
        <f t="shared" si="761"/>
      </c>
      <c r="R143" s="135">
        <f t="shared" si="791"/>
      </c>
      <c r="S143" s="136">
        <f t="shared" si="671"/>
      </c>
      <c r="T143" s="136">
        <f t="shared" si="701"/>
      </c>
      <c r="U143" s="135">
        <f t="shared" si="980"/>
      </c>
      <c r="V143" s="136">
        <f t="shared" si="731"/>
      </c>
      <c r="W143" s="136">
        <f t="shared" si="1010"/>
      </c>
      <c r="X143" s="135">
        <f t="shared" si="821"/>
      </c>
      <c r="Y143" s="132">
        <f>SUM(Y138:Y142)</f>
      </c>
      <c r="Z143" s="132">
        <f>SUM(Z138:Z142)</f>
      </c>
      <c r="AA143" s="132">
        <f>SUM(AA138:AA142)</f>
      </c>
      <c r="AB143" s="132">
        <f>SUM(AB138:AB142)</f>
      </c>
      <c r="AC143" s="132">
        <f>SUM(AC138:AC142)</f>
      </c>
      <c r="AD143" s="137">
        <f t="shared" si="5"/>
      </c>
      <c r="AE143" s="138"/>
      <c r="AF143" s="139"/>
      <c r="AG143" s="132">
        <f>SUM(AG138:AG142)</f>
      </c>
      <c r="AH143" s="132">
        <f>SUM(AH138:AH142)</f>
      </c>
      <c r="AI143" s="132">
        <f>SUM(AI138:AI142)</f>
      </c>
      <c r="AJ143" s="132">
        <f>SUM(AJ138:AJ142)</f>
      </c>
      <c r="AK143" s="132">
        <f>SUM(AK138:AK142)</f>
      </c>
      <c r="AL143" s="132">
        <f>SUM(AL138:AL142)</f>
      </c>
    </row>
    <row r="144">
      <c r="A144" s="108"/>
      <c r="B144" s="109" t="s">
        <v>128</v>
      </c>
      <c r="C144" s="110" t="s">
        <v>135</v>
      </c>
      <c r="D144" s="111">
        <f t="shared" ref="D144:D148" si="313">E144+F144+G144+H144</f>
      </c>
      <c r="E144" s="110">
        <v>722.14</v>
      </c>
      <c r="F144" s="140">
        <v>3057.03</v>
      </c>
      <c r="G144" s="113">
        <v>591.47</v>
      </c>
      <c r="H144" s="113">
        <v>0</v>
      </c>
      <c r="I144" s="113">
        <f t="shared" ref="I144:I148" si="442">AB144+AC144</f>
      </c>
      <c r="J144" s="160">
        <v>0</v>
      </c>
      <c r="K144" s="115">
        <f t="shared" ref="K144:K148" si="55">I144-J144</f>
      </c>
      <c r="L144" s="115">
        <f t="shared" ref="L144:L148" si="184">(I144-AC144)/12+AC144</f>
      </c>
      <c r="M144" s="116">
        <f t="shared" si="611"/>
      </c>
      <c r="N144" s="117">
        <f t="shared" si="641"/>
      </c>
      <c r="O144" s="118">
        <f t="shared" si="551"/>
      </c>
      <c r="P144" s="119">
        <f t="shared" si="581"/>
      </c>
      <c r="Q144" s="119">
        <f t="shared" si="761"/>
      </c>
      <c r="R144" s="119">
        <f t="shared" si="791"/>
      </c>
      <c r="S144" s="120">
        <f t="shared" si="671"/>
      </c>
      <c r="T144" s="121">
        <f t="shared" si="701"/>
      </c>
      <c r="U144" s="119">
        <f t="shared" si="980"/>
      </c>
      <c r="V144" s="122">
        <f t="shared" si="731"/>
      </c>
      <c r="W144" s="122">
        <f t="shared" si="1010"/>
      </c>
      <c r="X144" s="119">
        <f t="shared" si="821"/>
      </c>
      <c r="Y144" s="123">
        <f t="shared" ref="Y144:Y148" si="871">Z144+AA144</f>
      </c>
      <c r="Z144" s="123">
        <v>3</v>
      </c>
      <c r="AA144" s="123">
        <v>2</v>
      </c>
      <c r="AB144" s="124">
        <v>1622.1600000000126</v>
      </c>
      <c r="AC144" s="124">
        <v>0</v>
      </c>
      <c r="AD144" s="120">
        <f t="shared" si="5"/>
      </c>
      <c r="AE144" s="125" t="s">
        <v>121</v>
      </c>
      <c r="AF144" s="126" t="s">
        <v>137</v>
      </c>
      <c r="AG144" s="127">
        <v>2</v>
      </c>
      <c r="AH144" s="128">
        <v>36027</v>
      </c>
      <c r="AI144" s="128">
        <v>752</v>
      </c>
      <c r="AJ144" s="128">
        <v>802</v>
      </c>
      <c r="AK144" s="129">
        <v>119</v>
      </c>
      <c r="AL144" s="129">
        <v>144</v>
      </c>
    </row>
    <row r="145">
      <c r="A145" s="108"/>
      <c r="B145" s="109" t="s">
        <v>128</v>
      </c>
      <c r="C145" s="110" t="s">
        <v>138</v>
      </c>
      <c r="D145" s="111">
        <f t="shared" si="313"/>
      </c>
      <c r="E145" s="141">
        <v>289.87</v>
      </c>
      <c r="F145" s="142">
        <v>3715.11</v>
      </c>
      <c r="G145" s="113">
        <v>0</v>
      </c>
      <c r="H145" s="113">
        <v>0</v>
      </c>
      <c r="I145" s="113">
        <f t="shared" si="442"/>
      </c>
      <c r="J145" s="160">
        <v>0</v>
      </c>
      <c r="K145" s="115">
        <f t="shared" si="55"/>
      </c>
      <c r="L145" s="115">
        <f t="shared" si="184"/>
      </c>
      <c r="M145" s="116">
        <f t="shared" si="611"/>
      </c>
      <c r="N145" s="117">
        <f t="shared" si="641"/>
      </c>
      <c r="O145" s="118">
        <f t="shared" si="551"/>
      </c>
      <c r="P145" s="119">
        <f t="shared" si="581"/>
      </c>
      <c r="Q145" s="119">
        <f t="shared" si="761"/>
      </c>
      <c r="R145" s="119">
        <f t="shared" si="791"/>
      </c>
      <c r="S145" s="120">
        <f t="shared" si="671"/>
      </c>
      <c r="T145" s="121">
        <f t="shared" si="701"/>
      </c>
      <c r="U145" s="119">
        <f t="shared" si="980"/>
      </c>
      <c r="V145" s="122">
        <f t="shared" si="731"/>
      </c>
      <c r="W145" s="122">
        <f t="shared" si="1010"/>
      </c>
      <c r="X145" s="119">
        <f t="shared" si="821"/>
      </c>
      <c r="Y145" s="123">
        <f t="shared" si="871"/>
      </c>
      <c r="Z145" s="123">
        <v>3</v>
      </c>
      <c r="AA145" s="123">
        <v>0</v>
      </c>
      <c r="AB145" s="124">
        <v>0</v>
      </c>
      <c r="AC145" s="124">
        <v>0</v>
      </c>
      <c r="AD145" s="120">
        <f t="shared" si="5"/>
      </c>
      <c r="AE145" s="125" t="s">
        <v>121</v>
      </c>
      <c r="AF145" s="126" t="s">
        <v>137</v>
      </c>
      <c r="AG145" s="129">
        <v>0</v>
      </c>
      <c r="AH145" s="128">
        <v>43711</v>
      </c>
      <c r="AI145" s="128">
        <v>569</v>
      </c>
      <c r="AJ145" s="128">
        <v>624</v>
      </c>
      <c r="AK145" s="129">
        <v>89</v>
      </c>
      <c r="AL145" s="129">
        <v>117</v>
      </c>
    </row>
    <row r="146">
      <c r="A146" s="108"/>
      <c r="B146" s="109" t="s">
        <v>128</v>
      </c>
      <c r="C146" s="110" t="s">
        <v>140</v>
      </c>
      <c r="D146" s="111">
        <f t="shared" si="313"/>
      </c>
      <c r="E146" s="110">
        <v>491.58</v>
      </c>
      <c r="F146" s="140">
        <v>3080.8</v>
      </c>
      <c r="G146" s="113">
        <v>842.35</v>
      </c>
      <c r="H146" s="113">
        <v>0</v>
      </c>
      <c r="I146" s="113">
        <f t="shared" si="442"/>
      </c>
      <c r="J146" s="160">
        <v>638.28</v>
      </c>
      <c r="K146" s="115">
        <f t="shared" si="55"/>
      </c>
      <c r="L146" s="115">
        <f t="shared" si="184"/>
      </c>
      <c r="M146" s="116">
        <f t="shared" si="611"/>
      </c>
      <c r="N146" s="117">
        <f t="shared" si="641"/>
      </c>
      <c r="O146" s="118">
        <f t="shared" si="551"/>
      </c>
      <c r="P146" s="119">
        <f t="shared" si="581"/>
      </c>
      <c r="Q146" s="119">
        <f t="shared" si="761"/>
      </c>
      <c r="R146" s="119">
        <f t="shared" si="791"/>
      </c>
      <c r="S146" s="120">
        <f t="shared" si="671"/>
      </c>
      <c r="T146" s="121">
        <f t="shared" si="701"/>
      </c>
      <c r="U146" s="119">
        <f t="shared" si="980"/>
      </c>
      <c r="V146" s="122">
        <f t="shared" si="731"/>
      </c>
      <c r="W146" s="122">
        <f t="shared" si="1010"/>
      </c>
      <c r="X146" s="119">
        <f t="shared" si="821"/>
      </c>
      <c r="Y146" s="123">
        <f t="shared" si="871"/>
      </c>
      <c r="Z146" s="123">
        <v>3</v>
      </c>
      <c r="AA146" s="123">
        <v>5</v>
      </c>
      <c r="AB146" s="124">
        <v>5003.639999999994</v>
      </c>
      <c r="AC146" s="124">
        <v>0</v>
      </c>
      <c r="AD146" s="120">
        <f t="shared" si="5"/>
      </c>
      <c r="AE146" s="125" t="s">
        <v>121</v>
      </c>
      <c r="AF146" s="126" t="s">
        <v>137</v>
      </c>
      <c r="AG146" s="127">
        <v>3</v>
      </c>
      <c r="AH146" s="128">
        <v>37475</v>
      </c>
      <c r="AI146" s="128">
        <v>659</v>
      </c>
      <c r="AJ146" s="128">
        <v>748</v>
      </c>
      <c r="AK146" s="129">
        <v>96</v>
      </c>
      <c r="AL146" s="129">
        <v>114</v>
      </c>
    </row>
    <row r="147">
      <c r="A147" s="108"/>
      <c r="B147" s="109" t="s">
        <v>128</v>
      </c>
      <c r="C147" s="141" t="s">
        <v>141</v>
      </c>
      <c r="D147" s="111">
        <f t="shared" si="313"/>
      </c>
      <c r="E147" s="110">
        <v>573.11</v>
      </c>
      <c r="F147" s="140">
        <v>2265.64</v>
      </c>
      <c r="G147" s="113">
        <v>1709</v>
      </c>
      <c r="H147" s="113">
        <v>0</v>
      </c>
      <c r="I147" s="113">
        <f t="shared" si="442"/>
      </c>
      <c r="J147" s="160">
        <v>0</v>
      </c>
      <c r="K147" s="115">
        <f t="shared" si="55"/>
      </c>
      <c r="L147" s="115">
        <f t="shared" si="184"/>
      </c>
      <c r="M147" s="116">
        <f t="shared" si="611"/>
      </c>
      <c r="N147" s="117">
        <f t="shared" si="641"/>
      </c>
      <c r="O147" s="118">
        <f t="shared" si="551"/>
      </c>
      <c r="P147" s="119">
        <f t="shared" si="581"/>
      </c>
      <c r="Q147" s="119">
        <f t="shared" si="761"/>
      </c>
      <c r="R147" s="119">
        <f t="shared" si="791"/>
      </c>
      <c r="S147" s="120">
        <f t="shared" si="671"/>
      </c>
      <c r="T147" s="121">
        <f t="shared" si="701"/>
      </c>
      <c r="U147" s="119">
        <f t="shared" si="980"/>
      </c>
      <c r="V147" s="122">
        <f t="shared" si="731"/>
      </c>
      <c r="W147" s="122">
        <f t="shared" si="1010"/>
      </c>
      <c r="X147" s="119">
        <f t="shared" si="821"/>
      </c>
      <c r="Y147" s="123">
        <f t="shared" si="871"/>
      </c>
      <c r="Z147" s="123">
        <v>0</v>
      </c>
      <c r="AA147" s="123">
        <v>9</v>
      </c>
      <c r="AB147" s="124">
        <v>16201.079999999996</v>
      </c>
      <c r="AC147" s="124">
        <v>1562.0000000000018</v>
      </c>
      <c r="AD147" s="120">
        <f t="shared" si="5"/>
      </c>
      <c r="AE147" s="125" t="s">
        <v>121</v>
      </c>
      <c r="AF147" s="126" t="s">
        <v>137</v>
      </c>
      <c r="AG147" s="127">
        <v>8</v>
      </c>
      <c r="AH147" s="128">
        <v>43452</v>
      </c>
      <c r="AI147" s="128">
        <v>884</v>
      </c>
      <c r="AJ147" s="128">
        <v>958</v>
      </c>
      <c r="AK147" s="129">
        <v>153</v>
      </c>
      <c r="AL147" s="129">
        <v>152</v>
      </c>
    </row>
    <row r="148">
      <c r="A148" s="108"/>
      <c r="B148" s="109" t="s">
        <v>128</v>
      </c>
      <c r="C148" s="141" t="s">
        <v>142</v>
      </c>
      <c r="D148" s="111">
        <f t="shared" si="313"/>
      </c>
      <c r="E148" s="110">
        <v>821.96</v>
      </c>
      <c r="F148" s="140">
        <v>1390.68</v>
      </c>
      <c r="G148" s="113">
        <v>3584.78</v>
      </c>
      <c r="H148" s="113">
        <v>0</v>
      </c>
      <c r="I148" s="113">
        <f t="shared" si="442"/>
      </c>
      <c r="J148" s="160">
        <v>0</v>
      </c>
      <c r="K148" s="115">
        <f t="shared" si="55"/>
      </c>
      <c r="L148" s="115">
        <f t="shared" si="184"/>
      </c>
      <c r="M148" s="116">
        <f t="shared" si="611"/>
      </c>
      <c r="N148" s="117">
        <f t="shared" si="641"/>
      </c>
      <c r="O148" s="118">
        <f t="shared" si="551"/>
      </c>
      <c r="P148" s="119">
        <f t="shared" si="581"/>
      </c>
      <c r="Q148" s="119">
        <f t="shared" si="761"/>
      </c>
      <c r="R148" s="119">
        <f t="shared" si="791"/>
      </c>
      <c r="S148" s="120">
        <f t="shared" si="671"/>
      </c>
      <c r="T148" s="121">
        <f t="shared" si="701"/>
      </c>
      <c r="U148" s="119">
        <f t="shared" si="980"/>
      </c>
      <c r="V148" s="122">
        <f t="shared" si="731"/>
      </c>
      <c r="W148" s="122">
        <f t="shared" si="1010"/>
      </c>
      <c r="X148" s="119">
        <f t="shared" si="821"/>
      </c>
      <c r="Y148" s="123">
        <f t="shared" si="871"/>
      </c>
      <c r="Z148" s="123">
        <v>9</v>
      </c>
      <c r="AA148" s="123">
        <v>9</v>
      </c>
      <c r="AB148" s="124">
        <v>13021.560000000007</v>
      </c>
      <c r="AC148" s="124">
        <v>375.0000000000018</v>
      </c>
      <c r="AD148" s="120">
        <f t="shared" si="5"/>
      </c>
      <c r="AE148" s="125" t="s">
        <v>121</v>
      </c>
      <c r="AF148" s="126" t="s">
        <v>137</v>
      </c>
      <c r="AG148" s="127">
        <v>9</v>
      </c>
      <c r="AH148" s="128">
        <v>48359</v>
      </c>
      <c r="AI148" s="128">
        <v>969</v>
      </c>
      <c r="AJ148" s="128">
        <v>1039</v>
      </c>
      <c r="AK148" s="129">
        <v>162</v>
      </c>
      <c r="AL148" s="129">
        <v>182</v>
      </c>
    </row>
    <row r="149">
      <c r="A149" s="108"/>
      <c r="B149" s="130" t="s">
        <v>127</v>
      </c>
      <c r="C149" s="131">
        <v>5</v>
      </c>
      <c r="D149" s="132">
        <f>SUM(D144:D148)</f>
      </c>
      <c r="E149" s="132">
        <f>SUM(E144:E148)</f>
      </c>
      <c r="F149" s="132">
        <f>SUM(F144:F148)</f>
      </c>
      <c r="G149" s="132">
        <f>SUM(G144:G148)</f>
      </c>
      <c r="H149" s="132">
        <f>SUM(H144:H148)</f>
      </c>
      <c r="I149" s="132">
        <f>SUM(I144:I148)</f>
      </c>
      <c r="J149" s="132">
        <f>SUM(J144:J148)</f>
      </c>
      <c r="K149" s="132">
        <f>SUM(K144:K148)</f>
      </c>
      <c r="L149" s="132">
        <f>SUM(L144:L148)</f>
      </c>
      <c r="M149" s="133">
        <f t="shared" si="611"/>
      </c>
      <c r="N149" s="134">
        <f t="shared" si="641"/>
      </c>
      <c r="O149" s="134">
        <f t="shared" si="551"/>
      </c>
      <c r="P149" s="135">
        <f t="shared" si="581"/>
      </c>
      <c r="Q149" s="135">
        <f t="shared" si="761"/>
      </c>
      <c r="R149" s="135">
        <f t="shared" si="791"/>
      </c>
      <c r="S149" s="136">
        <f t="shared" si="671"/>
      </c>
      <c r="T149" s="136">
        <f t="shared" si="701"/>
      </c>
      <c r="U149" s="135">
        <f t="shared" si="980"/>
      </c>
      <c r="V149" s="136">
        <f t="shared" si="731"/>
      </c>
      <c r="W149" s="136">
        <f t="shared" si="1010"/>
      </c>
      <c r="X149" s="135">
        <f t="shared" si="821"/>
      </c>
      <c r="Y149" s="132">
        <f>SUM(Y144:Y148)</f>
      </c>
      <c r="Z149" s="132">
        <f>SUM(Z144:Z148)</f>
      </c>
      <c r="AA149" s="132">
        <f>SUM(AA144:AA148)</f>
      </c>
      <c r="AB149" s="132">
        <f>SUM(AB144:AB148)</f>
      </c>
      <c r="AC149" s="132">
        <f>SUM(AC144:AC148)</f>
      </c>
      <c r="AD149" s="137">
        <f t="shared" si="5"/>
      </c>
      <c r="AE149" s="138"/>
      <c r="AF149" s="139"/>
      <c r="AG149" s="132">
        <f>SUM(AG144:AG148)</f>
      </c>
      <c r="AH149" s="132">
        <f>SUM(AH144:AH148)</f>
      </c>
      <c r="AI149" s="132">
        <f>SUM(AI144:AI148)</f>
      </c>
      <c r="AJ149" s="132">
        <f>SUM(AJ144:AJ148)</f>
      </c>
      <c r="AK149" s="132">
        <f>SUM(AK144:AK148)</f>
      </c>
      <c r="AL149" s="132">
        <f>SUM(AL144:AL148)</f>
      </c>
    </row>
    <row r="150">
      <c r="A150" s="108"/>
      <c r="B150" s="109" t="s">
        <v>139</v>
      </c>
      <c r="C150" s="141" t="s">
        <v>144</v>
      </c>
      <c r="D150" s="143">
        <f t="shared" ref="D150:D154" si="314">E150+F150+G150+H150</f>
      </c>
      <c r="E150" s="144">
        <v>1061.05</v>
      </c>
      <c r="F150" s="145">
        <v>2046.24</v>
      </c>
      <c r="G150" s="113">
        <v>3328.95</v>
      </c>
      <c r="H150" s="113">
        <v>0</v>
      </c>
      <c r="I150" s="113">
        <f t="shared" ref="I150:I154" si="443">AB150+AC150</f>
      </c>
      <c r="J150" s="114">
        <f>547+2100.96</f>
      </c>
      <c r="K150" s="115">
        <f t="shared" ref="K150:K154" si="56">I150-J150</f>
      </c>
      <c r="L150" s="115">
        <f t="shared" ref="L150:L154" si="185">(I150-AC150)/12+AC150</f>
      </c>
      <c r="M150" s="116">
        <f t="shared" si="611"/>
      </c>
      <c r="N150" s="117">
        <f t="shared" si="641"/>
      </c>
      <c r="O150" s="118">
        <f t="shared" si="551"/>
      </c>
      <c r="P150" s="119">
        <f t="shared" si="581"/>
      </c>
      <c r="Q150" s="119">
        <f t="shared" si="761"/>
      </c>
      <c r="R150" s="119">
        <f t="shared" si="791"/>
      </c>
      <c r="S150" s="120">
        <f t="shared" si="671"/>
      </c>
      <c r="T150" s="121">
        <f t="shared" si="701"/>
      </c>
      <c r="U150" s="119">
        <f t="shared" si="980"/>
      </c>
      <c r="V150" s="122">
        <f t="shared" si="731"/>
      </c>
      <c r="W150" s="122">
        <f t="shared" si="1010"/>
      </c>
      <c r="X150" s="119">
        <f t="shared" si="821"/>
      </c>
      <c r="Y150" s="123">
        <f t="shared" ref="Y150:Y154" si="872">Z150+AA150</f>
      </c>
      <c r="Z150" s="123">
        <v>4</v>
      </c>
      <c r="AA150" s="123">
        <v>10</v>
      </c>
      <c r="AB150" s="124">
        <v>20642.760000000002</v>
      </c>
      <c r="AC150" s="124">
        <v>2355.999999999998</v>
      </c>
      <c r="AD150" s="120">
        <f t="shared" si="5"/>
      </c>
      <c r="AE150" s="125" t="s">
        <v>121</v>
      </c>
      <c r="AF150" s="126" t="s">
        <v>137</v>
      </c>
      <c r="AG150" s="127">
        <v>8</v>
      </c>
      <c r="AH150" s="127">
        <v>53624</v>
      </c>
      <c r="AI150" s="128">
        <v>899</v>
      </c>
      <c r="AJ150" s="128">
        <v>959</v>
      </c>
      <c r="AK150" s="127">
        <v>155</v>
      </c>
      <c r="AL150" s="129">
        <v>174</v>
      </c>
    </row>
    <row r="151">
      <c r="A151" s="108"/>
      <c r="B151" s="109" t="s">
        <v>139</v>
      </c>
      <c r="C151" s="110" t="s">
        <v>145</v>
      </c>
      <c r="D151" s="143">
        <f t="shared" si="314"/>
      </c>
      <c r="E151" s="147">
        <v>1076.2</v>
      </c>
      <c r="F151" s="145">
        <v>4071.34</v>
      </c>
      <c r="G151" s="113">
        <v>2891.23</v>
      </c>
      <c r="H151" s="113">
        <v>0</v>
      </c>
      <c r="I151" s="113">
        <f t="shared" si="443"/>
      </c>
      <c r="J151" s="114">
        <v>0</v>
      </c>
      <c r="K151" s="115">
        <f t="shared" si="56"/>
      </c>
      <c r="L151" s="115">
        <f t="shared" si="185"/>
      </c>
      <c r="M151" s="116">
        <f t="shared" si="611"/>
      </c>
      <c r="N151" s="117">
        <f t="shared" si="641"/>
      </c>
      <c r="O151" s="118">
        <f t="shared" si="551"/>
      </c>
      <c r="P151" s="119">
        <f t="shared" si="581"/>
      </c>
      <c r="Q151" s="119">
        <f t="shared" si="761"/>
      </c>
      <c r="R151" s="119">
        <f t="shared" si="791"/>
      </c>
      <c r="S151" s="120">
        <f t="shared" si="671"/>
      </c>
      <c r="T151" s="121">
        <f t="shared" si="701"/>
      </c>
      <c r="U151" s="119">
        <f t="shared" si="980"/>
      </c>
      <c r="V151" s="122">
        <f t="shared" si="731"/>
      </c>
      <c r="W151" s="122">
        <f t="shared" si="1010"/>
      </c>
      <c r="X151" s="119">
        <f t="shared" si="821"/>
      </c>
      <c r="Y151" s="123">
        <f t="shared" si="872"/>
      </c>
      <c r="Z151" s="123">
        <v>6</v>
      </c>
      <c r="AA151" s="123">
        <v>4</v>
      </c>
      <c r="AB151" s="124">
        <v>2315.519999999984</v>
      </c>
      <c r="AC151" s="124">
        <v>3709.9000000000033</v>
      </c>
      <c r="AD151" s="120">
        <f t="shared" si="5"/>
      </c>
      <c r="AE151" s="125" t="s">
        <v>121</v>
      </c>
      <c r="AF151" s="126" t="s">
        <v>137</v>
      </c>
      <c r="AG151" s="127">
        <v>2</v>
      </c>
      <c r="AH151" s="128">
        <v>79076</v>
      </c>
      <c r="AI151" s="128">
        <v>1119</v>
      </c>
      <c r="AJ151" s="128">
        <v>1134</v>
      </c>
      <c r="AK151" s="129">
        <v>155</v>
      </c>
      <c r="AL151" s="129">
        <v>214</v>
      </c>
    </row>
    <row r="152">
      <c r="A152" s="108"/>
      <c r="B152" s="109" t="s">
        <v>139</v>
      </c>
      <c r="C152" s="141" t="s">
        <v>146</v>
      </c>
      <c r="D152" s="143">
        <f t="shared" si="314"/>
      </c>
      <c r="E152" s="147">
        <v>1006.89</v>
      </c>
      <c r="F152" s="147">
        <v>1833.94</v>
      </c>
      <c r="G152" s="113">
        <v>3441.03</v>
      </c>
      <c r="H152" s="113">
        <v>0</v>
      </c>
      <c r="I152" s="113">
        <f t="shared" si="443"/>
      </c>
      <c r="J152" s="114">
        <v>0</v>
      </c>
      <c r="K152" s="115">
        <f t="shared" si="56"/>
      </c>
      <c r="L152" s="115">
        <f t="shared" si="185"/>
      </c>
      <c r="M152" s="116">
        <f t="shared" si="611"/>
      </c>
      <c r="N152" s="117">
        <f t="shared" si="641"/>
      </c>
      <c r="O152" s="118">
        <f t="shared" si="551"/>
      </c>
      <c r="P152" s="119">
        <f t="shared" si="581"/>
      </c>
      <c r="Q152" s="119">
        <f t="shared" si="761"/>
      </c>
      <c r="R152" s="119">
        <f t="shared" si="791"/>
      </c>
      <c r="S152" s="120">
        <f t="shared" si="671"/>
      </c>
      <c r="T152" s="121">
        <f t="shared" si="701"/>
      </c>
      <c r="U152" s="119">
        <f t="shared" si="980"/>
      </c>
      <c r="V152" s="122">
        <f t="shared" si="731"/>
      </c>
      <c r="W152" s="122">
        <f t="shared" si="1010"/>
      </c>
      <c r="X152" s="119">
        <f t="shared" si="821"/>
      </c>
      <c r="Y152" s="123">
        <f t="shared" si="872"/>
      </c>
      <c r="Z152" s="123">
        <v>3</v>
      </c>
      <c r="AA152" s="123">
        <v>3</v>
      </c>
      <c r="AB152" s="124">
        <v>8385.720000000025</v>
      </c>
      <c r="AC152" s="124">
        <v>0</v>
      </c>
      <c r="AD152" s="120">
        <f t="shared" si="5"/>
      </c>
      <c r="AE152" s="125" t="s">
        <v>121</v>
      </c>
      <c r="AF152" s="126" t="s">
        <v>137</v>
      </c>
      <c r="AG152" s="129">
        <v>3</v>
      </c>
      <c r="AH152" s="128">
        <v>54920</v>
      </c>
      <c r="AI152" s="128">
        <v>987</v>
      </c>
      <c r="AJ152" s="128">
        <v>1001</v>
      </c>
      <c r="AK152" s="129">
        <v>99</v>
      </c>
      <c r="AL152" s="129">
        <v>138</v>
      </c>
    </row>
    <row r="153">
      <c r="A153" s="108"/>
      <c r="B153" s="109" t="s">
        <v>139</v>
      </c>
      <c r="C153" s="110" t="s">
        <v>147</v>
      </c>
      <c r="D153" s="143">
        <f t="shared" si="314"/>
      </c>
      <c r="E153" s="147">
        <v>597.33</v>
      </c>
      <c r="F153" s="145">
        <v>4061.15</v>
      </c>
      <c r="G153" s="113">
        <v>1396.89</v>
      </c>
      <c r="H153" s="113">
        <v>0</v>
      </c>
      <c r="I153" s="113">
        <f t="shared" si="443"/>
      </c>
      <c r="J153" s="114">
        <v>0</v>
      </c>
      <c r="K153" s="115">
        <f t="shared" si="56"/>
      </c>
      <c r="L153" s="115">
        <f t="shared" si="185"/>
      </c>
      <c r="M153" s="116">
        <f t="shared" si="611"/>
      </c>
      <c r="N153" s="117">
        <f t="shared" si="641"/>
      </c>
      <c r="O153" s="118">
        <f t="shared" si="551"/>
      </c>
      <c r="P153" s="119">
        <f t="shared" si="581"/>
      </c>
      <c r="Q153" s="119">
        <f t="shared" si="761"/>
      </c>
      <c r="R153" s="119">
        <f t="shared" si="791"/>
      </c>
      <c r="S153" s="120">
        <f t="shared" si="671"/>
      </c>
      <c r="T153" s="121">
        <f t="shared" si="701"/>
      </c>
      <c r="U153" s="119">
        <f t="shared" si="980"/>
      </c>
      <c r="V153" s="122">
        <f t="shared" si="731"/>
      </c>
      <c r="W153" s="122">
        <f t="shared" si="1010"/>
      </c>
      <c r="X153" s="119">
        <f t="shared" si="821"/>
      </c>
      <c r="Y153" s="123">
        <f t="shared" si="872"/>
      </c>
      <c r="Z153" s="123">
        <v>6</v>
      </c>
      <c r="AA153" s="123">
        <v>3</v>
      </c>
      <c r="AB153" s="124">
        <v>9883.08</v>
      </c>
      <c r="AC153" s="124">
        <v>0</v>
      </c>
      <c r="AD153" s="120">
        <f t="shared" si="5"/>
      </c>
      <c r="AE153" s="125" t="s">
        <v>121</v>
      </c>
      <c r="AF153" s="126" t="s">
        <v>137</v>
      </c>
      <c r="AG153" s="127">
        <v>3</v>
      </c>
      <c r="AH153" s="128">
        <v>56993</v>
      </c>
      <c r="AI153" s="128">
        <v>1091</v>
      </c>
      <c r="AJ153" s="128">
        <v>1233</v>
      </c>
      <c r="AK153" s="129">
        <v>167</v>
      </c>
      <c r="AL153" s="129">
        <v>172</v>
      </c>
    </row>
    <row r="154">
      <c r="A154" s="108"/>
      <c r="B154" s="109" t="s">
        <v>139</v>
      </c>
      <c r="C154" s="110" t="s">
        <v>148</v>
      </c>
      <c r="D154" s="143">
        <f t="shared" si="314"/>
      </c>
      <c r="E154" s="147">
        <v>298.48</v>
      </c>
      <c r="F154" s="145">
        <v>3533.52</v>
      </c>
      <c r="G154" s="113">
        <v>305.99</v>
      </c>
      <c r="H154" s="113">
        <v>0</v>
      </c>
      <c r="I154" s="113">
        <f t="shared" si="443"/>
      </c>
      <c r="J154" s="114">
        <v>0</v>
      </c>
      <c r="K154" s="115">
        <f t="shared" si="56"/>
      </c>
      <c r="L154" s="115">
        <f t="shared" si="185"/>
      </c>
      <c r="M154" s="116">
        <f t="shared" si="611"/>
      </c>
      <c r="N154" s="117">
        <f t="shared" si="641"/>
      </c>
      <c r="O154" s="118">
        <f t="shared" si="551"/>
      </c>
      <c r="P154" s="119">
        <f t="shared" si="581"/>
      </c>
      <c r="Q154" s="119">
        <f t="shared" si="761"/>
      </c>
      <c r="R154" s="119">
        <f t="shared" si="791"/>
      </c>
      <c r="S154" s="120">
        <f t="shared" si="671"/>
      </c>
      <c r="T154" s="121">
        <f t="shared" si="701"/>
      </c>
      <c r="U154" s="119">
        <f t="shared" si="980"/>
      </c>
      <c r="V154" s="122">
        <f t="shared" si="731"/>
      </c>
      <c r="W154" s="122">
        <f t="shared" si="1010"/>
      </c>
      <c r="X154" s="119">
        <f t="shared" si="821"/>
      </c>
      <c r="Y154" s="123">
        <f t="shared" si="872"/>
      </c>
      <c r="Z154" s="123">
        <v>0</v>
      </c>
      <c r="AA154" s="123">
        <v>2</v>
      </c>
      <c r="AB154" s="124">
        <v>6461.639999999999</v>
      </c>
      <c r="AC154" s="124">
        <v>0</v>
      </c>
      <c r="AD154" s="120">
        <f t="shared" si="5"/>
      </c>
      <c r="AE154" s="125" t="s">
        <v>121</v>
      </c>
      <c r="AF154" s="126" t="s">
        <v>137</v>
      </c>
      <c r="AG154" s="127">
        <v>2</v>
      </c>
      <c r="AH154" s="128">
        <v>52056</v>
      </c>
      <c r="AI154" s="128">
        <v>611</v>
      </c>
      <c r="AJ154" s="128">
        <v>687</v>
      </c>
      <c r="AK154" s="129">
        <v>92</v>
      </c>
      <c r="AL154" s="129">
        <v>98</v>
      </c>
    </row>
    <row r="155">
      <c r="A155" s="108"/>
      <c r="B155" s="130" t="s">
        <v>127</v>
      </c>
      <c r="C155" s="131">
        <v>5</v>
      </c>
      <c r="D155" s="132">
        <f>SUM(D150:D154)</f>
      </c>
      <c r="E155" s="132">
        <f>SUM(E150:E154)</f>
      </c>
      <c r="F155" s="132">
        <f>SUM(F150:F154)</f>
      </c>
      <c r="G155" s="132">
        <f>SUM(G150:G154)</f>
      </c>
      <c r="H155" s="132">
        <f>SUM(H150:H154)</f>
      </c>
      <c r="I155" s="132">
        <f>SUM(I150:I154)</f>
      </c>
      <c r="J155" s="132">
        <f>SUM(J150:J154)</f>
      </c>
      <c r="K155" s="132">
        <f>SUM(K150:K154)</f>
      </c>
      <c r="L155" s="132">
        <f>SUM(L150:L154)</f>
      </c>
      <c r="M155" s="133">
        <f t="shared" si="611"/>
      </c>
      <c r="N155" s="134">
        <f t="shared" si="641"/>
      </c>
      <c r="O155" s="134">
        <f t="shared" si="551"/>
      </c>
      <c r="P155" s="135">
        <f t="shared" si="581"/>
      </c>
      <c r="Q155" s="135">
        <f t="shared" si="761"/>
      </c>
      <c r="R155" s="135">
        <f t="shared" si="791"/>
      </c>
      <c r="S155" s="136">
        <f t="shared" si="671"/>
      </c>
      <c r="T155" s="136">
        <f t="shared" si="701"/>
      </c>
      <c r="U155" s="135">
        <f t="shared" si="980"/>
      </c>
      <c r="V155" s="136">
        <f t="shared" si="731"/>
      </c>
      <c r="W155" s="136">
        <f t="shared" si="1010"/>
      </c>
      <c r="X155" s="135">
        <f t="shared" si="821"/>
      </c>
      <c r="Y155" s="132">
        <f>SUM(Y150:Y154)</f>
      </c>
      <c r="Z155" s="132">
        <f>SUM(Z150:Z154)</f>
      </c>
      <c r="AA155" s="132">
        <f>SUM(AA150:AA154)</f>
      </c>
      <c r="AB155" s="132">
        <f>SUM(AB150:AB154)</f>
      </c>
      <c r="AC155" s="132">
        <f>SUM(AC150:AC154)</f>
      </c>
      <c r="AD155" s="150">
        <f t="shared" si="5"/>
      </c>
      <c r="AE155" s="151"/>
      <c r="AF155" s="139"/>
      <c r="AG155" s="132">
        <f>SUM(AG150:AG154)</f>
      </c>
      <c r="AH155" s="132">
        <f>SUM(AH150:AH154)</f>
      </c>
      <c r="AI155" s="132">
        <f>SUM(AI150:AI154)</f>
      </c>
      <c r="AJ155" s="132">
        <f>SUM(AJ150:AJ154)</f>
      </c>
      <c r="AK155" s="132">
        <f>SUM(AK150:AK154)</f>
      </c>
      <c r="AL155" s="132">
        <f>SUM(AL150:AL154)</f>
      </c>
    </row>
    <row r="156">
      <c r="A156" s="108"/>
      <c r="B156" s="152" t="s">
        <v>127</v>
      </c>
      <c r="C156" s="153">
        <f>C137+C143+C149+C155</f>
      </c>
      <c r="D156" s="153">
        <f>D137+D143+D149+D155</f>
      </c>
      <c r="E156" s="153">
        <f>E137+E143+E149+E155</f>
      </c>
      <c r="F156" s="153">
        <f>F137+F143+F149+F155</f>
      </c>
      <c r="G156" s="153">
        <f>G137+G143+G149+G155</f>
      </c>
      <c r="H156" s="153">
        <f>H137+H143+H149+H155</f>
      </c>
      <c r="I156" s="153">
        <f>I137+I143+I149+I155</f>
      </c>
      <c r="J156" s="153">
        <f>J137+J143+J149+J155</f>
      </c>
      <c r="K156" s="153">
        <f>K137+K143+K149+K155</f>
      </c>
      <c r="L156" s="153">
        <f>L137+L143+L149+L155</f>
      </c>
      <c r="M156" s="154">
        <f t="shared" si="611"/>
      </c>
      <c r="N156" s="154">
        <f t="shared" si="641"/>
      </c>
      <c r="O156" s="154">
        <f t="shared" si="551"/>
      </c>
      <c r="P156" s="154">
        <f t="shared" si="581"/>
      </c>
      <c r="Q156" s="154">
        <f t="shared" si="761"/>
      </c>
      <c r="R156" s="154">
        <f t="shared" si="791"/>
      </c>
      <c r="S156" s="155">
        <f t="shared" si="671"/>
      </c>
      <c r="T156" s="155">
        <f t="shared" si="701"/>
      </c>
      <c r="U156" s="154">
        <f t="shared" si="980"/>
      </c>
      <c r="V156" s="155">
        <f t="shared" si="731"/>
      </c>
      <c r="W156" s="155">
        <f t="shared" si="1010"/>
      </c>
      <c r="X156" s="154">
        <f t="shared" si="821"/>
      </c>
      <c r="Y156" s="156">
        <f>Y137+Y143+Y149+Y155</f>
      </c>
      <c r="Z156" s="156">
        <f>Z137+Z143+Z149+Z155</f>
      </c>
      <c r="AA156" s="156">
        <f>AA137+AA143+AA149+AA155</f>
      </c>
      <c r="AB156" s="156">
        <f>AB137+AB143+AB149+AB155</f>
      </c>
      <c r="AC156" s="156">
        <f>AC137+AC143+AC149+AC155</f>
      </c>
      <c r="AD156" s="157">
        <f>AD137+AD143+AD149+AD155</f>
      </c>
      <c r="AE156" s="158"/>
      <c r="AF156" s="159"/>
      <c r="AG156" s="153">
        <f>AG137+AG143+AG149+AG155</f>
      </c>
      <c r="AH156" s="153">
        <f>AH137+AH143+AH149+AH155</f>
      </c>
      <c r="AI156" s="153">
        <f>AI137+AI143+AI149+AI155</f>
      </c>
      <c r="AJ156" s="153">
        <f>AJ137+AJ143+AJ149+AJ155</f>
      </c>
      <c r="AK156" s="153">
        <f>AK137+AK143+AK149+AK155</f>
      </c>
      <c r="AL156" s="153">
        <f>AL137+AL143+AL149+AL155</f>
      </c>
    </row>
    <row r="157">
      <c r="A157" s="94" t="s">
        <v>81</v>
      </c>
      <c r="B157" s="95" t="s">
        <v>82</v>
      </c>
      <c r="C157" s="95" t="s">
        <v>83</v>
      </c>
      <c r="D157" s="96" t="s">
        <v>84</v>
      </c>
      <c r="E157" s="95" t="s">
        <v>85</v>
      </c>
      <c r="F157" s="95" t="s">
        <v>86</v>
      </c>
      <c r="G157" s="97" t="s">
        <v>87</v>
      </c>
      <c r="H157" s="97" t="s">
        <v>88</v>
      </c>
      <c r="I157" s="96" t="s">
        <v>89</v>
      </c>
      <c r="J157" s="98" t="s">
        <v>90</v>
      </c>
      <c r="K157" s="99" t="s">
        <v>91</v>
      </c>
      <c r="L157" s="99" t="s">
        <v>92</v>
      </c>
      <c r="M157" s="100" t="s">
        <v>93</v>
      </c>
      <c r="N157" s="99" t="s">
        <v>94</v>
      </c>
      <c r="O157" s="95" t="s">
        <v>95</v>
      </c>
      <c r="P157" s="100" t="s">
        <v>96</v>
      </c>
      <c r="Q157" s="101" t="s">
        <v>97</v>
      </c>
      <c r="R157" s="101" t="s">
        <v>98</v>
      </c>
      <c r="S157" s="96" t="s">
        <v>99</v>
      </c>
      <c r="T157" s="102" t="s">
        <v>100</v>
      </c>
      <c r="U157" s="100" t="s">
        <v>101</v>
      </c>
      <c r="V157" s="103" t="s">
        <v>102</v>
      </c>
      <c r="W157" s="104" t="s">
        <v>103</v>
      </c>
      <c r="X157" s="100" t="s">
        <v>104</v>
      </c>
      <c r="Y157" s="105" t="s">
        <v>105</v>
      </c>
      <c r="Z157" s="106" t="s">
        <v>106</v>
      </c>
      <c r="AA157" s="105" t="s">
        <v>107</v>
      </c>
      <c r="AB157" s="107" t="s">
        <v>108</v>
      </c>
      <c r="AC157" s="107" t="s">
        <v>109</v>
      </c>
      <c r="AD157" s="99" t="s">
        <v>110</v>
      </c>
      <c r="AE157" s="98" t="s">
        <v>111</v>
      </c>
      <c r="AF157" s="99" t="s">
        <v>112</v>
      </c>
      <c r="AG157" s="98" t="s">
        <v>113</v>
      </c>
      <c r="AH157" s="98" t="s">
        <v>114</v>
      </c>
      <c r="AI157" s="99" t="s">
        <v>115</v>
      </c>
      <c r="AJ157" s="98" t="s">
        <v>116</v>
      </c>
      <c r="AK157" s="99" t="s">
        <v>117</v>
      </c>
      <c r="AL157" s="98" t="s">
        <v>118</v>
      </c>
    </row>
    <row r="158">
      <c r="A158" s="108">
        <v>46272</v>
      </c>
      <c r="B158" s="109" t="s">
        <v>143</v>
      </c>
      <c r="C158" s="110" t="s">
        <v>120</v>
      </c>
      <c r="D158" s="111">
        <f t="shared" ref="D158:D162" si="315">E158+F158+G158+H158</f>
      </c>
      <c r="E158" s="112">
        <v>784.48</v>
      </c>
      <c r="F158" s="113">
        <v>5924.71</v>
      </c>
      <c r="G158" s="113">
        <v>1526.63</v>
      </c>
      <c r="H158" s="113">
        <v>0</v>
      </c>
      <c r="I158" s="113">
        <f t="shared" ref="I158:I162" si="444">AB158+AC158</f>
      </c>
      <c r="J158" s="114">
        <v>1847.88</v>
      </c>
      <c r="K158" s="115">
        <f t="shared" ref="K158:K162" si="57">I158-J158</f>
      </c>
      <c r="L158" s="115">
        <f t="shared" ref="L158:L162" si="186">(I158-AC158)/12+AC158</f>
      </c>
      <c r="M158" s="116">
        <f t="shared" ref="M158:M182" si="612">I158/D158</f>
      </c>
      <c r="N158" s="117">
        <f t="shared" ref="N158:N182" si="642">(I158-J158)/D158</f>
      </c>
      <c r="O158" s="118">
        <f t="shared" ref="O158:O182" si="552">(AC158+AB158/12)/D158</f>
      </c>
      <c r="P158" s="119">
        <f t="shared" ref="P158:P182" si="582">I158/AA158</f>
      </c>
      <c r="Q158" s="119">
        <f t="shared" ref="Q158:Q182" si="762">D158/AA158</f>
      </c>
      <c r="R158" s="119">
        <f t="shared" ref="R158:R182" si="792">D158/AG158</f>
      </c>
      <c r="S158" s="120">
        <f t="shared" ref="S158:S182" si="672">AA158/Y158</f>
      </c>
      <c r="T158" s="121">
        <f t="shared" ref="T158:T182" si="702">AI158/AH158</f>
      </c>
      <c r="U158" s="119">
        <f t="shared" ref="U158:U182" si="981">D158/AJ158</f>
      </c>
      <c r="V158" s="122">
        <f t="shared" ref="V158:V182" si="732">AK158/AJ158</f>
      </c>
      <c r="W158" s="122">
        <f t="shared" ref="W158:W182" si="1011">AL158/AJ158</f>
      </c>
      <c r="X158" s="119">
        <f t="shared" ref="X158:X182" si="822">D158/AL158</f>
      </c>
      <c r="Y158" s="123">
        <f t="shared" ref="Y158:Y162" si="873">Z158+AA158</f>
      </c>
      <c r="Z158" s="123">
        <v>9</v>
      </c>
      <c r="AA158" s="123">
        <v>6</v>
      </c>
      <c r="AB158" s="124">
        <v>8170.3200000000015</v>
      </c>
      <c r="AC158" s="124">
        <v>0</v>
      </c>
      <c r="AD158" s="120">
        <f t="shared" ref="AD158:AD181" si="6">AC158/I158</f>
      </c>
      <c r="AE158" s="125" t="s">
        <v>121</v>
      </c>
      <c r="AF158" s="126" t="s">
        <v>149</v>
      </c>
      <c r="AG158" s="127">
        <v>5</v>
      </c>
      <c r="AH158" s="127">
        <v>55188</v>
      </c>
      <c r="AI158" s="128">
        <v>1498</v>
      </c>
      <c r="AJ158" s="128">
        <v>1870</v>
      </c>
      <c r="AK158" s="127">
        <v>226</v>
      </c>
      <c r="AL158" s="129">
        <v>211</v>
      </c>
    </row>
    <row r="159">
      <c r="A159" s="108"/>
      <c r="B159" s="109" t="s">
        <v>143</v>
      </c>
      <c r="C159" s="110" t="s">
        <v>123</v>
      </c>
      <c r="D159" s="111">
        <f t="shared" si="315"/>
      </c>
      <c r="E159" s="110">
        <v>1160.41</v>
      </c>
      <c r="F159" s="113">
        <v>6653.86</v>
      </c>
      <c r="G159" s="113">
        <v>283.24</v>
      </c>
      <c r="H159" s="113">
        <v>0</v>
      </c>
      <c r="I159" s="113">
        <f t="shared" si="444"/>
      </c>
      <c r="J159" s="114">
        <f>4506.84+708.48+716.04</f>
      </c>
      <c r="K159" s="115">
        <f t="shared" si="57"/>
      </c>
      <c r="L159" s="115">
        <f t="shared" si="186"/>
      </c>
      <c r="M159" s="116">
        <f t="shared" si="612"/>
      </c>
      <c r="N159" s="117">
        <f t="shared" si="642"/>
      </c>
      <c r="O159" s="118">
        <f t="shared" si="552"/>
      </c>
      <c r="P159" s="119">
        <f t="shared" si="582"/>
      </c>
      <c r="Q159" s="119">
        <f t="shared" si="762"/>
      </c>
      <c r="R159" s="119">
        <f t="shared" si="792"/>
      </c>
      <c r="S159" s="120">
        <f t="shared" si="672"/>
      </c>
      <c r="T159" s="121">
        <f t="shared" si="702"/>
      </c>
      <c r="U159" s="119">
        <f t="shared" si="981"/>
      </c>
      <c r="V159" s="122">
        <f t="shared" si="732"/>
      </c>
      <c r="W159" s="122">
        <f t="shared" si="1011"/>
      </c>
      <c r="X159" s="119">
        <f t="shared" si="822"/>
      </c>
      <c r="Y159" s="123">
        <f t="shared" si="873"/>
      </c>
      <c r="Z159" s="123">
        <v>3</v>
      </c>
      <c r="AA159" s="123">
        <v>14</v>
      </c>
      <c r="AB159" s="124">
        <v>27765.96</v>
      </c>
      <c r="AC159" s="124">
        <v>1288</v>
      </c>
      <c r="AD159" s="120">
        <f t="shared" si="6"/>
      </c>
      <c r="AE159" s="125" t="s">
        <v>121</v>
      </c>
      <c r="AF159" s="126" t="s">
        <v>149</v>
      </c>
      <c r="AG159" s="127">
        <v>14</v>
      </c>
      <c r="AH159" s="128">
        <v>67180</v>
      </c>
      <c r="AI159" s="128">
        <v>1562</v>
      </c>
      <c r="AJ159" s="128">
        <v>1917</v>
      </c>
      <c r="AK159" s="129">
        <v>286</v>
      </c>
      <c r="AL159" s="129">
        <v>264</v>
      </c>
    </row>
    <row r="160">
      <c r="A160" s="108"/>
      <c r="B160" s="109" t="s">
        <v>143</v>
      </c>
      <c r="C160" s="110" t="s">
        <v>124</v>
      </c>
      <c r="D160" s="111">
        <f t="shared" si="315"/>
      </c>
      <c r="E160" s="110">
        <v>982.59</v>
      </c>
      <c r="F160" s="110">
        <v>6189.67</v>
      </c>
      <c r="G160" s="113">
        <v>215.22</v>
      </c>
      <c r="H160" s="113">
        <v>0</v>
      </c>
      <c r="I160" s="113">
        <f t="shared" si="444"/>
      </c>
      <c r="J160" s="114">
        <v>708.48</v>
      </c>
      <c r="K160" s="115">
        <f t="shared" si="57"/>
      </c>
      <c r="L160" s="115">
        <f t="shared" si="186"/>
      </c>
      <c r="M160" s="116">
        <f t="shared" si="612"/>
      </c>
      <c r="N160" s="117">
        <f t="shared" si="642"/>
      </c>
      <c r="O160" s="118">
        <f t="shared" si="552"/>
      </c>
      <c r="P160" s="119">
        <f t="shared" si="582"/>
      </c>
      <c r="Q160" s="119">
        <f t="shared" si="762"/>
      </c>
      <c r="R160" s="119">
        <f t="shared" si="792"/>
      </c>
      <c r="S160" s="120">
        <f t="shared" si="672"/>
      </c>
      <c r="T160" s="121">
        <f t="shared" si="702"/>
      </c>
      <c r="U160" s="119">
        <f t="shared" si="981"/>
      </c>
      <c r="V160" s="122">
        <f t="shared" si="732"/>
      </c>
      <c r="W160" s="122">
        <f t="shared" si="1011"/>
      </c>
      <c r="X160" s="119">
        <f t="shared" si="822"/>
      </c>
      <c r="Y160" s="123">
        <f t="shared" si="873"/>
      </c>
      <c r="Z160" s="123">
        <v>6</v>
      </c>
      <c r="AA160" s="123">
        <v>11</v>
      </c>
      <c r="AB160" s="124">
        <v>19509.72</v>
      </c>
      <c r="AC160" s="124">
        <v>0</v>
      </c>
      <c r="AD160" s="120">
        <f t="shared" si="6"/>
      </c>
      <c r="AE160" s="125" t="s">
        <v>121</v>
      </c>
      <c r="AF160" s="126" t="s">
        <v>149</v>
      </c>
      <c r="AG160" s="129">
        <v>9</v>
      </c>
      <c r="AH160" s="128">
        <v>62937</v>
      </c>
      <c r="AI160" s="128">
        <v>1125</v>
      </c>
      <c r="AJ160" s="128">
        <v>1283</v>
      </c>
      <c r="AK160" s="129">
        <v>210</v>
      </c>
      <c r="AL160" s="129">
        <v>230</v>
      </c>
    </row>
    <row r="161">
      <c r="A161" s="108"/>
      <c r="B161" s="109" t="s">
        <v>143</v>
      </c>
      <c r="C161" s="110" t="s">
        <v>125</v>
      </c>
      <c r="D161" s="111">
        <f t="shared" si="315"/>
      </c>
      <c r="E161" s="110">
        <v>1110.09</v>
      </c>
      <c r="F161" s="113">
        <v>7954.9</v>
      </c>
      <c r="G161" s="113">
        <v>470.71</v>
      </c>
      <c r="H161" s="113">
        <v>0</v>
      </c>
      <c r="I161" s="113">
        <f t="shared" si="444"/>
      </c>
      <c r="J161" s="114">
        <f>2829.6+1591.92</f>
      </c>
      <c r="K161" s="115">
        <f t="shared" si="57"/>
      </c>
      <c r="L161" s="115">
        <f t="shared" si="186"/>
      </c>
      <c r="M161" s="116">
        <f t="shared" si="612"/>
      </c>
      <c r="N161" s="117">
        <f t="shared" si="642"/>
      </c>
      <c r="O161" s="118">
        <f t="shared" si="552"/>
      </c>
      <c r="P161" s="119">
        <f t="shared" si="582"/>
      </c>
      <c r="Q161" s="119">
        <f t="shared" si="762"/>
      </c>
      <c r="R161" s="119">
        <f t="shared" si="792"/>
      </c>
      <c r="S161" s="120">
        <f t="shared" si="672"/>
      </c>
      <c r="T161" s="121">
        <f t="shared" si="702"/>
      </c>
      <c r="U161" s="119">
        <f t="shared" si="981"/>
      </c>
      <c r="V161" s="122">
        <f t="shared" si="732"/>
      </c>
      <c r="W161" s="122">
        <f t="shared" si="1011"/>
      </c>
      <c r="X161" s="119">
        <f t="shared" si="822"/>
      </c>
      <c r="Y161" s="123">
        <f t="shared" si="873"/>
      </c>
      <c r="Z161" s="123">
        <v>2</v>
      </c>
      <c r="AA161" s="123">
        <v>17</v>
      </c>
      <c r="AB161" s="124">
        <v>22653</v>
      </c>
      <c r="AC161" s="124">
        <v>1371</v>
      </c>
      <c r="AD161" s="120">
        <f t="shared" si="6"/>
      </c>
      <c r="AE161" s="125" t="s">
        <v>121</v>
      </c>
      <c r="AF161" s="126" t="s">
        <v>149</v>
      </c>
      <c r="AG161" s="127">
        <v>15</v>
      </c>
      <c r="AH161" s="128">
        <v>73033</v>
      </c>
      <c r="AI161" s="128">
        <v>978</v>
      </c>
      <c r="AJ161" s="128">
        <v>1129</v>
      </c>
      <c r="AK161" s="129">
        <v>200</v>
      </c>
      <c r="AL161" s="129">
        <v>219</v>
      </c>
    </row>
    <row r="162">
      <c r="A162" s="108"/>
      <c r="B162" s="109" t="s">
        <v>143</v>
      </c>
      <c r="C162" s="110" t="s">
        <v>126</v>
      </c>
      <c r="D162" s="111">
        <f t="shared" si="315"/>
      </c>
      <c r="E162" s="112">
        <v>1398.55</v>
      </c>
      <c r="F162" s="113">
        <v>7354.63</v>
      </c>
      <c r="G162" s="113">
        <v>1263.39</v>
      </c>
      <c r="H162" s="113">
        <v>0</v>
      </c>
      <c r="I162" s="113">
        <f t="shared" si="444"/>
      </c>
      <c r="J162" s="114">
        <v>6262.92</v>
      </c>
      <c r="K162" s="115">
        <f t="shared" si="57"/>
      </c>
      <c r="L162" s="115">
        <f t="shared" si="186"/>
      </c>
      <c r="M162" s="116">
        <f t="shared" si="612"/>
      </c>
      <c r="N162" s="117">
        <f t="shared" si="642"/>
      </c>
      <c r="O162" s="118">
        <f t="shared" si="552"/>
      </c>
      <c r="P162" s="119">
        <f t="shared" si="582"/>
      </c>
      <c r="Q162" s="119">
        <f t="shared" si="762"/>
      </c>
      <c r="R162" s="119">
        <f t="shared" si="792"/>
      </c>
      <c r="S162" s="120">
        <f t="shared" si="672"/>
      </c>
      <c r="T162" s="121">
        <f t="shared" si="702"/>
      </c>
      <c r="U162" s="119">
        <f t="shared" si="981"/>
      </c>
      <c r="V162" s="122">
        <f t="shared" si="732"/>
      </c>
      <c r="W162" s="122">
        <f t="shared" si="1011"/>
      </c>
      <c r="X162" s="119">
        <f t="shared" si="822"/>
      </c>
      <c r="Y162" s="123">
        <f t="shared" si="873"/>
      </c>
      <c r="Z162" s="123">
        <v>10</v>
      </c>
      <c r="AA162" s="123">
        <v>11</v>
      </c>
      <c r="AB162" s="124">
        <v>20967.36</v>
      </c>
      <c r="AC162" s="124">
        <v>1043</v>
      </c>
      <c r="AD162" s="120">
        <f t="shared" si="6"/>
      </c>
      <c r="AE162" s="125" t="s">
        <v>121</v>
      </c>
      <c r="AF162" s="126" t="s">
        <v>149</v>
      </c>
      <c r="AG162" s="127">
        <v>9</v>
      </c>
      <c r="AH162" s="128">
        <v>68932</v>
      </c>
      <c r="AI162" s="128">
        <v>1090</v>
      </c>
      <c r="AJ162" s="128">
        <v>1191</v>
      </c>
      <c r="AK162" s="127">
        <v>224</v>
      </c>
      <c r="AL162" s="127">
        <v>271</v>
      </c>
    </row>
    <row r="163">
      <c r="A163" s="108"/>
      <c r="B163" s="130" t="s">
        <v>127</v>
      </c>
      <c r="C163" s="131">
        <v>5</v>
      </c>
      <c r="D163" s="132">
        <f>SUM(D158:D162)</f>
      </c>
      <c r="E163" s="132">
        <f>SUM(E158:E162)</f>
      </c>
      <c r="F163" s="132">
        <f>SUM(F158:F162)</f>
      </c>
      <c r="G163" s="132">
        <f>SUM(G158:G162)</f>
      </c>
      <c r="H163" s="132">
        <f>SUM(H158:H162)</f>
      </c>
      <c r="I163" s="132">
        <f>SUM(I158:I162)</f>
      </c>
      <c r="J163" s="132">
        <f>SUM(J158:J162)</f>
      </c>
      <c r="K163" s="132">
        <f>SUM(K158:K162)</f>
      </c>
      <c r="L163" s="132">
        <f>SUM(L158:L162)</f>
      </c>
      <c r="M163" s="133">
        <f t="shared" si="612"/>
      </c>
      <c r="N163" s="134">
        <f t="shared" si="642"/>
      </c>
      <c r="O163" s="134">
        <f t="shared" si="552"/>
      </c>
      <c r="P163" s="135">
        <f t="shared" si="582"/>
      </c>
      <c r="Q163" s="135">
        <f t="shared" si="762"/>
      </c>
      <c r="R163" s="135">
        <f t="shared" si="792"/>
      </c>
      <c r="S163" s="136">
        <f t="shared" si="672"/>
      </c>
      <c r="T163" s="136">
        <f t="shared" si="702"/>
      </c>
      <c r="U163" s="135">
        <f t="shared" si="981"/>
      </c>
      <c r="V163" s="136">
        <f t="shared" si="732"/>
      </c>
      <c r="W163" s="136">
        <f t="shared" si="1011"/>
      </c>
      <c r="X163" s="135">
        <f t="shared" si="822"/>
      </c>
      <c r="Y163" s="132">
        <f>SUM(Y158:Y162)</f>
      </c>
      <c r="Z163" s="132">
        <f>SUM(Z158:Z162)</f>
      </c>
      <c r="AA163" s="132">
        <f>SUM(AA158:AA162)</f>
      </c>
      <c r="AB163" s="132">
        <f>SUM(AB158:AB162)</f>
      </c>
      <c r="AC163" s="132">
        <f>SUM(AC158:AC162)</f>
      </c>
      <c r="AD163" s="137">
        <f t="shared" si="6"/>
      </c>
      <c r="AE163" s="138"/>
      <c r="AF163" s="139"/>
      <c r="AG163" s="132">
        <f>SUM(AG158:AG162)</f>
      </c>
      <c r="AH163" s="132">
        <f>SUM(AH158:AH162)</f>
      </c>
      <c r="AI163" s="132">
        <f>SUM(AI158:AI162)</f>
      </c>
      <c r="AJ163" s="132">
        <f>SUM(AJ158:AJ162)</f>
      </c>
      <c r="AK163" s="132">
        <f>SUM(AK158:AK162)</f>
      </c>
      <c r="AL163" s="132">
        <f>SUM(AL158:AL162)</f>
      </c>
    </row>
    <row r="164">
      <c r="A164" s="108"/>
      <c r="B164" s="109" t="s">
        <v>133</v>
      </c>
      <c r="C164" s="110" t="s">
        <v>129</v>
      </c>
      <c r="D164" s="111">
        <f t="shared" ref="D164:D168" si="316">E164+F164+G164+H164</f>
      </c>
      <c r="E164" s="112">
        <v>437.16</v>
      </c>
      <c r="F164" s="113">
        <v>5625.55</v>
      </c>
      <c r="G164" s="113">
        <v>644.45</v>
      </c>
      <c r="H164" s="113">
        <v>0</v>
      </c>
      <c r="I164" s="113">
        <f t="shared" ref="I164:I168" si="445">AB164+AC164</f>
      </c>
      <c r="J164" s="114">
        <v>4409.32</v>
      </c>
      <c r="K164" s="115">
        <f t="shared" ref="K164:K168" si="58">I164-J164</f>
      </c>
      <c r="L164" s="115">
        <f t="shared" ref="L164:L168" si="187">(I164-AC164)/12+AC164</f>
      </c>
      <c r="M164" s="116">
        <f t="shared" si="612"/>
      </c>
      <c r="N164" s="117">
        <f t="shared" si="642"/>
      </c>
      <c r="O164" s="118">
        <f t="shared" si="552"/>
      </c>
      <c r="P164" s="119">
        <f t="shared" si="582"/>
      </c>
      <c r="Q164" s="119">
        <f t="shared" si="762"/>
      </c>
      <c r="R164" s="119">
        <f t="shared" si="792"/>
      </c>
      <c r="S164" s="120">
        <f t="shared" si="672"/>
      </c>
      <c r="T164" s="121">
        <f t="shared" si="702"/>
      </c>
      <c r="U164" s="119">
        <f t="shared" si="981"/>
      </c>
      <c r="V164" s="122">
        <f t="shared" si="732"/>
      </c>
      <c r="W164" s="122">
        <f t="shared" si="1011"/>
      </c>
      <c r="X164" s="119">
        <f t="shared" si="822"/>
      </c>
      <c r="Y164" s="123">
        <f t="shared" ref="Y164:Y168" si="874">Z164+AA164</f>
      </c>
      <c r="Z164" s="123">
        <v>6</v>
      </c>
      <c r="AA164" s="123">
        <v>6</v>
      </c>
      <c r="AB164" s="124">
        <v>6194.8800000000065</v>
      </c>
      <c r="AC164" s="124">
        <v>679</v>
      </c>
      <c r="AD164" s="120">
        <f t="shared" si="6"/>
      </c>
      <c r="AE164" s="125" t="s">
        <v>121</v>
      </c>
      <c r="AF164" s="126" t="s">
        <v>149</v>
      </c>
      <c r="AG164" s="127">
        <v>6</v>
      </c>
      <c r="AH164" s="128">
        <v>52414</v>
      </c>
      <c r="AI164" s="128">
        <v>712</v>
      </c>
      <c r="AJ164" s="128">
        <v>787</v>
      </c>
      <c r="AK164" s="127">
        <v>145</v>
      </c>
      <c r="AL164" s="127">
        <v>206</v>
      </c>
    </row>
    <row r="165">
      <c r="A165" s="108"/>
      <c r="B165" s="109" t="s">
        <v>133</v>
      </c>
      <c r="C165" s="110" t="s">
        <v>130</v>
      </c>
      <c r="D165" s="111">
        <f t="shared" si="316"/>
      </c>
      <c r="E165" s="110">
        <v>905.09</v>
      </c>
      <c r="F165" s="113">
        <v>5114.45</v>
      </c>
      <c r="G165" s="113">
        <v>824.72</v>
      </c>
      <c r="H165" s="113">
        <v>0</v>
      </c>
      <c r="I165" s="113">
        <f t="shared" si="445"/>
      </c>
      <c r="J165" s="162">
        <v>0</v>
      </c>
      <c r="K165" s="115">
        <f t="shared" si="58"/>
      </c>
      <c r="L165" s="115">
        <f t="shared" si="187"/>
      </c>
      <c r="M165" s="116">
        <f t="shared" si="612"/>
      </c>
      <c r="N165" s="117">
        <f t="shared" si="642"/>
      </c>
      <c r="O165" s="118">
        <f t="shared" si="552"/>
      </c>
      <c r="P165" s="119">
        <f t="shared" si="582"/>
      </c>
      <c r="Q165" s="119">
        <f t="shared" si="762"/>
      </c>
      <c r="R165" s="119">
        <f t="shared" si="792"/>
      </c>
      <c r="S165" s="120">
        <f t="shared" si="672"/>
      </c>
      <c r="T165" s="121">
        <f t="shared" si="702"/>
      </c>
      <c r="U165" s="119">
        <f t="shared" si="981"/>
      </c>
      <c r="V165" s="122">
        <f t="shared" si="732"/>
      </c>
      <c r="W165" s="122">
        <f t="shared" si="1011"/>
      </c>
      <c r="X165" s="119">
        <f t="shared" si="822"/>
      </c>
      <c r="Y165" s="123">
        <f t="shared" si="874"/>
      </c>
      <c r="Z165" s="123">
        <v>4</v>
      </c>
      <c r="AA165" s="123">
        <v>4</v>
      </c>
      <c r="AB165" s="124">
        <v>14272.080000000004</v>
      </c>
      <c r="AC165" s="124">
        <v>0</v>
      </c>
      <c r="AD165" s="120">
        <f t="shared" si="6"/>
      </c>
      <c r="AE165" s="125" t="s">
        <v>121</v>
      </c>
      <c r="AF165" s="126" t="s">
        <v>149</v>
      </c>
      <c r="AG165" s="127">
        <v>2</v>
      </c>
      <c r="AH165" s="128">
        <v>57101</v>
      </c>
      <c r="AI165" s="128">
        <v>814</v>
      </c>
      <c r="AJ165" s="128">
        <v>911</v>
      </c>
      <c r="AK165" s="129">
        <v>163</v>
      </c>
      <c r="AL165" s="129">
        <v>219</v>
      </c>
    </row>
    <row r="166">
      <c r="A166" s="108"/>
      <c r="B166" s="109" t="s">
        <v>133</v>
      </c>
      <c r="C166" s="110" t="s">
        <v>131</v>
      </c>
      <c r="D166" s="111">
        <f t="shared" si="316"/>
      </c>
      <c r="E166" s="110">
        <v>1740.22</v>
      </c>
      <c r="F166" s="110">
        <v>7904.06</v>
      </c>
      <c r="G166" s="113">
        <v>401.92</v>
      </c>
      <c r="H166" s="113">
        <v>0</v>
      </c>
      <c r="I166" s="113">
        <f t="shared" si="445"/>
      </c>
      <c r="J166" s="114">
        <f>6448.68+3513+1788.48+1091.76+1437</f>
      </c>
      <c r="K166" s="115">
        <f t="shared" si="58"/>
      </c>
      <c r="L166" s="115">
        <f t="shared" si="187"/>
      </c>
      <c r="M166" s="116">
        <f t="shared" si="612"/>
      </c>
      <c r="N166" s="117">
        <f t="shared" si="642"/>
      </c>
      <c r="O166" s="118">
        <f t="shared" si="552"/>
      </c>
      <c r="P166" s="119">
        <f t="shared" si="582"/>
      </c>
      <c r="Q166" s="119">
        <f t="shared" si="762"/>
      </c>
      <c r="R166" s="119">
        <f t="shared" si="792"/>
      </c>
      <c r="S166" s="120">
        <f t="shared" si="672"/>
      </c>
      <c r="T166" s="121">
        <f t="shared" si="702"/>
      </c>
      <c r="U166" s="119">
        <f t="shared" si="981"/>
      </c>
      <c r="V166" s="122">
        <f t="shared" si="732"/>
      </c>
      <c r="W166" s="122">
        <f t="shared" si="1011"/>
      </c>
      <c r="X166" s="119">
        <f t="shared" si="822"/>
      </c>
      <c r="Y166" s="123">
        <f t="shared" si="874"/>
      </c>
      <c r="Z166" s="123">
        <v>10</v>
      </c>
      <c r="AA166" s="123">
        <v>7</v>
      </c>
      <c r="AB166" s="124">
        <v>15536.519999999991</v>
      </c>
      <c r="AC166" s="124">
        <v>2046</v>
      </c>
      <c r="AD166" s="120">
        <f t="shared" si="6"/>
      </c>
      <c r="AE166" s="125" t="s">
        <v>121</v>
      </c>
      <c r="AF166" s="126" t="s">
        <v>149</v>
      </c>
      <c r="AG166" s="129">
        <v>5</v>
      </c>
      <c r="AH166" s="128">
        <v>95541</v>
      </c>
      <c r="AI166" s="128">
        <v>1157</v>
      </c>
      <c r="AJ166" s="128">
        <v>1236</v>
      </c>
      <c r="AK166" s="129">
        <v>232</v>
      </c>
      <c r="AL166" s="129">
        <v>310</v>
      </c>
    </row>
    <row r="167">
      <c r="A167" s="108"/>
      <c r="B167" s="109" t="s">
        <v>133</v>
      </c>
      <c r="C167" s="110" t="s">
        <v>132</v>
      </c>
      <c r="D167" s="111">
        <f t="shared" si="316"/>
      </c>
      <c r="E167" s="110">
        <v>1541.65</v>
      </c>
      <c r="F167" s="113">
        <v>6989.6</v>
      </c>
      <c r="G167" s="113">
        <v>206.32</v>
      </c>
      <c r="H167" s="113">
        <v>0</v>
      </c>
      <c r="I167" s="113">
        <f t="shared" si="445"/>
      </c>
      <c r="J167" s="114">
        <f>1679.4+1477.44+1084.8+465.72</f>
      </c>
      <c r="K167" s="115">
        <f t="shared" si="58"/>
      </c>
      <c r="L167" s="115">
        <f t="shared" si="187"/>
      </c>
      <c r="M167" s="116">
        <f t="shared" si="612"/>
      </c>
      <c r="N167" s="117">
        <f t="shared" si="642"/>
      </c>
      <c r="O167" s="118">
        <f t="shared" si="552"/>
      </c>
      <c r="P167" s="119">
        <f t="shared" si="582"/>
      </c>
      <c r="Q167" s="119">
        <f t="shared" si="762"/>
      </c>
      <c r="R167" s="119">
        <f t="shared" si="792"/>
      </c>
      <c r="S167" s="120">
        <f t="shared" si="672"/>
      </c>
      <c r="T167" s="121">
        <f t="shared" si="702"/>
      </c>
      <c r="U167" s="119">
        <f t="shared" si="981"/>
      </c>
      <c r="V167" s="122">
        <f t="shared" si="732"/>
      </c>
      <c r="W167" s="122">
        <f t="shared" si="1011"/>
      </c>
      <c r="X167" s="119">
        <f t="shared" si="822"/>
      </c>
      <c r="Y167" s="123">
        <f t="shared" si="874"/>
      </c>
      <c r="Z167" s="123">
        <v>14</v>
      </c>
      <c r="AA167" s="123">
        <v>10</v>
      </c>
      <c r="AB167" s="114">
        <v>15880.080000000018</v>
      </c>
      <c r="AC167" s="124">
        <v>0</v>
      </c>
      <c r="AD167" s="120">
        <f t="shared" si="6"/>
      </c>
      <c r="AE167" s="125" t="s">
        <v>121</v>
      </c>
      <c r="AF167" s="126" t="s">
        <v>149</v>
      </c>
      <c r="AG167" s="127">
        <v>7</v>
      </c>
      <c r="AH167" s="128">
        <v>80879</v>
      </c>
      <c r="AI167" s="128">
        <v>1058</v>
      </c>
      <c r="AJ167" s="128">
        <v>1179</v>
      </c>
      <c r="AK167" s="129">
        <v>205</v>
      </c>
      <c r="AL167" s="129">
        <v>263</v>
      </c>
    </row>
    <row r="168">
      <c r="A168" s="108"/>
      <c r="B168" s="109" t="s">
        <v>133</v>
      </c>
      <c r="C168" s="110" t="s">
        <v>134</v>
      </c>
      <c r="D168" s="111">
        <f t="shared" si="316"/>
      </c>
      <c r="E168" s="110">
        <v>2104.03</v>
      </c>
      <c r="F168" s="140">
        <v>5501.78</v>
      </c>
      <c r="G168" s="113">
        <v>190.23</v>
      </c>
      <c r="H168" s="113">
        <v>0</v>
      </c>
      <c r="I168" s="113">
        <f t="shared" si="445"/>
      </c>
      <c r="J168" s="160">
        <v>1871.64</v>
      </c>
      <c r="K168" s="115">
        <f t="shared" si="58"/>
      </c>
      <c r="L168" s="115">
        <f t="shared" si="187"/>
      </c>
      <c r="M168" s="116">
        <f t="shared" si="612"/>
      </c>
      <c r="N168" s="117">
        <f t="shared" si="642"/>
      </c>
      <c r="O168" s="118">
        <f t="shared" si="552"/>
      </c>
      <c r="P168" s="119">
        <f t="shared" si="582"/>
      </c>
      <c r="Q168" s="119">
        <f t="shared" si="762"/>
      </c>
      <c r="R168" s="119">
        <f t="shared" si="792"/>
      </c>
      <c r="S168" s="120">
        <f t="shared" si="672"/>
      </c>
      <c r="T168" s="121">
        <f t="shared" si="702"/>
      </c>
      <c r="U168" s="119">
        <f t="shared" si="981"/>
      </c>
      <c r="V168" s="122">
        <f t="shared" si="732"/>
      </c>
      <c r="W168" s="122">
        <f t="shared" si="1011"/>
      </c>
      <c r="X168" s="119">
        <f t="shared" si="822"/>
      </c>
      <c r="Y168" s="123">
        <f t="shared" si="874"/>
      </c>
      <c r="Z168" s="123">
        <v>17</v>
      </c>
      <c r="AA168" s="123">
        <v>9</v>
      </c>
      <c r="AB168" s="124">
        <v>11926.439999999975</v>
      </c>
      <c r="AC168" s="124">
        <v>0</v>
      </c>
      <c r="AD168" s="120">
        <f t="shared" si="6"/>
      </c>
      <c r="AE168" s="125" t="s">
        <v>121</v>
      </c>
      <c r="AF168" s="126" t="s">
        <v>149</v>
      </c>
      <c r="AG168" s="127">
        <v>7</v>
      </c>
      <c r="AH168" s="128">
        <v>56727</v>
      </c>
      <c r="AI168" s="128">
        <v>988</v>
      </c>
      <c r="AJ168" s="128">
        <v>1109</v>
      </c>
      <c r="AK168" s="129">
        <v>207</v>
      </c>
      <c r="AL168" s="129">
        <v>251</v>
      </c>
    </row>
    <row r="169">
      <c r="A169" s="108"/>
      <c r="B169" s="130" t="s">
        <v>127</v>
      </c>
      <c r="C169" s="131">
        <v>5</v>
      </c>
      <c r="D169" s="132">
        <f>SUM(D164:D168)</f>
      </c>
      <c r="E169" s="132">
        <f>SUM(E164:E168)</f>
      </c>
      <c r="F169" s="132">
        <f>SUM(F164:F168)</f>
      </c>
      <c r="G169" s="132">
        <f>SUM(G164:G168)</f>
      </c>
      <c r="H169" s="132">
        <f>SUM(H164:H168)</f>
      </c>
      <c r="I169" s="132">
        <f>SUM(I164:I168)</f>
      </c>
      <c r="J169" s="132">
        <f>SUM(J164:J168)</f>
      </c>
      <c r="K169" s="132">
        <f>SUM(K164:K168)</f>
      </c>
      <c r="L169" s="132">
        <f>SUM(L164:L168)</f>
      </c>
      <c r="M169" s="133">
        <f t="shared" si="612"/>
      </c>
      <c r="N169" s="134">
        <f t="shared" si="642"/>
      </c>
      <c r="O169" s="134">
        <f t="shared" si="552"/>
      </c>
      <c r="P169" s="135">
        <f t="shared" si="582"/>
      </c>
      <c r="Q169" s="135">
        <f t="shared" si="762"/>
      </c>
      <c r="R169" s="135">
        <f t="shared" si="792"/>
      </c>
      <c r="S169" s="136">
        <f t="shared" si="672"/>
      </c>
      <c r="T169" s="136">
        <f t="shared" si="702"/>
      </c>
      <c r="U169" s="135">
        <f t="shared" si="981"/>
      </c>
      <c r="V169" s="136">
        <f t="shared" si="732"/>
      </c>
      <c r="W169" s="136">
        <f t="shared" si="1011"/>
      </c>
      <c r="X169" s="135">
        <f t="shared" si="822"/>
      </c>
      <c r="Y169" s="132">
        <f>SUM(Y164:Y168)</f>
      </c>
      <c r="Z169" s="132">
        <f>SUM(Z164:Z168)</f>
      </c>
      <c r="AA169" s="132">
        <f>SUM(AA164:AA168)</f>
      </c>
      <c r="AB169" s="132">
        <f>SUM(AB164:AB168)</f>
      </c>
      <c r="AC169" s="132">
        <f>SUM(AC164:AC168)</f>
      </c>
      <c r="AD169" s="137">
        <f t="shared" si="6"/>
      </c>
      <c r="AE169" s="138"/>
      <c r="AF169" s="139"/>
      <c r="AG169" s="132">
        <f>SUM(AG164:AG168)</f>
      </c>
      <c r="AH169" s="132">
        <f>SUM(AH164:AH168)</f>
      </c>
      <c r="AI169" s="132">
        <f>SUM(AI164:AI168)</f>
      </c>
      <c r="AJ169" s="132">
        <f>SUM(AJ164:AJ168)</f>
      </c>
      <c r="AK169" s="132">
        <f>SUM(AK164:AK168)</f>
      </c>
      <c r="AL169" s="132">
        <f>SUM(AL164:AL168)</f>
      </c>
    </row>
    <row r="170">
      <c r="A170" s="108"/>
      <c r="B170" s="109" t="s">
        <v>128</v>
      </c>
      <c r="C170" s="110" t="s">
        <v>135</v>
      </c>
      <c r="D170" s="111">
        <f t="shared" ref="D170:D174" si="317">E170+F170+G170+H170</f>
      </c>
      <c r="E170" s="110">
        <v>1435.59</v>
      </c>
      <c r="F170" s="140">
        <v>6590.8</v>
      </c>
      <c r="G170" s="113">
        <v>218.28</v>
      </c>
      <c r="H170" s="113">
        <v>0</v>
      </c>
      <c r="I170" s="113">
        <f t="shared" ref="I170:I174" si="446">AB170+AC170</f>
      </c>
      <c r="J170" s="160">
        <v>1871.64</v>
      </c>
      <c r="K170" s="115">
        <f t="shared" ref="K170:K174" si="59">I170-J170</f>
      </c>
      <c r="L170" s="115">
        <f t="shared" ref="L170:L174" si="188">(I170-AC170)/12+AC170</f>
      </c>
      <c r="M170" s="116">
        <f t="shared" si="612"/>
      </c>
      <c r="N170" s="117">
        <f t="shared" si="642"/>
      </c>
      <c r="O170" s="118">
        <f t="shared" si="552"/>
      </c>
      <c r="P170" s="119">
        <f t="shared" si="582"/>
      </c>
      <c r="Q170" s="119">
        <f t="shared" si="762"/>
      </c>
      <c r="R170" s="119">
        <f t="shared" si="792"/>
      </c>
      <c r="S170" s="120">
        <f t="shared" si="672"/>
      </c>
      <c r="T170" s="121">
        <f t="shared" si="702"/>
      </c>
      <c r="U170" s="119">
        <f t="shared" si="981"/>
      </c>
      <c r="V170" s="122">
        <f t="shared" si="732"/>
      </c>
      <c r="W170" s="122">
        <f t="shared" si="1011"/>
      </c>
      <c r="X170" s="119">
        <f t="shared" si="822"/>
      </c>
      <c r="Y170" s="123">
        <f t="shared" ref="Y170:Y174" si="875">Z170+AA170</f>
      </c>
      <c r="Z170" s="123">
        <v>9</v>
      </c>
      <c r="AA170" s="123">
        <v>7</v>
      </c>
      <c r="AB170" s="124">
        <v>23324.880000000005</v>
      </c>
      <c r="AC170" s="124">
        <v>0</v>
      </c>
      <c r="AD170" s="120">
        <f t="shared" si="6"/>
      </c>
      <c r="AE170" s="125" t="s">
        <v>121</v>
      </c>
      <c r="AF170" s="126" t="s">
        <v>137</v>
      </c>
      <c r="AG170" s="127">
        <v>6</v>
      </c>
      <c r="AH170" s="128">
        <v>77594</v>
      </c>
      <c r="AI170" s="128">
        <v>954</v>
      </c>
      <c r="AJ170" s="128">
        <v>1026</v>
      </c>
      <c r="AK170" s="129">
        <v>206</v>
      </c>
      <c r="AL170" s="129">
        <v>255</v>
      </c>
    </row>
    <row r="171">
      <c r="A171" s="108"/>
      <c r="B171" s="109" t="s">
        <v>128</v>
      </c>
      <c r="C171" s="110" t="s">
        <v>138</v>
      </c>
      <c r="D171" s="111">
        <f t="shared" si="317"/>
      </c>
      <c r="E171" s="141">
        <v>1436.73</v>
      </c>
      <c r="F171" s="142">
        <v>7515.53</v>
      </c>
      <c r="G171" s="113">
        <v>119.05</v>
      </c>
      <c r="H171" s="113">
        <v>0</v>
      </c>
      <c r="I171" s="113">
        <f t="shared" si="446"/>
      </c>
      <c r="J171" s="160">
        <f>2748.6+2917.08+3048.84</f>
      </c>
      <c r="K171" s="115">
        <f t="shared" si="59"/>
      </c>
      <c r="L171" s="115">
        <f t="shared" si="188"/>
      </c>
      <c r="M171" s="116">
        <f t="shared" si="612"/>
      </c>
      <c r="N171" s="117">
        <f t="shared" si="642"/>
      </c>
      <c r="O171" s="118">
        <f t="shared" si="552"/>
      </c>
      <c r="P171" s="119">
        <f t="shared" si="582"/>
      </c>
      <c r="Q171" s="119">
        <f t="shared" si="762"/>
      </c>
      <c r="R171" s="119">
        <f t="shared" si="792"/>
      </c>
      <c r="S171" s="120">
        <f t="shared" si="672"/>
      </c>
      <c r="T171" s="121">
        <f t="shared" si="702"/>
      </c>
      <c r="U171" s="119">
        <f t="shared" si="981"/>
      </c>
      <c r="V171" s="122">
        <f t="shared" si="732"/>
      </c>
      <c r="W171" s="122">
        <f t="shared" si="1011"/>
      </c>
      <c r="X171" s="119">
        <f t="shared" si="822"/>
      </c>
      <c r="Y171" s="123">
        <f t="shared" si="875"/>
      </c>
      <c r="Z171" s="123">
        <v>4</v>
      </c>
      <c r="AA171" s="123">
        <v>9</v>
      </c>
      <c r="AB171" s="124">
        <v>11632.680000000024</v>
      </c>
      <c r="AC171" s="124">
        <v>0</v>
      </c>
      <c r="AD171" s="120">
        <f t="shared" si="6"/>
      </c>
      <c r="AE171" s="125" t="s">
        <v>121</v>
      </c>
      <c r="AF171" s="126" t="s">
        <v>137</v>
      </c>
      <c r="AG171" s="129">
        <v>5</v>
      </c>
      <c r="AH171" s="128">
        <v>83266</v>
      </c>
      <c r="AI171" s="128">
        <v>1040</v>
      </c>
      <c r="AJ171" s="128">
        <v>1117</v>
      </c>
      <c r="AK171" s="129">
        <v>215</v>
      </c>
      <c r="AL171" s="129">
        <v>264</v>
      </c>
    </row>
    <row r="172">
      <c r="A172" s="108"/>
      <c r="B172" s="109" t="s">
        <v>128</v>
      </c>
      <c r="C172" s="110" t="s">
        <v>140</v>
      </c>
      <c r="D172" s="111">
        <f t="shared" si="317"/>
      </c>
      <c r="E172" s="110">
        <v>654.63</v>
      </c>
      <c r="F172" s="140">
        <v>10490.54</v>
      </c>
      <c r="G172" s="113">
        <v>153.28</v>
      </c>
      <c r="H172" s="113">
        <v>0</v>
      </c>
      <c r="I172" s="113">
        <f t="shared" si="446"/>
      </c>
      <c r="J172" s="160">
        <v>0</v>
      </c>
      <c r="K172" s="115">
        <f t="shared" si="59"/>
      </c>
      <c r="L172" s="115">
        <f t="shared" si="188"/>
      </c>
      <c r="M172" s="116">
        <f t="shared" si="612"/>
      </c>
      <c r="N172" s="117">
        <f t="shared" si="642"/>
      </c>
      <c r="O172" s="118">
        <f t="shared" si="552"/>
      </c>
      <c r="P172" s="119">
        <f t="shared" si="582"/>
      </c>
      <c r="Q172" s="119">
        <f t="shared" si="762"/>
      </c>
      <c r="R172" s="119">
        <f t="shared" si="792"/>
      </c>
      <c r="S172" s="120">
        <f t="shared" si="672"/>
      </c>
      <c r="T172" s="121">
        <f t="shared" si="702"/>
      </c>
      <c r="U172" s="119">
        <f t="shared" si="981"/>
      </c>
      <c r="V172" s="122">
        <f t="shared" si="732"/>
      </c>
      <c r="W172" s="122">
        <f t="shared" si="1011"/>
      </c>
      <c r="X172" s="119">
        <f t="shared" si="822"/>
      </c>
      <c r="Y172" s="123">
        <f t="shared" si="875"/>
      </c>
      <c r="Z172" s="123">
        <v>10</v>
      </c>
      <c r="AA172" s="123">
        <v>8</v>
      </c>
      <c r="AB172" s="124">
        <v>20052.47999999998</v>
      </c>
      <c r="AC172" s="124">
        <v>0</v>
      </c>
      <c r="AD172" s="120">
        <f t="shared" si="6"/>
      </c>
      <c r="AE172" s="125" t="s">
        <v>121</v>
      </c>
      <c r="AF172" s="126" t="s">
        <v>137</v>
      </c>
      <c r="AG172" s="127">
        <v>8</v>
      </c>
      <c r="AH172" s="128">
        <v>115215</v>
      </c>
      <c r="AI172" s="128">
        <v>1510</v>
      </c>
      <c r="AJ172" s="128">
        <v>1536</v>
      </c>
      <c r="AK172" s="129">
        <v>216</v>
      </c>
      <c r="AL172" s="129">
        <v>307</v>
      </c>
    </row>
    <row r="173">
      <c r="A173" s="108"/>
      <c r="B173" s="109" t="s">
        <v>128</v>
      </c>
      <c r="C173" s="141" t="s">
        <v>141</v>
      </c>
      <c r="D173" s="111">
        <f t="shared" si="317"/>
      </c>
      <c r="E173" s="110">
        <v>1451.39</v>
      </c>
      <c r="F173" s="140">
        <v>3902.06</v>
      </c>
      <c r="G173" s="113">
        <v>447.62</v>
      </c>
      <c r="H173" s="113">
        <v>0</v>
      </c>
      <c r="I173" s="113">
        <f t="shared" si="446"/>
      </c>
      <c r="J173" s="160">
        <v>0</v>
      </c>
      <c r="K173" s="115">
        <f t="shared" si="59"/>
      </c>
      <c r="L173" s="115">
        <f t="shared" si="188"/>
      </c>
      <c r="M173" s="116">
        <f t="shared" si="612"/>
      </c>
      <c r="N173" s="117">
        <f t="shared" si="642"/>
      </c>
      <c r="O173" s="118">
        <f t="shared" si="552"/>
      </c>
      <c r="P173" s="119">
        <f t="shared" si="582"/>
      </c>
      <c r="Q173" s="119">
        <f t="shared" si="762"/>
      </c>
      <c r="R173" s="119">
        <f t="shared" si="792"/>
      </c>
      <c r="S173" s="120">
        <f t="shared" si="672"/>
      </c>
      <c r="T173" s="121">
        <f t="shared" si="702"/>
      </c>
      <c r="U173" s="119">
        <f t="shared" si="981"/>
      </c>
      <c r="V173" s="122">
        <f t="shared" si="732"/>
      </c>
      <c r="W173" s="122">
        <f t="shared" si="1011"/>
      </c>
      <c r="X173" s="119">
        <f t="shared" si="822"/>
      </c>
      <c r="Y173" s="123">
        <f t="shared" si="875"/>
      </c>
      <c r="Z173" s="123">
        <v>6</v>
      </c>
      <c r="AA173" s="123">
        <v>4</v>
      </c>
      <c r="AB173" s="124">
        <v>8016.839999999998</v>
      </c>
      <c r="AC173" s="124">
        <v>0</v>
      </c>
      <c r="AD173" s="120">
        <f t="shared" si="6"/>
      </c>
      <c r="AE173" s="125" t="s">
        <v>121</v>
      </c>
      <c r="AF173" s="126" t="s">
        <v>137</v>
      </c>
      <c r="AG173" s="127">
        <v>4</v>
      </c>
      <c r="AH173" s="128">
        <v>53016</v>
      </c>
      <c r="AI173" s="128">
        <v>837</v>
      </c>
      <c r="AJ173" s="128">
        <v>898</v>
      </c>
      <c r="AK173" s="129">
        <v>149</v>
      </c>
      <c r="AL173" s="129">
        <v>179</v>
      </c>
    </row>
    <row r="174">
      <c r="A174" s="108"/>
      <c r="B174" s="109" t="s">
        <v>128</v>
      </c>
      <c r="C174" s="141" t="s">
        <v>142</v>
      </c>
      <c r="D174" s="111">
        <f t="shared" si="317"/>
      </c>
      <c r="E174" s="110">
        <v>326.98</v>
      </c>
      <c r="F174" s="140">
        <v>5712.07</v>
      </c>
      <c r="G174" s="113">
        <v>544.08</v>
      </c>
      <c r="H174" s="113">
        <v>0</v>
      </c>
      <c r="I174" s="113">
        <f t="shared" si="446"/>
      </c>
      <c r="J174" s="160">
        <v>0</v>
      </c>
      <c r="K174" s="115">
        <f t="shared" si="59"/>
      </c>
      <c r="L174" s="115">
        <f t="shared" si="188"/>
      </c>
      <c r="M174" s="116">
        <f t="shared" si="612"/>
      </c>
      <c r="N174" s="117">
        <f t="shared" si="642"/>
      </c>
      <c r="O174" s="118">
        <f t="shared" si="552"/>
      </c>
      <c r="P174" s="119">
        <f t="shared" si="582"/>
      </c>
      <c r="Q174" s="119">
        <f t="shared" si="762"/>
      </c>
      <c r="R174" s="119">
        <f t="shared" si="792"/>
      </c>
      <c r="S174" s="120">
        <f t="shared" si="672"/>
      </c>
      <c r="T174" s="121">
        <f t="shared" si="702"/>
      </c>
      <c r="U174" s="119">
        <f t="shared" si="981"/>
      </c>
      <c r="V174" s="122">
        <f t="shared" si="732"/>
      </c>
      <c r="W174" s="122">
        <f t="shared" si="1011"/>
      </c>
      <c r="X174" s="119">
        <f t="shared" si="822"/>
      </c>
      <c r="Y174" s="123">
        <f t="shared" si="875"/>
      </c>
      <c r="Z174" s="123">
        <v>2</v>
      </c>
      <c r="AA174" s="123">
        <v>5</v>
      </c>
      <c r="AB174" s="124">
        <v>10363.56</v>
      </c>
      <c r="AC174" s="124">
        <v>2904.6000000000004</v>
      </c>
      <c r="AD174" s="120">
        <f t="shared" si="6"/>
      </c>
      <c r="AE174" s="125" t="s">
        <v>121</v>
      </c>
      <c r="AF174" s="126" t="s">
        <v>137</v>
      </c>
      <c r="AG174" s="127">
        <v>4</v>
      </c>
      <c r="AH174" s="128">
        <v>68117</v>
      </c>
      <c r="AI174" s="128">
        <v>1086</v>
      </c>
      <c r="AJ174" s="128">
        <v>1152</v>
      </c>
      <c r="AK174" s="129">
        <v>150</v>
      </c>
      <c r="AL174" s="129">
        <v>215</v>
      </c>
    </row>
    <row r="175">
      <c r="A175" s="108"/>
      <c r="B175" s="130" t="s">
        <v>127</v>
      </c>
      <c r="C175" s="131">
        <v>5</v>
      </c>
      <c r="D175" s="132">
        <f>SUM(D170:D174)</f>
      </c>
      <c r="E175" s="132">
        <f>SUM(E170:E174)</f>
      </c>
      <c r="F175" s="132">
        <f>SUM(F170:F174)</f>
      </c>
      <c r="G175" s="132">
        <f>SUM(G170:G174)</f>
      </c>
      <c r="H175" s="132">
        <f>SUM(H170:H174)</f>
      </c>
      <c r="I175" s="132">
        <f>SUM(I170:I174)</f>
      </c>
      <c r="J175" s="132">
        <f>SUM(J170:J174)</f>
      </c>
      <c r="K175" s="132">
        <f>SUM(K170:K174)</f>
      </c>
      <c r="L175" s="132">
        <f>SUM(L170:L174)</f>
      </c>
      <c r="M175" s="133">
        <f t="shared" si="612"/>
      </c>
      <c r="N175" s="134">
        <f t="shared" si="642"/>
      </c>
      <c r="O175" s="134">
        <f t="shared" si="552"/>
      </c>
      <c r="P175" s="135">
        <f t="shared" si="582"/>
      </c>
      <c r="Q175" s="135">
        <f t="shared" si="762"/>
      </c>
      <c r="R175" s="135">
        <f t="shared" si="792"/>
      </c>
      <c r="S175" s="136">
        <f t="shared" si="672"/>
      </c>
      <c r="T175" s="136">
        <f t="shared" si="702"/>
      </c>
      <c r="U175" s="135">
        <f t="shared" si="981"/>
      </c>
      <c r="V175" s="136">
        <f t="shared" si="732"/>
      </c>
      <c r="W175" s="136">
        <f t="shared" si="1011"/>
      </c>
      <c r="X175" s="135">
        <f t="shared" si="822"/>
      </c>
      <c r="Y175" s="132">
        <f>SUM(Y170:Y174)</f>
      </c>
      <c r="Z175" s="132">
        <f>SUM(Z170:Z174)</f>
      </c>
      <c r="AA175" s="132">
        <f>SUM(AA170:AA174)</f>
      </c>
      <c r="AB175" s="132">
        <f>SUM(AB170:AB174)</f>
      </c>
      <c r="AC175" s="132">
        <f>SUM(AC170:AC174)</f>
      </c>
      <c r="AD175" s="137">
        <f t="shared" si="6"/>
      </c>
      <c r="AE175" s="138"/>
      <c r="AF175" s="139"/>
      <c r="AG175" s="132">
        <f>SUM(AG170:AG174)</f>
      </c>
      <c r="AH175" s="132">
        <f>SUM(AH170:AH174)</f>
      </c>
      <c r="AI175" s="132">
        <f>SUM(AI170:AI174)</f>
      </c>
      <c r="AJ175" s="132">
        <f>SUM(AJ170:AJ174)</f>
      </c>
      <c r="AK175" s="132">
        <f>SUM(AK170:AK174)</f>
      </c>
      <c r="AL175" s="132">
        <f>SUM(AL170:AL174)</f>
      </c>
    </row>
    <row r="176">
      <c r="A176" s="108"/>
      <c r="B176" s="109" t="s">
        <v>139</v>
      </c>
      <c r="C176" s="141" t="s">
        <v>144</v>
      </c>
      <c r="D176" s="143">
        <f t="shared" ref="D176:D180" si="318">E176+F176+G176+H176</f>
      </c>
      <c r="E176" s="144">
        <v>782.22</v>
      </c>
      <c r="F176" s="145">
        <v>4487.56</v>
      </c>
      <c r="G176" s="113">
        <v>905.22</v>
      </c>
      <c r="H176" s="113">
        <v>0</v>
      </c>
      <c r="I176" s="113">
        <f t="shared" ref="I176:I180" si="447">AB176+AC176</f>
      </c>
      <c r="J176" s="114">
        <v>0</v>
      </c>
      <c r="K176" s="115">
        <f t="shared" ref="K176:K180" si="60">I176-J176</f>
      </c>
      <c r="L176" s="115">
        <f t="shared" ref="L176:L180" si="189">(I176-AC176)/12+AC176</f>
      </c>
      <c r="M176" s="116">
        <f t="shared" si="612"/>
      </c>
      <c r="N176" s="117">
        <f t="shared" si="642"/>
      </c>
      <c r="O176" s="118">
        <f t="shared" si="552"/>
      </c>
      <c r="P176" s="119">
        <f t="shared" si="582"/>
      </c>
      <c r="Q176" s="119">
        <f t="shared" si="762"/>
      </c>
      <c r="R176" s="119">
        <f t="shared" si="792"/>
      </c>
      <c r="S176" s="120">
        <f t="shared" si="672"/>
      </c>
      <c r="T176" s="121">
        <f t="shared" si="702"/>
      </c>
      <c r="U176" s="119">
        <f t="shared" si="981"/>
      </c>
      <c r="V176" s="122">
        <f t="shared" si="732"/>
      </c>
      <c r="W176" s="122">
        <f t="shared" si="1011"/>
      </c>
      <c r="X176" s="119">
        <f t="shared" si="822"/>
      </c>
      <c r="Y176" s="123">
        <f t="shared" ref="Y176:Y180" si="876">Z176+AA176</f>
      </c>
      <c r="Z176" s="123">
        <v>7</v>
      </c>
      <c r="AA176" s="123">
        <v>7</v>
      </c>
      <c r="AB176" s="124">
        <v>9781.560000000029</v>
      </c>
      <c r="AC176" s="124">
        <v>645</v>
      </c>
      <c r="AD176" s="120">
        <f t="shared" si="6"/>
      </c>
      <c r="AE176" s="125" t="s">
        <v>121</v>
      </c>
      <c r="AF176" s="126" t="s">
        <v>137</v>
      </c>
      <c r="AG176" s="127">
        <v>5</v>
      </c>
      <c r="AH176" s="127">
        <v>55504</v>
      </c>
      <c r="AI176" s="128">
        <v>1166</v>
      </c>
      <c r="AJ176" s="128">
        <v>1231</v>
      </c>
      <c r="AK176" s="127">
        <v>173</v>
      </c>
      <c r="AL176" s="129">
        <v>208</v>
      </c>
    </row>
    <row r="177">
      <c r="A177" s="108"/>
      <c r="B177" s="109" t="s">
        <v>139</v>
      </c>
      <c r="C177" s="110" t="s">
        <v>145</v>
      </c>
      <c r="D177" s="143">
        <f t="shared" si="318"/>
      </c>
      <c r="E177" s="147">
        <v>821.34</v>
      </c>
      <c r="F177" s="145">
        <v>5450.15</v>
      </c>
      <c r="G177" s="113">
        <v>396.71</v>
      </c>
      <c r="H177" s="113">
        <v>0</v>
      </c>
      <c r="I177" s="113">
        <f t="shared" si="447"/>
      </c>
      <c r="J177" s="114">
        <v>0</v>
      </c>
      <c r="K177" s="115">
        <f t="shared" si="60"/>
      </c>
      <c r="L177" s="115">
        <f t="shared" si="189"/>
      </c>
      <c r="M177" s="116">
        <f t="shared" si="612"/>
      </c>
      <c r="N177" s="117">
        <f t="shared" si="642"/>
      </c>
      <c r="O177" s="118">
        <f t="shared" si="552"/>
      </c>
      <c r="P177" s="119">
        <f t="shared" si="582"/>
      </c>
      <c r="Q177" s="119">
        <f t="shared" si="762"/>
      </c>
      <c r="R177" s="119">
        <f t="shared" si="792"/>
      </c>
      <c r="S177" s="120">
        <f t="shared" si="672"/>
      </c>
      <c r="T177" s="121">
        <f t="shared" si="702"/>
      </c>
      <c r="U177" s="119">
        <f t="shared" si="981"/>
      </c>
      <c r="V177" s="122">
        <f t="shared" si="732"/>
      </c>
      <c r="W177" s="122">
        <f t="shared" si="1011"/>
      </c>
      <c r="X177" s="119">
        <f t="shared" si="822"/>
      </c>
      <c r="Y177" s="123">
        <f t="shared" si="876"/>
      </c>
      <c r="Z177" s="123">
        <v>5</v>
      </c>
      <c r="AA177" s="123">
        <v>2</v>
      </c>
      <c r="AB177" s="124">
        <v>1929.9599999999646</v>
      </c>
      <c r="AC177" s="124">
        <v>0</v>
      </c>
      <c r="AD177" s="120">
        <f t="shared" si="6"/>
      </c>
      <c r="AE177" s="125" t="s">
        <v>121</v>
      </c>
      <c r="AF177" s="126" t="s">
        <v>137</v>
      </c>
      <c r="AG177" s="127">
        <v>2</v>
      </c>
      <c r="AH177" s="128">
        <v>61189</v>
      </c>
      <c r="AI177" s="128">
        <v>1308</v>
      </c>
      <c r="AJ177" s="128">
        <v>1355</v>
      </c>
      <c r="AK177" s="129">
        <v>167</v>
      </c>
      <c r="AL177" s="129">
        <v>217</v>
      </c>
    </row>
    <row r="178">
      <c r="A178" s="108"/>
      <c r="B178" s="109" t="s">
        <v>139</v>
      </c>
      <c r="C178" s="141" t="s">
        <v>146</v>
      </c>
      <c r="D178" s="143">
        <f t="shared" si="318"/>
      </c>
      <c r="E178" s="147">
        <v>801.36</v>
      </c>
      <c r="F178" s="147">
        <v>6414.28</v>
      </c>
      <c r="G178" s="113">
        <v>0</v>
      </c>
      <c r="H178" s="113">
        <v>0</v>
      </c>
      <c r="I178" s="113">
        <f t="shared" si="447"/>
      </c>
      <c r="J178" s="114">
        <v>1622.16</v>
      </c>
      <c r="K178" s="115">
        <f t="shared" si="60"/>
      </c>
      <c r="L178" s="115">
        <f t="shared" si="189"/>
      </c>
      <c r="M178" s="116">
        <f t="shared" si="612"/>
      </c>
      <c r="N178" s="117">
        <f t="shared" si="642"/>
      </c>
      <c r="O178" s="118">
        <f t="shared" si="552"/>
      </c>
      <c r="P178" s="119">
        <f t="shared" si="582"/>
      </c>
      <c r="Q178" s="119">
        <f t="shared" si="762"/>
      </c>
      <c r="R178" s="119">
        <f t="shared" si="792"/>
      </c>
      <c r="S178" s="120">
        <f t="shared" si="672"/>
      </c>
      <c r="T178" s="121">
        <f t="shared" si="702"/>
      </c>
      <c r="U178" s="119">
        <f t="shared" si="981"/>
      </c>
      <c r="V178" s="122">
        <f t="shared" si="732"/>
      </c>
      <c r="W178" s="122">
        <f t="shared" si="1011"/>
      </c>
      <c r="X178" s="119">
        <f t="shared" si="822"/>
      </c>
      <c r="Y178" s="123">
        <f t="shared" si="876"/>
      </c>
      <c r="Z178" s="123">
        <v>5</v>
      </c>
      <c r="AA178" s="123">
        <v>7</v>
      </c>
      <c r="AB178" s="124">
        <v>17944.679999999993</v>
      </c>
      <c r="AC178" s="124">
        <v>0</v>
      </c>
      <c r="AD178" s="120">
        <f t="shared" si="6"/>
      </c>
      <c r="AE178" s="125" t="s">
        <v>121</v>
      </c>
      <c r="AF178" s="126" t="s">
        <v>137</v>
      </c>
      <c r="AG178" s="129">
        <v>7</v>
      </c>
      <c r="AH178" s="128">
        <v>71825</v>
      </c>
      <c r="AI178" s="128">
        <v>1080</v>
      </c>
      <c r="AJ178" s="128">
        <v>1130</v>
      </c>
      <c r="AK178" s="129">
        <v>162</v>
      </c>
      <c r="AL178" s="129">
        <v>202</v>
      </c>
    </row>
    <row r="179">
      <c r="A179" s="108"/>
      <c r="B179" s="109" t="s">
        <v>139</v>
      </c>
      <c r="C179" s="110" t="s">
        <v>147</v>
      </c>
      <c r="D179" s="143">
        <f t="shared" si="318"/>
      </c>
      <c r="E179" s="147">
        <v>782.04</v>
      </c>
      <c r="F179" s="145">
        <v>4247.39</v>
      </c>
      <c r="G179" s="113">
        <v>4148.83</v>
      </c>
      <c r="H179" s="113">
        <v>0</v>
      </c>
      <c r="I179" s="113">
        <f t="shared" si="447"/>
      </c>
      <c r="J179" s="114">
        <v>0</v>
      </c>
      <c r="K179" s="115">
        <f t="shared" si="60"/>
      </c>
      <c r="L179" s="115">
        <f t="shared" si="189"/>
      </c>
      <c r="M179" s="116">
        <f t="shared" si="612"/>
      </c>
      <c r="N179" s="117">
        <f t="shared" si="642"/>
      </c>
      <c r="O179" s="118">
        <f t="shared" si="552"/>
      </c>
      <c r="P179" s="119">
        <f t="shared" si="582"/>
      </c>
      <c r="Q179" s="119">
        <f t="shared" si="762"/>
      </c>
      <c r="R179" s="119">
        <f t="shared" si="792"/>
      </c>
      <c r="S179" s="120">
        <f t="shared" si="672"/>
      </c>
      <c r="T179" s="121">
        <f t="shared" si="702"/>
      </c>
      <c r="U179" s="119">
        <f t="shared" si="981"/>
      </c>
      <c r="V179" s="122">
        <f t="shared" si="732"/>
      </c>
      <c r="W179" s="122">
        <f t="shared" si="1011"/>
      </c>
      <c r="X179" s="119">
        <f t="shared" si="822"/>
      </c>
      <c r="Y179" s="123">
        <f t="shared" si="876"/>
      </c>
      <c r="Z179" s="123">
        <v>12</v>
      </c>
      <c r="AA179" s="123">
        <v>7</v>
      </c>
      <c r="AB179" s="124">
        <v>21747.72</v>
      </c>
      <c r="AC179" s="124">
        <v>0</v>
      </c>
      <c r="AD179" s="120">
        <f t="shared" si="6"/>
      </c>
      <c r="AE179" s="125" t="s">
        <v>121</v>
      </c>
      <c r="AF179" s="126" t="s">
        <v>137</v>
      </c>
      <c r="AG179" s="127">
        <v>7</v>
      </c>
      <c r="AH179" s="128">
        <v>75549</v>
      </c>
      <c r="AI179" s="128">
        <v>1318</v>
      </c>
      <c r="AJ179" s="128">
        <v>1424</v>
      </c>
      <c r="AK179" s="129">
        <v>196</v>
      </c>
      <c r="AL179" s="129">
        <v>242</v>
      </c>
    </row>
    <row r="180">
      <c r="A180" s="108"/>
      <c r="B180" s="109" t="s">
        <v>139</v>
      </c>
      <c r="C180" s="110" t="s">
        <v>148</v>
      </c>
      <c r="D180" s="143">
        <f t="shared" si="318"/>
      </c>
      <c r="E180" s="147">
        <v>246.01</v>
      </c>
      <c r="F180" s="145">
        <v>2952.7</v>
      </c>
      <c r="G180" s="113">
        <v>498.74</v>
      </c>
      <c r="H180" s="113">
        <v>0</v>
      </c>
      <c r="I180" s="113">
        <f t="shared" si="447"/>
      </c>
      <c r="J180" s="114">
        <v>0</v>
      </c>
      <c r="K180" s="115">
        <f t="shared" si="60"/>
      </c>
      <c r="L180" s="115">
        <f t="shared" si="189"/>
      </c>
      <c r="M180" s="116">
        <f t="shared" si="612"/>
      </c>
      <c r="N180" s="117">
        <f t="shared" si="642"/>
      </c>
      <c r="O180" s="118">
        <f t="shared" si="552"/>
      </c>
      <c r="P180" s="119">
        <f t="shared" si="582"/>
      </c>
      <c r="Q180" s="119">
        <f t="shared" si="762"/>
      </c>
      <c r="R180" s="119">
        <f t="shared" si="792"/>
      </c>
      <c r="S180" s="120">
        <f t="shared" si="672"/>
      </c>
      <c r="T180" s="121">
        <f t="shared" si="702"/>
      </c>
      <c r="U180" s="119">
        <f t="shared" si="981"/>
      </c>
      <c r="V180" s="122">
        <f t="shared" si="732"/>
      </c>
      <c r="W180" s="122">
        <f t="shared" si="1011"/>
      </c>
      <c r="X180" s="119">
        <f t="shared" si="822"/>
      </c>
      <c r="Y180" s="123">
        <f t="shared" si="876"/>
      </c>
      <c r="Z180" s="123">
        <v>1</v>
      </c>
      <c r="AA180" s="123">
        <v>5</v>
      </c>
      <c r="AB180" s="124">
        <v>5700.239999999998</v>
      </c>
      <c r="AC180" s="124">
        <v>0</v>
      </c>
      <c r="AD180" s="120">
        <f t="shared" si="6"/>
      </c>
      <c r="AE180" s="125" t="s">
        <v>121</v>
      </c>
      <c r="AF180" s="126" t="s">
        <v>137</v>
      </c>
      <c r="AG180" s="127">
        <v>5</v>
      </c>
      <c r="AH180" s="128">
        <v>42828</v>
      </c>
      <c r="AI180" s="128">
        <v>702</v>
      </c>
      <c r="AJ180" s="128">
        <v>807</v>
      </c>
      <c r="AK180" s="129">
        <v>105</v>
      </c>
      <c r="AL180" s="129">
        <v>108</v>
      </c>
    </row>
    <row r="181">
      <c r="A181" s="108"/>
      <c r="B181" s="130" t="s">
        <v>127</v>
      </c>
      <c r="C181" s="131">
        <v>5</v>
      </c>
      <c r="D181" s="132">
        <f>SUM(D176:D180)</f>
      </c>
      <c r="E181" s="132">
        <f>SUM(E176:E180)</f>
      </c>
      <c r="F181" s="132">
        <f>SUM(F176:F180)</f>
      </c>
      <c r="G181" s="132">
        <f>SUM(G176:G180)</f>
      </c>
      <c r="H181" s="132">
        <f>SUM(H176:H180)</f>
      </c>
      <c r="I181" s="132">
        <f>SUM(I176:I180)</f>
      </c>
      <c r="J181" s="132">
        <f>SUM(J176:J180)</f>
      </c>
      <c r="K181" s="132">
        <f>SUM(K176:K180)</f>
      </c>
      <c r="L181" s="132">
        <f>SUM(L176:L180)</f>
      </c>
      <c r="M181" s="133">
        <f t="shared" si="612"/>
      </c>
      <c r="N181" s="134">
        <f t="shared" si="642"/>
      </c>
      <c r="O181" s="134">
        <f t="shared" si="552"/>
      </c>
      <c r="P181" s="135">
        <f t="shared" si="582"/>
      </c>
      <c r="Q181" s="135">
        <f t="shared" si="762"/>
      </c>
      <c r="R181" s="135">
        <f t="shared" si="792"/>
      </c>
      <c r="S181" s="136">
        <f t="shared" si="672"/>
      </c>
      <c r="T181" s="136">
        <f t="shared" si="702"/>
      </c>
      <c r="U181" s="135">
        <f t="shared" si="981"/>
      </c>
      <c r="V181" s="136">
        <f t="shared" si="732"/>
      </c>
      <c r="W181" s="136">
        <f t="shared" si="1011"/>
      </c>
      <c r="X181" s="135">
        <f t="shared" si="822"/>
      </c>
      <c r="Y181" s="132">
        <f>SUM(Y176:Y180)</f>
      </c>
      <c r="Z181" s="132">
        <f>SUM(Z176:Z180)</f>
      </c>
      <c r="AA181" s="132">
        <f>SUM(AA176:AA180)</f>
      </c>
      <c r="AB181" s="132">
        <f>SUM(AB176:AB180)</f>
      </c>
      <c r="AC181" s="132">
        <f>SUM(AC176:AC180)</f>
      </c>
      <c r="AD181" s="150">
        <f t="shared" si="6"/>
      </c>
      <c r="AE181" s="151"/>
      <c r="AF181" s="139"/>
      <c r="AG181" s="132">
        <f>SUM(AG176:AG180)</f>
      </c>
      <c r="AH181" s="132">
        <f>SUM(AH176:AH180)</f>
      </c>
      <c r="AI181" s="132">
        <f>SUM(AI176:AI180)</f>
      </c>
      <c r="AJ181" s="132">
        <f>SUM(AJ176:AJ180)</f>
      </c>
      <c r="AK181" s="132">
        <f>SUM(AK176:AK180)</f>
      </c>
      <c r="AL181" s="132">
        <f>SUM(AL176:AL180)</f>
      </c>
    </row>
    <row r="182">
      <c r="A182" s="108"/>
      <c r="B182" s="152" t="s">
        <v>127</v>
      </c>
      <c r="C182" s="153">
        <f>C163+C169+C175+C181</f>
      </c>
      <c r="D182" s="153">
        <f>D163+D169+D175+D181</f>
      </c>
      <c r="E182" s="153">
        <f>E163+E169+E175+E181</f>
      </c>
      <c r="F182" s="153">
        <f>F163+F169+F175+F181</f>
      </c>
      <c r="G182" s="153">
        <f>G163+G169+G175+G181</f>
      </c>
      <c r="H182" s="153">
        <f>H163+H169+H175+H181</f>
      </c>
      <c r="I182" s="153">
        <f>I163+I169+I175+I181</f>
      </c>
      <c r="J182" s="153">
        <f>J163+J169+J175+J181</f>
      </c>
      <c r="K182" s="153">
        <f>K163+K169+K175+K181</f>
      </c>
      <c r="L182" s="153">
        <f>L163+L169+L175+L181</f>
      </c>
      <c r="M182" s="154">
        <f t="shared" si="612"/>
      </c>
      <c r="N182" s="154">
        <f t="shared" si="642"/>
      </c>
      <c r="O182" s="154">
        <f t="shared" si="552"/>
      </c>
      <c r="P182" s="154">
        <f t="shared" si="582"/>
      </c>
      <c r="Q182" s="154">
        <f t="shared" si="762"/>
      </c>
      <c r="R182" s="154">
        <f t="shared" si="792"/>
      </c>
      <c r="S182" s="155">
        <f t="shared" si="672"/>
      </c>
      <c r="T182" s="155">
        <f t="shared" si="702"/>
      </c>
      <c r="U182" s="154">
        <f t="shared" si="981"/>
      </c>
      <c r="V182" s="155">
        <f t="shared" si="732"/>
      </c>
      <c r="W182" s="155">
        <f t="shared" si="1011"/>
      </c>
      <c r="X182" s="154">
        <f t="shared" si="822"/>
      </c>
      <c r="Y182" s="156">
        <f>Y163+Y169+Y175+Y181</f>
      </c>
      <c r="Z182" s="156">
        <f>Z163+Z169+Z175+Z181</f>
      </c>
      <c r="AA182" s="156">
        <f>AA163+AA169+AA175+AA181</f>
      </c>
      <c r="AB182" s="156">
        <f>AB163+AB169+AB175+AB181</f>
      </c>
      <c r="AC182" s="156">
        <f>AC163+AC169+AC175+AC181</f>
      </c>
      <c r="AD182" s="157">
        <f>AD163+AD169+AD175+AD181</f>
      </c>
      <c r="AE182" s="158"/>
      <c r="AF182" s="159"/>
      <c r="AG182" s="153">
        <f>AG163+AG169+AG175+AG181</f>
      </c>
      <c r="AH182" s="153">
        <f>AH163+AH169+AH175+AH181</f>
      </c>
      <c r="AI182" s="153">
        <f>AI163+AI169+AI175+AI181</f>
      </c>
      <c r="AJ182" s="153">
        <f>AJ163+AJ169+AJ175+AJ181</f>
      </c>
      <c r="AK182" s="153">
        <f>AK163+AK169+AK175+AK181</f>
      </c>
      <c r="AL182" s="153">
        <f>AL163+AL169+AL175+AL181</f>
      </c>
    </row>
    <row r="183">
      <c r="A183" s="94" t="s">
        <v>81</v>
      </c>
      <c r="B183" s="95" t="s">
        <v>82</v>
      </c>
      <c r="C183" s="95" t="s">
        <v>83</v>
      </c>
      <c r="D183" s="96" t="s">
        <v>84</v>
      </c>
      <c r="E183" s="95" t="s">
        <v>85</v>
      </c>
      <c r="F183" s="95" t="s">
        <v>86</v>
      </c>
      <c r="G183" s="97" t="s">
        <v>87</v>
      </c>
      <c r="H183" s="97" t="s">
        <v>88</v>
      </c>
      <c r="I183" s="96" t="s">
        <v>89</v>
      </c>
      <c r="J183" s="98" t="s">
        <v>90</v>
      </c>
      <c r="K183" s="99" t="s">
        <v>91</v>
      </c>
      <c r="L183" s="99" t="s">
        <v>92</v>
      </c>
      <c r="M183" s="100" t="s">
        <v>93</v>
      </c>
      <c r="N183" s="99" t="s">
        <v>94</v>
      </c>
      <c r="O183" s="95" t="s">
        <v>95</v>
      </c>
      <c r="P183" s="100" t="s">
        <v>96</v>
      </c>
      <c r="Q183" s="101" t="s">
        <v>97</v>
      </c>
      <c r="R183" s="101" t="s">
        <v>98</v>
      </c>
      <c r="S183" s="96" t="s">
        <v>99</v>
      </c>
      <c r="T183" s="102" t="s">
        <v>100</v>
      </c>
      <c r="U183" s="100" t="s">
        <v>101</v>
      </c>
      <c r="V183" s="103" t="s">
        <v>102</v>
      </c>
      <c r="W183" s="104" t="s">
        <v>103</v>
      </c>
      <c r="X183" s="100" t="s">
        <v>104</v>
      </c>
      <c r="Y183" s="105" t="s">
        <v>105</v>
      </c>
      <c r="Z183" s="106" t="s">
        <v>106</v>
      </c>
      <c r="AA183" s="105" t="s">
        <v>107</v>
      </c>
      <c r="AB183" s="107" t="s">
        <v>108</v>
      </c>
      <c r="AC183" s="107" t="s">
        <v>109</v>
      </c>
      <c r="AD183" s="99" t="s">
        <v>110</v>
      </c>
      <c r="AE183" s="98" t="s">
        <v>111</v>
      </c>
      <c r="AF183" s="99" t="s">
        <v>112</v>
      </c>
      <c r="AG183" s="98" t="s">
        <v>113</v>
      </c>
      <c r="AH183" s="98" t="s">
        <v>114</v>
      </c>
      <c r="AI183" s="99" t="s">
        <v>115</v>
      </c>
      <c r="AJ183" s="98" t="s">
        <v>116</v>
      </c>
      <c r="AK183" s="99" t="s">
        <v>117</v>
      </c>
      <c r="AL183" s="98" t="s">
        <v>118</v>
      </c>
    </row>
    <row r="184">
      <c r="A184" s="108">
        <v>46273</v>
      </c>
      <c r="B184" s="109" t="s">
        <v>143</v>
      </c>
      <c r="C184" s="110" t="s">
        <v>120</v>
      </c>
      <c r="D184" s="111">
        <f t="shared" ref="D184:D188" si="319">E184+F184+G184+H184</f>
      </c>
      <c r="E184" s="112">
        <v>1215.79</v>
      </c>
      <c r="F184" s="113">
        <v>7647.68</v>
      </c>
      <c r="G184" s="113">
        <v>891.1</v>
      </c>
      <c r="H184" s="113">
        <v>0</v>
      </c>
      <c r="I184" s="113">
        <f t="shared" ref="I184:I188" si="448">AB184+AC184</f>
      </c>
      <c r="J184" s="114">
        <v>1045</v>
      </c>
      <c r="K184" s="115">
        <f t="shared" ref="K184:K188" si="61">I184-J184</f>
      </c>
      <c r="L184" s="115">
        <f t="shared" ref="L184:L188" si="190">(I184-AC184)/12+AC184</f>
      </c>
      <c r="M184" s="116">
        <f t="shared" ref="M184:M208" si="613">I184/D184</f>
      </c>
      <c r="N184" s="117">
        <f t="shared" ref="N184:N208" si="643">(I184-J184)/D184</f>
      </c>
      <c r="O184" s="118">
        <f t="shared" ref="O184:O208" si="553">(AC184+AB184/12)/D184</f>
      </c>
      <c r="P184" s="119">
        <f t="shared" ref="P184:P208" si="583">I184/AA184</f>
      </c>
      <c r="Q184" s="119">
        <f t="shared" ref="Q184:Q208" si="763">D184/AA184</f>
      </c>
      <c r="R184" s="119">
        <f t="shared" ref="R184:R208" si="793">D184/AG184</f>
      </c>
      <c r="S184" s="120">
        <f t="shared" ref="S184:S208" si="673">AA184/Y184</f>
      </c>
      <c r="T184" s="121">
        <f t="shared" ref="T184:T208" si="703">AI184/AH184</f>
      </c>
      <c r="U184" s="119">
        <f t="shared" ref="U184:U208" si="982">D184/AJ184</f>
      </c>
      <c r="V184" s="122">
        <f t="shared" ref="V184:V208" si="733">AK184/AJ184</f>
      </c>
      <c r="W184" s="122">
        <f t="shared" ref="W184:W208" si="1012">AL184/AJ184</f>
      </c>
      <c r="X184" s="119">
        <f t="shared" ref="X184:X208" si="823">D184/AL184</f>
      </c>
      <c r="Y184" s="123">
        <f t="shared" ref="Y184:Y188" si="877">Z184+AA184</f>
      </c>
      <c r="Z184" s="123">
        <v>3</v>
      </c>
      <c r="AA184" s="123">
        <v>7</v>
      </c>
      <c r="AB184" s="124">
        <v>13232.160000000003</v>
      </c>
      <c r="AC184" s="124">
        <v>5312.55</v>
      </c>
      <c r="AD184" s="120">
        <f t="shared" ref="AD184:AD207" si="7">AC184/I184</f>
      </c>
      <c r="AE184" s="125" t="s">
        <v>121</v>
      </c>
      <c r="AF184" s="126" t="s">
        <v>122</v>
      </c>
      <c r="AG184" s="127">
        <v>7</v>
      </c>
      <c r="AH184" s="127">
        <v>82662</v>
      </c>
      <c r="AI184" s="128">
        <v>2050</v>
      </c>
      <c r="AJ184" s="128">
        <v>2294</v>
      </c>
      <c r="AK184" s="127">
        <v>261</v>
      </c>
      <c r="AL184" s="129">
        <v>267</v>
      </c>
    </row>
    <row r="185">
      <c r="A185" s="108"/>
      <c r="B185" s="109" t="s">
        <v>143</v>
      </c>
      <c r="C185" s="110" t="s">
        <v>123</v>
      </c>
      <c r="D185" s="111">
        <f t="shared" si="319"/>
      </c>
      <c r="E185" s="110">
        <v>917.76</v>
      </c>
      <c r="F185" s="113">
        <v>10317.17</v>
      </c>
      <c r="G185" s="113">
        <v>879.54</v>
      </c>
      <c r="H185" s="113">
        <v>0</v>
      </c>
      <c r="I185" s="113">
        <f t="shared" si="448"/>
      </c>
      <c r="J185" s="114">
        <f>1337.04+3881.52+2603.88+568.08+696.6+864</f>
      </c>
      <c r="K185" s="115">
        <f t="shared" si="61"/>
      </c>
      <c r="L185" s="115">
        <f t="shared" si="190"/>
      </c>
      <c r="M185" s="116">
        <f t="shared" si="613"/>
      </c>
      <c r="N185" s="117">
        <f t="shared" si="643"/>
      </c>
      <c r="O185" s="118">
        <f t="shared" si="553"/>
      </c>
      <c r="P185" s="119">
        <f t="shared" si="583"/>
      </c>
      <c r="Q185" s="119">
        <f t="shared" si="763"/>
      </c>
      <c r="R185" s="119">
        <f t="shared" si="793"/>
      </c>
      <c r="S185" s="120">
        <f t="shared" si="673"/>
      </c>
      <c r="T185" s="121">
        <f t="shared" si="703"/>
      </c>
      <c r="U185" s="119">
        <f t="shared" si="982"/>
      </c>
      <c r="V185" s="122">
        <f t="shared" si="733"/>
      </c>
      <c r="W185" s="122">
        <f t="shared" si="1012"/>
      </c>
      <c r="X185" s="119">
        <f t="shared" si="823"/>
      </c>
      <c r="Y185" s="123">
        <f t="shared" si="877"/>
      </c>
      <c r="Z185" s="123">
        <v>6</v>
      </c>
      <c r="AA185" s="123">
        <v>8</v>
      </c>
      <c r="AB185" s="124">
        <v>10647.719999999994</v>
      </c>
      <c r="AC185" s="124">
        <v>656</v>
      </c>
      <c r="AD185" s="120">
        <f t="shared" si="7"/>
      </c>
      <c r="AE185" s="125" t="s">
        <v>121</v>
      </c>
      <c r="AF185" s="126" t="s">
        <v>122</v>
      </c>
      <c r="AG185" s="127">
        <v>8</v>
      </c>
      <c r="AH185" s="128">
        <v>110485</v>
      </c>
      <c r="AI185" s="128">
        <v>1542</v>
      </c>
      <c r="AJ185" s="128">
        <v>1764</v>
      </c>
      <c r="AK185" s="129">
        <v>299</v>
      </c>
      <c r="AL185" s="129">
        <v>331</v>
      </c>
    </row>
    <row r="186">
      <c r="A186" s="108"/>
      <c r="B186" s="109" t="s">
        <v>143</v>
      </c>
      <c r="C186" s="110" t="s">
        <v>124</v>
      </c>
      <c r="D186" s="111">
        <f t="shared" si="319"/>
      </c>
      <c r="E186" s="110">
        <v>726.86</v>
      </c>
      <c r="F186" s="110">
        <v>9766.74</v>
      </c>
      <c r="G186" s="113">
        <v>1268.85</v>
      </c>
      <c r="H186" s="113">
        <v>0</v>
      </c>
      <c r="I186" s="113">
        <f t="shared" si="448"/>
      </c>
      <c r="J186" s="114">
        <f>733.32+1797.12+2880</f>
      </c>
      <c r="K186" s="115">
        <f t="shared" si="61"/>
      </c>
      <c r="L186" s="115">
        <f t="shared" si="190"/>
      </c>
      <c r="M186" s="116">
        <f t="shared" si="613"/>
      </c>
      <c r="N186" s="117">
        <f t="shared" si="643"/>
      </c>
      <c r="O186" s="118">
        <f t="shared" si="553"/>
      </c>
      <c r="P186" s="119">
        <f t="shared" si="583"/>
      </c>
      <c r="Q186" s="119">
        <f t="shared" si="763"/>
      </c>
      <c r="R186" s="119">
        <f t="shared" si="793"/>
      </c>
      <c r="S186" s="120">
        <f t="shared" si="673"/>
      </c>
      <c r="T186" s="121">
        <f t="shared" si="703"/>
      </c>
      <c r="U186" s="119">
        <f t="shared" si="982"/>
      </c>
      <c r="V186" s="122">
        <f t="shared" si="733"/>
      </c>
      <c r="W186" s="122">
        <f t="shared" si="1012"/>
      </c>
      <c r="X186" s="119">
        <f t="shared" si="823"/>
      </c>
      <c r="Y186" s="123">
        <f t="shared" si="877"/>
      </c>
      <c r="Z186" s="123">
        <v>3</v>
      </c>
      <c r="AA186" s="123">
        <v>10</v>
      </c>
      <c r="AB186" s="124">
        <f>8849.88000000001+696.6</f>
      </c>
      <c r="AC186" s="163">
        <v>2880</v>
      </c>
      <c r="AD186" s="120">
        <f t="shared" si="7"/>
      </c>
      <c r="AE186" s="125" t="s">
        <v>121</v>
      </c>
      <c r="AF186" s="126" t="s">
        <v>122</v>
      </c>
      <c r="AG186" s="127">
        <v>7</v>
      </c>
      <c r="AH186" s="128">
        <v>93924</v>
      </c>
      <c r="AI186" s="128">
        <v>1014</v>
      </c>
      <c r="AJ186" s="128">
        <v>1113</v>
      </c>
      <c r="AK186" s="129">
        <v>263</v>
      </c>
      <c r="AL186" s="129">
        <v>306</v>
      </c>
    </row>
    <row r="187">
      <c r="A187" s="108"/>
      <c r="B187" s="109" t="s">
        <v>143</v>
      </c>
      <c r="C187" s="110" t="s">
        <v>125</v>
      </c>
      <c r="D187" s="111">
        <f t="shared" si="319"/>
      </c>
      <c r="E187" s="110">
        <v>290.24</v>
      </c>
      <c r="F187" s="113">
        <v>5160.51</v>
      </c>
      <c r="G187" s="113">
        <v>2464.97</v>
      </c>
      <c r="H187" s="113">
        <v>0</v>
      </c>
      <c r="I187" s="113">
        <f t="shared" si="448"/>
      </c>
      <c r="J187" s="114">
        <f>679+1594.08+626+1320.84</f>
      </c>
      <c r="K187" s="115">
        <f t="shared" si="61"/>
      </c>
      <c r="L187" s="115">
        <f t="shared" si="190"/>
      </c>
      <c r="M187" s="116">
        <f t="shared" si="613"/>
      </c>
      <c r="N187" s="117">
        <f t="shared" si="643"/>
      </c>
      <c r="O187" s="118">
        <f t="shared" si="553"/>
      </c>
      <c r="P187" s="119">
        <f t="shared" si="583"/>
      </c>
      <c r="Q187" s="119">
        <f t="shared" si="763"/>
      </c>
      <c r="R187" s="119">
        <f t="shared" si="793"/>
      </c>
      <c r="S187" s="120">
        <f t="shared" si="673"/>
      </c>
      <c r="T187" s="121">
        <f t="shared" si="703"/>
      </c>
      <c r="U187" s="119">
        <f t="shared" si="982"/>
      </c>
      <c r="V187" s="122">
        <f t="shared" si="733"/>
      </c>
      <c r="W187" s="122">
        <f t="shared" si="1012"/>
      </c>
      <c r="X187" s="119">
        <f t="shared" si="823"/>
      </c>
      <c r="Y187" s="123">
        <f t="shared" si="877"/>
      </c>
      <c r="Z187" s="123">
        <v>9</v>
      </c>
      <c r="AA187" s="123">
        <v>7</v>
      </c>
      <c r="AB187" s="124">
        <v>8619.23999999999</v>
      </c>
      <c r="AC187" s="124">
        <v>1305</v>
      </c>
      <c r="AD187" s="120">
        <f t="shared" si="7"/>
      </c>
      <c r="AE187" s="125" t="s">
        <v>121</v>
      </c>
      <c r="AF187" s="126" t="s">
        <v>122</v>
      </c>
      <c r="AG187" s="127">
        <v>7</v>
      </c>
      <c r="AH187" s="128">
        <v>54411</v>
      </c>
      <c r="AI187" s="128">
        <v>758</v>
      </c>
      <c r="AJ187" s="128">
        <v>809</v>
      </c>
      <c r="AK187" s="129">
        <v>208</v>
      </c>
      <c r="AL187" s="129">
        <v>237</v>
      </c>
    </row>
    <row r="188">
      <c r="A188" s="108"/>
      <c r="B188" s="109" t="s">
        <v>143</v>
      </c>
      <c r="C188" s="110" t="s">
        <v>126</v>
      </c>
      <c r="D188" s="111">
        <f t="shared" si="319"/>
      </c>
      <c r="E188" s="112">
        <v>529.09</v>
      </c>
      <c r="F188" s="113">
        <v>3242.55</v>
      </c>
      <c r="G188" s="113">
        <v>2113.2</v>
      </c>
      <c r="H188" s="113">
        <v>0</v>
      </c>
      <c r="I188" s="113">
        <f t="shared" si="448"/>
      </c>
      <c r="J188" s="114">
        <v>0</v>
      </c>
      <c r="K188" s="115">
        <f t="shared" si="61"/>
      </c>
      <c r="L188" s="115">
        <f t="shared" si="190"/>
      </c>
      <c r="M188" s="116">
        <f t="shared" si="613"/>
      </c>
      <c r="N188" s="117">
        <f t="shared" si="643"/>
      </c>
      <c r="O188" s="118">
        <f t="shared" si="553"/>
      </c>
      <c r="P188" s="119">
        <f t="shared" si="583"/>
      </c>
      <c r="Q188" s="119">
        <f t="shared" si="763"/>
      </c>
      <c r="R188" s="119">
        <f t="shared" si="793"/>
      </c>
      <c r="S188" s="120">
        <f t="shared" si="673"/>
      </c>
      <c r="T188" s="121">
        <f t="shared" si="703"/>
      </c>
      <c r="U188" s="119">
        <f t="shared" si="982"/>
      </c>
      <c r="V188" s="122">
        <f t="shared" si="733"/>
      </c>
      <c r="W188" s="122">
        <f t="shared" si="1012"/>
      </c>
      <c r="X188" s="119">
        <f t="shared" si="823"/>
      </c>
      <c r="Y188" s="123">
        <f t="shared" si="877"/>
      </c>
      <c r="Z188" s="123">
        <v>0</v>
      </c>
      <c r="AA188" s="123">
        <v>10</v>
      </c>
      <c r="AB188" s="124">
        <f>12831.48+1736.64</f>
      </c>
      <c r="AC188" s="124">
        <v>0</v>
      </c>
      <c r="AD188" s="120">
        <f t="shared" si="7"/>
      </c>
      <c r="AE188" s="125" t="s">
        <v>121</v>
      </c>
      <c r="AF188" s="126" t="s">
        <v>122</v>
      </c>
      <c r="AG188" s="127">
        <v>6</v>
      </c>
      <c r="AH188" s="128">
        <v>34382</v>
      </c>
      <c r="AI188" s="128">
        <v>611</v>
      </c>
      <c r="AJ188" s="128">
        <v>731</v>
      </c>
      <c r="AK188" s="127">
        <v>134</v>
      </c>
      <c r="AL188" s="127">
        <v>171</v>
      </c>
    </row>
    <row r="189">
      <c r="A189" s="108"/>
      <c r="B189" s="130" t="s">
        <v>127</v>
      </c>
      <c r="C189" s="131">
        <v>5</v>
      </c>
      <c r="D189" s="132">
        <f>SUM(D184:D188)</f>
      </c>
      <c r="E189" s="132">
        <f>SUM(E184:E188)</f>
      </c>
      <c r="F189" s="132">
        <f>SUM(F184:F188)</f>
      </c>
      <c r="G189" s="132">
        <f>SUM(G184:G188)</f>
      </c>
      <c r="H189" s="132">
        <f>SUM(H184:H188)</f>
      </c>
      <c r="I189" s="132">
        <f>SUM(I184:I188)</f>
      </c>
      <c r="J189" s="132">
        <f>SUM(J184:J188)</f>
      </c>
      <c r="K189" s="132">
        <f>SUM(K184:K188)</f>
      </c>
      <c r="L189" s="132">
        <f>SUM(L184:L188)</f>
      </c>
      <c r="M189" s="133">
        <f t="shared" si="613"/>
      </c>
      <c r="N189" s="134">
        <f t="shared" si="643"/>
      </c>
      <c r="O189" s="134">
        <f t="shared" si="553"/>
      </c>
      <c r="P189" s="135">
        <f t="shared" si="583"/>
      </c>
      <c r="Q189" s="135">
        <f t="shared" si="763"/>
      </c>
      <c r="R189" s="135">
        <f t="shared" si="793"/>
      </c>
      <c r="S189" s="136">
        <f t="shared" si="673"/>
      </c>
      <c r="T189" s="136">
        <f t="shared" si="703"/>
      </c>
      <c r="U189" s="135">
        <f t="shared" si="982"/>
      </c>
      <c r="V189" s="136">
        <f t="shared" si="733"/>
      </c>
      <c r="W189" s="136">
        <f t="shared" si="1012"/>
      </c>
      <c r="X189" s="135">
        <f t="shared" si="823"/>
      </c>
      <c r="Y189" s="132">
        <f>SUM(Y184:Y188)</f>
      </c>
      <c r="Z189" s="132">
        <f>SUM(Z184:Z188)</f>
      </c>
      <c r="AA189" s="132">
        <f>SUM(AA184:AA188)</f>
      </c>
      <c r="AB189" s="132">
        <f>SUM(AB184:AB188)</f>
      </c>
      <c r="AC189" s="132">
        <f>SUM(AC184:AC188)</f>
      </c>
      <c r="AD189" s="137">
        <f t="shared" si="7"/>
      </c>
      <c r="AE189" s="138"/>
      <c r="AF189" s="139"/>
      <c r="AG189" s="132">
        <f>SUM(AG184:AG188)</f>
      </c>
      <c r="AH189" s="132">
        <f>SUM(AH184:AH188)</f>
      </c>
      <c r="AI189" s="132">
        <f>SUM(AI184:AI188)</f>
      </c>
      <c r="AJ189" s="132">
        <f>SUM(AJ184:AJ188)</f>
      </c>
      <c r="AK189" s="132">
        <f>SUM(AK184:AK188)</f>
      </c>
      <c r="AL189" s="132">
        <f>SUM(AL184:AL188)</f>
      </c>
    </row>
    <row r="190">
      <c r="A190" s="108"/>
      <c r="B190" s="109" t="s">
        <v>128</v>
      </c>
      <c r="C190" s="110" t="s">
        <v>129</v>
      </c>
      <c r="D190" s="111">
        <f t="shared" ref="D190:D194" si="320">E190+F190+G190+H190</f>
      </c>
      <c r="E190" s="112">
        <v>360.07</v>
      </c>
      <c r="F190" s="113">
        <v>2510.26</v>
      </c>
      <c r="G190" s="113">
        <v>2563.29</v>
      </c>
      <c r="H190" s="113">
        <v>0</v>
      </c>
      <c r="I190" s="113">
        <f t="shared" ref="I190:I194" si="449">AB190+AC190</f>
      </c>
      <c r="J190" s="114">
        <v>1109.16</v>
      </c>
      <c r="K190" s="115">
        <f t="shared" ref="K190:K194" si="62">I190-J190</f>
      </c>
      <c r="L190" s="115">
        <f t="shared" ref="L190:L194" si="191">(I190-AC190)/12+AC190</f>
      </c>
      <c r="M190" s="116">
        <f t="shared" si="613"/>
      </c>
      <c r="N190" s="117">
        <f t="shared" si="643"/>
      </c>
      <c r="O190" s="118">
        <f t="shared" si="553"/>
      </c>
      <c r="P190" s="119">
        <f t="shared" si="583"/>
      </c>
      <c r="Q190" s="119">
        <f t="shared" si="763"/>
      </c>
      <c r="R190" s="119">
        <f t="shared" si="793"/>
      </c>
      <c r="S190" s="120">
        <f t="shared" si="673"/>
      </c>
      <c r="T190" s="121">
        <f t="shared" si="703"/>
      </c>
      <c r="U190" s="119">
        <f t="shared" si="982"/>
      </c>
      <c r="V190" s="122">
        <f t="shared" si="733"/>
      </c>
      <c r="W190" s="122">
        <f t="shared" si="1012"/>
      </c>
      <c r="X190" s="119">
        <f t="shared" si="823"/>
      </c>
      <c r="Y190" s="123">
        <f t="shared" ref="Y190:Y194" si="878">Z190+AA190</f>
      </c>
      <c r="Z190" s="123">
        <v>6</v>
      </c>
      <c r="AA190" s="123">
        <v>5</v>
      </c>
      <c r="AB190" s="124">
        <v>10058.879999999997</v>
      </c>
      <c r="AC190" s="124">
        <v>449</v>
      </c>
      <c r="AD190" s="120">
        <f t="shared" si="7"/>
      </c>
      <c r="AE190" s="125" t="s">
        <v>121</v>
      </c>
      <c r="AF190" s="126" t="s">
        <v>122</v>
      </c>
      <c r="AG190" s="127">
        <v>3</v>
      </c>
      <c r="AH190" s="128">
        <v>28747</v>
      </c>
      <c r="AI190" s="128">
        <v>573</v>
      </c>
      <c r="AJ190" s="128">
        <v>624</v>
      </c>
      <c r="AK190" s="127">
        <v>138</v>
      </c>
      <c r="AL190" s="127">
        <v>171</v>
      </c>
    </row>
    <row r="191">
      <c r="A191" s="108"/>
      <c r="B191" s="109" t="s">
        <v>128</v>
      </c>
      <c r="C191" s="110" t="s">
        <v>130</v>
      </c>
      <c r="D191" s="111">
        <f t="shared" si="320"/>
      </c>
      <c r="E191" s="110">
        <v>405.17</v>
      </c>
      <c r="F191" s="113">
        <v>2415.89</v>
      </c>
      <c r="G191" s="113">
        <v>2448.52</v>
      </c>
      <c r="H191" s="113">
        <v>0</v>
      </c>
      <c r="I191" s="113">
        <f t="shared" si="449"/>
      </c>
      <c r="J191" s="162">
        <f>1053.72+349.8+2918.16</f>
      </c>
      <c r="K191" s="115">
        <f t="shared" si="62"/>
      </c>
      <c r="L191" s="115">
        <f t="shared" si="191"/>
      </c>
      <c r="M191" s="116">
        <f t="shared" si="613"/>
      </c>
      <c r="N191" s="117">
        <f t="shared" si="643"/>
      </c>
      <c r="O191" s="118">
        <f t="shared" si="553"/>
      </c>
      <c r="P191" s="119">
        <f t="shared" si="583"/>
      </c>
      <c r="Q191" s="119">
        <f t="shared" si="763"/>
      </c>
      <c r="R191" s="119">
        <f t="shared" si="793"/>
      </c>
      <c r="S191" s="120">
        <f t="shared" si="673"/>
      </c>
      <c r="T191" s="121">
        <f t="shared" si="703"/>
      </c>
      <c r="U191" s="119">
        <f t="shared" si="982"/>
      </c>
      <c r="V191" s="122">
        <f t="shared" si="733"/>
      </c>
      <c r="W191" s="122">
        <f t="shared" si="1012"/>
      </c>
      <c r="X191" s="119">
        <f t="shared" si="823"/>
      </c>
      <c r="Y191" s="123">
        <f t="shared" si="878"/>
      </c>
      <c r="Z191" s="123">
        <v>1</v>
      </c>
      <c r="AA191" s="123">
        <v>4</v>
      </c>
      <c r="AB191" s="124">
        <v>5448.119999999988</v>
      </c>
      <c r="AC191" s="124">
        <v>2545</v>
      </c>
      <c r="AD191" s="120">
        <f t="shared" si="7"/>
      </c>
      <c r="AE191" s="125" t="s">
        <v>121</v>
      </c>
      <c r="AF191" s="126" t="s">
        <v>122</v>
      </c>
      <c r="AG191" s="127">
        <v>2</v>
      </c>
      <c r="AH191" s="128">
        <v>33676</v>
      </c>
      <c r="AI191" s="128">
        <v>625</v>
      </c>
      <c r="AJ191" s="128">
        <v>643</v>
      </c>
      <c r="AK191" s="129">
        <v>152</v>
      </c>
      <c r="AL191" s="129">
        <v>166</v>
      </c>
    </row>
    <row r="192">
      <c r="A192" s="108"/>
      <c r="B192" s="109" t="s">
        <v>128</v>
      </c>
      <c r="C192" s="110" t="s">
        <v>131</v>
      </c>
      <c r="D192" s="111">
        <f t="shared" si="320"/>
      </c>
      <c r="E192" s="110">
        <v>305.78</v>
      </c>
      <c r="F192" s="110">
        <v>2909.81</v>
      </c>
      <c r="G192" s="113">
        <v>3661.94</v>
      </c>
      <c r="H192" s="113">
        <v>0</v>
      </c>
      <c r="I192" s="113">
        <f t="shared" si="449"/>
      </c>
      <c r="J192" s="114">
        <f>1871.64+1797.12+1235.4+400.2+2059.56</f>
      </c>
      <c r="K192" s="115">
        <f t="shared" si="62"/>
      </c>
      <c r="L192" s="115">
        <f t="shared" si="191"/>
      </c>
      <c r="M192" s="116">
        <f t="shared" si="613"/>
      </c>
      <c r="N192" s="117">
        <f t="shared" si="643"/>
      </c>
      <c r="O192" s="118">
        <f t="shared" si="553"/>
      </c>
      <c r="P192" s="119">
        <f t="shared" si="583"/>
      </c>
      <c r="Q192" s="119">
        <f t="shared" si="763"/>
      </c>
      <c r="R192" s="119">
        <f t="shared" si="793"/>
      </c>
      <c r="S192" s="120">
        <f t="shared" si="673"/>
      </c>
      <c r="T192" s="121">
        <f t="shared" si="703"/>
      </c>
      <c r="U192" s="119">
        <f t="shared" si="982"/>
      </c>
      <c r="V192" s="122">
        <f t="shared" si="733"/>
      </c>
      <c r="W192" s="122">
        <f t="shared" si="1012"/>
      </c>
      <c r="X192" s="119">
        <f t="shared" si="823"/>
      </c>
      <c r="Y192" s="123">
        <f t="shared" si="878"/>
      </c>
      <c r="Z192" s="123">
        <v>14</v>
      </c>
      <c r="AA192" s="123">
        <v>8</v>
      </c>
      <c r="AB192" s="124">
        <v>14453.040000000015</v>
      </c>
      <c r="AC192" s="124">
        <v>0</v>
      </c>
      <c r="AD192" s="120">
        <f t="shared" si="7"/>
      </c>
      <c r="AE192" s="125" t="s">
        <v>121</v>
      </c>
      <c r="AF192" s="126" t="s">
        <v>122</v>
      </c>
      <c r="AG192" s="129">
        <v>6</v>
      </c>
      <c r="AH192" s="128">
        <v>40275</v>
      </c>
      <c r="AI192" s="128">
        <v>749</v>
      </c>
      <c r="AJ192" s="128">
        <v>802</v>
      </c>
      <c r="AK192" s="129">
        <v>183</v>
      </c>
      <c r="AL192" s="129">
        <v>204</v>
      </c>
    </row>
    <row r="193">
      <c r="A193" s="108"/>
      <c r="B193" s="109" t="s">
        <v>128</v>
      </c>
      <c r="C193" s="110" t="s">
        <v>132</v>
      </c>
      <c r="D193" s="111">
        <f t="shared" si="320"/>
      </c>
      <c r="E193" s="110">
        <v>312.36</v>
      </c>
      <c r="F193" s="113">
        <v>2695.23</v>
      </c>
      <c r="G193" s="113">
        <v>3607.16</v>
      </c>
      <c r="H193" s="113">
        <v>0</v>
      </c>
      <c r="I193" s="113">
        <f t="shared" si="449"/>
      </c>
      <c r="J193" s="114">
        <f>534.6+1128.6</f>
      </c>
      <c r="K193" s="115">
        <f t="shared" si="62"/>
      </c>
      <c r="L193" s="115">
        <f t="shared" si="191"/>
      </c>
      <c r="M193" s="116">
        <f t="shared" si="613"/>
      </c>
      <c r="N193" s="117">
        <f t="shared" si="643"/>
      </c>
      <c r="O193" s="118">
        <f t="shared" si="553"/>
      </c>
      <c r="P193" s="119">
        <f t="shared" si="583"/>
      </c>
      <c r="Q193" s="119">
        <f t="shared" si="763"/>
      </c>
      <c r="R193" s="119">
        <f t="shared" si="793"/>
      </c>
      <c r="S193" s="120">
        <f t="shared" si="673"/>
      </c>
      <c r="T193" s="121">
        <f t="shared" si="703"/>
      </c>
      <c r="U193" s="119">
        <f t="shared" si="982"/>
      </c>
      <c r="V193" s="122">
        <f t="shared" si="733"/>
      </c>
      <c r="W193" s="122">
        <f t="shared" si="1012"/>
      </c>
      <c r="X193" s="119">
        <f t="shared" si="823"/>
      </c>
      <c r="Y193" s="123">
        <f t="shared" si="878"/>
      </c>
      <c r="Z193" s="123">
        <v>1</v>
      </c>
      <c r="AA193" s="123">
        <v>9</v>
      </c>
      <c r="AB193" s="114">
        <v>9736.19999999999</v>
      </c>
      <c r="AC193" s="124">
        <v>0</v>
      </c>
      <c r="AD193" s="120">
        <f t="shared" si="7"/>
      </c>
      <c r="AE193" s="125" t="s">
        <v>121</v>
      </c>
      <c r="AF193" s="126" t="s">
        <v>122</v>
      </c>
      <c r="AG193" s="127">
        <v>9</v>
      </c>
      <c r="AH193" s="128">
        <v>50079</v>
      </c>
      <c r="AI193" s="128">
        <v>729</v>
      </c>
      <c r="AJ193" s="128">
        <v>762</v>
      </c>
      <c r="AK193" s="129">
        <v>161</v>
      </c>
      <c r="AL193" s="129">
        <v>197</v>
      </c>
    </row>
    <row r="194">
      <c r="A194" s="108"/>
      <c r="B194" s="109" t="s">
        <v>128</v>
      </c>
      <c r="C194" s="110" t="s">
        <v>134</v>
      </c>
      <c r="D194" s="111">
        <f t="shared" si="320"/>
      </c>
      <c r="E194" s="110">
        <v>420.12</v>
      </c>
      <c r="F194" s="140">
        <v>2009.3</v>
      </c>
      <c r="G194" s="113">
        <v>4011.12</v>
      </c>
      <c r="H194" s="113">
        <v>0</v>
      </c>
      <c r="I194" s="113">
        <f t="shared" si="449"/>
      </c>
      <c r="J194" s="160">
        <f>718.2+676.08</f>
      </c>
      <c r="K194" s="115">
        <f t="shared" si="62"/>
      </c>
      <c r="L194" s="115">
        <f t="shared" si="191"/>
      </c>
      <c r="M194" s="116">
        <f t="shared" si="613"/>
      </c>
      <c r="N194" s="117">
        <f t="shared" si="643"/>
      </c>
      <c r="O194" s="118">
        <f t="shared" si="553"/>
      </c>
      <c r="P194" s="119">
        <f t="shared" si="583"/>
      </c>
      <c r="Q194" s="119">
        <f t="shared" si="763"/>
      </c>
      <c r="R194" s="119">
        <f t="shared" si="793"/>
      </c>
      <c r="S194" s="120">
        <f t="shared" si="673"/>
      </c>
      <c r="T194" s="121">
        <f t="shared" si="703"/>
      </c>
      <c r="U194" s="119">
        <f t="shared" si="982"/>
      </c>
      <c r="V194" s="122">
        <f t="shared" si="733"/>
      </c>
      <c r="W194" s="122">
        <f t="shared" si="1012"/>
      </c>
      <c r="X194" s="119">
        <f t="shared" si="823"/>
      </c>
      <c r="Y194" s="123">
        <f t="shared" si="878"/>
      </c>
      <c r="Z194" s="123">
        <v>2</v>
      </c>
      <c r="AA194" s="123">
        <v>8</v>
      </c>
      <c r="AB194" s="124">
        <v>11789.28000000002</v>
      </c>
      <c r="AC194" s="124">
        <v>1223</v>
      </c>
      <c r="AD194" s="120">
        <f t="shared" si="7"/>
      </c>
      <c r="AE194" s="125" t="s">
        <v>121</v>
      </c>
      <c r="AF194" s="126" t="s">
        <v>122</v>
      </c>
      <c r="AG194" s="127">
        <v>8</v>
      </c>
      <c r="AH194" s="128">
        <v>48903</v>
      </c>
      <c r="AI194" s="128">
        <v>768</v>
      </c>
      <c r="AJ194" s="128">
        <v>820</v>
      </c>
      <c r="AK194" s="129">
        <v>159</v>
      </c>
      <c r="AL194" s="129">
        <v>234</v>
      </c>
    </row>
    <row r="195">
      <c r="A195" s="108"/>
      <c r="B195" s="130" t="s">
        <v>127</v>
      </c>
      <c r="C195" s="131">
        <v>5</v>
      </c>
      <c r="D195" s="132">
        <f>SUM(D190:D194)</f>
      </c>
      <c r="E195" s="132">
        <f>SUM(E190:E194)</f>
      </c>
      <c r="F195" s="132">
        <f>SUM(F190:F194)</f>
      </c>
      <c r="G195" s="132">
        <f>SUM(G190:G194)</f>
      </c>
      <c r="H195" s="132">
        <f>SUM(H190:H194)</f>
      </c>
      <c r="I195" s="132">
        <f>SUM(I190:I194)</f>
      </c>
      <c r="J195" s="132">
        <f>SUM(J190:J194)</f>
      </c>
      <c r="K195" s="132">
        <f>SUM(K190:K194)</f>
      </c>
      <c r="L195" s="132">
        <f>SUM(L190:L194)</f>
      </c>
      <c r="M195" s="133">
        <f t="shared" si="613"/>
      </c>
      <c r="N195" s="134">
        <f t="shared" si="643"/>
      </c>
      <c r="O195" s="134">
        <f t="shared" si="553"/>
      </c>
      <c r="P195" s="135">
        <f t="shared" si="583"/>
      </c>
      <c r="Q195" s="135">
        <f t="shared" si="763"/>
      </c>
      <c r="R195" s="135">
        <f t="shared" si="793"/>
      </c>
      <c r="S195" s="136">
        <f t="shared" si="673"/>
      </c>
      <c r="T195" s="136">
        <f t="shared" si="703"/>
      </c>
      <c r="U195" s="135">
        <f t="shared" si="982"/>
      </c>
      <c r="V195" s="136">
        <f t="shared" si="733"/>
      </c>
      <c r="W195" s="136">
        <f t="shared" si="1012"/>
      </c>
      <c r="X195" s="135">
        <f t="shared" si="823"/>
      </c>
      <c r="Y195" s="132">
        <f>SUM(Y190:Y194)</f>
      </c>
      <c r="Z195" s="132">
        <f>SUM(Z190:Z194)</f>
      </c>
      <c r="AA195" s="132">
        <f>SUM(AA190:AA194)</f>
      </c>
      <c r="AB195" s="132">
        <f>SUM(AB190:AB194)</f>
      </c>
      <c r="AC195" s="132">
        <f>SUM(AC190:AC194)</f>
      </c>
      <c r="AD195" s="137">
        <f t="shared" si="7"/>
      </c>
      <c r="AE195" s="138"/>
      <c r="AF195" s="139"/>
      <c r="AG195" s="132">
        <f>SUM(AG190:AG194)</f>
      </c>
      <c r="AH195" s="132">
        <f>SUM(AH190:AH194)</f>
      </c>
      <c r="AI195" s="132">
        <f>SUM(AI190:AI194)</f>
      </c>
      <c r="AJ195" s="132">
        <f>SUM(AJ190:AJ194)</f>
      </c>
      <c r="AK195" s="132">
        <f>SUM(AK190:AK194)</f>
      </c>
      <c r="AL195" s="132">
        <f>SUM(AL190:AL194)</f>
      </c>
    </row>
    <row r="196">
      <c r="A196" s="108"/>
      <c r="B196" s="109" t="s">
        <v>139</v>
      </c>
      <c r="C196" s="110" t="s">
        <v>135</v>
      </c>
      <c r="D196" s="111">
        <f t="shared" ref="D196:D200" si="321">E196+F196+G196+H196</f>
      </c>
      <c r="E196" s="110">
        <v>618.92</v>
      </c>
      <c r="F196" s="140">
        <v>2258.67</v>
      </c>
      <c r="G196" s="113">
        <v>4121.35</v>
      </c>
      <c r="H196" s="113">
        <v>0</v>
      </c>
      <c r="I196" s="113">
        <f t="shared" ref="I196:I200" si="450">AB196+AC196</f>
      </c>
      <c r="J196" s="160">
        <v>894.24</v>
      </c>
      <c r="K196" s="115">
        <f t="shared" ref="K196:K200" si="63">I196-J196</f>
      </c>
      <c r="L196" s="115">
        <f t="shared" ref="L196:L200" si="192">(I196-AC196)/12+AC196</f>
      </c>
      <c r="M196" s="116">
        <f t="shared" si="613"/>
      </c>
      <c r="N196" s="117">
        <f t="shared" si="643"/>
      </c>
      <c r="O196" s="118">
        <f t="shared" si="553"/>
      </c>
      <c r="P196" s="119">
        <f t="shared" si="583"/>
      </c>
      <c r="Q196" s="119">
        <f t="shared" si="763"/>
      </c>
      <c r="R196" s="119">
        <f t="shared" si="793"/>
      </c>
      <c r="S196" s="120">
        <f t="shared" si="673"/>
      </c>
      <c r="T196" s="121">
        <f t="shared" si="703"/>
      </c>
      <c r="U196" s="119">
        <f t="shared" si="982"/>
      </c>
      <c r="V196" s="122">
        <f t="shared" si="733"/>
      </c>
      <c r="W196" s="122">
        <f t="shared" si="1012"/>
      </c>
      <c r="X196" s="119">
        <f t="shared" si="823"/>
      </c>
      <c r="Y196" s="123">
        <f t="shared" ref="Y196:Y200" si="879">Z196+AA196</f>
      </c>
      <c r="Z196" s="123">
        <v>2</v>
      </c>
      <c r="AA196" s="123">
        <v>6</v>
      </c>
      <c r="AB196" s="124">
        <v>9246.959999999985</v>
      </c>
      <c r="AC196" s="124">
        <v>0</v>
      </c>
      <c r="AD196" s="120">
        <f t="shared" si="7"/>
      </c>
      <c r="AE196" s="125" t="s">
        <v>121</v>
      </c>
      <c r="AF196" s="126" t="s">
        <v>137</v>
      </c>
      <c r="AG196" s="127">
        <v>5</v>
      </c>
      <c r="AH196" s="128">
        <v>61616</v>
      </c>
      <c r="AI196" s="128">
        <v>847</v>
      </c>
      <c r="AJ196" s="128">
        <v>920</v>
      </c>
      <c r="AK196" s="129">
        <v>157</v>
      </c>
      <c r="AL196" s="129">
        <v>196</v>
      </c>
    </row>
    <row r="197">
      <c r="A197" s="108"/>
      <c r="B197" s="109" t="s">
        <v>139</v>
      </c>
      <c r="C197" s="110" t="s">
        <v>138</v>
      </c>
      <c r="D197" s="111">
        <f t="shared" si="321"/>
      </c>
      <c r="E197" s="141">
        <v>490.6</v>
      </c>
      <c r="F197" s="142">
        <v>2754.04</v>
      </c>
      <c r="G197" s="113">
        <v>5699.55</v>
      </c>
      <c r="H197" s="113">
        <v>0</v>
      </c>
      <c r="I197" s="113">
        <f t="shared" si="450"/>
      </c>
      <c r="J197" s="160">
        <f>1736.64+421.68</f>
      </c>
      <c r="K197" s="115">
        <f t="shared" si="63"/>
      </c>
      <c r="L197" s="115">
        <f t="shared" si="192"/>
      </c>
      <c r="M197" s="116">
        <f t="shared" si="613"/>
      </c>
      <c r="N197" s="117">
        <f t="shared" si="643"/>
      </c>
      <c r="O197" s="118">
        <f t="shared" si="553"/>
      </c>
      <c r="P197" s="119">
        <f t="shared" si="583"/>
      </c>
      <c r="Q197" s="119">
        <f t="shared" si="763"/>
      </c>
      <c r="R197" s="119">
        <f t="shared" si="793"/>
      </c>
      <c r="S197" s="120">
        <f t="shared" si="673"/>
      </c>
      <c r="T197" s="121">
        <f t="shared" si="703"/>
      </c>
      <c r="U197" s="119">
        <f t="shared" si="982"/>
      </c>
      <c r="V197" s="122">
        <f t="shared" si="733"/>
      </c>
      <c r="W197" s="122">
        <f t="shared" si="1012"/>
      </c>
      <c r="X197" s="119">
        <f t="shared" si="823"/>
      </c>
      <c r="Y197" s="123">
        <f t="shared" si="879"/>
      </c>
      <c r="Z197" s="123">
        <v>6</v>
      </c>
      <c r="AA197" s="123">
        <v>8</v>
      </c>
      <c r="AB197" s="124">
        <v>8775.480000000003</v>
      </c>
      <c r="AC197" s="124">
        <v>1544.7000000000007</v>
      </c>
      <c r="AD197" s="120">
        <f t="shared" si="7"/>
      </c>
      <c r="AE197" s="125" t="s">
        <v>121</v>
      </c>
      <c r="AF197" s="126" t="s">
        <v>137</v>
      </c>
      <c r="AG197" s="129">
        <v>8</v>
      </c>
      <c r="AH197" s="128">
        <v>91317</v>
      </c>
      <c r="AI197" s="128">
        <v>933</v>
      </c>
      <c r="AJ197" s="128">
        <v>924</v>
      </c>
      <c r="AK197" s="129">
        <v>159</v>
      </c>
      <c r="AL197" s="129">
        <v>230</v>
      </c>
    </row>
    <row r="198">
      <c r="A198" s="108"/>
      <c r="B198" s="109" t="s">
        <v>139</v>
      </c>
      <c r="C198" s="110" t="s">
        <v>140</v>
      </c>
      <c r="D198" s="111">
        <f t="shared" si="321"/>
      </c>
      <c r="E198" s="110">
        <v>618.46</v>
      </c>
      <c r="F198" s="140">
        <v>2359.83</v>
      </c>
      <c r="G198" s="113">
        <v>2669.31</v>
      </c>
      <c r="H198" s="113">
        <v>0</v>
      </c>
      <c r="I198" s="113">
        <f t="shared" si="450"/>
      </c>
      <c r="J198" s="160">
        <f>5850.36+1398</f>
      </c>
      <c r="K198" s="115">
        <f t="shared" si="63"/>
      </c>
      <c r="L198" s="115">
        <f t="shared" si="192"/>
      </c>
      <c r="M198" s="116">
        <f t="shared" si="613"/>
      </c>
      <c r="N198" s="117">
        <f t="shared" si="643"/>
      </c>
      <c r="O198" s="118">
        <f t="shared" si="553"/>
      </c>
      <c r="P198" s="119">
        <f t="shared" si="583"/>
      </c>
      <c r="Q198" s="119">
        <f t="shared" si="763"/>
      </c>
      <c r="R198" s="119">
        <f t="shared" si="793"/>
      </c>
      <c r="S198" s="120">
        <f t="shared" si="673"/>
      </c>
      <c r="T198" s="121">
        <f t="shared" si="703"/>
      </c>
      <c r="U198" s="119">
        <f t="shared" si="982"/>
      </c>
      <c r="V198" s="122">
        <f t="shared" si="733"/>
      </c>
      <c r="W198" s="122">
        <f t="shared" si="1012"/>
      </c>
      <c r="X198" s="119">
        <f t="shared" si="823"/>
      </c>
      <c r="Y198" s="123">
        <f t="shared" si="879"/>
      </c>
      <c r="Z198" s="123">
        <v>4</v>
      </c>
      <c r="AA198" s="123">
        <v>6</v>
      </c>
      <c r="AB198" s="124">
        <v>10669.319999999985</v>
      </c>
      <c r="AC198" s="124">
        <v>3943</v>
      </c>
      <c r="AD198" s="120">
        <f t="shared" si="7"/>
      </c>
      <c r="AE198" s="125" t="s">
        <v>121</v>
      </c>
      <c r="AF198" s="126" t="s">
        <v>137</v>
      </c>
      <c r="AG198" s="127">
        <v>5</v>
      </c>
      <c r="AH198" s="128">
        <v>69509</v>
      </c>
      <c r="AI198" s="128">
        <v>973</v>
      </c>
      <c r="AJ198" s="128">
        <v>1037</v>
      </c>
      <c r="AK198" s="129">
        <v>157</v>
      </c>
      <c r="AL198" s="129">
        <v>203</v>
      </c>
    </row>
    <row r="199">
      <c r="A199" s="108"/>
      <c r="B199" s="109" t="s">
        <v>139</v>
      </c>
      <c r="C199" s="141" t="s">
        <v>141</v>
      </c>
      <c r="D199" s="111">
        <f t="shared" si="321"/>
      </c>
      <c r="E199" s="110">
        <v>719.91</v>
      </c>
      <c r="F199" s="140">
        <v>1874.69</v>
      </c>
      <c r="G199" s="113">
        <v>3196.15</v>
      </c>
      <c r="H199" s="113">
        <v>0</v>
      </c>
      <c r="I199" s="113">
        <f t="shared" si="450"/>
      </c>
      <c r="J199" s="160">
        <v>0</v>
      </c>
      <c r="K199" s="115">
        <f t="shared" si="63"/>
      </c>
      <c r="L199" s="115">
        <f t="shared" si="192"/>
      </c>
      <c r="M199" s="116">
        <f t="shared" si="613"/>
      </c>
      <c r="N199" s="117">
        <f t="shared" si="643"/>
      </c>
      <c r="O199" s="118">
        <f t="shared" si="553"/>
      </c>
      <c r="P199" s="119">
        <f t="shared" si="583"/>
      </c>
      <c r="Q199" s="119">
        <f t="shared" si="763"/>
      </c>
      <c r="R199" s="119">
        <f t="shared" si="793"/>
      </c>
      <c r="S199" s="120">
        <f t="shared" si="673"/>
      </c>
      <c r="T199" s="121">
        <f t="shared" si="703"/>
      </c>
      <c r="U199" s="119">
        <f t="shared" si="982"/>
      </c>
      <c r="V199" s="122">
        <f t="shared" si="733"/>
      </c>
      <c r="W199" s="122">
        <f t="shared" si="1012"/>
      </c>
      <c r="X199" s="119">
        <f t="shared" si="823"/>
      </c>
      <c r="Y199" s="123">
        <f t="shared" si="879"/>
      </c>
      <c r="Z199" s="123">
        <v>3</v>
      </c>
      <c r="AA199" s="123">
        <v>2</v>
      </c>
      <c r="AB199" s="124">
        <v>4214.159999999996</v>
      </c>
      <c r="AC199" s="124">
        <v>0</v>
      </c>
      <c r="AD199" s="120">
        <f t="shared" si="7"/>
      </c>
      <c r="AE199" s="125" t="s">
        <v>121</v>
      </c>
      <c r="AF199" s="126" t="s">
        <v>137</v>
      </c>
      <c r="AG199" s="127">
        <v>2</v>
      </c>
      <c r="AH199" s="128">
        <v>64201</v>
      </c>
      <c r="AI199" s="128">
        <v>823</v>
      </c>
      <c r="AJ199" s="128">
        <v>859</v>
      </c>
      <c r="AK199" s="129">
        <v>126</v>
      </c>
      <c r="AL199" s="129">
        <v>166</v>
      </c>
    </row>
    <row r="200">
      <c r="A200" s="108"/>
      <c r="B200" s="109" t="s">
        <v>139</v>
      </c>
      <c r="C200" s="141" t="s">
        <v>142</v>
      </c>
      <c r="D200" s="111">
        <f t="shared" si="321"/>
      </c>
      <c r="E200" s="110">
        <v>693.4</v>
      </c>
      <c r="F200" s="140">
        <v>2845.09</v>
      </c>
      <c r="G200" s="113">
        <v>1847.64</v>
      </c>
      <c r="H200" s="113">
        <v>0</v>
      </c>
      <c r="I200" s="113">
        <f t="shared" si="450"/>
      </c>
      <c r="J200" s="160">
        <v>965.52</v>
      </c>
      <c r="K200" s="115">
        <f t="shared" si="63"/>
      </c>
      <c r="L200" s="115">
        <f t="shared" si="192"/>
      </c>
      <c r="M200" s="116">
        <f t="shared" si="613"/>
      </c>
      <c r="N200" s="117">
        <f t="shared" si="643"/>
      </c>
      <c r="O200" s="118">
        <f t="shared" si="553"/>
      </c>
      <c r="P200" s="119">
        <f t="shared" si="583"/>
      </c>
      <c r="Q200" s="119">
        <f t="shared" si="763"/>
      </c>
      <c r="R200" s="119">
        <f t="shared" si="793"/>
      </c>
      <c r="S200" s="120">
        <f t="shared" si="673"/>
      </c>
      <c r="T200" s="121">
        <f t="shared" si="703"/>
      </c>
      <c r="U200" s="119">
        <f t="shared" si="982"/>
      </c>
      <c r="V200" s="122">
        <f t="shared" si="733"/>
      </c>
      <c r="W200" s="122">
        <f t="shared" si="1012"/>
      </c>
      <c r="X200" s="119">
        <f t="shared" si="823"/>
      </c>
      <c r="Y200" s="123">
        <f t="shared" si="879"/>
      </c>
      <c r="Z200" s="123">
        <v>3</v>
      </c>
      <c r="AA200" s="123">
        <v>3</v>
      </c>
      <c r="AB200" s="124">
        <v>4315.440000000024</v>
      </c>
      <c r="AC200" s="124">
        <v>0</v>
      </c>
      <c r="AD200" s="120">
        <f t="shared" si="7"/>
      </c>
      <c r="AE200" s="125" t="s">
        <v>121</v>
      </c>
      <c r="AF200" s="126" t="s">
        <v>137</v>
      </c>
      <c r="AG200" s="127">
        <v>3</v>
      </c>
      <c r="AH200" s="128">
        <v>52475</v>
      </c>
      <c r="AI200" s="128">
        <v>977</v>
      </c>
      <c r="AJ200" s="128">
        <v>1044</v>
      </c>
      <c r="AK200" s="129">
        <v>137</v>
      </c>
      <c r="AL200" s="129">
        <v>166</v>
      </c>
    </row>
    <row r="201">
      <c r="A201" s="108"/>
      <c r="B201" s="130" t="s">
        <v>127</v>
      </c>
      <c r="C201" s="131">
        <v>5</v>
      </c>
      <c r="D201" s="132">
        <f>SUM(D196:D200)</f>
      </c>
      <c r="E201" s="132">
        <f>SUM(E196:E200)</f>
      </c>
      <c r="F201" s="132">
        <f>SUM(F196:F200)</f>
      </c>
      <c r="G201" s="132">
        <f>SUM(G196:G200)</f>
      </c>
      <c r="H201" s="132">
        <f>SUM(H196:H200)</f>
      </c>
      <c r="I201" s="132">
        <f>SUM(I196:I200)</f>
      </c>
      <c r="J201" s="132">
        <f>SUM(J196:J200)</f>
      </c>
      <c r="K201" s="132">
        <f>SUM(K196:K200)</f>
      </c>
      <c r="L201" s="132">
        <f>SUM(L196:L200)</f>
      </c>
      <c r="M201" s="133">
        <f t="shared" si="613"/>
      </c>
      <c r="N201" s="134">
        <f t="shared" si="643"/>
      </c>
      <c r="O201" s="134">
        <f t="shared" si="553"/>
      </c>
      <c r="P201" s="135">
        <f t="shared" si="583"/>
      </c>
      <c r="Q201" s="135">
        <f t="shared" si="763"/>
      </c>
      <c r="R201" s="135">
        <f t="shared" si="793"/>
      </c>
      <c r="S201" s="136">
        <f t="shared" si="673"/>
      </c>
      <c r="T201" s="136">
        <f t="shared" si="703"/>
      </c>
      <c r="U201" s="135">
        <f t="shared" si="982"/>
      </c>
      <c r="V201" s="136">
        <f t="shared" si="733"/>
      </c>
      <c r="W201" s="136">
        <f t="shared" si="1012"/>
      </c>
      <c r="X201" s="135">
        <f t="shared" si="823"/>
      </c>
      <c r="Y201" s="132">
        <f>SUM(Y196:Y200)</f>
      </c>
      <c r="Z201" s="132">
        <f>SUM(Z196:Z200)</f>
      </c>
      <c r="AA201" s="132">
        <f>SUM(AA196:AA200)</f>
      </c>
      <c r="AB201" s="132">
        <f>SUM(AB196:AB200)</f>
      </c>
      <c r="AC201" s="132">
        <f>SUM(AC196:AC200)</f>
      </c>
      <c r="AD201" s="137">
        <f t="shared" si="7"/>
      </c>
      <c r="AE201" s="138"/>
      <c r="AF201" s="139"/>
      <c r="AG201" s="132">
        <f>SUM(AG196:AG200)</f>
      </c>
      <c r="AH201" s="132">
        <f>SUM(AH196:AH200)</f>
      </c>
      <c r="AI201" s="132">
        <f>SUM(AI196:AI200)</f>
      </c>
      <c r="AJ201" s="132">
        <f>SUM(AJ196:AJ200)</f>
      </c>
      <c r="AK201" s="132">
        <f>SUM(AK196:AK200)</f>
      </c>
      <c r="AL201" s="132">
        <f>SUM(AL196:AL200)</f>
      </c>
    </row>
    <row r="202">
      <c r="A202" s="108"/>
      <c r="B202" s="109" t="s">
        <v>133</v>
      </c>
      <c r="C202" s="141" t="s">
        <v>144</v>
      </c>
      <c r="D202" s="143">
        <f t="shared" ref="D202:D206" si="322">E202+F202+G202+H202</f>
      </c>
      <c r="E202" s="144">
        <v>972.49</v>
      </c>
      <c r="F202" s="145">
        <v>3383.92</v>
      </c>
      <c r="G202" s="113">
        <v>1538.75</v>
      </c>
      <c r="H202" s="113">
        <v>0</v>
      </c>
      <c r="I202" s="113">
        <f t="shared" ref="I202:I206" si="451">AB202+AC202</f>
      </c>
      <c r="J202" s="114">
        <v>411.48</v>
      </c>
      <c r="K202" s="115">
        <f t="shared" ref="K202:K206" si="64">I202-J202</f>
      </c>
      <c r="L202" s="115">
        <f t="shared" ref="L202:L206" si="193">(I202-AC202)/12+AC202</f>
      </c>
      <c r="M202" s="116">
        <f t="shared" si="613"/>
      </c>
      <c r="N202" s="117">
        <f t="shared" si="643"/>
      </c>
      <c r="O202" s="118">
        <f t="shared" si="553"/>
      </c>
      <c r="P202" s="119">
        <f t="shared" si="583"/>
      </c>
      <c r="Q202" s="119">
        <f t="shared" si="763"/>
      </c>
      <c r="R202" s="119">
        <f t="shared" si="793"/>
      </c>
      <c r="S202" s="120">
        <f t="shared" si="673"/>
      </c>
      <c r="T202" s="121">
        <f t="shared" si="703"/>
      </c>
      <c r="U202" s="119">
        <f t="shared" si="982"/>
      </c>
      <c r="V202" s="122">
        <f t="shared" si="733"/>
      </c>
      <c r="W202" s="122">
        <f t="shared" si="1012"/>
      </c>
      <c r="X202" s="119">
        <f t="shared" si="823"/>
      </c>
      <c r="Y202" s="123">
        <f t="shared" ref="Y202:Y206" si="880">Z202+AA202</f>
      </c>
      <c r="Z202" s="123">
        <v>12</v>
      </c>
      <c r="AA202" s="123">
        <v>5</v>
      </c>
      <c r="AB202" s="124">
        <v>5214.239999999983</v>
      </c>
      <c r="AC202" s="124">
        <v>855</v>
      </c>
      <c r="AD202" s="120">
        <f t="shared" si="7"/>
      </c>
      <c r="AE202" s="125" t="s">
        <v>121</v>
      </c>
      <c r="AF202" s="126" t="s">
        <v>137</v>
      </c>
      <c r="AG202" s="127">
        <v>5</v>
      </c>
      <c r="AH202" s="127">
        <v>55075</v>
      </c>
      <c r="AI202" s="128">
        <v>1155</v>
      </c>
      <c r="AJ202" s="128">
        <v>1209</v>
      </c>
      <c r="AK202" s="127">
        <v>168</v>
      </c>
      <c r="AL202" s="129">
        <v>190</v>
      </c>
    </row>
    <row r="203">
      <c r="A203" s="108"/>
      <c r="B203" s="109" t="s">
        <v>133</v>
      </c>
      <c r="C203" s="110" t="s">
        <v>145</v>
      </c>
      <c r="D203" s="143">
        <f t="shared" si="322"/>
      </c>
      <c r="E203" s="147">
        <v>1684.83</v>
      </c>
      <c r="F203" s="145">
        <v>3705.11</v>
      </c>
      <c r="G203" s="113">
        <v>2258.21</v>
      </c>
      <c r="H203" s="113">
        <v>0</v>
      </c>
      <c r="I203" s="113">
        <f t="shared" si="451"/>
      </c>
      <c r="J203" s="114">
        <v>0</v>
      </c>
      <c r="K203" s="115">
        <f t="shared" si="64"/>
      </c>
      <c r="L203" s="115">
        <f t="shared" si="193"/>
      </c>
      <c r="M203" s="116">
        <f t="shared" si="613"/>
      </c>
      <c r="N203" s="117">
        <f t="shared" si="643"/>
      </c>
      <c r="O203" s="118">
        <f t="shared" si="553"/>
      </c>
      <c r="P203" s="119">
        <f t="shared" si="583"/>
      </c>
      <c r="Q203" s="119">
        <f t="shared" si="763"/>
      </c>
      <c r="R203" s="119">
        <f t="shared" si="793"/>
      </c>
      <c r="S203" s="120">
        <f t="shared" si="673"/>
      </c>
      <c r="T203" s="121">
        <f t="shared" si="703"/>
      </c>
      <c r="U203" s="119">
        <f t="shared" si="982"/>
      </c>
      <c r="V203" s="122">
        <f t="shared" si="733"/>
      </c>
      <c r="W203" s="122">
        <f t="shared" si="1012"/>
      </c>
      <c r="X203" s="119">
        <f t="shared" si="823"/>
      </c>
      <c r="Y203" s="123">
        <f t="shared" si="880"/>
      </c>
      <c r="Z203" s="123">
        <v>6</v>
      </c>
      <c r="AA203" s="123">
        <v>7</v>
      </c>
      <c r="AB203" s="124">
        <v>9800.999999999993</v>
      </c>
      <c r="AC203" s="124">
        <v>0</v>
      </c>
      <c r="AD203" s="120">
        <f t="shared" si="7"/>
      </c>
      <c r="AE203" s="125" t="s">
        <v>121</v>
      </c>
      <c r="AF203" s="126" t="s">
        <v>137</v>
      </c>
      <c r="AG203" s="127">
        <v>6</v>
      </c>
      <c r="AH203" s="128">
        <v>63871</v>
      </c>
      <c r="AI203" s="128">
        <v>1677</v>
      </c>
      <c r="AJ203" s="128">
        <v>1743</v>
      </c>
      <c r="AK203" s="129">
        <v>206</v>
      </c>
      <c r="AL203" s="129">
        <v>245</v>
      </c>
    </row>
    <row r="204">
      <c r="A204" s="108"/>
      <c r="B204" s="109" t="s">
        <v>133</v>
      </c>
      <c r="C204" s="141" t="s">
        <v>146</v>
      </c>
      <c r="D204" s="143">
        <f t="shared" si="322"/>
      </c>
      <c r="E204" s="147">
        <v>811.69</v>
      </c>
      <c r="F204" s="147">
        <v>3637.12</v>
      </c>
      <c r="G204" s="113">
        <v>1691.26</v>
      </c>
      <c r="H204" s="113">
        <v>0</v>
      </c>
      <c r="I204" s="113">
        <f t="shared" si="451"/>
      </c>
      <c r="J204" s="114">
        <v>0</v>
      </c>
      <c r="K204" s="115">
        <f t="shared" si="64"/>
      </c>
      <c r="L204" s="115">
        <f t="shared" si="193"/>
      </c>
      <c r="M204" s="116">
        <f t="shared" si="613"/>
      </c>
      <c r="N204" s="117">
        <f t="shared" si="643"/>
      </c>
      <c r="O204" s="118">
        <f t="shared" si="553"/>
      </c>
      <c r="P204" s="119">
        <f t="shared" si="583"/>
      </c>
      <c r="Q204" s="119">
        <f t="shared" si="763"/>
      </c>
      <c r="R204" s="119">
        <f t="shared" si="793"/>
      </c>
      <c r="S204" s="120">
        <f t="shared" si="673"/>
      </c>
      <c r="T204" s="121">
        <f t="shared" si="703"/>
      </c>
      <c r="U204" s="119">
        <f t="shared" si="982"/>
      </c>
      <c r="V204" s="122">
        <f t="shared" si="733"/>
      </c>
      <c r="W204" s="122">
        <f t="shared" si="1012"/>
      </c>
      <c r="X204" s="119">
        <f t="shared" si="823"/>
      </c>
      <c r="Y204" s="123">
        <f t="shared" si="880"/>
      </c>
      <c r="Z204" s="123">
        <v>4</v>
      </c>
      <c r="AA204" s="123">
        <v>1</v>
      </c>
      <c r="AB204" s="124">
        <v>2898.960000000043</v>
      </c>
      <c r="AC204" s="124">
        <v>0</v>
      </c>
      <c r="AD204" s="120">
        <f t="shared" si="7"/>
      </c>
      <c r="AE204" s="125" t="s">
        <v>121</v>
      </c>
      <c r="AF204" s="126" t="s">
        <v>137</v>
      </c>
      <c r="AG204" s="129">
        <v>1</v>
      </c>
      <c r="AH204" s="128">
        <v>51980</v>
      </c>
      <c r="AI204" s="128">
        <v>818</v>
      </c>
      <c r="AJ204" s="128">
        <v>833</v>
      </c>
      <c r="AK204" s="129">
        <v>122</v>
      </c>
      <c r="AL204" s="129">
        <v>160</v>
      </c>
    </row>
    <row r="205">
      <c r="A205" s="108"/>
      <c r="B205" s="109" t="s">
        <v>133</v>
      </c>
      <c r="C205" s="110" t="s">
        <v>147</v>
      </c>
      <c r="D205" s="143">
        <f t="shared" si="322"/>
      </c>
      <c r="E205" s="147">
        <v>492.81</v>
      </c>
      <c r="F205" s="145">
        <v>3508.16</v>
      </c>
      <c r="G205" s="113">
        <v>1015.7</v>
      </c>
      <c r="H205" s="113">
        <v>0</v>
      </c>
      <c r="I205" s="113">
        <f t="shared" si="451"/>
      </c>
      <c r="J205" s="114">
        <v>0</v>
      </c>
      <c r="K205" s="115">
        <f t="shared" si="64"/>
      </c>
      <c r="L205" s="115">
        <f t="shared" si="193"/>
      </c>
      <c r="M205" s="116">
        <f t="shared" si="613"/>
      </c>
      <c r="N205" s="117">
        <f t="shared" si="643"/>
      </c>
      <c r="O205" s="118">
        <f t="shared" si="553"/>
      </c>
      <c r="P205" s="119">
        <f t="shared" si="583"/>
      </c>
      <c r="Q205" s="119">
        <f t="shared" si="763"/>
      </c>
      <c r="R205" s="119">
        <f t="shared" si="793"/>
      </c>
      <c r="S205" s="120">
        <f t="shared" si="673"/>
      </c>
      <c r="T205" s="121">
        <f t="shared" si="703"/>
      </c>
      <c r="U205" s="119">
        <f t="shared" si="982"/>
      </c>
      <c r="V205" s="122">
        <f t="shared" si="733"/>
      </c>
      <c r="W205" s="122">
        <f t="shared" si="1012"/>
      </c>
      <c r="X205" s="119">
        <f t="shared" si="823"/>
      </c>
      <c r="Y205" s="123">
        <f t="shared" si="880"/>
      </c>
      <c r="Z205" s="123">
        <v>7</v>
      </c>
      <c r="AA205" s="123">
        <v>3</v>
      </c>
      <c r="AB205" s="124">
        <v>5260.68</v>
      </c>
      <c r="AC205" s="124">
        <v>0</v>
      </c>
      <c r="AD205" s="120">
        <f t="shared" si="7"/>
      </c>
      <c r="AE205" s="125" t="s">
        <v>121</v>
      </c>
      <c r="AF205" s="126" t="s">
        <v>137</v>
      </c>
      <c r="AG205" s="127">
        <v>3</v>
      </c>
      <c r="AH205" s="128">
        <v>54004</v>
      </c>
      <c r="AI205" s="128">
        <v>912</v>
      </c>
      <c r="AJ205" s="128">
        <v>1009</v>
      </c>
      <c r="AK205" s="129">
        <v>141</v>
      </c>
      <c r="AL205" s="129">
        <v>174</v>
      </c>
    </row>
    <row r="206">
      <c r="A206" s="108"/>
      <c r="B206" s="109" t="s">
        <v>133</v>
      </c>
      <c r="C206" s="110" t="s">
        <v>148</v>
      </c>
      <c r="D206" s="143">
        <f t="shared" si="322"/>
      </c>
      <c r="E206" s="147">
        <v>174.04</v>
      </c>
      <c r="F206" s="145">
        <v>2167.68</v>
      </c>
      <c r="G206" s="113">
        <v>440.09</v>
      </c>
      <c r="H206" s="113">
        <v>0</v>
      </c>
      <c r="I206" s="113">
        <f t="shared" si="451"/>
      </c>
      <c r="J206" s="114">
        <v>0</v>
      </c>
      <c r="K206" s="115">
        <f t="shared" si="64"/>
      </c>
      <c r="L206" s="115">
        <f t="shared" si="193"/>
      </c>
      <c r="M206" s="116">
        <f t="shared" si="613"/>
      </c>
      <c r="N206" s="117">
        <f t="shared" si="643"/>
      </c>
      <c r="O206" s="118">
        <f t="shared" si="553"/>
      </c>
      <c r="P206" s="119">
        <f t="shared" si="583"/>
      </c>
      <c r="Q206" s="119">
        <f t="shared" si="763"/>
      </c>
      <c r="R206" s="119">
        <f t="shared" si="793"/>
      </c>
      <c r="S206" s="120">
        <f t="shared" si="673"/>
      </c>
      <c r="T206" s="121">
        <f t="shared" si="703"/>
      </c>
      <c r="U206" s="119">
        <f t="shared" si="982"/>
      </c>
      <c r="V206" s="122">
        <f t="shared" si="733"/>
      </c>
      <c r="W206" s="122">
        <f t="shared" si="1012"/>
      </c>
      <c r="X206" s="119">
        <f t="shared" si="823"/>
      </c>
      <c r="Y206" s="123">
        <f t="shared" si="880"/>
      </c>
      <c r="Z206" s="123">
        <v>4</v>
      </c>
      <c r="AA206" s="123">
        <v>5</v>
      </c>
      <c r="AB206" s="124">
        <v>13481.64</v>
      </c>
      <c r="AC206" s="124">
        <v>0</v>
      </c>
      <c r="AD206" s="120">
        <f t="shared" si="7"/>
      </c>
      <c r="AE206" s="125" t="s">
        <v>121</v>
      </c>
      <c r="AF206" s="126" t="s">
        <v>137</v>
      </c>
      <c r="AG206" s="127">
        <v>3</v>
      </c>
      <c r="AH206" s="128">
        <v>27452</v>
      </c>
      <c r="AI206" s="128">
        <v>477</v>
      </c>
      <c r="AJ206" s="128">
        <v>573</v>
      </c>
      <c r="AK206" s="129">
        <v>98</v>
      </c>
      <c r="AL206" s="129">
        <v>115</v>
      </c>
    </row>
    <row r="207">
      <c r="A207" s="108"/>
      <c r="B207" s="130" t="s">
        <v>127</v>
      </c>
      <c r="C207" s="131">
        <v>5</v>
      </c>
      <c r="D207" s="132">
        <f>SUM(D202:D206)</f>
      </c>
      <c r="E207" s="132">
        <f>SUM(E202:E206)</f>
      </c>
      <c r="F207" s="132">
        <f>SUM(F202:F206)</f>
      </c>
      <c r="G207" s="132">
        <f>SUM(G202:G206)</f>
      </c>
      <c r="H207" s="132">
        <f>SUM(H202:H206)</f>
      </c>
      <c r="I207" s="132">
        <f>SUM(I202:I206)</f>
      </c>
      <c r="J207" s="132">
        <f>SUM(J202:J206)</f>
      </c>
      <c r="K207" s="132">
        <f>SUM(K202:K206)</f>
      </c>
      <c r="L207" s="132">
        <f>SUM(L202:L206)</f>
      </c>
      <c r="M207" s="133">
        <f t="shared" si="613"/>
      </c>
      <c r="N207" s="134">
        <f t="shared" si="643"/>
      </c>
      <c r="O207" s="134">
        <f t="shared" si="553"/>
      </c>
      <c r="P207" s="135">
        <f t="shared" si="583"/>
      </c>
      <c r="Q207" s="135">
        <f t="shared" si="763"/>
      </c>
      <c r="R207" s="135">
        <f t="shared" si="793"/>
      </c>
      <c r="S207" s="136">
        <f t="shared" si="673"/>
      </c>
      <c r="T207" s="136">
        <f t="shared" si="703"/>
      </c>
      <c r="U207" s="135">
        <f t="shared" si="982"/>
      </c>
      <c r="V207" s="136">
        <f t="shared" si="733"/>
      </c>
      <c r="W207" s="136">
        <f t="shared" si="1012"/>
      </c>
      <c r="X207" s="135">
        <f t="shared" si="823"/>
      </c>
      <c r="Y207" s="132">
        <f>SUM(Y202:Y206)</f>
      </c>
      <c r="Z207" s="132">
        <f>SUM(Z202:Z206)</f>
      </c>
      <c r="AA207" s="132">
        <f>SUM(AA202:AA206)</f>
      </c>
      <c r="AB207" s="132">
        <f>SUM(AB202:AB206)</f>
      </c>
      <c r="AC207" s="132">
        <f>SUM(AC202:AC206)</f>
      </c>
      <c r="AD207" s="150">
        <f t="shared" si="7"/>
      </c>
      <c r="AE207" s="151"/>
      <c r="AF207" s="139"/>
      <c r="AG207" s="132">
        <f>SUM(AG202:AG206)</f>
      </c>
      <c r="AH207" s="132">
        <f>SUM(AH202:AH206)</f>
      </c>
      <c r="AI207" s="132">
        <f>SUM(AI202:AI206)</f>
      </c>
      <c r="AJ207" s="132">
        <f>SUM(AJ202:AJ206)</f>
      </c>
      <c r="AK207" s="132">
        <f>SUM(AK202:AK206)</f>
      </c>
      <c r="AL207" s="132">
        <f>SUM(AL202:AL206)</f>
      </c>
    </row>
    <row r="208">
      <c r="A208" s="108"/>
      <c r="B208" s="152" t="s">
        <v>127</v>
      </c>
      <c r="C208" s="153">
        <f>C189+C195+C201+C207</f>
      </c>
      <c r="D208" s="153">
        <f>D189+D195+D201+D207</f>
      </c>
      <c r="E208" s="153">
        <f>E189+E195+E201+E207</f>
      </c>
      <c r="F208" s="153">
        <f>F189+F195+F201+F207</f>
      </c>
      <c r="G208" s="153">
        <f>G189+G195+G201+G207</f>
      </c>
      <c r="H208" s="153">
        <f>H189+H195+H201+H207</f>
      </c>
      <c r="I208" s="153">
        <f>I189+I195+I201+I207</f>
      </c>
      <c r="J208" s="153">
        <f>J189+J195+J201+J207</f>
      </c>
      <c r="K208" s="153">
        <f>K189+K195+K201+K207</f>
      </c>
      <c r="L208" s="153">
        <f>L189+L195+L201+L207</f>
      </c>
      <c r="M208" s="154">
        <f t="shared" si="613"/>
      </c>
      <c r="N208" s="154">
        <f t="shared" si="643"/>
      </c>
      <c r="O208" s="154">
        <f t="shared" si="553"/>
      </c>
      <c r="P208" s="154">
        <f t="shared" si="583"/>
      </c>
      <c r="Q208" s="154">
        <f t="shared" si="763"/>
      </c>
      <c r="R208" s="154">
        <f t="shared" si="793"/>
      </c>
      <c r="S208" s="155">
        <f t="shared" si="673"/>
      </c>
      <c r="T208" s="155">
        <f t="shared" si="703"/>
      </c>
      <c r="U208" s="154">
        <f t="shared" si="982"/>
      </c>
      <c r="V208" s="155">
        <f t="shared" si="733"/>
      </c>
      <c r="W208" s="155">
        <f t="shared" si="1012"/>
      </c>
      <c r="X208" s="154">
        <f t="shared" si="823"/>
      </c>
      <c r="Y208" s="156">
        <f>Y189+Y195+Y201+Y207</f>
      </c>
      <c r="Z208" s="156">
        <f>Z189+Z195+Z201+Z207</f>
      </c>
      <c r="AA208" s="156">
        <f>AA189+AA195+AA201+AA207</f>
      </c>
      <c r="AB208" s="156">
        <f>AB189+AB195+AB201+AB207</f>
      </c>
      <c r="AC208" s="156">
        <f>AC189+AC195+AC201+AC207</f>
      </c>
      <c r="AD208" s="157">
        <f>AD189+AD195+AD201+AD207</f>
      </c>
      <c r="AE208" s="158"/>
      <c r="AF208" s="159"/>
      <c r="AG208" s="153">
        <f>AG189+AG195+AG201+AG207</f>
      </c>
      <c r="AH208" s="153">
        <f>AH189+AH195+AH201+AH207</f>
      </c>
      <c r="AI208" s="153">
        <f>AI189+AI195+AI201+AI207</f>
      </c>
      <c r="AJ208" s="153">
        <f>AJ189+AJ195+AJ201+AJ207</f>
      </c>
      <c r="AK208" s="153">
        <f>AK189+AK195+AK201+AK207</f>
      </c>
      <c r="AL208" s="153">
        <f>AL189+AL195+AL201+AL207</f>
      </c>
    </row>
    <row r="209">
      <c r="A209" s="94" t="s">
        <v>81</v>
      </c>
      <c r="B209" s="95" t="s">
        <v>82</v>
      </c>
      <c r="C209" s="95" t="s">
        <v>83</v>
      </c>
      <c r="D209" s="96" t="s">
        <v>84</v>
      </c>
      <c r="E209" s="95" t="s">
        <v>85</v>
      </c>
      <c r="F209" s="95" t="s">
        <v>86</v>
      </c>
      <c r="G209" s="97" t="s">
        <v>87</v>
      </c>
      <c r="H209" s="97" t="s">
        <v>88</v>
      </c>
      <c r="I209" s="96" t="s">
        <v>89</v>
      </c>
      <c r="J209" s="98" t="s">
        <v>90</v>
      </c>
      <c r="K209" s="99" t="s">
        <v>91</v>
      </c>
      <c r="L209" s="99" t="s">
        <v>92</v>
      </c>
      <c r="M209" s="100" t="s">
        <v>93</v>
      </c>
      <c r="N209" s="99" t="s">
        <v>94</v>
      </c>
      <c r="O209" s="95" t="s">
        <v>95</v>
      </c>
      <c r="P209" s="100" t="s">
        <v>96</v>
      </c>
      <c r="Q209" s="101" t="s">
        <v>97</v>
      </c>
      <c r="R209" s="101" t="s">
        <v>98</v>
      </c>
      <c r="S209" s="96" t="s">
        <v>99</v>
      </c>
      <c r="T209" s="102" t="s">
        <v>100</v>
      </c>
      <c r="U209" s="100" t="s">
        <v>101</v>
      </c>
      <c r="V209" s="103" t="s">
        <v>102</v>
      </c>
      <c r="W209" s="104" t="s">
        <v>103</v>
      </c>
      <c r="X209" s="100" t="s">
        <v>104</v>
      </c>
      <c r="Y209" s="105" t="s">
        <v>105</v>
      </c>
      <c r="Z209" s="106" t="s">
        <v>106</v>
      </c>
      <c r="AA209" s="105" t="s">
        <v>107</v>
      </c>
      <c r="AB209" s="107" t="s">
        <v>108</v>
      </c>
      <c r="AC209" s="107" t="s">
        <v>109</v>
      </c>
      <c r="AD209" s="99" t="s">
        <v>110</v>
      </c>
      <c r="AE209" s="98" t="s">
        <v>111</v>
      </c>
      <c r="AF209" s="99" t="s">
        <v>112</v>
      </c>
      <c r="AG209" s="98" t="s">
        <v>113</v>
      </c>
      <c r="AH209" s="98" t="s">
        <v>114</v>
      </c>
      <c r="AI209" s="99" t="s">
        <v>115</v>
      </c>
      <c r="AJ209" s="98" t="s">
        <v>116</v>
      </c>
      <c r="AK209" s="99" t="s">
        <v>117</v>
      </c>
      <c r="AL209" s="98" t="s">
        <v>118</v>
      </c>
    </row>
    <row r="210">
      <c r="A210" s="108">
        <v>46274</v>
      </c>
      <c r="B210" s="109" t="s">
        <v>143</v>
      </c>
      <c r="C210" s="110" t="s">
        <v>120</v>
      </c>
      <c r="D210" s="111">
        <f t="shared" ref="D210:D214" si="323">E210+F210+G210+H210</f>
      </c>
      <c r="E210" s="112">
        <v>928.47</v>
      </c>
      <c r="F210" s="113">
        <v>3866.6</v>
      </c>
      <c r="G210" s="113">
        <v>792.21</v>
      </c>
      <c r="H210" s="113">
        <v>0</v>
      </c>
      <c r="I210" s="113">
        <f t="shared" ref="I210:I214" si="452">AB210+AC210</f>
      </c>
      <c r="J210" s="114">
        <v>3406.32</v>
      </c>
      <c r="K210" s="115">
        <f t="shared" ref="K210:K214" si="65">I210-J210</f>
      </c>
      <c r="L210" s="115">
        <f t="shared" ref="L210:L214" si="194">(I210-AC210)/12+AC210</f>
      </c>
      <c r="M210" s="116">
        <f t="shared" ref="M210:M234" si="614">I210/D210</f>
      </c>
      <c r="N210" s="117">
        <f t="shared" ref="N210:N234" si="644">(I210-J210)/D210</f>
      </c>
      <c r="O210" s="118">
        <f t="shared" ref="O210:O234" si="554">(AC210+AB210/12)/D210</f>
      </c>
      <c r="P210" s="119">
        <f t="shared" ref="P210:P234" si="584">I210/AA210</f>
      </c>
      <c r="Q210" s="119">
        <f t="shared" ref="Q210:Q234" si="764">D210/AA210</f>
      </c>
      <c r="R210" s="119">
        <f t="shared" ref="R210:R234" si="794">D210/AG210</f>
      </c>
      <c r="S210" s="120">
        <f t="shared" ref="S210:S234" si="674">AA210/Y210</f>
      </c>
      <c r="T210" s="121">
        <f t="shared" ref="T210:T234" si="704">AI210/AH210</f>
      </c>
      <c r="U210" s="119">
        <f t="shared" ref="U210:U234" si="983">D210/AJ210</f>
      </c>
      <c r="V210" s="122">
        <f t="shared" ref="V210:V234" si="734">AK210/AJ210</f>
      </c>
      <c r="W210" s="122">
        <f t="shared" ref="W210:W234" si="1013">AL210/AJ210</f>
      </c>
      <c r="X210" s="119">
        <f t="shared" ref="X210:X234" si="824">D210/AL210</f>
      </c>
      <c r="Y210" s="123">
        <f t="shared" ref="Y210:Y214" si="881">Z210+AA210</f>
      </c>
      <c r="Z210" s="123">
        <v>4</v>
      </c>
      <c r="AA210" s="123">
        <v>6</v>
      </c>
      <c r="AB210" s="124">
        <v>21601.440000000002</v>
      </c>
      <c r="AC210" s="124">
        <v>582</v>
      </c>
      <c r="AD210" s="120">
        <f t="shared" ref="AD210:AD233" si="8">AC210/I210</f>
      </c>
      <c r="AE210" s="125" t="s">
        <v>121</v>
      </c>
      <c r="AF210" s="126" t="s">
        <v>122</v>
      </c>
      <c r="AG210" s="127">
        <v>6</v>
      </c>
      <c r="AH210" s="127">
        <v>50475</v>
      </c>
      <c r="AI210" s="128">
        <v>1452</v>
      </c>
      <c r="AJ210" s="128">
        <v>1647</v>
      </c>
      <c r="AK210" s="127">
        <v>205</v>
      </c>
      <c r="AL210" s="129">
        <v>174</v>
      </c>
    </row>
    <row r="211">
      <c r="A211" s="108"/>
      <c r="B211" s="109" t="s">
        <v>143</v>
      </c>
      <c r="C211" s="110" t="s">
        <v>123</v>
      </c>
      <c r="D211" s="111">
        <f t="shared" si="323"/>
      </c>
      <c r="E211" s="110">
        <v>1018</v>
      </c>
      <c r="F211" s="113">
        <v>3407.04</v>
      </c>
      <c r="G211" s="113">
        <v>2180.43</v>
      </c>
      <c r="H211" s="113">
        <v>0</v>
      </c>
      <c r="I211" s="113">
        <f t="shared" si="452"/>
      </c>
      <c r="J211" s="114">
        <v>2608.2</v>
      </c>
      <c r="K211" s="115">
        <f t="shared" si="65"/>
      </c>
      <c r="L211" s="115">
        <f t="shared" si="194"/>
      </c>
      <c r="M211" s="116">
        <f t="shared" si="614"/>
      </c>
      <c r="N211" s="117">
        <f t="shared" si="644"/>
      </c>
      <c r="O211" s="118">
        <f t="shared" si="554"/>
      </c>
      <c r="P211" s="119">
        <f t="shared" si="584"/>
      </c>
      <c r="Q211" s="119">
        <f t="shared" si="764"/>
      </c>
      <c r="R211" s="119">
        <f t="shared" si="794"/>
      </c>
      <c r="S211" s="120">
        <f t="shared" si="674"/>
      </c>
      <c r="T211" s="121">
        <f t="shared" si="704"/>
      </c>
      <c r="U211" s="119">
        <f t="shared" si="983"/>
      </c>
      <c r="V211" s="122">
        <f t="shared" si="734"/>
      </c>
      <c r="W211" s="122">
        <f t="shared" si="1013"/>
      </c>
      <c r="X211" s="119">
        <f t="shared" si="824"/>
      </c>
      <c r="Y211" s="123">
        <f t="shared" si="881"/>
      </c>
      <c r="Z211" s="123">
        <v>2</v>
      </c>
      <c r="AA211" s="123">
        <v>8</v>
      </c>
      <c r="AB211" s="124">
        <v>14276.519999999997</v>
      </c>
      <c r="AC211" s="124">
        <v>0</v>
      </c>
      <c r="AD211" s="120">
        <f t="shared" si="8"/>
      </c>
      <c r="AE211" s="125" t="s">
        <v>121</v>
      </c>
      <c r="AF211" s="126" t="s">
        <v>122</v>
      </c>
      <c r="AG211" s="127">
        <v>6</v>
      </c>
      <c r="AH211" s="128">
        <v>48214</v>
      </c>
      <c r="AI211" s="128">
        <v>1178</v>
      </c>
      <c r="AJ211" s="128">
        <v>1338</v>
      </c>
      <c r="AK211" s="129">
        <v>222</v>
      </c>
      <c r="AL211" s="129">
        <v>217</v>
      </c>
    </row>
    <row r="212">
      <c r="A212" s="108"/>
      <c r="B212" s="109" t="s">
        <v>143</v>
      </c>
      <c r="C212" s="110" t="s">
        <v>124</v>
      </c>
      <c r="D212" s="111">
        <f t="shared" si="323"/>
      </c>
      <c r="E212" s="110">
        <v>629.23</v>
      </c>
      <c r="F212" s="110">
        <v>2455.55</v>
      </c>
      <c r="G212" s="113">
        <v>3574.89</v>
      </c>
      <c r="H212" s="113">
        <v>0</v>
      </c>
      <c r="I212" s="113">
        <f t="shared" si="452"/>
      </c>
      <c r="J212" s="114">
        <f>5454+2748.6+3406.32</f>
      </c>
      <c r="K212" s="115">
        <f t="shared" si="65"/>
      </c>
      <c r="L212" s="115">
        <f t="shared" si="194"/>
      </c>
      <c r="M212" s="116">
        <f t="shared" si="614"/>
      </c>
      <c r="N212" s="117">
        <f t="shared" si="644"/>
      </c>
      <c r="O212" s="118">
        <f t="shared" si="554"/>
      </c>
      <c r="P212" s="119">
        <f t="shared" si="584"/>
      </c>
      <c r="Q212" s="119">
        <f t="shared" si="764"/>
      </c>
      <c r="R212" s="119">
        <f t="shared" si="794"/>
      </c>
      <c r="S212" s="120">
        <f t="shared" si="674"/>
      </c>
      <c r="T212" s="121">
        <f t="shared" si="704"/>
      </c>
      <c r="U212" s="119">
        <f t="shared" si="983"/>
      </c>
      <c r="V212" s="122">
        <f t="shared" si="734"/>
      </c>
      <c r="W212" s="122">
        <f t="shared" si="1013"/>
      </c>
      <c r="X212" s="119">
        <f t="shared" si="824"/>
      </c>
      <c r="Y212" s="123">
        <f t="shared" si="881"/>
      </c>
      <c r="Z212" s="123">
        <v>3</v>
      </c>
      <c r="AA212" s="123">
        <v>4</v>
      </c>
      <c r="AB212" s="124">
        <v>12735.36</v>
      </c>
      <c r="AC212" s="163">
        <v>0</v>
      </c>
      <c r="AD212" s="120">
        <f t="shared" si="8"/>
      </c>
      <c r="AE212" s="125" t="s">
        <v>121</v>
      </c>
      <c r="AF212" s="126" t="s">
        <v>122</v>
      </c>
      <c r="AG212" s="127">
        <v>4</v>
      </c>
      <c r="AH212" s="128">
        <v>49918</v>
      </c>
      <c r="AI212" s="128">
        <v>935</v>
      </c>
      <c r="AJ212" s="128">
        <v>989</v>
      </c>
      <c r="AK212" s="129">
        <v>180</v>
      </c>
      <c r="AL212" s="129">
        <v>186</v>
      </c>
    </row>
    <row r="213">
      <c r="A213" s="108"/>
      <c r="B213" s="109" t="s">
        <v>143</v>
      </c>
      <c r="C213" s="110" t="s">
        <v>125</v>
      </c>
      <c r="D213" s="111">
        <f t="shared" si="323"/>
      </c>
      <c r="E213" s="110">
        <v>845.48</v>
      </c>
      <c r="F213" s="113">
        <v>3248.99</v>
      </c>
      <c r="G213" s="113">
        <v>2118.32</v>
      </c>
      <c r="H213" s="113">
        <v>0</v>
      </c>
      <c r="I213" s="113">
        <f t="shared" si="452"/>
      </c>
      <c r="J213" s="114">
        <v>0</v>
      </c>
      <c r="K213" s="115">
        <f t="shared" si="65"/>
      </c>
      <c r="L213" s="115">
        <f t="shared" si="194"/>
      </c>
      <c r="M213" s="116">
        <f t="shared" si="614"/>
      </c>
      <c r="N213" s="117">
        <f t="shared" si="644"/>
      </c>
      <c r="O213" s="118">
        <f t="shared" si="554"/>
      </c>
      <c r="P213" s="119">
        <f t="shared" si="584"/>
      </c>
      <c r="Q213" s="119">
        <f t="shared" si="764"/>
      </c>
      <c r="R213" s="119">
        <f t="shared" si="794"/>
      </c>
      <c r="S213" s="120">
        <f t="shared" si="674"/>
      </c>
      <c r="T213" s="121">
        <f t="shared" si="704"/>
      </c>
      <c r="U213" s="119">
        <f t="shared" si="983"/>
      </c>
      <c r="V213" s="122">
        <f t="shared" si="734"/>
      </c>
      <c r="W213" s="122">
        <f t="shared" si="1013"/>
      </c>
      <c r="X213" s="119">
        <f t="shared" si="824"/>
      </c>
      <c r="Y213" s="123">
        <f t="shared" si="881"/>
      </c>
      <c r="Z213" s="123">
        <v>6</v>
      </c>
      <c r="AA213" s="123">
        <v>8</v>
      </c>
      <c r="AB213" s="124">
        <v>7463.880000000005</v>
      </c>
      <c r="AC213" s="124">
        <v>1074</v>
      </c>
      <c r="AD213" s="120">
        <f t="shared" si="8"/>
      </c>
      <c r="AE213" s="125" t="s">
        <v>121</v>
      </c>
      <c r="AF213" s="126" t="s">
        <v>122</v>
      </c>
      <c r="AG213" s="127">
        <v>7</v>
      </c>
      <c r="AH213" s="128">
        <v>41386</v>
      </c>
      <c r="AI213" s="128">
        <v>746</v>
      </c>
      <c r="AJ213" s="128">
        <v>820</v>
      </c>
      <c r="AK213" s="129">
        <v>165</v>
      </c>
      <c r="AL213" s="129">
        <v>185</v>
      </c>
    </row>
    <row r="214">
      <c r="A214" s="108"/>
      <c r="B214" s="109" t="s">
        <v>143</v>
      </c>
      <c r="C214" s="110" t="s">
        <v>126</v>
      </c>
      <c r="D214" s="111">
        <f t="shared" si="323"/>
      </c>
      <c r="E214" s="112">
        <v>1025.29</v>
      </c>
      <c r="F214" s="113">
        <v>2772.71</v>
      </c>
      <c r="G214" s="113">
        <v>2307.17</v>
      </c>
      <c r="H214" s="113">
        <v>0</v>
      </c>
      <c r="I214" s="113">
        <f t="shared" si="452"/>
      </c>
      <c r="J214" s="114">
        <v>1337.04</v>
      </c>
      <c r="K214" s="115">
        <f t="shared" si="65"/>
      </c>
      <c r="L214" s="115">
        <f t="shared" si="194"/>
      </c>
      <c r="M214" s="116">
        <f t="shared" si="614"/>
      </c>
      <c r="N214" s="117">
        <f t="shared" si="644"/>
      </c>
      <c r="O214" s="118">
        <f t="shared" si="554"/>
      </c>
      <c r="P214" s="119">
        <f t="shared" si="584"/>
      </c>
      <c r="Q214" s="119">
        <f t="shared" si="764"/>
      </c>
      <c r="R214" s="119">
        <f t="shared" si="794"/>
      </c>
      <c r="S214" s="120">
        <f t="shared" si="674"/>
      </c>
      <c r="T214" s="121">
        <f t="shared" si="704"/>
      </c>
      <c r="U214" s="119">
        <f t="shared" si="983"/>
      </c>
      <c r="V214" s="122">
        <f t="shared" si="734"/>
      </c>
      <c r="W214" s="122">
        <f t="shared" si="1013"/>
      </c>
      <c r="X214" s="119">
        <f t="shared" si="824"/>
      </c>
      <c r="Y214" s="123">
        <f t="shared" si="881"/>
      </c>
      <c r="Z214" s="123">
        <v>2</v>
      </c>
      <c r="AA214" s="123">
        <v>7</v>
      </c>
      <c r="AB214" s="124">
        <v>7061.759999999995</v>
      </c>
      <c r="AC214" s="124">
        <v>1027</v>
      </c>
      <c r="AD214" s="120">
        <f t="shared" si="8"/>
      </c>
      <c r="AE214" s="125" t="s">
        <v>121</v>
      </c>
      <c r="AF214" s="126" t="s">
        <v>122</v>
      </c>
      <c r="AG214" s="127">
        <v>5</v>
      </c>
      <c r="AH214" s="128">
        <v>37026</v>
      </c>
      <c r="AI214" s="128">
        <v>673</v>
      </c>
      <c r="AJ214" s="128">
        <v>744</v>
      </c>
      <c r="AK214" s="127">
        <v>137</v>
      </c>
      <c r="AL214" s="127">
        <v>145</v>
      </c>
    </row>
    <row r="215">
      <c r="A215" s="108"/>
      <c r="B215" s="130" t="s">
        <v>127</v>
      </c>
      <c r="C215" s="131">
        <v>5</v>
      </c>
      <c r="D215" s="132">
        <f>SUM(D210:D214)</f>
      </c>
      <c r="E215" s="132">
        <f>SUM(E210:E214)</f>
      </c>
      <c r="F215" s="132">
        <f>SUM(F210:F214)</f>
      </c>
      <c r="G215" s="132">
        <f>SUM(G210:G214)</f>
      </c>
      <c r="H215" s="132">
        <f>SUM(H210:H214)</f>
      </c>
      <c r="I215" s="132">
        <f>SUM(I210:I214)</f>
      </c>
      <c r="J215" s="132">
        <f>SUM(J210:J214)</f>
      </c>
      <c r="K215" s="132">
        <f>SUM(K210:K214)</f>
      </c>
      <c r="L215" s="132">
        <f>SUM(L210:L214)</f>
      </c>
      <c r="M215" s="133">
        <f t="shared" si="614"/>
      </c>
      <c r="N215" s="134">
        <f t="shared" si="644"/>
      </c>
      <c r="O215" s="134">
        <f t="shared" si="554"/>
      </c>
      <c r="P215" s="135">
        <f t="shared" si="584"/>
      </c>
      <c r="Q215" s="135">
        <f t="shared" si="764"/>
      </c>
      <c r="R215" s="135">
        <f t="shared" si="794"/>
      </c>
      <c r="S215" s="136">
        <f t="shared" si="674"/>
      </c>
      <c r="T215" s="136">
        <f t="shared" si="704"/>
      </c>
      <c r="U215" s="135">
        <f t="shared" si="983"/>
      </c>
      <c r="V215" s="136">
        <f t="shared" si="734"/>
      </c>
      <c r="W215" s="136">
        <f t="shared" si="1013"/>
      </c>
      <c r="X215" s="135">
        <f t="shared" si="824"/>
      </c>
      <c r="Y215" s="132">
        <f>SUM(Y210:Y214)</f>
      </c>
      <c r="Z215" s="132">
        <f>SUM(Z210:Z214)</f>
      </c>
      <c r="AA215" s="132">
        <f>SUM(AA210:AA214)</f>
      </c>
      <c r="AB215" s="132">
        <f>SUM(AB210:AB214)</f>
      </c>
      <c r="AC215" s="132">
        <f>SUM(AC210:AC214)</f>
      </c>
      <c r="AD215" s="137">
        <f t="shared" si="8"/>
      </c>
      <c r="AE215" s="138"/>
      <c r="AF215" s="139"/>
      <c r="AG215" s="132">
        <f>SUM(AG210:AG214)</f>
      </c>
      <c r="AH215" s="132">
        <f>SUM(AH210:AH214)</f>
      </c>
      <c r="AI215" s="132">
        <f>SUM(AI210:AI214)</f>
      </c>
      <c r="AJ215" s="132">
        <f>SUM(AJ210:AJ214)</f>
      </c>
      <c r="AK215" s="132">
        <f>SUM(AK210:AK214)</f>
      </c>
      <c r="AL215" s="132">
        <f>SUM(AL210:AL214)</f>
      </c>
    </row>
    <row r="216">
      <c r="A216" s="108"/>
      <c r="B216" s="109" t="s">
        <v>128</v>
      </c>
      <c r="C216" s="110" t="s">
        <v>129</v>
      </c>
      <c r="D216" s="111">
        <f t="shared" ref="D216:D220" si="324">E216+F216+G216+H216</f>
      </c>
      <c r="E216" s="112">
        <v>708.88</v>
      </c>
      <c r="F216" s="113">
        <v>2461.05</v>
      </c>
      <c r="G216" s="113">
        <v>2396.6</v>
      </c>
      <c r="H216" s="113">
        <v>0</v>
      </c>
      <c r="I216" s="113">
        <f t="shared" ref="I216:I220" si="453">AB216+AC216</f>
      </c>
      <c r="J216" s="114">
        <v>1736.64</v>
      </c>
      <c r="K216" s="115">
        <f t="shared" ref="K216:K220" si="66">I216-J216</f>
      </c>
      <c r="L216" s="115">
        <f t="shared" ref="L216:L220" si="195">(I216-AC216)/12+AC216</f>
      </c>
      <c r="M216" s="116">
        <f t="shared" si="614"/>
      </c>
      <c r="N216" s="117">
        <f t="shared" si="644"/>
      </c>
      <c r="O216" s="118">
        <f t="shared" si="554"/>
      </c>
      <c r="P216" s="119">
        <f t="shared" si="584"/>
      </c>
      <c r="Q216" s="119">
        <f t="shared" si="764"/>
      </c>
      <c r="R216" s="119">
        <f t="shared" si="794"/>
      </c>
      <c r="S216" s="120">
        <f t="shared" si="674"/>
      </c>
      <c r="T216" s="121">
        <f t="shared" si="704"/>
      </c>
      <c r="U216" s="119">
        <f t="shared" si="983"/>
      </c>
      <c r="V216" s="122">
        <f t="shared" si="734"/>
      </c>
      <c r="W216" s="122">
        <f t="shared" si="1013"/>
      </c>
      <c r="X216" s="119">
        <f t="shared" si="824"/>
      </c>
      <c r="Y216" s="123">
        <f t="shared" ref="Y216:Y220" si="882">Z216+AA216</f>
      </c>
      <c r="Z216" s="123">
        <v>6</v>
      </c>
      <c r="AA216" s="123">
        <v>4</v>
      </c>
      <c r="AB216" s="124">
        <v>8163.720000000001</v>
      </c>
      <c r="AC216" s="124">
        <v>0</v>
      </c>
      <c r="AD216" s="120">
        <f t="shared" si="8"/>
      </c>
      <c r="AE216" s="125" t="s">
        <v>121</v>
      </c>
      <c r="AF216" s="126" t="s">
        <v>122</v>
      </c>
      <c r="AG216" s="127">
        <v>3</v>
      </c>
      <c r="AH216" s="128">
        <v>34321</v>
      </c>
      <c r="AI216" s="128">
        <v>660</v>
      </c>
      <c r="AJ216" s="128">
        <v>716</v>
      </c>
      <c r="AK216" s="127">
        <v>155</v>
      </c>
      <c r="AL216" s="127">
        <v>157</v>
      </c>
    </row>
    <row r="217">
      <c r="A217" s="108"/>
      <c r="B217" s="109" t="s">
        <v>128</v>
      </c>
      <c r="C217" s="110" t="s">
        <v>130</v>
      </c>
      <c r="D217" s="111">
        <f t="shared" si="324"/>
      </c>
      <c r="E217" s="110">
        <v>384.64</v>
      </c>
      <c r="F217" s="113">
        <v>1506.99</v>
      </c>
      <c r="G217" s="113">
        <v>2656.19</v>
      </c>
      <c r="H217" s="113">
        <v>0</v>
      </c>
      <c r="I217" s="113">
        <f t="shared" si="453"/>
      </c>
      <c r="J217" s="162">
        <v>0</v>
      </c>
      <c r="K217" s="115">
        <f t="shared" si="66"/>
      </c>
      <c r="L217" s="115">
        <f t="shared" si="195"/>
      </c>
      <c r="M217" s="116">
        <f t="shared" si="614"/>
      </c>
      <c r="N217" s="117">
        <f t="shared" si="644"/>
      </c>
      <c r="O217" s="118">
        <f t="shared" si="554"/>
      </c>
      <c r="P217" s="119">
        <f t="shared" si="584"/>
      </c>
      <c r="Q217" s="119">
        <f t="shared" si="764"/>
      </c>
      <c r="R217" s="119">
        <f t="shared" si="794"/>
      </c>
      <c r="S217" s="120">
        <f t="shared" si="674"/>
      </c>
      <c r="T217" s="121">
        <f t="shared" si="704"/>
      </c>
      <c r="U217" s="119">
        <f t="shared" si="983"/>
      </c>
      <c r="V217" s="122">
        <f t="shared" si="734"/>
      </c>
      <c r="W217" s="122">
        <f t="shared" si="1013"/>
      </c>
      <c r="X217" s="119">
        <f t="shared" si="824"/>
      </c>
      <c r="Y217" s="123">
        <f t="shared" si="882"/>
      </c>
      <c r="Z217" s="123">
        <v>6</v>
      </c>
      <c r="AA217" s="123">
        <v>1</v>
      </c>
      <c r="AB217" s="124">
        <v>0</v>
      </c>
      <c r="AC217" s="124">
        <v>1116</v>
      </c>
      <c r="AD217" s="120">
        <f t="shared" si="8"/>
      </c>
      <c r="AE217" s="125" t="s">
        <v>121</v>
      </c>
      <c r="AF217" s="126" t="s">
        <v>122</v>
      </c>
      <c r="AG217" s="127">
        <v>1</v>
      </c>
      <c r="AH217" s="128">
        <v>30096</v>
      </c>
      <c r="AI217" s="128">
        <v>470</v>
      </c>
      <c r="AJ217" s="128">
        <v>495</v>
      </c>
      <c r="AK217" s="129">
        <v>98</v>
      </c>
      <c r="AL217" s="129">
        <v>121</v>
      </c>
    </row>
    <row r="218">
      <c r="A218" s="108"/>
      <c r="B218" s="109" t="s">
        <v>128</v>
      </c>
      <c r="C218" s="110" t="s">
        <v>131</v>
      </c>
      <c r="D218" s="111">
        <f t="shared" si="324"/>
      </c>
      <c r="E218" s="110">
        <v>355.62</v>
      </c>
      <c r="F218" s="110">
        <v>1946.03</v>
      </c>
      <c r="G218" s="113">
        <v>3217.99</v>
      </c>
      <c r="H218" s="113">
        <v>0</v>
      </c>
      <c r="I218" s="113">
        <f t="shared" si="453"/>
      </c>
      <c r="J218" s="114">
        <v>3532.68</v>
      </c>
      <c r="K218" s="115">
        <f t="shared" si="66"/>
      </c>
      <c r="L218" s="115">
        <f t="shared" si="195"/>
      </c>
      <c r="M218" s="116">
        <f t="shared" si="614"/>
      </c>
      <c r="N218" s="117">
        <f t="shared" si="644"/>
      </c>
      <c r="O218" s="118">
        <f t="shared" si="554"/>
      </c>
      <c r="P218" s="119">
        <f t="shared" si="584"/>
      </c>
      <c r="Q218" s="119">
        <f t="shared" si="764"/>
      </c>
      <c r="R218" s="119">
        <f t="shared" si="794"/>
      </c>
      <c r="S218" s="120">
        <f t="shared" si="674"/>
      </c>
      <c r="T218" s="121">
        <f t="shared" si="704"/>
      </c>
      <c r="U218" s="119">
        <f t="shared" si="983"/>
      </c>
      <c r="V218" s="122">
        <f t="shared" si="734"/>
      </c>
      <c r="W218" s="122">
        <f t="shared" si="1013"/>
      </c>
      <c r="X218" s="119">
        <f t="shared" si="824"/>
      </c>
      <c r="Y218" s="123">
        <f t="shared" si="882"/>
      </c>
      <c r="Z218" s="123">
        <v>4</v>
      </c>
      <c r="AA218" s="123">
        <v>5</v>
      </c>
      <c r="AB218" s="124">
        <v>9920.880000000012</v>
      </c>
      <c r="AC218" s="124">
        <v>0</v>
      </c>
      <c r="AD218" s="120">
        <f t="shared" si="8"/>
      </c>
      <c r="AE218" s="125" t="s">
        <v>121</v>
      </c>
      <c r="AF218" s="126" t="s">
        <v>122</v>
      </c>
      <c r="AG218" s="129">
        <v>4</v>
      </c>
      <c r="AH218" s="128">
        <v>43830</v>
      </c>
      <c r="AI218" s="128">
        <v>641</v>
      </c>
      <c r="AJ218" s="128">
        <v>683</v>
      </c>
      <c r="AK218" s="129">
        <v>124</v>
      </c>
      <c r="AL218" s="129">
        <v>162</v>
      </c>
    </row>
    <row r="219">
      <c r="A219" s="108"/>
      <c r="B219" s="109" t="s">
        <v>128</v>
      </c>
      <c r="C219" s="110" t="s">
        <v>132</v>
      </c>
      <c r="D219" s="111">
        <f t="shared" si="324"/>
      </c>
      <c r="E219" s="110">
        <v>224.65</v>
      </c>
      <c r="F219" s="113">
        <v>1094.92</v>
      </c>
      <c r="G219" s="113">
        <v>2724.49</v>
      </c>
      <c r="H219" s="113">
        <v>0</v>
      </c>
      <c r="I219" s="113">
        <f t="shared" si="453"/>
      </c>
      <c r="J219" s="114">
        <f>2896.32+3057.36+3048.84</f>
      </c>
      <c r="K219" s="115">
        <f t="shared" si="66"/>
      </c>
      <c r="L219" s="115">
        <f t="shared" si="195"/>
      </c>
      <c r="M219" s="116">
        <f t="shared" si="614"/>
      </c>
      <c r="N219" s="117">
        <f t="shared" si="644"/>
      </c>
      <c r="O219" s="118">
        <f t="shared" si="554"/>
      </c>
      <c r="P219" s="119">
        <f t="shared" si="584"/>
      </c>
      <c r="Q219" s="119">
        <f t="shared" si="764"/>
      </c>
      <c r="R219" s="119">
        <f t="shared" si="794"/>
      </c>
      <c r="S219" s="120">
        <f t="shared" si="674"/>
      </c>
      <c r="T219" s="121">
        <f t="shared" si="704"/>
      </c>
      <c r="U219" s="119">
        <f t="shared" si="983"/>
      </c>
      <c r="V219" s="122">
        <f t="shared" si="734"/>
      </c>
      <c r="W219" s="122">
        <f t="shared" si="1013"/>
      </c>
      <c r="X219" s="119">
        <f t="shared" si="824"/>
      </c>
      <c r="Y219" s="123">
        <f t="shared" si="882"/>
      </c>
      <c r="Z219" s="123">
        <v>2</v>
      </c>
      <c r="AA219" s="123">
        <v>3</v>
      </c>
      <c r="AB219" s="114">
        <v>10739.159999999982</v>
      </c>
      <c r="AC219" s="124">
        <v>0</v>
      </c>
      <c r="AD219" s="120">
        <f t="shared" si="8"/>
      </c>
      <c r="AE219" s="125" t="s">
        <v>121</v>
      </c>
      <c r="AF219" s="126" t="s">
        <v>122</v>
      </c>
      <c r="AG219" s="127">
        <v>2</v>
      </c>
      <c r="AH219" s="128">
        <v>28520</v>
      </c>
      <c r="AI219" s="128">
        <v>453</v>
      </c>
      <c r="AJ219" s="128">
        <v>467</v>
      </c>
      <c r="AK219" s="129">
        <v>93</v>
      </c>
      <c r="AL219" s="129">
        <v>124</v>
      </c>
    </row>
    <row r="220">
      <c r="A220" s="108"/>
      <c r="B220" s="109" t="s">
        <v>128</v>
      </c>
      <c r="C220" s="110" t="s">
        <v>134</v>
      </c>
      <c r="D220" s="111">
        <f t="shared" si="324"/>
      </c>
      <c r="E220" s="110">
        <v>305.82</v>
      </c>
      <c r="F220" s="140">
        <v>1361.39</v>
      </c>
      <c r="G220" s="113">
        <v>3546.92</v>
      </c>
      <c r="H220" s="113">
        <v>0</v>
      </c>
      <c r="I220" s="113">
        <f t="shared" si="453"/>
      </c>
      <c r="J220" s="160">
        <f>1170.36+617.16+1128.48</f>
      </c>
      <c r="K220" s="115">
        <f t="shared" si="66"/>
      </c>
      <c r="L220" s="115">
        <f t="shared" si="195"/>
      </c>
      <c r="M220" s="116">
        <f t="shared" si="614"/>
      </c>
      <c r="N220" s="117">
        <f t="shared" si="644"/>
      </c>
      <c r="O220" s="118">
        <f t="shared" si="554"/>
      </c>
      <c r="P220" s="119">
        <f t="shared" si="584"/>
      </c>
      <c r="Q220" s="119">
        <f t="shared" si="764"/>
      </c>
      <c r="R220" s="119">
        <f t="shared" si="794"/>
      </c>
      <c r="S220" s="120">
        <f t="shared" si="674"/>
      </c>
      <c r="T220" s="121">
        <f t="shared" si="704"/>
      </c>
      <c r="U220" s="119">
        <f t="shared" si="983"/>
      </c>
      <c r="V220" s="122">
        <f t="shared" si="734"/>
      </c>
      <c r="W220" s="122">
        <f t="shared" si="1013"/>
      </c>
      <c r="X220" s="119">
        <f t="shared" si="824"/>
      </c>
      <c r="Y220" s="123">
        <f t="shared" si="882"/>
      </c>
      <c r="Z220" s="123">
        <v>3</v>
      </c>
      <c r="AA220" s="123">
        <v>6</v>
      </c>
      <c r="AB220" s="124">
        <v>8408.88</v>
      </c>
      <c r="AC220" s="124">
        <v>635</v>
      </c>
      <c r="AD220" s="120">
        <f t="shared" si="8"/>
      </c>
      <c r="AE220" s="125" t="s">
        <v>121</v>
      </c>
      <c r="AF220" s="126" t="s">
        <v>122</v>
      </c>
      <c r="AG220" s="127">
        <v>4</v>
      </c>
      <c r="AH220" s="128">
        <v>35131</v>
      </c>
      <c r="AI220" s="128">
        <v>552</v>
      </c>
      <c r="AJ220" s="128">
        <v>561</v>
      </c>
      <c r="AK220" s="129">
        <v>141</v>
      </c>
      <c r="AL220" s="129">
        <v>167</v>
      </c>
    </row>
    <row r="221">
      <c r="A221" s="108"/>
      <c r="B221" s="130" t="s">
        <v>127</v>
      </c>
      <c r="C221" s="131">
        <v>5</v>
      </c>
      <c r="D221" s="132">
        <f>SUM(D216:D220)</f>
      </c>
      <c r="E221" s="132">
        <f>SUM(E216:E220)</f>
      </c>
      <c r="F221" s="132">
        <f>SUM(F216:F220)</f>
      </c>
      <c r="G221" s="132">
        <f>SUM(G216:G220)</f>
      </c>
      <c r="H221" s="132">
        <f>SUM(H216:H220)</f>
      </c>
      <c r="I221" s="132">
        <f>SUM(I216:I220)</f>
      </c>
      <c r="J221" s="132">
        <f>SUM(J216:J220)</f>
      </c>
      <c r="K221" s="132">
        <f>SUM(K216:K220)</f>
      </c>
      <c r="L221" s="132">
        <f>SUM(L216:L220)</f>
      </c>
      <c r="M221" s="133">
        <f t="shared" si="614"/>
      </c>
      <c r="N221" s="134">
        <f t="shared" si="644"/>
      </c>
      <c r="O221" s="134">
        <f t="shared" si="554"/>
      </c>
      <c r="P221" s="135">
        <f t="shared" si="584"/>
      </c>
      <c r="Q221" s="135">
        <f t="shared" si="764"/>
      </c>
      <c r="R221" s="135">
        <f t="shared" si="794"/>
      </c>
      <c r="S221" s="136">
        <f t="shared" si="674"/>
      </c>
      <c r="T221" s="136">
        <f t="shared" si="704"/>
      </c>
      <c r="U221" s="135">
        <f t="shared" si="983"/>
      </c>
      <c r="V221" s="136">
        <f t="shared" si="734"/>
      </c>
      <c r="W221" s="136">
        <f t="shared" si="1013"/>
      </c>
      <c r="X221" s="135">
        <f t="shared" si="824"/>
      </c>
      <c r="Y221" s="132">
        <f>SUM(Y216:Y220)</f>
      </c>
      <c r="Z221" s="132">
        <f>SUM(Z216:Z220)</f>
      </c>
      <c r="AA221" s="132">
        <f>SUM(AA216:AA220)</f>
      </c>
      <c r="AB221" s="132">
        <f>SUM(AB216:AB220)</f>
      </c>
      <c r="AC221" s="132">
        <f>SUM(AC216:AC220)</f>
      </c>
      <c r="AD221" s="137">
        <f t="shared" si="8"/>
      </c>
      <c r="AE221" s="138"/>
      <c r="AF221" s="139"/>
      <c r="AG221" s="132">
        <f>SUM(AG216:AG220)</f>
      </c>
      <c r="AH221" s="132">
        <f>SUM(AH216:AH220)</f>
      </c>
      <c r="AI221" s="132">
        <f>SUM(AI216:AI220)</f>
      </c>
      <c r="AJ221" s="132">
        <f>SUM(AJ216:AJ220)</f>
      </c>
      <c r="AK221" s="132">
        <f>SUM(AK216:AK220)</f>
      </c>
      <c r="AL221" s="132">
        <f>SUM(AL216:AL220)</f>
      </c>
    </row>
    <row r="222">
      <c r="A222" s="108"/>
      <c r="B222" s="109" t="s">
        <v>139</v>
      </c>
      <c r="C222" s="110" t="s">
        <v>135</v>
      </c>
      <c r="D222" s="111">
        <f t="shared" ref="D222:D226" si="325">E222+F222+G222+H222</f>
      </c>
      <c r="E222" s="110">
        <v>355.77</v>
      </c>
      <c r="F222" s="140">
        <v>722.38</v>
      </c>
      <c r="G222" s="113">
        <v>5655.98</v>
      </c>
      <c r="H222" s="113">
        <v>0</v>
      </c>
      <c r="I222" s="113">
        <f t="shared" ref="I222:I226" si="454">AB222+AC222</f>
      </c>
      <c r="J222" s="160">
        <v>0</v>
      </c>
      <c r="K222" s="115">
        <f t="shared" ref="K222:K226" si="67">I222-J222</f>
      </c>
      <c r="L222" s="115">
        <f t="shared" ref="L222:L226" si="196">(I222-AC222)/12+AC222</f>
      </c>
      <c r="M222" s="116">
        <f t="shared" si="614"/>
      </c>
      <c r="N222" s="117">
        <f t="shared" si="644"/>
      </c>
      <c r="O222" s="118">
        <f t="shared" si="554"/>
      </c>
      <c r="P222" s="119">
        <f t="shared" si="584"/>
      </c>
      <c r="Q222" s="119">
        <f t="shared" si="764"/>
      </c>
      <c r="R222" s="119">
        <f t="shared" si="794"/>
      </c>
      <c r="S222" s="120">
        <f t="shared" si="674"/>
      </c>
      <c r="T222" s="121">
        <f t="shared" si="704"/>
      </c>
      <c r="U222" s="119">
        <f t="shared" si="983"/>
      </c>
      <c r="V222" s="122">
        <f t="shared" si="734"/>
      </c>
      <c r="W222" s="122">
        <f t="shared" si="1013"/>
      </c>
      <c r="X222" s="119">
        <f t="shared" si="824"/>
      </c>
      <c r="Y222" s="123">
        <f t="shared" ref="Y222:Y226" si="883">Z222+AA222</f>
      </c>
      <c r="Z222" s="123">
        <v>4</v>
      </c>
      <c r="AA222" s="123">
        <v>10</v>
      </c>
      <c r="AB222" s="124">
        <v>15679.200000000004</v>
      </c>
      <c r="AC222" s="124">
        <v>431</v>
      </c>
      <c r="AD222" s="120">
        <f t="shared" si="8"/>
      </c>
      <c r="AE222" s="125" t="s">
        <v>121</v>
      </c>
      <c r="AF222" s="126" t="s">
        <v>137</v>
      </c>
      <c r="AG222" s="127">
        <v>10</v>
      </c>
      <c r="AH222" s="128">
        <v>60584</v>
      </c>
      <c r="AI222" s="128">
        <v>661</v>
      </c>
      <c r="AJ222" s="128">
        <v>660</v>
      </c>
      <c r="AK222" s="129">
        <v>173</v>
      </c>
      <c r="AL222" s="129">
        <v>222</v>
      </c>
    </row>
    <row r="223">
      <c r="A223" s="108"/>
      <c r="B223" s="109" t="s">
        <v>139</v>
      </c>
      <c r="C223" s="110" t="s">
        <v>138</v>
      </c>
      <c r="D223" s="111">
        <f t="shared" si="325"/>
      </c>
      <c r="E223" s="141">
        <v>217.36</v>
      </c>
      <c r="F223" s="142">
        <v>180.98</v>
      </c>
      <c r="G223" s="113">
        <v>6003.03</v>
      </c>
      <c r="H223" s="113">
        <v>0</v>
      </c>
      <c r="I223" s="113">
        <f t="shared" si="454"/>
      </c>
      <c r="J223" s="160">
        <v>1456.92</v>
      </c>
      <c r="K223" s="115">
        <f t="shared" si="67"/>
      </c>
      <c r="L223" s="115">
        <f t="shared" si="196"/>
      </c>
      <c r="M223" s="116">
        <f t="shared" si="614"/>
      </c>
      <c r="N223" s="117">
        <f t="shared" si="644"/>
      </c>
      <c r="O223" s="118">
        <f t="shared" si="554"/>
      </c>
      <c r="P223" s="119">
        <f t="shared" si="584"/>
      </c>
      <c r="Q223" s="119">
        <f t="shared" si="764"/>
      </c>
      <c r="R223" s="119">
        <f t="shared" si="794"/>
      </c>
      <c r="S223" s="120">
        <f t="shared" si="674"/>
      </c>
      <c r="T223" s="121">
        <f t="shared" si="704"/>
      </c>
      <c r="U223" s="119">
        <f t="shared" si="983"/>
      </c>
      <c r="V223" s="122">
        <f t="shared" si="734"/>
      </c>
      <c r="W223" s="122">
        <f t="shared" si="1013"/>
      </c>
      <c r="X223" s="119">
        <f t="shared" si="824"/>
      </c>
      <c r="Y223" s="123">
        <f t="shared" si="883"/>
      </c>
      <c r="Z223" s="123">
        <v>5</v>
      </c>
      <c r="AA223" s="123">
        <v>2</v>
      </c>
      <c r="AB223" s="124">
        <v>2172.959999999999</v>
      </c>
      <c r="AC223" s="124">
        <v>0</v>
      </c>
      <c r="AD223" s="120">
        <f t="shared" si="8"/>
      </c>
      <c r="AE223" s="125" t="s">
        <v>121</v>
      </c>
      <c r="AF223" s="126" t="s">
        <v>137</v>
      </c>
      <c r="AG223" s="129">
        <v>2</v>
      </c>
      <c r="AH223" s="128">
        <v>65292</v>
      </c>
      <c r="AI223" s="128">
        <v>550</v>
      </c>
      <c r="AJ223" s="128">
        <v>532</v>
      </c>
      <c r="AK223" s="129">
        <v>109</v>
      </c>
      <c r="AL223" s="129">
        <v>165</v>
      </c>
    </row>
    <row r="224">
      <c r="A224" s="108"/>
      <c r="B224" s="109" t="s">
        <v>139</v>
      </c>
      <c r="C224" s="110" t="s">
        <v>140</v>
      </c>
      <c r="D224" s="111">
        <f t="shared" si="325"/>
      </c>
      <c r="E224" s="110">
        <v>261.69</v>
      </c>
      <c r="F224" s="140">
        <v>286.15</v>
      </c>
      <c r="G224" s="113">
        <v>3879.61</v>
      </c>
      <c r="H224" s="113">
        <v>0</v>
      </c>
      <c r="I224" s="113">
        <f t="shared" si="454"/>
      </c>
      <c r="J224" s="160">
        <v>0</v>
      </c>
      <c r="K224" s="115">
        <f t="shared" si="67"/>
      </c>
      <c r="L224" s="115">
        <f t="shared" si="196"/>
      </c>
      <c r="M224" s="116">
        <f t="shared" si="614"/>
      </c>
      <c r="N224" s="117">
        <f t="shared" si="644"/>
      </c>
      <c r="O224" s="118">
        <f t="shared" si="554"/>
      </c>
      <c r="P224" s="119">
        <f t="shared" si="584"/>
      </c>
      <c r="Q224" s="119">
        <f t="shared" si="764"/>
      </c>
      <c r="R224" s="119">
        <f t="shared" si="794"/>
      </c>
      <c r="S224" s="120">
        <f t="shared" si="674"/>
      </c>
      <c r="T224" s="121">
        <f t="shared" si="704"/>
      </c>
      <c r="U224" s="119">
        <f t="shared" si="983"/>
      </c>
      <c r="V224" s="122">
        <f t="shared" si="734"/>
      </c>
      <c r="W224" s="122">
        <f t="shared" si="1013"/>
      </c>
      <c r="X224" s="119">
        <f t="shared" si="824"/>
      </c>
      <c r="Y224" s="123">
        <f t="shared" si="883"/>
      </c>
      <c r="Z224" s="123">
        <v>4</v>
      </c>
      <c r="AA224" s="123">
        <v>6</v>
      </c>
      <c r="AB224" s="124">
        <v>10239.120000000017</v>
      </c>
      <c r="AC224" s="124">
        <v>0</v>
      </c>
      <c r="AD224" s="120">
        <f t="shared" si="8"/>
      </c>
      <c r="AE224" s="125" t="s">
        <v>121</v>
      </c>
      <c r="AF224" s="126" t="s">
        <v>137</v>
      </c>
      <c r="AG224" s="127">
        <v>5</v>
      </c>
      <c r="AH224" s="128">
        <v>40137</v>
      </c>
      <c r="AI224" s="128">
        <v>444</v>
      </c>
      <c r="AJ224" s="128">
        <v>474</v>
      </c>
      <c r="AK224" s="129">
        <v>117</v>
      </c>
      <c r="AL224" s="129">
        <v>148</v>
      </c>
    </row>
    <row r="225">
      <c r="A225" s="108"/>
      <c r="B225" s="109" t="s">
        <v>139</v>
      </c>
      <c r="C225" s="141" t="s">
        <v>141</v>
      </c>
      <c r="D225" s="111">
        <f t="shared" si="325"/>
      </c>
      <c r="E225" s="110">
        <v>693.71</v>
      </c>
      <c r="F225" s="140">
        <v>901.98</v>
      </c>
      <c r="G225" s="113">
        <v>3665.8</v>
      </c>
      <c r="H225" s="113">
        <v>0</v>
      </c>
      <c r="I225" s="113">
        <f t="shared" si="454"/>
      </c>
      <c r="J225" s="160">
        <f>2464.56+2114.64</f>
      </c>
      <c r="K225" s="115">
        <f t="shared" si="67"/>
      </c>
      <c r="L225" s="115">
        <f t="shared" si="196"/>
      </c>
      <c r="M225" s="116">
        <f t="shared" si="614"/>
      </c>
      <c r="N225" s="117">
        <f t="shared" si="644"/>
      </c>
      <c r="O225" s="118">
        <f t="shared" si="554"/>
      </c>
      <c r="P225" s="119">
        <f t="shared" si="584"/>
      </c>
      <c r="Q225" s="119">
        <f t="shared" si="764"/>
      </c>
      <c r="R225" s="119">
        <f t="shared" si="794"/>
      </c>
      <c r="S225" s="120">
        <f t="shared" si="674"/>
      </c>
      <c r="T225" s="121">
        <f t="shared" si="704"/>
      </c>
      <c r="U225" s="119">
        <f t="shared" si="983"/>
      </c>
      <c r="V225" s="122">
        <f t="shared" si="734"/>
      </c>
      <c r="W225" s="122">
        <f t="shared" si="1013"/>
      </c>
      <c r="X225" s="119">
        <f t="shared" si="824"/>
      </c>
      <c r="Y225" s="123">
        <f t="shared" si="883"/>
      </c>
      <c r="Z225" s="123">
        <v>9</v>
      </c>
      <c r="AA225" s="123">
        <v>10</v>
      </c>
      <c r="AB225" s="124">
        <v>21386.15999999998</v>
      </c>
      <c r="AC225" s="124">
        <v>0</v>
      </c>
      <c r="AD225" s="120">
        <f t="shared" si="8"/>
      </c>
      <c r="AE225" s="125" t="s">
        <v>121</v>
      </c>
      <c r="AF225" s="126" t="s">
        <v>137</v>
      </c>
      <c r="AG225" s="127">
        <v>8</v>
      </c>
      <c r="AH225" s="128">
        <v>44553</v>
      </c>
      <c r="AI225" s="128">
        <v>727</v>
      </c>
      <c r="AJ225" s="128">
        <v>752</v>
      </c>
      <c r="AK225" s="129">
        <v>140</v>
      </c>
      <c r="AL225" s="129">
        <v>160</v>
      </c>
    </row>
    <row r="226">
      <c r="A226" s="108"/>
      <c r="B226" s="109" t="s">
        <v>139</v>
      </c>
      <c r="C226" s="141" t="s">
        <v>142</v>
      </c>
      <c r="D226" s="111">
        <f t="shared" si="325"/>
      </c>
      <c r="E226" s="110">
        <v>1069.46</v>
      </c>
      <c r="F226" s="140">
        <v>1350.8</v>
      </c>
      <c r="G226" s="113">
        <v>3961.38</v>
      </c>
      <c r="H226" s="113">
        <v>0</v>
      </c>
      <c r="I226" s="113">
        <f t="shared" si="454"/>
      </c>
      <c r="J226" s="160">
        <v>0</v>
      </c>
      <c r="K226" s="115">
        <f t="shared" si="67"/>
      </c>
      <c r="L226" s="115">
        <f t="shared" si="196"/>
      </c>
      <c r="M226" s="116">
        <f t="shared" si="614"/>
      </c>
      <c r="N226" s="117">
        <f t="shared" si="644"/>
      </c>
      <c r="O226" s="118">
        <f t="shared" si="554"/>
      </c>
      <c r="P226" s="119">
        <f t="shared" si="584"/>
      </c>
      <c r="Q226" s="119">
        <f t="shared" si="764"/>
      </c>
      <c r="R226" s="119">
        <f t="shared" si="794"/>
      </c>
      <c r="S226" s="120">
        <f t="shared" si="674"/>
      </c>
      <c r="T226" s="121">
        <f t="shared" si="704"/>
      </c>
      <c r="U226" s="119">
        <f t="shared" si="983"/>
      </c>
      <c r="V226" s="122">
        <f t="shared" si="734"/>
      </c>
      <c r="W226" s="122">
        <f t="shared" si="1013"/>
      </c>
      <c r="X226" s="119">
        <f t="shared" si="824"/>
      </c>
      <c r="Y226" s="123">
        <f t="shared" si="883"/>
      </c>
      <c r="Z226" s="123">
        <v>6</v>
      </c>
      <c r="AA226" s="123">
        <v>6</v>
      </c>
      <c r="AB226" s="124">
        <v>5221.800000000025</v>
      </c>
      <c r="AC226" s="124">
        <v>2811</v>
      </c>
      <c r="AD226" s="120">
        <f t="shared" si="8"/>
      </c>
      <c r="AE226" s="125" t="s">
        <v>121</v>
      </c>
      <c r="AF226" s="126" t="s">
        <v>137</v>
      </c>
      <c r="AG226" s="127">
        <v>5</v>
      </c>
      <c r="AH226" s="128">
        <v>52981</v>
      </c>
      <c r="AI226" s="128">
        <v>987</v>
      </c>
      <c r="AJ226" s="128">
        <v>1046</v>
      </c>
      <c r="AK226" s="129">
        <v>156</v>
      </c>
      <c r="AL226" s="129">
        <v>171</v>
      </c>
    </row>
    <row r="227">
      <c r="A227" s="108"/>
      <c r="B227" s="130" t="s">
        <v>127</v>
      </c>
      <c r="C227" s="131">
        <v>5</v>
      </c>
      <c r="D227" s="132">
        <f>SUM(D222:D226)</f>
      </c>
      <c r="E227" s="132">
        <f>SUM(E222:E226)</f>
      </c>
      <c r="F227" s="132">
        <f>SUM(F222:F226)</f>
      </c>
      <c r="G227" s="132">
        <f>SUM(G222:G226)</f>
      </c>
      <c r="H227" s="132">
        <f>SUM(H222:H226)</f>
      </c>
      <c r="I227" s="132">
        <f>SUM(I222:I226)</f>
      </c>
      <c r="J227" s="132">
        <f>SUM(J222:J226)</f>
      </c>
      <c r="K227" s="132">
        <f>SUM(K222:K226)</f>
      </c>
      <c r="L227" s="132">
        <f>SUM(L222:L226)</f>
      </c>
      <c r="M227" s="133">
        <f t="shared" si="614"/>
      </c>
      <c r="N227" s="134">
        <f t="shared" si="644"/>
      </c>
      <c r="O227" s="134">
        <f t="shared" si="554"/>
      </c>
      <c r="P227" s="135">
        <f t="shared" si="584"/>
      </c>
      <c r="Q227" s="135">
        <f t="shared" si="764"/>
      </c>
      <c r="R227" s="135">
        <f t="shared" si="794"/>
      </c>
      <c r="S227" s="136">
        <f t="shared" si="674"/>
      </c>
      <c r="T227" s="136">
        <f t="shared" si="704"/>
      </c>
      <c r="U227" s="135">
        <f t="shared" si="983"/>
      </c>
      <c r="V227" s="136">
        <f t="shared" si="734"/>
      </c>
      <c r="W227" s="136">
        <f t="shared" si="1013"/>
      </c>
      <c r="X227" s="135">
        <f t="shared" si="824"/>
      </c>
      <c r="Y227" s="132">
        <f>SUM(Y222:Y226)</f>
      </c>
      <c r="Z227" s="132">
        <f>SUM(Z222:Z226)</f>
      </c>
      <c r="AA227" s="132">
        <f>SUM(AA222:AA226)</f>
      </c>
      <c r="AB227" s="132">
        <f>SUM(AB222:AB226)</f>
      </c>
      <c r="AC227" s="132">
        <f>SUM(AC222:AC226)</f>
      </c>
      <c r="AD227" s="137">
        <f t="shared" si="8"/>
      </c>
      <c r="AE227" s="138"/>
      <c r="AF227" s="139"/>
      <c r="AG227" s="132">
        <f>SUM(AG222:AG226)</f>
      </c>
      <c r="AH227" s="132">
        <f>SUM(AH222:AH226)</f>
      </c>
      <c r="AI227" s="132">
        <f>SUM(AI222:AI226)</f>
      </c>
      <c r="AJ227" s="132">
        <f>SUM(AJ222:AJ226)</f>
      </c>
      <c r="AK227" s="132">
        <f>SUM(AK222:AK226)</f>
      </c>
      <c r="AL227" s="132">
        <f>SUM(AL222:AL226)</f>
      </c>
    </row>
    <row r="228">
      <c r="A228" s="108"/>
      <c r="B228" s="109" t="s">
        <v>133</v>
      </c>
      <c r="C228" s="141" t="s">
        <v>144</v>
      </c>
      <c r="D228" s="143">
        <f t="shared" ref="D228:D232" si="326">E228+F228+G228+H228</f>
      </c>
      <c r="E228" s="144">
        <v>725.32</v>
      </c>
      <c r="F228" s="145">
        <v>2028.32</v>
      </c>
      <c r="G228" s="113">
        <v>4054.22</v>
      </c>
      <c r="H228" s="113">
        <v>0</v>
      </c>
      <c r="I228" s="113">
        <f t="shared" ref="I228:I232" si="455">AB228+AC228</f>
      </c>
      <c r="J228" s="114">
        <v>0</v>
      </c>
      <c r="K228" s="115">
        <f t="shared" ref="K228:K232" si="68">I228-J228</f>
      </c>
      <c r="L228" s="115">
        <f t="shared" ref="L228:L232" si="197">(I228-AC228)/12+AC228</f>
      </c>
      <c r="M228" s="116">
        <f t="shared" si="614"/>
      </c>
      <c r="N228" s="117">
        <f t="shared" si="644"/>
      </c>
      <c r="O228" s="118">
        <f t="shared" si="554"/>
      </c>
      <c r="P228" s="119">
        <f t="shared" si="584"/>
      </c>
      <c r="Q228" s="119">
        <f t="shared" si="764"/>
      </c>
      <c r="R228" s="119">
        <f t="shared" si="794"/>
      </c>
      <c r="S228" s="120">
        <f t="shared" si="674"/>
      </c>
      <c r="T228" s="121">
        <f t="shared" si="704"/>
      </c>
      <c r="U228" s="119">
        <f t="shared" si="983"/>
      </c>
      <c r="V228" s="122">
        <f t="shared" si="734"/>
      </c>
      <c r="W228" s="122">
        <f t="shared" si="1013"/>
      </c>
      <c r="X228" s="119">
        <f t="shared" si="824"/>
      </c>
      <c r="Y228" s="123">
        <f t="shared" ref="Y228:Y232" si="884">Z228+AA228</f>
      </c>
      <c r="Z228" s="123">
        <v>7</v>
      </c>
      <c r="AA228" s="123">
        <v>4</v>
      </c>
      <c r="AB228" s="124">
        <v>5199.1199999999735</v>
      </c>
      <c r="AC228" s="124">
        <v>0</v>
      </c>
      <c r="AD228" s="120">
        <f t="shared" si="8"/>
      </c>
      <c r="AE228" s="125" t="s">
        <v>121</v>
      </c>
      <c r="AF228" s="126" t="s">
        <v>137</v>
      </c>
      <c r="AG228" s="127">
        <v>4</v>
      </c>
      <c r="AH228" s="127">
        <v>61977</v>
      </c>
      <c r="AI228" s="128">
        <v>1048</v>
      </c>
      <c r="AJ228" s="128">
        <v>1119</v>
      </c>
      <c r="AK228" s="127">
        <v>184</v>
      </c>
      <c r="AL228" s="129">
        <v>222</v>
      </c>
    </row>
    <row r="229">
      <c r="A229" s="108"/>
      <c r="B229" s="109" t="s">
        <v>133</v>
      </c>
      <c r="C229" s="110" t="s">
        <v>145</v>
      </c>
      <c r="D229" s="143">
        <f t="shared" si="326"/>
      </c>
      <c r="E229" s="147">
        <v>972.31</v>
      </c>
      <c r="F229" s="145">
        <v>811.85</v>
      </c>
      <c r="G229" s="113">
        <v>3908.03</v>
      </c>
      <c r="H229" s="113">
        <v>0</v>
      </c>
      <c r="I229" s="113">
        <f t="shared" si="455"/>
      </c>
      <c r="J229" s="114">
        <v>0</v>
      </c>
      <c r="K229" s="115">
        <f t="shared" si="68"/>
      </c>
      <c r="L229" s="115">
        <f t="shared" si="197"/>
      </c>
      <c r="M229" s="116">
        <f t="shared" si="614"/>
      </c>
      <c r="N229" s="117">
        <f t="shared" si="644"/>
      </c>
      <c r="O229" s="118">
        <f t="shared" si="554"/>
      </c>
      <c r="P229" s="119">
        <f t="shared" si="584"/>
      </c>
      <c r="Q229" s="119">
        <f t="shared" si="764"/>
      </c>
      <c r="R229" s="119">
        <f t="shared" si="794"/>
      </c>
      <c r="S229" s="120">
        <f t="shared" si="674"/>
      </c>
      <c r="T229" s="121">
        <f t="shared" si="704"/>
      </c>
      <c r="U229" s="119">
        <f t="shared" si="983"/>
      </c>
      <c r="V229" s="122">
        <f t="shared" si="734"/>
      </c>
      <c r="W229" s="122">
        <f t="shared" si="1013"/>
      </c>
      <c r="X229" s="119">
        <f t="shared" si="824"/>
      </c>
      <c r="Y229" s="123">
        <f t="shared" si="884"/>
      </c>
      <c r="Z229" s="123">
        <v>8</v>
      </c>
      <c r="AA229" s="123">
        <v>7</v>
      </c>
      <c r="AB229" s="124">
        <v>6474.600000000013</v>
      </c>
      <c r="AC229" s="124">
        <v>4951.5</v>
      </c>
      <c r="AD229" s="120">
        <f t="shared" si="8"/>
      </c>
      <c r="AE229" s="125" t="s">
        <v>121</v>
      </c>
      <c r="AF229" s="126" t="s">
        <v>137</v>
      </c>
      <c r="AG229" s="127">
        <v>6</v>
      </c>
      <c r="AH229" s="128">
        <v>51927</v>
      </c>
      <c r="AI229" s="128">
        <v>871</v>
      </c>
      <c r="AJ229" s="128">
        <v>886</v>
      </c>
      <c r="AK229" s="129">
        <v>132</v>
      </c>
      <c r="AL229" s="129">
        <v>152</v>
      </c>
    </row>
    <row r="230">
      <c r="A230" s="108"/>
      <c r="B230" s="109" t="s">
        <v>133</v>
      </c>
      <c r="C230" s="141" t="s">
        <v>146</v>
      </c>
      <c r="D230" s="143">
        <f t="shared" si="326"/>
      </c>
      <c r="E230" s="147">
        <v>2359.52</v>
      </c>
      <c r="F230" s="147">
        <v>1977.88</v>
      </c>
      <c r="G230" s="113">
        <v>3614.29</v>
      </c>
      <c r="H230" s="113">
        <v>0</v>
      </c>
      <c r="I230" s="113">
        <f t="shared" si="455"/>
      </c>
      <c r="J230" s="114">
        <v>0</v>
      </c>
      <c r="K230" s="115">
        <f t="shared" si="68"/>
      </c>
      <c r="L230" s="115">
        <f t="shared" si="197"/>
      </c>
      <c r="M230" s="116">
        <f t="shared" si="614"/>
      </c>
      <c r="N230" s="117">
        <f t="shared" si="644"/>
      </c>
      <c r="O230" s="118">
        <f t="shared" si="554"/>
      </c>
      <c r="P230" s="119">
        <f t="shared" si="584"/>
      </c>
      <c r="Q230" s="119">
        <f t="shared" si="764"/>
      </c>
      <c r="R230" s="119">
        <f t="shared" si="794"/>
      </c>
      <c r="S230" s="120">
        <f t="shared" si="674"/>
      </c>
      <c r="T230" s="121">
        <f t="shared" si="704"/>
      </c>
      <c r="U230" s="119">
        <f t="shared" si="983"/>
      </c>
      <c r="V230" s="122">
        <f t="shared" si="734"/>
      </c>
      <c r="W230" s="122">
        <f t="shared" si="1013"/>
      </c>
      <c r="X230" s="119">
        <f t="shared" si="824"/>
      </c>
      <c r="Y230" s="123">
        <f t="shared" si="884"/>
      </c>
      <c r="Z230" s="123">
        <v>14</v>
      </c>
      <c r="AA230" s="123">
        <v>6</v>
      </c>
      <c r="AB230" s="124">
        <v>3674.1600000000108</v>
      </c>
      <c r="AC230" s="124">
        <v>3202</v>
      </c>
      <c r="AD230" s="120">
        <f t="shared" si="8"/>
      </c>
      <c r="AE230" s="125" t="s">
        <v>121</v>
      </c>
      <c r="AF230" s="126" t="s">
        <v>137</v>
      </c>
      <c r="AG230" s="129">
        <v>5</v>
      </c>
      <c r="AH230" s="128">
        <v>67902</v>
      </c>
      <c r="AI230" s="128">
        <v>1704</v>
      </c>
      <c r="AJ230" s="128">
        <v>1816</v>
      </c>
      <c r="AK230" s="129">
        <v>190</v>
      </c>
      <c r="AL230" s="129">
        <v>194</v>
      </c>
    </row>
    <row r="231">
      <c r="A231" s="108"/>
      <c r="B231" s="109" t="s">
        <v>133</v>
      </c>
      <c r="C231" s="110" t="s">
        <v>147</v>
      </c>
      <c r="D231" s="143">
        <f t="shared" si="326"/>
      </c>
      <c r="E231" s="147">
        <v>753.72</v>
      </c>
      <c r="F231" s="145">
        <v>2708.75</v>
      </c>
      <c r="G231" s="113">
        <v>2473.87</v>
      </c>
      <c r="H231" s="113">
        <v>0</v>
      </c>
      <c r="I231" s="113">
        <f t="shared" si="455"/>
      </c>
      <c r="J231" s="114">
        <f>6126.12+1769.88+2464.56</f>
      </c>
      <c r="K231" s="115">
        <f t="shared" si="68"/>
      </c>
      <c r="L231" s="115">
        <f t="shared" si="197"/>
      </c>
      <c r="M231" s="116">
        <f t="shared" si="614"/>
      </c>
      <c r="N231" s="117">
        <f t="shared" si="644"/>
      </c>
      <c r="O231" s="118">
        <f t="shared" si="554"/>
      </c>
      <c r="P231" s="119">
        <f t="shared" si="584"/>
      </c>
      <c r="Q231" s="119">
        <f t="shared" si="764"/>
      </c>
      <c r="R231" s="119">
        <f t="shared" si="794"/>
      </c>
      <c r="S231" s="120">
        <f t="shared" si="674"/>
      </c>
      <c r="T231" s="121">
        <f t="shared" si="704"/>
      </c>
      <c r="U231" s="119">
        <f t="shared" si="983"/>
      </c>
      <c r="V231" s="122">
        <f t="shared" si="734"/>
      </c>
      <c r="W231" s="122">
        <f t="shared" si="1013"/>
      </c>
      <c r="X231" s="119">
        <f t="shared" si="824"/>
      </c>
      <c r="Y231" s="123">
        <f t="shared" si="884"/>
      </c>
      <c r="Z231" s="123">
        <v>7</v>
      </c>
      <c r="AA231" s="123">
        <v>9</v>
      </c>
      <c r="AB231" s="124">
        <v>20819.28</v>
      </c>
      <c r="AC231" s="124">
        <v>0</v>
      </c>
      <c r="AD231" s="120">
        <f t="shared" si="8"/>
      </c>
      <c r="AE231" s="125" t="s">
        <v>121</v>
      </c>
      <c r="AF231" s="126" t="s">
        <v>137</v>
      </c>
      <c r="AG231" s="127">
        <v>8</v>
      </c>
      <c r="AH231" s="128">
        <v>61092</v>
      </c>
      <c r="AI231" s="128">
        <v>1259</v>
      </c>
      <c r="AJ231" s="128">
        <v>1402</v>
      </c>
      <c r="AK231" s="129">
        <v>155</v>
      </c>
      <c r="AL231" s="129">
        <v>154</v>
      </c>
    </row>
    <row r="232">
      <c r="A232" s="108"/>
      <c r="B232" s="109" t="s">
        <v>133</v>
      </c>
      <c r="C232" s="110" t="s">
        <v>148</v>
      </c>
      <c r="D232" s="143">
        <f t="shared" si="326"/>
      </c>
      <c r="E232" s="147">
        <f>519.45+9.78</f>
      </c>
      <c r="F232" s="145">
        <v>3511.74</v>
      </c>
      <c r="G232" s="113">
        <v>927.48</v>
      </c>
      <c r="H232" s="113">
        <v>0</v>
      </c>
      <c r="I232" s="113">
        <f t="shared" si="455"/>
      </c>
      <c r="J232" s="114">
        <v>1128.6</v>
      </c>
      <c r="K232" s="115">
        <f t="shared" si="68"/>
      </c>
      <c r="L232" s="115">
        <f t="shared" si="197"/>
      </c>
      <c r="M232" s="116">
        <f t="shared" si="614"/>
      </c>
      <c r="N232" s="117">
        <f t="shared" si="644"/>
      </c>
      <c r="O232" s="118">
        <f t="shared" si="554"/>
      </c>
      <c r="P232" s="119">
        <f t="shared" si="584"/>
      </c>
      <c r="Q232" s="119">
        <f t="shared" si="764"/>
      </c>
      <c r="R232" s="119">
        <f t="shared" si="794"/>
      </c>
      <c r="S232" s="120">
        <f t="shared" si="674"/>
      </c>
      <c r="T232" s="121">
        <f t="shared" si="704"/>
      </c>
      <c r="U232" s="119">
        <f t="shared" si="983"/>
      </c>
      <c r="V232" s="122">
        <f t="shared" si="734"/>
      </c>
      <c r="W232" s="122">
        <f t="shared" si="1013"/>
      </c>
      <c r="X232" s="119">
        <f t="shared" si="824"/>
      </c>
      <c r="Y232" s="123">
        <f t="shared" si="884"/>
      </c>
      <c r="Z232" s="123">
        <v>5</v>
      </c>
      <c r="AA232" s="123">
        <v>9</v>
      </c>
      <c r="AB232" s="124">
        <v>18438.480000000003</v>
      </c>
      <c r="AC232" s="124">
        <v>0</v>
      </c>
      <c r="AD232" s="120">
        <f t="shared" si="8"/>
      </c>
      <c r="AE232" s="125" t="s">
        <v>121</v>
      </c>
      <c r="AF232" s="126" t="s">
        <v>137</v>
      </c>
      <c r="AG232" s="127">
        <v>8</v>
      </c>
      <c r="AH232" s="128">
        <v>48860</v>
      </c>
      <c r="AI232" s="128">
        <v>1088</v>
      </c>
      <c r="AJ232" s="128">
        <v>1243</v>
      </c>
      <c r="AK232" s="129">
        <v>128</v>
      </c>
      <c r="AL232" s="129">
        <v>140</v>
      </c>
    </row>
    <row r="233">
      <c r="A233" s="108"/>
      <c r="B233" s="130" t="s">
        <v>127</v>
      </c>
      <c r="C233" s="131">
        <v>5</v>
      </c>
      <c r="D233" s="132">
        <f>SUM(D228:D232)</f>
      </c>
      <c r="E233" s="132">
        <f>SUM(E228:E232)</f>
      </c>
      <c r="F233" s="132">
        <f>SUM(F228:F232)</f>
      </c>
      <c r="G233" s="132">
        <f>SUM(G228:G232)</f>
      </c>
      <c r="H233" s="132">
        <f>SUM(H228:H232)</f>
      </c>
      <c r="I233" s="132">
        <f>SUM(I228:I232)</f>
      </c>
      <c r="J233" s="132">
        <f>SUM(J228:J232)</f>
      </c>
      <c r="K233" s="132">
        <f>SUM(K228:K232)</f>
      </c>
      <c r="L233" s="132">
        <f>SUM(L228:L232)</f>
      </c>
      <c r="M233" s="133">
        <f t="shared" si="614"/>
      </c>
      <c r="N233" s="134">
        <f t="shared" si="644"/>
      </c>
      <c r="O233" s="134">
        <f t="shared" si="554"/>
      </c>
      <c r="P233" s="135">
        <f t="shared" si="584"/>
      </c>
      <c r="Q233" s="135">
        <f t="shared" si="764"/>
      </c>
      <c r="R233" s="135">
        <f t="shared" si="794"/>
      </c>
      <c r="S233" s="136">
        <f t="shared" si="674"/>
      </c>
      <c r="T233" s="136">
        <f t="shared" si="704"/>
      </c>
      <c r="U233" s="135">
        <f t="shared" si="983"/>
      </c>
      <c r="V233" s="136">
        <f t="shared" si="734"/>
      </c>
      <c r="W233" s="136">
        <f t="shared" si="1013"/>
      </c>
      <c r="X233" s="135">
        <f t="shared" si="824"/>
      </c>
      <c r="Y233" s="132">
        <f>SUM(Y228:Y232)</f>
      </c>
      <c r="Z233" s="132">
        <f>SUM(Z228:Z232)</f>
      </c>
      <c r="AA233" s="132">
        <f>SUM(AA228:AA232)</f>
      </c>
      <c r="AB233" s="132">
        <f>SUM(AB228:AB232)</f>
      </c>
      <c r="AC233" s="132">
        <f>SUM(AC228:AC232)</f>
      </c>
      <c r="AD233" s="150">
        <f t="shared" si="8"/>
      </c>
      <c r="AE233" s="151"/>
      <c r="AF233" s="139"/>
      <c r="AG233" s="132">
        <f>SUM(AG228:AG232)</f>
      </c>
      <c r="AH233" s="132">
        <f>SUM(AH228:AH232)</f>
      </c>
      <c r="AI233" s="132">
        <f>SUM(AI228:AI232)</f>
      </c>
      <c r="AJ233" s="132">
        <f>SUM(AJ228:AJ232)</f>
      </c>
      <c r="AK233" s="132">
        <f>SUM(AK228:AK232)</f>
      </c>
      <c r="AL233" s="132">
        <f>SUM(AL228:AL232)</f>
      </c>
    </row>
    <row r="234">
      <c r="A234" s="108"/>
      <c r="B234" s="152" t="s">
        <v>127</v>
      </c>
      <c r="C234" s="153">
        <f>C215+C221+C227+C233</f>
      </c>
      <c r="D234" s="153">
        <f>D215+D221+D227+D233</f>
      </c>
      <c r="E234" s="153">
        <f>E215+E221+E227+E233</f>
      </c>
      <c r="F234" s="153">
        <f>F215+F221+F227+F233</f>
      </c>
      <c r="G234" s="153">
        <f>G215+G221+G227+G233</f>
      </c>
      <c r="H234" s="153">
        <f>H215+H221+H227+H233</f>
      </c>
      <c r="I234" s="153">
        <f>I215+I221+I227+I233</f>
      </c>
      <c r="J234" s="153">
        <f>J215+J221+J227+J233</f>
      </c>
      <c r="K234" s="153">
        <f>K215+K221+K227+K233</f>
      </c>
      <c r="L234" s="153">
        <f>L215+L221+L227+L233</f>
      </c>
      <c r="M234" s="154">
        <f t="shared" si="614"/>
      </c>
      <c r="N234" s="154">
        <f t="shared" si="644"/>
      </c>
      <c r="O234" s="154">
        <f t="shared" si="554"/>
      </c>
      <c r="P234" s="154">
        <f t="shared" si="584"/>
      </c>
      <c r="Q234" s="154">
        <f t="shared" si="764"/>
      </c>
      <c r="R234" s="154">
        <f t="shared" si="794"/>
      </c>
      <c r="S234" s="155">
        <f t="shared" si="674"/>
      </c>
      <c r="T234" s="155">
        <f t="shared" si="704"/>
      </c>
      <c r="U234" s="154">
        <f t="shared" si="983"/>
      </c>
      <c r="V234" s="155">
        <f t="shared" si="734"/>
      </c>
      <c r="W234" s="155">
        <f t="shared" si="1013"/>
      </c>
      <c r="X234" s="154">
        <f t="shared" si="824"/>
      </c>
      <c r="Y234" s="156">
        <f>Y215+Y221+Y227+Y233</f>
      </c>
      <c r="Z234" s="156">
        <f>Z215+Z221+Z227+Z233</f>
      </c>
      <c r="AA234" s="156">
        <f>AA215+AA221+AA227+AA233</f>
      </c>
      <c r="AB234" s="156">
        <f>AB215+AB221+AB227+AB233</f>
      </c>
      <c r="AC234" s="156">
        <f>AC215+AC221+AC227+AC233</f>
      </c>
      <c r="AD234" s="157">
        <f>AD215+AD221+AD227+AD233</f>
      </c>
      <c r="AE234" s="158"/>
      <c r="AF234" s="159"/>
      <c r="AG234" s="153">
        <f>AG215+AG221+AG227+AG233</f>
      </c>
      <c r="AH234" s="153">
        <f>AH215+AH221+AH227+AH233</f>
      </c>
      <c r="AI234" s="153">
        <f>AI215+AI221+AI227+AI233</f>
      </c>
      <c r="AJ234" s="153">
        <f>AJ215+AJ221+AJ227+AJ233</f>
      </c>
      <c r="AK234" s="153">
        <f>AK215+AK221+AK227+AK233</f>
      </c>
      <c r="AL234" s="153">
        <f>AL215+AL221+AL227+AL233</f>
      </c>
    </row>
    <row r="235">
      <c r="A235" s="94" t="s">
        <v>81</v>
      </c>
      <c r="B235" s="95" t="s">
        <v>82</v>
      </c>
      <c r="C235" s="95" t="s">
        <v>83</v>
      </c>
      <c r="D235" s="96" t="s">
        <v>84</v>
      </c>
      <c r="E235" s="164" t="s">
        <v>85</v>
      </c>
      <c r="F235" s="95" t="s">
        <v>86</v>
      </c>
      <c r="G235" s="97" t="s">
        <v>87</v>
      </c>
      <c r="H235" s="97" t="s">
        <v>88</v>
      </c>
      <c r="I235" s="96" t="s">
        <v>89</v>
      </c>
      <c r="J235" s="98" t="s">
        <v>90</v>
      </c>
      <c r="K235" s="99" t="s">
        <v>91</v>
      </c>
      <c r="L235" s="99" t="s">
        <v>92</v>
      </c>
      <c r="M235" s="100" t="s">
        <v>93</v>
      </c>
      <c r="N235" s="99" t="s">
        <v>94</v>
      </c>
      <c r="O235" s="95" t="s">
        <v>95</v>
      </c>
      <c r="P235" s="100" t="s">
        <v>96</v>
      </c>
      <c r="Q235" s="101" t="s">
        <v>97</v>
      </c>
      <c r="R235" s="101" t="s">
        <v>98</v>
      </c>
      <c r="S235" s="96" t="s">
        <v>99</v>
      </c>
      <c r="T235" s="102" t="s">
        <v>100</v>
      </c>
      <c r="U235" s="100" t="s">
        <v>101</v>
      </c>
      <c r="V235" s="103" t="s">
        <v>102</v>
      </c>
      <c r="W235" s="104" t="s">
        <v>103</v>
      </c>
      <c r="X235" s="100" t="s">
        <v>104</v>
      </c>
      <c r="Y235" s="105" t="s">
        <v>105</v>
      </c>
      <c r="Z235" s="106" t="s">
        <v>106</v>
      </c>
      <c r="AA235" s="105" t="s">
        <v>107</v>
      </c>
      <c r="AB235" s="107" t="s">
        <v>108</v>
      </c>
      <c r="AC235" s="107" t="s">
        <v>109</v>
      </c>
      <c r="AD235" s="99" t="s">
        <v>110</v>
      </c>
      <c r="AE235" s="98" t="s">
        <v>111</v>
      </c>
      <c r="AF235" s="99" t="s">
        <v>112</v>
      </c>
      <c r="AG235" s="98" t="s">
        <v>113</v>
      </c>
      <c r="AH235" s="98" t="s">
        <v>114</v>
      </c>
      <c r="AI235" s="99" t="s">
        <v>115</v>
      </c>
      <c r="AJ235" s="98" t="s">
        <v>116</v>
      </c>
      <c r="AK235" s="99" t="s">
        <v>117</v>
      </c>
      <c r="AL235" s="98" t="s">
        <v>118</v>
      </c>
    </row>
    <row r="236">
      <c r="A236" s="108">
        <v>46275</v>
      </c>
      <c r="B236" s="109" t="s">
        <v>143</v>
      </c>
      <c r="C236" s="110" t="s">
        <v>120</v>
      </c>
      <c r="D236" s="143">
        <f t="shared" ref="D236:D240" si="327">E236+F236+G236+H236</f>
      </c>
      <c r="E236" s="144">
        <v>1749.4</v>
      </c>
      <c r="F236" s="146">
        <v>5255.69</v>
      </c>
      <c r="G236" s="113">
        <v>1628.16</v>
      </c>
      <c r="H236" s="113">
        <v>0</v>
      </c>
      <c r="I236" s="113">
        <f t="shared" ref="I236:I240" si="456">AB236+AC236</f>
      </c>
      <c r="J236" s="114">
        <f>4725+619</f>
      </c>
      <c r="K236" s="115">
        <f t="shared" ref="K236:K240" si="69">I236-J236</f>
      </c>
      <c r="L236" s="115">
        <f t="shared" ref="L236:L240" si="198">(I236-AC236)/12+AC236</f>
      </c>
      <c r="M236" s="116">
        <f t="shared" ref="M236:M260" si="615">I236/D236</f>
      </c>
      <c r="N236" s="117">
        <f t="shared" ref="N236:N260" si="645">(I236-J236)/D236</f>
      </c>
      <c r="O236" s="118">
        <f t="shared" ref="O236:O260" si="555">(AC236+AB236/12)/D236</f>
      </c>
      <c r="P236" s="119">
        <f t="shared" ref="P236:P260" si="585">I236/AA236</f>
      </c>
      <c r="Q236" s="119">
        <f t="shared" ref="Q236:Q260" si="765">D236/AA236</f>
      </c>
      <c r="R236" s="119">
        <f t="shared" ref="R236:R260" si="795">D236/AG236</f>
      </c>
      <c r="S236" s="120">
        <f t="shared" ref="S236:S260" si="675">AA236/Y236</f>
      </c>
      <c r="T236" s="121">
        <f t="shared" ref="T236:T260" si="705">AI236/AH236</f>
      </c>
      <c r="U236" s="119">
        <f t="shared" ref="U236:U260" si="984">D236/AJ236</f>
      </c>
      <c r="V236" s="122">
        <f t="shared" ref="V236:V260" si="735">AK236/AJ236</f>
      </c>
      <c r="W236" s="122">
        <f t="shared" ref="W236:W260" si="1014">AL236/AJ236</f>
      </c>
      <c r="X236" s="119">
        <f t="shared" ref="X236:X260" si="825">D236/AL236</f>
      </c>
      <c r="Y236" s="123">
        <f t="shared" ref="Y236:Y240" si="885">Z236+AA236</f>
      </c>
      <c r="Z236" s="123">
        <v>4</v>
      </c>
      <c r="AA236" s="123">
        <v>11</v>
      </c>
      <c r="AB236" s="124">
        <v>22217.28</v>
      </c>
      <c r="AC236" s="124">
        <v>1719</v>
      </c>
      <c r="AD236" s="120">
        <f t="shared" ref="AD236:AD259" si="9">AC236/I236</f>
      </c>
      <c r="AE236" s="125" t="s">
        <v>121</v>
      </c>
      <c r="AF236" s="126" t="s">
        <v>122</v>
      </c>
      <c r="AG236" s="127">
        <v>10</v>
      </c>
      <c r="AH236" s="127">
        <v>80831</v>
      </c>
      <c r="AI236" s="128">
        <v>2575</v>
      </c>
      <c r="AJ236" s="128">
        <v>2765</v>
      </c>
      <c r="AK236" s="127">
        <v>295</v>
      </c>
      <c r="AL236" s="129">
        <v>267</v>
      </c>
    </row>
    <row r="237">
      <c r="A237" s="108"/>
      <c r="B237" s="109" t="s">
        <v>143</v>
      </c>
      <c r="C237" s="110" t="s">
        <v>123</v>
      </c>
      <c r="D237" s="143">
        <f t="shared" si="327"/>
      </c>
      <c r="E237" s="147">
        <v>1696.94</v>
      </c>
      <c r="F237" s="146">
        <v>6740.42</v>
      </c>
      <c r="G237" s="113">
        <v>3034.52</v>
      </c>
      <c r="H237" s="113">
        <v>0</v>
      </c>
      <c r="I237" s="113">
        <f t="shared" si="456"/>
      </c>
      <c r="J237" s="114">
        <f>1161.85+1124.8</f>
      </c>
      <c r="K237" s="115">
        <f t="shared" si="69"/>
      </c>
      <c r="L237" s="115">
        <f t="shared" si="198"/>
      </c>
      <c r="M237" s="116">
        <f t="shared" si="615"/>
      </c>
      <c r="N237" s="117">
        <f t="shared" si="645"/>
      </c>
      <c r="O237" s="118">
        <f t="shared" si="555"/>
      </c>
      <c r="P237" s="119">
        <f t="shared" si="585"/>
      </c>
      <c r="Q237" s="119">
        <f t="shared" si="765"/>
      </c>
      <c r="R237" s="119">
        <f t="shared" si="795"/>
      </c>
      <c r="S237" s="120">
        <f t="shared" si="675"/>
      </c>
      <c r="T237" s="121">
        <f t="shared" si="705"/>
      </c>
      <c r="U237" s="119">
        <f t="shared" si="984"/>
      </c>
      <c r="V237" s="122">
        <f t="shared" si="735"/>
      </c>
      <c r="W237" s="122">
        <f t="shared" si="1014"/>
      </c>
      <c r="X237" s="119">
        <f t="shared" si="825"/>
      </c>
      <c r="Y237" s="123">
        <f t="shared" si="885"/>
      </c>
      <c r="Z237" s="123">
        <v>6</v>
      </c>
      <c r="AA237" s="123">
        <v>6</v>
      </c>
      <c r="AB237" s="124">
        <v>11076.480000000003</v>
      </c>
      <c r="AC237" s="124">
        <v>2286.65</v>
      </c>
      <c r="AD237" s="120">
        <f t="shared" si="9"/>
      </c>
      <c r="AE237" s="125" t="s">
        <v>121</v>
      </c>
      <c r="AF237" s="126" t="s">
        <v>122</v>
      </c>
      <c r="AG237" s="127">
        <v>4</v>
      </c>
      <c r="AH237" s="128">
        <v>111845</v>
      </c>
      <c r="AI237" s="128">
        <v>2379</v>
      </c>
      <c r="AJ237" s="128">
        <v>2593</v>
      </c>
      <c r="AK237" s="129">
        <v>389</v>
      </c>
      <c r="AL237" s="129">
        <v>312</v>
      </c>
    </row>
    <row r="238">
      <c r="A238" s="108"/>
      <c r="B238" s="109" t="s">
        <v>143</v>
      </c>
      <c r="C238" s="110" t="s">
        <v>124</v>
      </c>
      <c r="D238" s="111">
        <f t="shared" si="327"/>
      </c>
      <c r="E238" s="165">
        <v>470.69</v>
      </c>
      <c r="F238" s="110">
        <v>4709.47</v>
      </c>
      <c r="G238" s="113">
        <v>1615.31</v>
      </c>
      <c r="H238" s="113">
        <v>0</v>
      </c>
      <c r="I238" s="113">
        <f t="shared" si="456"/>
      </c>
      <c r="J238" s="114">
        <f>1788.48+2603.88+646.92</f>
      </c>
      <c r="K238" s="115">
        <f t="shared" si="69"/>
      </c>
      <c r="L238" s="115">
        <f t="shared" si="198"/>
      </c>
      <c r="M238" s="116">
        <f t="shared" si="615"/>
      </c>
      <c r="N238" s="117">
        <f t="shared" si="645"/>
      </c>
      <c r="O238" s="118">
        <f t="shared" si="555"/>
      </c>
      <c r="P238" s="119">
        <f t="shared" si="585"/>
      </c>
      <c r="Q238" s="119">
        <f t="shared" si="765"/>
      </c>
      <c r="R238" s="119">
        <f t="shared" si="795"/>
      </c>
      <c r="S238" s="120">
        <f t="shared" si="675"/>
      </c>
      <c r="T238" s="121">
        <f t="shared" si="705"/>
      </c>
      <c r="U238" s="119">
        <f t="shared" si="984"/>
      </c>
      <c r="V238" s="122">
        <f t="shared" si="735"/>
      </c>
      <c r="W238" s="122">
        <f t="shared" si="1014"/>
      </c>
      <c r="X238" s="119">
        <f t="shared" si="825"/>
      </c>
      <c r="Y238" s="123">
        <f t="shared" si="885"/>
      </c>
      <c r="Z238" s="123">
        <v>9</v>
      </c>
      <c r="AA238" s="123">
        <v>7</v>
      </c>
      <c r="AB238" s="124">
        <v>9902.51999999999</v>
      </c>
      <c r="AC238" s="124">
        <v>1347.9999999999995</v>
      </c>
      <c r="AD238" s="120">
        <f t="shared" si="9"/>
      </c>
      <c r="AE238" s="125" t="s">
        <v>121</v>
      </c>
      <c r="AF238" s="126" t="s">
        <v>122</v>
      </c>
      <c r="AG238" s="127">
        <v>5</v>
      </c>
      <c r="AH238" s="128">
        <v>67212</v>
      </c>
      <c r="AI238" s="128">
        <v>1021</v>
      </c>
      <c r="AJ238" s="128">
        <v>1066</v>
      </c>
      <c r="AK238" s="129">
        <v>213</v>
      </c>
      <c r="AL238" s="129">
        <v>204</v>
      </c>
    </row>
    <row r="239">
      <c r="A239" s="108"/>
      <c r="B239" s="109" t="s">
        <v>143</v>
      </c>
      <c r="C239" s="110" t="s">
        <v>125</v>
      </c>
      <c r="D239" s="111">
        <f t="shared" si="327"/>
      </c>
      <c r="E239" s="110">
        <v>474.59</v>
      </c>
      <c r="F239" s="113">
        <v>5820.44</v>
      </c>
      <c r="G239" s="113">
        <v>907.33</v>
      </c>
      <c r="H239" s="113">
        <v>0</v>
      </c>
      <c r="I239" s="113">
        <f t="shared" si="456"/>
      </c>
      <c r="J239" s="114">
        <v>0</v>
      </c>
      <c r="K239" s="115">
        <f t="shared" si="69"/>
      </c>
      <c r="L239" s="115">
        <f t="shared" si="198"/>
      </c>
      <c r="M239" s="116">
        <f t="shared" si="615"/>
      </c>
      <c r="N239" s="117">
        <f t="shared" si="645"/>
      </c>
      <c r="O239" s="118">
        <f t="shared" si="555"/>
      </c>
      <c r="P239" s="119">
        <f t="shared" si="585"/>
      </c>
      <c r="Q239" s="119">
        <f t="shared" si="765"/>
      </c>
      <c r="R239" s="119">
        <f t="shared" si="795"/>
      </c>
      <c r="S239" s="120">
        <f t="shared" si="675"/>
      </c>
      <c r="T239" s="121">
        <f t="shared" si="705"/>
      </c>
      <c r="U239" s="119">
        <f t="shared" si="984"/>
      </c>
      <c r="V239" s="122">
        <f t="shared" si="735"/>
      </c>
      <c r="W239" s="122">
        <f t="shared" si="1014"/>
      </c>
      <c r="X239" s="119">
        <f t="shared" si="825"/>
      </c>
      <c r="Y239" s="123">
        <f t="shared" si="885"/>
      </c>
      <c r="Z239" s="123">
        <v>8</v>
      </c>
      <c r="AA239" s="123">
        <v>6</v>
      </c>
      <c r="AB239" s="124">
        <v>8842.800000000003</v>
      </c>
      <c r="AC239" s="124">
        <v>0</v>
      </c>
      <c r="AD239" s="120">
        <f t="shared" si="9"/>
      </c>
      <c r="AE239" s="125" t="s">
        <v>121</v>
      </c>
      <c r="AF239" s="126" t="s">
        <v>122</v>
      </c>
      <c r="AG239" s="127">
        <v>6</v>
      </c>
      <c r="AH239" s="128">
        <v>66192</v>
      </c>
      <c r="AI239" s="128">
        <v>844</v>
      </c>
      <c r="AJ239" s="128">
        <v>888</v>
      </c>
      <c r="AK239" s="129">
        <v>178</v>
      </c>
      <c r="AL239" s="129">
        <v>161</v>
      </c>
    </row>
    <row r="240">
      <c r="A240" s="108"/>
      <c r="B240" s="109" t="s">
        <v>143</v>
      </c>
      <c r="C240" s="110" t="s">
        <v>126</v>
      </c>
      <c r="D240" s="111">
        <f t="shared" si="327"/>
      </c>
      <c r="E240" s="112">
        <v>361.21</v>
      </c>
      <c r="F240" s="113">
        <v>4602.33</v>
      </c>
      <c r="G240" s="113">
        <v>3110.49</v>
      </c>
      <c r="H240" s="113">
        <v>0</v>
      </c>
      <c r="I240" s="113">
        <f t="shared" si="456"/>
      </c>
      <c r="J240" s="114">
        <f>618.72+1070.16+591+1149.12</f>
      </c>
      <c r="K240" s="115">
        <f t="shared" si="69"/>
      </c>
      <c r="L240" s="115">
        <f t="shared" si="198"/>
      </c>
      <c r="M240" s="116">
        <f t="shared" si="615"/>
      </c>
      <c r="N240" s="117">
        <f t="shared" si="645"/>
      </c>
      <c r="O240" s="118">
        <f t="shared" si="555"/>
      </c>
      <c r="P240" s="119">
        <f t="shared" si="585"/>
      </c>
      <c r="Q240" s="119">
        <f t="shared" si="765"/>
      </c>
      <c r="R240" s="119">
        <f t="shared" si="795"/>
      </c>
      <c r="S240" s="120">
        <f t="shared" si="675"/>
      </c>
      <c r="T240" s="121">
        <f t="shared" si="705"/>
      </c>
      <c r="U240" s="119">
        <f t="shared" si="984"/>
      </c>
      <c r="V240" s="122">
        <f t="shared" si="735"/>
      </c>
      <c r="W240" s="122">
        <f t="shared" si="1014"/>
      </c>
      <c r="X240" s="119">
        <f t="shared" si="825"/>
      </c>
      <c r="Y240" s="123">
        <f t="shared" si="885"/>
      </c>
      <c r="Z240" s="123">
        <v>8</v>
      </c>
      <c r="AA240" s="123">
        <v>12</v>
      </c>
      <c r="AB240" s="124">
        <v>14774.040000000008</v>
      </c>
      <c r="AC240" s="124">
        <v>2915</v>
      </c>
      <c r="AD240" s="120">
        <f t="shared" si="9"/>
      </c>
      <c r="AE240" s="125" t="s">
        <v>121</v>
      </c>
      <c r="AF240" s="126" t="s">
        <v>122</v>
      </c>
      <c r="AG240" s="127">
        <v>10</v>
      </c>
      <c r="AH240" s="128">
        <v>70340</v>
      </c>
      <c r="AI240" s="128">
        <v>959</v>
      </c>
      <c r="AJ240" s="128">
        <v>1017</v>
      </c>
      <c r="AK240" s="127">
        <v>198</v>
      </c>
      <c r="AL240" s="127">
        <v>207</v>
      </c>
    </row>
    <row r="241">
      <c r="A241" s="108"/>
      <c r="B241" s="130" t="s">
        <v>127</v>
      </c>
      <c r="C241" s="131">
        <v>5</v>
      </c>
      <c r="D241" s="132">
        <f>SUM(D236:D240)</f>
      </c>
      <c r="E241" s="132">
        <f>SUM(E236:E240)</f>
      </c>
      <c r="F241" s="132">
        <f>SUM(F236:F240)</f>
      </c>
      <c r="G241" s="132">
        <f>SUM(G236:G240)</f>
      </c>
      <c r="H241" s="132">
        <f>SUM(H236:H240)</f>
      </c>
      <c r="I241" s="132">
        <f>SUM(I236:I240)</f>
      </c>
      <c r="J241" s="132">
        <f>SUM(J236:J240)</f>
      </c>
      <c r="K241" s="132">
        <f>SUM(K236:K240)</f>
      </c>
      <c r="L241" s="132">
        <f>SUM(L236:L240)</f>
      </c>
      <c r="M241" s="133">
        <f t="shared" si="615"/>
      </c>
      <c r="N241" s="134">
        <f t="shared" si="645"/>
      </c>
      <c r="O241" s="134">
        <f t="shared" si="555"/>
      </c>
      <c r="P241" s="135">
        <f t="shared" si="585"/>
      </c>
      <c r="Q241" s="135">
        <f t="shared" si="765"/>
      </c>
      <c r="R241" s="135">
        <f t="shared" si="795"/>
      </c>
      <c r="S241" s="136">
        <f t="shared" si="675"/>
      </c>
      <c r="T241" s="136">
        <f t="shared" si="705"/>
      </c>
      <c r="U241" s="135">
        <f t="shared" si="984"/>
      </c>
      <c r="V241" s="136">
        <f t="shared" si="735"/>
      </c>
      <c r="W241" s="136">
        <f t="shared" si="1014"/>
      </c>
      <c r="X241" s="135">
        <f t="shared" si="825"/>
      </c>
      <c r="Y241" s="132">
        <f>SUM(Y236:Y240)</f>
      </c>
      <c r="Z241" s="132">
        <f>SUM(Z236:Z240)</f>
      </c>
      <c r="AA241" s="132">
        <f>SUM(AA236:AA240)</f>
      </c>
      <c r="AB241" s="132">
        <f>SUM(AB236:AB240)</f>
      </c>
      <c r="AC241" s="132">
        <f>SUM(AC236:AC240)</f>
      </c>
      <c r="AD241" s="137">
        <f t="shared" si="9"/>
      </c>
      <c r="AE241" s="138"/>
      <c r="AF241" s="139"/>
      <c r="AG241" s="132">
        <f>SUM(AG236:AG240)</f>
      </c>
      <c r="AH241" s="132">
        <f>SUM(AH236:AH240)</f>
      </c>
      <c r="AI241" s="132">
        <f>SUM(AI236:AI240)</f>
      </c>
      <c r="AJ241" s="132">
        <f>SUM(AJ236:AJ240)</f>
      </c>
      <c r="AK241" s="132">
        <f>SUM(AK236:AK240)</f>
      </c>
      <c r="AL241" s="132">
        <f>SUM(AL236:AL240)</f>
      </c>
    </row>
    <row r="242">
      <c r="A242" s="108"/>
      <c r="B242" s="109" t="s">
        <v>128</v>
      </c>
      <c r="C242" s="110" t="s">
        <v>129</v>
      </c>
      <c r="D242" s="111">
        <f t="shared" ref="D242:D246" si="328">E242+F242+G242+H242</f>
      </c>
      <c r="E242" s="112">
        <v>524.85</v>
      </c>
      <c r="F242" s="113">
        <v>3085.08</v>
      </c>
      <c r="G242" s="113">
        <v>5392.84</v>
      </c>
      <c r="H242" s="113">
        <v>0</v>
      </c>
      <c r="I242" s="113">
        <f t="shared" ref="I242:I246" si="457">AB242+AC242</f>
      </c>
      <c r="J242" s="114">
        <f>1871.64+1907+3532.68+1551.96</f>
      </c>
      <c r="K242" s="115">
        <f t="shared" ref="K242:K246" si="70">I242-J242</f>
      </c>
      <c r="L242" s="115">
        <f t="shared" ref="L242:L246" si="199">(I242-AC242)/12+AC242</f>
      </c>
      <c r="M242" s="116">
        <f t="shared" si="615"/>
      </c>
      <c r="N242" s="117">
        <f t="shared" si="645"/>
      </c>
      <c r="O242" s="118">
        <f t="shared" si="555"/>
      </c>
      <c r="P242" s="119">
        <f t="shared" si="585"/>
      </c>
      <c r="Q242" s="119">
        <f t="shared" si="765"/>
      </c>
      <c r="R242" s="119">
        <f t="shared" si="795"/>
      </c>
      <c r="S242" s="120">
        <f t="shared" si="675"/>
      </c>
      <c r="T242" s="121">
        <f t="shared" si="705"/>
      </c>
      <c r="U242" s="119">
        <f t="shared" si="984"/>
      </c>
      <c r="V242" s="122">
        <f t="shared" si="735"/>
      </c>
      <c r="W242" s="122">
        <f t="shared" si="1014"/>
      </c>
      <c r="X242" s="119">
        <f t="shared" si="825"/>
      </c>
      <c r="Y242" s="123">
        <f t="shared" ref="Y242:Y246" si="886">Z242+AA242</f>
      </c>
      <c r="Z242" s="123">
        <v>9</v>
      </c>
      <c r="AA242" s="123">
        <v>10</v>
      </c>
      <c r="AB242" s="124">
        <v>13579.920000000006</v>
      </c>
      <c r="AC242" s="124">
        <v>3381</v>
      </c>
      <c r="AD242" s="120">
        <f t="shared" si="9"/>
      </c>
      <c r="AE242" s="125" t="s">
        <v>121</v>
      </c>
      <c r="AF242" s="126" t="s">
        <v>122</v>
      </c>
      <c r="AG242" s="127">
        <v>9</v>
      </c>
      <c r="AH242" s="128">
        <v>73962</v>
      </c>
      <c r="AI242" s="128">
        <v>936</v>
      </c>
      <c r="AJ242" s="128">
        <v>962</v>
      </c>
      <c r="AK242" s="127">
        <v>177</v>
      </c>
      <c r="AL242" s="127">
        <v>238</v>
      </c>
    </row>
    <row r="243">
      <c r="A243" s="108"/>
      <c r="B243" s="109" t="s">
        <v>128</v>
      </c>
      <c r="C243" s="110" t="s">
        <v>130</v>
      </c>
      <c r="D243" s="111">
        <f t="shared" si="328"/>
      </c>
      <c r="E243" s="110">
        <v>485.33</v>
      </c>
      <c r="F243" s="113">
        <v>7888.62</v>
      </c>
      <c r="G243" s="113">
        <v>1357.97</v>
      </c>
      <c r="H243" s="113">
        <v>0</v>
      </c>
      <c r="I243" s="113">
        <f t="shared" si="457"/>
      </c>
      <c r="J243" s="162">
        <f>708.48+1159.92+3110.4+923.4</f>
      </c>
      <c r="K243" s="115">
        <f t="shared" si="70"/>
      </c>
      <c r="L243" s="115">
        <f t="shared" si="199"/>
      </c>
      <c r="M243" s="116">
        <f t="shared" si="615"/>
      </c>
      <c r="N243" s="117">
        <f t="shared" si="645"/>
      </c>
      <c r="O243" s="118">
        <f t="shared" si="555"/>
      </c>
      <c r="P243" s="119">
        <f t="shared" si="585"/>
      </c>
      <c r="Q243" s="119">
        <f t="shared" si="765"/>
      </c>
      <c r="R243" s="119">
        <f t="shared" si="795"/>
      </c>
      <c r="S243" s="120">
        <f t="shared" si="675"/>
      </c>
      <c r="T243" s="121">
        <f t="shared" si="705"/>
      </c>
      <c r="U243" s="119">
        <f t="shared" si="984"/>
      </c>
      <c r="V243" s="122">
        <f t="shared" si="735"/>
      </c>
      <c r="W243" s="122">
        <f t="shared" si="1014"/>
      </c>
      <c r="X243" s="119">
        <f t="shared" si="825"/>
      </c>
      <c r="Y243" s="123">
        <f t="shared" si="886"/>
      </c>
      <c r="Z243" s="123">
        <v>4</v>
      </c>
      <c r="AA243" s="123">
        <v>11</v>
      </c>
      <c r="AB243" s="124">
        <v>14365.079999999994</v>
      </c>
      <c r="AC243" s="124">
        <v>2116</v>
      </c>
      <c r="AD243" s="120">
        <f t="shared" si="9"/>
      </c>
      <c r="AE243" s="125" t="s">
        <v>121</v>
      </c>
      <c r="AF243" s="126" t="s">
        <v>122</v>
      </c>
      <c r="AG243" s="127">
        <v>10</v>
      </c>
      <c r="AH243" s="128">
        <v>103561</v>
      </c>
      <c r="AI243" s="128">
        <v>1132</v>
      </c>
      <c r="AJ243" s="128">
        <v>1163</v>
      </c>
      <c r="AK243" s="129">
        <v>230</v>
      </c>
      <c r="AL243" s="129">
        <v>245</v>
      </c>
    </row>
    <row r="244">
      <c r="A244" s="108"/>
      <c r="B244" s="109" t="s">
        <v>128</v>
      </c>
      <c r="C244" s="110" t="s">
        <v>131</v>
      </c>
      <c r="D244" s="111">
        <f t="shared" si="328"/>
      </c>
      <c r="E244" s="110">
        <v>507.4</v>
      </c>
      <c r="F244" s="110">
        <v>8731.1</v>
      </c>
      <c r="G244" s="113">
        <v>0</v>
      </c>
      <c r="H244" s="113">
        <v>0</v>
      </c>
      <c r="I244" s="113">
        <f t="shared" si="457"/>
      </c>
      <c r="J244" s="114">
        <v>638.28</v>
      </c>
      <c r="K244" s="115">
        <f t="shared" si="70"/>
      </c>
      <c r="L244" s="115">
        <f t="shared" si="199"/>
      </c>
      <c r="M244" s="116">
        <f t="shared" si="615"/>
      </c>
      <c r="N244" s="117">
        <f t="shared" si="645"/>
      </c>
      <c r="O244" s="118">
        <f t="shared" si="555"/>
      </c>
      <c r="P244" s="119">
        <f t="shared" si="585"/>
      </c>
      <c r="Q244" s="119">
        <f t="shared" si="765"/>
      </c>
      <c r="R244" s="119">
        <f t="shared" si="795"/>
      </c>
      <c r="S244" s="120">
        <f t="shared" si="675"/>
      </c>
      <c r="T244" s="121">
        <f t="shared" si="705"/>
      </c>
      <c r="U244" s="119">
        <f t="shared" si="984"/>
      </c>
      <c r="V244" s="122">
        <f t="shared" si="735"/>
      </c>
      <c r="W244" s="122">
        <f t="shared" si="1014"/>
      </c>
      <c r="X244" s="119">
        <f t="shared" si="825"/>
      </c>
      <c r="Y244" s="123">
        <f t="shared" si="886"/>
      </c>
      <c r="Z244" s="123">
        <v>7</v>
      </c>
      <c r="AA244" s="123">
        <v>6</v>
      </c>
      <c r="AB244" s="124">
        <v>6632.280000000006</v>
      </c>
      <c r="AC244" s="124">
        <v>0</v>
      </c>
      <c r="AD244" s="120">
        <f t="shared" si="9"/>
      </c>
      <c r="AE244" s="125" t="s">
        <v>121</v>
      </c>
      <c r="AF244" s="126" t="s">
        <v>122</v>
      </c>
      <c r="AG244" s="129">
        <v>5</v>
      </c>
      <c r="AH244" s="128">
        <v>124779</v>
      </c>
      <c r="AI244" s="128">
        <v>1346</v>
      </c>
      <c r="AJ244" s="128">
        <v>1377</v>
      </c>
      <c r="AK244" s="129">
        <v>265</v>
      </c>
      <c r="AL244" s="129">
        <v>285</v>
      </c>
    </row>
    <row r="245">
      <c r="A245" s="108"/>
      <c r="B245" s="109" t="s">
        <v>128</v>
      </c>
      <c r="C245" s="110" t="s">
        <v>132</v>
      </c>
      <c r="D245" s="111">
        <f t="shared" si="328"/>
      </c>
      <c r="E245" s="110">
        <v>451.98</v>
      </c>
      <c r="F245" s="113">
        <v>6116</v>
      </c>
      <c r="G245" s="113">
        <v>0</v>
      </c>
      <c r="H245" s="113">
        <v>0</v>
      </c>
      <c r="I245" s="113">
        <f t="shared" si="457"/>
      </c>
      <c r="J245" s="114">
        <v>6016.68</v>
      </c>
      <c r="K245" s="115">
        <f t="shared" si="70"/>
      </c>
      <c r="L245" s="115">
        <f t="shared" si="199"/>
      </c>
      <c r="M245" s="116">
        <f t="shared" si="615"/>
      </c>
      <c r="N245" s="117">
        <f t="shared" si="645"/>
      </c>
      <c r="O245" s="118">
        <f t="shared" si="555"/>
      </c>
      <c r="P245" s="119">
        <f t="shared" si="585"/>
      </c>
      <c r="Q245" s="119">
        <f t="shared" si="765"/>
      </c>
      <c r="R245" s="119">
        <f t="shared" si="795"/>
      </c>
      <c r="S245" s="120">
        <f t="shared" si="675"/>
      </c>
      <c r="T245" s="121">
        <f t="shared" si="705"/>
      </c>
      <c r="U245" s="119">
        <f t="shared" si="984"/>
      </c>
      <c r="V245" s="122">
        <f t="shared" si="735"/>
      </c>
      <c r="W245" s="122">
        <f t="shared" si="1014"/>
      </c>
      <c r="X245" s="119">
        <f t="shared" si="825"/>
      </c>
      <c r="Y245" s="123">
        <f t="shared" si="886"/>
      </c>
      <c r="Z245" s="123">
        <v>6</v>
      </c>
      <c r="AA245" s="123">
        <v>8</v>
      </c>
      <c r="AB245" s="114">
        <v>17663.880000000012</v>
      </c>
      <c r="AC245" s="124">
        <v>1578</v>
      </c>
      <c r="AD245" s="120">
        <f t="shared" si="9"/>
      </c>
      <c r="AE245" s="125" t="s">
        <v>121</v>
      </c>
      <c r="AF245" s="126" t="s">
        <v>122</v>
      </c>
      <c r="AG245" s="127">
        <v>7</v>
      </c>
      <c r="AH245" s="128">
        <v>77410</v>
      </c>
      <c r="AI245" s="128">
        <v>983</v>
      </c>
      <c r="AJ245" s="128">
        <v>1041</v>
      </c>
      <c r="AK245" s="129">
        <v>172</v>
      </c>
      <c r="AL245" s="129">
        <v>204</v>
      </c>
    </row>
    <row r="246">
      <c r="A246" s="108"/>
      <c r="B246" s="109" t="s">
        <v>128</v>
      </c>
      <c r="C246" s="110" t="s">
        <v>134</v>
      </c>
      <c r="D246" s="111">
        <f t="shared" si="328"/>
      </c>
      <c r="E246" s="110">
        <v>498.33</v>
      </c>
      <c r="F246" s="140">
        <v>6422.24</v>
      </c>
      <c r="G246" s="113">
        <v>0</v>
      </c>
      <c r="H246" s="113">
        <v>0</v>
      </c>
      <c r="I246" s="113">
        <f t="shared" si="457"/>
      </c>
      <c r="J246" s="160">
        <f>2568+1602.6</f>
      </c>
      <c r="K246" s="115">
        <f t="shared" si="70"/>
      </c>
      <c r="L246" s="115">
        <f t="shared" si="199"/>
      </c>
      <c r="M246" s="116">
        <f t="shared" si="615"/>
      </c>
      <c r="N246" s="117">
        <f t="shared" si="645"/>
      </c>
      <c r="O246" s="118">
        <f t="shared" si="555"/>
      </c>
      <c r="P246" s="119">
        <f t="shared" si="585"/>
      </c>
      <c r="Q246" s="119">
        <f t="shared" si="765"/>
      </c>
      <c r="R246" s="119">
        <f t="shared" si="795"/>
      </c>
      <c r="S246" s="120">
        <f t="shared" si="675"/>
      </c>
      <c r="T246" s="121">
        <f t="shared" si="705"/>
      </c>
      <c r="U246" s="119">
        <f t="shared" si="984"/>
      </c>
      <c r="V246" s="122">
        <f t="shared" si="735"/>
      </c>
      <c r="W246" s="122">
        <f t="shared" si="1014"/>
      </c>
      <c r="X246" s="119">
        <f t="shared" si="825"/>
      </c>
      <c r="Y246" s="123">
        <f t="shared" si="886"/>
      </c>
      <c r="Z246" s="123">
        <v>2</v>
      </c>
      <c r="AA246" s="123">
        <v>1</v>
      </c>
      <c r="AB246" s="124">
        <v>4170.5999999999985</v>
      </c>
      <c r="AC246" s="124">
        <v>0</v>
      </c>
      <c r="AD246" s="120">
        <f t="shared" si="9"/>
      </c>
      <c r="AE246" s="125" t="s">
        <v>121</v>
      </c>
      <c r="AF246" s="126" t="s">
        <v>122</v>
      </c>
      <c r="AG246" s="127">
        <v>1</v>
      </c>
      <c r="AH246" s="128">
        <v>98111</v>
      </c>
      <c r="AI246" s="128">
        <v>856</v>
      </c>
      <c r="AJ246" s="128">
        <v>906</v>
      </c>
      <c r="AK246" s="129">
        <v>153</v>
      </c>
      <c r="AL246" s="129">
        <v>169</v>
      </c>
    </row>
    <row r="247">
      <c r="A247" s="108"/>
      <c r="B247" s="130" t="s">
        <v>127</v>
      </c>
      <c r="C247" s="131">
        <v>5</v>
      </c>
      <c r="D247" s="132">
        <f>SUM(D242:D246)</f>
      </c>
      <c r="E247" s="132">
        <f>SUM(E242:E246)</f>
      </c>
      <c r="F247" s="132">
        <f>SUM(F242:F246)</f>
      </c>
      <c r="G247" s="132">
        <f>SUM(G242:G246)</f>
      </c>
      <c r="H247" s="132">
        <f>SUM(H242:H246)</f>
      </c>
      <c r="I247" s="132">
        <f>SUM(I242:I246)</f>
      </c>
      <c r="J247" s="132">
        <f>SUM(J242:J246)</f>
      </c>
      <c r="K247" s="132">
        <f>SUM(K242:K246)</f>
      </c>
      <c r="L247" s="132">
        <f>SUM(L242:L246)</f>
      </c>
      <c r="M247" s="133">
        <f t="shared" si="615"/>
      </c>
      <c r="N247" s="134">
        <f t="shared" si="645"/>
      </c>
      <c r="O247" s="134">
        <f t="shared" si="555"/>
      </c>
      <c r="P247" s="135">
        <f t="shared" si="585"/>
      </c>
      <c r="Q247" s="135">
        <f t="shared" si="765"/>
      </c>
      <c r="R247" s="135">
        <f t="shared" si="795"/>
      </c>
      <c r="S247" s="136">
        <f t="shared" si="675"/>
      </c>
      <c r="T247" s="136">
        <f t="shared" si="705"/>
      </c>
      <c r="U247" s="135">
        <f t="shared" si="984"/>
      </c>
      <c r="V247" s="136">
        <f t="shared" si="735"/>
      </c>
      <c r="W247" s="136">
        <f t="shared" si="1014"/>
      </c>
      <c r="X247" s="135">
        <f t="shared" si="825"/>
      </c>
      <c r="Y247" s="132">
        <f>SUM(Y242:Y246)</f>
      </c>
      <c r="Z247" s="132">
        <f>SUM(Z242:Z246)</f>
      </c>
      <c r="AA247" s="132">
        <f>SUM(AA242:AA246)</f>
      </c>
      <c r="AB247" s="132">
        <f>SUM(AB242:AB246)</f>
      </c>
      <c r="AC247" s="132">
        <f>SUM(AC242:AC246)</f>
      </c>
      <c r="AD247" s="137">
        <f t="shared" si="9"/>
      </c>
      <c r="AE247" s="138"/>
      <c r="AF247" s="139"/>
      <c r="AG247" s="132">
        <f>SUM(AG242:AG246)</f>
      </c>
      <c r="AH247" s="132">
        <f>SUM(AH242:AH246)</f>
      </c>
      <c r="AI247" s="132">
        <f>SUM(AI242:AI246)</f>
      </c>
      <c r="AJ247" s="132">
        <f>SUM(AJ242:AJ246)</f>
      </c>
      <c r="AK247" s="132">
        <f>SUM(AK242:AK246)</f>
      </c>
      <c r="AL247" s="132">
        <f>SUM(AL242:AL246)</f>
      </c>
    </row>
    <row r="248">
      <c r="A248" s="108"/>
      <c r="B248" s="109" t="s">
        <v>133</v>
      </c>
      <c r="C248" s="110" t="s">
        <v>135</v>
      </c>
      <c r="D248" s="111">
        <f t="shared" ref="D248:D252" si="329">E248+F248+G248+H248</f>
      </c>
      <c r="E248" s="110">
        <v>587.04</v>
      </c>
      <c r="F248" s="140">
        <v>5962.89</v>
      </c>
      <c r="G248" s="113">
        <v>0</v>
      </c>
      <c r="H248" s="113">
        <v>0</v>
      </c>
      <c r="I248" s="113">
        <f t="shared" ref="I248:I252" si="458">AB248+AC248</f>
      </c>
      <c r="J248" s="160">
        <v>2703.24</v>
      </c>
      <c r="K248" s="115">
        <f t="shared" ref="K248:K252" si="71">I248-J248</f>
      </c>
      <c r="L248" s="115">
        <f t="shared" ref="L248:L252" si="200">(I248-AC248)/12+AC248</f>
      </c>
      <c r="M248" s="116">
        <f t="shared" si="615"/>
      </c>
      <c r="N248" s="117">
        <f t="shared" si="645"/>
      </c>
      <c r="O248" s="118">
        <f t="shared" si="555"/>
      </c>
      <c r="P248" s="119">
        <f t="shared" si="585"/>
      </c>
      <c r="Q248" s="119">
        <f t="shared" si="765"/>
      </c>
      <c r="R248" s="119">
        <f t="shared" si="795"/>
      </c>
      <c r="S248" s="120">
        <f t="shared" si="675"/>
      </c>
      <c r="T248" s="121">
        <f t="shared" si="705"/>
      </c>
      <c r="U248" s="119">
        <f t="shared" si="984"/>
      </c>
      <c r="V248" s="122">
        <f t="shared" si="735"/>
      </c>
      <c r="W248" s="122">
        <f t="shared" si="1014"/>
      </c>
      <c r="X248" s="119">
        <f t="shared" si="825"/>
      </c>
      <c r="Y248" s="123">
        <f t="shared" ref="Y248:Y252" si="887">Z248+AA248</f>
      </c>
      <c r="Z248" s="123">
        <v>7</v>
      </c>
      <c r="AA248" s="123">
        <v>4</v>
      </c>
      <c r="AB248" s="124">
        <f>10841.5-4858.3</f>
      </c>
      <c r="AC248" s="124">
        <v>4858.3</v>
      </c>
      <c r="AD248" s="120">
        <f t="shared" si="9"/>
      </c>
      <c r="AE248" s="125" t="s">
        <v>121</v>
      </c>
      <c r="AF248" s="126" t="s">
        <v>137</v>
      </c>
      <c r="AG248" s="127">
        <v>3</v>
      </c>
      <c r="AH248" s="128">
        <v>102862</v>
      </c>
      <c r="AI248" s="128">
        <v>818</v>
      </c>
      <c r="AJ248" s="128">
        <v>841</v>
      </c>
      <c r="AK248" s="129">
        <v>148</v>
      </c>
      <c r="AL248" s="129">
        <v>166</v>
      </c>
    </row>
    <row r="249">
      <c r="A249" s="108"/>
      <c r="B249" s="109" t="s">
        <v>133</v>
      </c>
      <c r="C249" s="110" t="s">
        <v>138</v>
      </c>
      <c r="D249" s="111">
        <f t="shared" si="329"/>
      </c>
      <c r="E249" s="141">
        <v>674.76</v>
      </c>
      <c r="F249" s="142">
        <v>5188.74</v>
      </c>
      <c r="G249" s="113">
        <v>0</v>
      </c>
      <c r="H249" s="113">
        <v>0</v>
      </c>
      <c r="I249" s="113">
        <f t="shared" si="458"/>
      </c>
      <c r="J249" s="160">
        <v>0</v>
      </c>
      <c r="K249" s="115">
        <f t="shared" si="71"/>
      </c>
      <c r="L249" s="115">
        <f t="shared" si="200"/>
      </c>
      <c r="M249" s="116">
        <f t="shared" si="615"/>
      </c>
      <c r="N249" s="117">
        <f t="shared" si="645"/>
      </c>
      <c r="O249" s="118">
        <f t="shared" si="555"/>
      </c>
      <c r="P249" s="119">
        <f t="shared" si="585"/>
      </c>
      <c r="Q249" s="119">
        <f t="shared" si="765"/>
      </c>
      <c r="R249" s="119">
        <f t="shared" si="795"/>
      </c>
      <c r="S249" s="120">
        <f t="shared" si="675"/>
      </c>
      <c r="T249" s="121">
        <f t="shared" si="705"/>
      </c>
      <c r="U249" s="119">
        <f t="shared" si="984"/>
      </c>
      <c r="V249" s="122">
        <f t="shared" si="735"/>
      </c>
      <c r="W249" s="122">
        <f t="shared" si="1014"/>
      </c>
      <c r="X249" s="119">
        <f t="shared" si="825"/>
      </c>
      <c r="Y249" s="123">
        <f t="shared" si="887"/>
      </c>
      <c r="Z249" s="123">
        <v>5</v>
      </c>
      <c r="AA249" s="123">
        <v>1</v>
      </c>
      <c r="AB249" s="124">
        <v>528.1199999999881</v>
      </c>
      <c r="AC249" s="124">
        <v>0</v>
      </c>
      <c r="AD249" s="120">
        <f t="shared" si="9"/>
      </c>
      <c r="AE249" s="125" t="s">
        <v>121</v>
      </c>
      <c r="AF249" s="126" t="s">
        <v>137</v>
      </c>
      <c r="AG249" s="129">
        <v>2</v>
      </c>
      <c r="AH249" s="128">
        <v>96760</v>
      </c>
      <c r="AI249" s="128">
        <v>630</v>
      </c>
      <c r="AJ249" s="128">
        <v>660</v>
      </c>
      <c r="AK249" s="129">
        <v>99</v>
      </c>
      <c r="AL249" s="129">
        <v>134</v>
      </c>
    </row>
    <row r="250">
      <c r="A250" s="108"/>
      <c r="B250" s="109" t="s">
        <v>133</v>
      </c>
      <c r="C250" s="110" t="s">
        <v>140</v>
      </c>
      <c r="D250" s="111">
        <f t="shared" si="329"/>
      </c>
      <c r="E250" s="110">
        <v>623.35</v>
      </c>
      <c r="F250" s="140">
        <v>4058.65</v>
      </c>
      <c r="G250" s="113">
        <v>0</v>
      </c>
      <c r="H250" s="113">
        <v>0</v>
      </c>
      <c r="I250" s="113">
        <f t="shared" si="458"/>
      </c>
      <c r="J250" s="160">
        <v>3218.4</v>
      </c>
      <c r="K250" s="115">
        <f t="shared" si="71"/>
      </c>
      <c r="L250" s="115">
        <f t="shared" si="200"/>
      </c>
      <c r="M250" s="116">
        <f t="shared" si="615"/>
      </c>
      <c r="N250" s="117">
        <f t="shared" si="645"/>
      </c>
      <c r="O250" s="118">
        <f t="shared" si="555"/>
      </c>
      <c r="P250" s="119">
        <f t="shared" si="585"/>
      </c>
      <c r="Q250" s="119">
        <f t="shared" si="765"/>
      </c>
      <c r="R250" s="119">
        <f t="shared" si="795"/>
      </c>
      <c r="S250" s="120">
        <f t="shared" si="675"/>
      </c>
      <c r="T250" s="121">
        <f t="shared" si="705"/>
      </c>
      <c r="U250" s="119">
        <f t="shared" si="984"/>
      </c>
      <c r="V250" s="122">
        <f t="shared" si="735"/>
      </c>
      <c r="W250" s="122">
        <f t="shared" si="1014"/>
      </c>
      <c r="X250" s="119">
        <f t="shared" si="825"/>
      </c>
      <c r="Y250" s="123">
        <f t="shared" si="887"/>
      </c>
      <c r="Z250" s="123">
        <v>10</v>
      </c>
      <c r="AA250" s="123">
        <v>5</v>
      </c>
      <c r="AB250" s="124">
        <v>8144.999999999993</v>
      </c>
      <c r="AC250" s="124">
        <v>626</v>
      </c>
      <c r="AD250" s="120">
        <f t="shared" si="9"/>
      </c>
      <c r="AE250" s="125" t="s">
        <v>121</v>
      </c>
      <c r="AF250" s="126" t="s">
        <v>137</v>
      </c>
      <c r="AG250" s="127">
        <v>4</v>
      </c>
      <c r="AH250" s="128">
        <v>62167</v>
      </c>
      <c r="AI250" s="128">
        <v>629</v>
      </c>
      <c r="AJ250" s="128">
        <v>703</v>
      </c>
      <c r="AK250" s="129">
        <v>107</v>
      </c>
      <c r="AL250" s="129">
        <v>126</v>
      </c>
    </row>
    <row r="251">
      <c r="A251" s="108"/>
      <c r="B251" s="109" t="s">
        <v>133</v>
      </c>
      <c r="C251" s="141" t="s">
        <v>141</v>
      </c>
      <c r="D251" s="111">
        <f t="shared" si="329"/>
      </c>
      <c r="E251" s="110">
        <v>888.49</v>
      </c>
      <c r="F251" s="140">
        <v>4587.69</v>
      </c>
      <c r="G251" s="113">
        <v>0</v>
      </c>
      <c r="H251" s="113">
        <v>0</v>
      </c>
      <c r="I251" s="113">
        <f t="shared" si="458"/>
      </c>
      <c r="J251" s="160">
        <v>0</v>
      </c>
      <c r="K251" s="115">
        <f t="shared" si="71"/>
      </c>
      <c r="L251" s="115">
        <f t="shared" si="200"/>
      </c>
      <c r="M251" s="116">
        <f t="shared" si="615"/>
      </c>
      <c r="N251" s="117">
        <f t="shared" si="645"/>
      </c>
      <c r="O251" s="118">
        <f t="shared" si="555"/>
      </c>
      <c r="P251" s="119">
        <f t="shared" si="585"/>
      </c>
      <c r="Q251" s="119">
        <f t="shared" si="765"/>
      </c>
      <c r="R251" s="119">
        <f t="shared" si="795"/>
      </c>
      <c r="S251" s="120">
        <f t="shared" si="675"/>
      </c>
      <c r="T251" s="121">
        <f t="shared" si="705"/>
      </c>
      <c r="U251" s="119">
        <f t="shared" si="984"/>
      </c>
      <c r="V251" s="122">
        <f t="shared" si="735"/>
      </c>
      <c r="W251" s="122">
        <f t="shared" si="1014"/>
      </c>
      <c r="X251" s="119">
        <f t="shared" si="825"/>
      </c>
      <c r="Y251" s="123">
        <f t="shared" si="887"/>
      </c>
      <c r="Z251" s="123">
        <v>7</v>
      </c>
      <c r="AA251" s="123">
        <v>9</v>
      </c>
      <c r="AB251" s="124">
        <v>14040.000000000007</v>
      </c>
      <c r="AC251" s="124">
        <v>0</v>
      </c>
      <c r="AD251" s="120">
        <f t="shared" si="9"/>
      </c>
      <c r="AE251" s="125" t="s">
        <v>121</v>
      </c>
      <c r="AF251" s="126" t="s">
        <v>137</v>
      </c>
      <c r="AG251" s="127">
        <v>7</v>
      </c>
      <c r="AH251" s="128">
        <v>57814</v>
      </c>
      <c r="AI251" s="128">
        <v>755</v>
      </c>
      <c r="AJ251" s="128">
        <v>790</v>
      </c>
      <c r="AK251" s="129">
        <v>153</v>
      </c>
      <c r="AL251" s="129">
        <v>179</v>
      </c>
    </row>
    <row r="252">
      <c r="A252" s="108"/>
      <c r="B252" s="109" t="s">
        <v>133</v>
      </c>
      <c r="C252" s="141" t="s">
        <v>142</v>
      </c>
      <c r="D252" s="111">
        <f t="shared" si="329"/>
      </c>
      <c r="E252" s="110">
        <v>959.46</v>
      </c>
      <c r="F252" s="140">
        <v>5591.23</v>
      </c>
      <c r="G252" s="113">
        <v>0</v>
      </c>
      <c r="H252" s="113">
        <v>0</v>
      </c>
      <c r="I252" s="113">
        <f t="shared" si="458"/>
      </c>
      <c r="J252" s="160">
        <v>0</v>
      </c>
      <c r="K252" s="115">
        <f t="shared" si="71"/>
      </c>
      <c r="L252" s="115">
        <f t="shared" si="200"/>
      </c>
      <c r="M252" s="116">
        <f t="shared" si="615"/>
      </c>
      <c r="N252" s="117">
        <f t="shared" si="645"/>
      </c>
      <c r="O252" s="118">
        <f t="shared" si="555"/>
      </c>
      <c r="P252" s="119">
        <f t="shared" si="585"/>
      </c>
      <c r="Q252" s="119">
        <f t="shared" si="765"/>
      </c>
      <c r="R252" s="119">
        <f t="shared" si="795"/>
      </c>
      <c r="S252" s="120">
        <f t="shared" si="675"/>
      </c>
      <c r="T252" s="121">
        <f t="shared" si="705"/>
      </c>
      <c r="U252" s="119">
        <f t="shared" si="984"/>
      </c>
      <c r="V252" s="122">
        <f t="shared" si="735"/>
      </c>
      <c r="W252" s="122">
        <f t="shared" si="1014"/>
      </c>
      <c r="X252" s="119">
        <f t="shared" si="825"/>
      </c>
      <c r="Y252" s="123">
        <f t="shared" si="887"/>
      </c>
      <c r="Z252" s="123">
        <v>7</v>
      </c>
      <c r="AA252" s="123">
        <v>5</v>
      </c>
      <c r="AB252" s="124">
        <v>5974.680000000029</v>
      </c>
      <c r="AC252" s="124">
        <v>1704.5999999999985</v>
      </c>
      <c r="AD252" s="120">
        <f t="shared" si="9"/>
      </c>
      <c r="AE252" s="125" t="s">
        <v>121</v>
      </c>
      <c r="AF252" s="126" t="s">
        <v>137</v>
      </c>
      <c r="AG252" s="127">
        <v>3</v>
      </c>
      <c r="AH252" s="128">
        <v>73475</v>
      </c>
      <c r="AI252" s="128">
        <v>963</v>
      </c>
      <c r="AJ252" s="128">
        <v>1045</v>
      </c>
      <c r="AK252" s="129">
        <v>193</v>
      </c>
      <c r="AL252" s="129">
        <v>216</v>
      </c>
    </row>
    <row r="253">
      <c r="A253" s="108"/>
      <c r="B253" s="130" t="s">
        <v>127</v>
      </c>
      <c r="C253" s="131">
        <v>5</v>
      </c>
      <c r="D253" s="132">
        <f>SUM(D248:D252)</f>
      </c>
      <c r="E253" s="132">
        <f>SUM(E248:E252)</f>
      </c>
      <c r="F253" s="132">
        <f>SUM(F248:F252)</f>
      </c>
      <c r="G253" s="132">
        <f>SUM(G248:G252)</f>
      </c>
      <c r="H253" s="132">
        <f>SUM(H248:H252)</f>
      </c>
      <c r="I253" s="132">
        <f>SUM(I248:I252)</f>
      </c>
      <c r="J253" s="132">
        <f>SUM(J248:J252)</f>
      </c>
      <c r="K253" s="132">
        <f>SUM(K248:K252)</f>
      </c>
      <c r="L253" s="132">
        <f>SUM(L248:L252)</f>
      </c>
      <c r="M253" s="133">
        <f t="shared" si="615"/>
      </c>
      <c r="N253" s="134">
        <f t="shared" si="645"/>
      </c>
      <c r="O253" s="134">
        <f t="shared" si="555"/>
      </c>
      <c r="P253" s="135">
        <f t="shared" si="585"/>
      </c>
      <c r="Q253" s="135">
        <f t="shared" si="765"/>
      </c>
      <c r="R253" s="135">
        <f t="shared" si="795"/>
      </c>
      <c r="S253" s="136">
        <f t="shared" si="675"/>
      </c>
      <c r="T253" s="136">
        <f t="shared" si="705"/>
      </c>
      <c r="U253" s="135">
        <f t="shared" si="984"/>
      </c>
      <c r="V253" s="136">
        <f t="shared" si="735"/>
      </c>
      <c r="W253" s="136">
        <f t="shared" si="1014"/>
      </c>
      <c r="X253" s="135">
        <f t="shared" si="825"/>
      </c>
      <c r="Y253" s="132">
        <f>SUM(Y248:Y252)</f>
      </c>
      <c r="Z253" s="132">
        <f>SUM(Z248:Z252)</f>
      </c>
      <c r="AA253" s="132">
        <f>SUM(AA248:AA252)</f>
      </c>
      <c r="AB253" s="132">
        <f>SUM(AB248:AB252)</f>
      </c>
      <c r="AC253" s="132">
        <f>SUM(AC248:AC252)</f>
      </c>
      <c r="AD253" s="137">
        <f t="shared" si="9"/>
      </c>
      <c r="AE253" s="138"/>
      <c r="AF253" s="139"/>
      <c r="AG253" s="132">
        <f>SUM(AG248:AG252)</f>
      </c>
      <c r="AH253" s="132">
        <f>SUM(AH248:AH252)</f>
      </c>
      <c r="AI253" s="132">
        <f>SUM(AI248:AI252)</f>
      </c>
      <c r="AJ253" s="132">
        <f>SUM(AJ248:AJ252)</f>
      </c>
      <c r="AK253" s="132">
        <f>SUM(AK248:AK252)</f>
      </c>
      <c r="AL253" s="132">
        <f>SUM(AL248:AL252)</f>
      </c>
    </row>
    <row r="254">
      <c r="A254" s="108"/>
      <c r="B254" s="109" t="s">
        <v>139</v>
      </c>
      <c r="C254" s="141" t="s">
        <v>144</v>
      </c>
      <c r="D254" s="143">
        <f t="shared" ref="D254:D258" si="330">E254+F254+G254+H254</f>
      </c>
      <c r="E254" s="144">
        <v>1276.69</v>
      </c>
      <c r="F254" s="145">
        <v>3465.97</v>
      </c>
      <c r="G254" s="113">
        <v>0</v>
      </c>
      <c r="H254" s="113">
        <v>0</v>
      </c>
      <c r="I254" s="113">
        <f t="shared" ref="I254:I258" si="459">AB254+AC254</f>
      </c>
      <c r="J254" s="114">
        <v>0</v>
      </c>
      <c r="K254" s="115">
        <f t="shared" ref="K254:K258" si="72">I254-J254</f>
      </c>
      <c r="L254" s="115">
        <f t="shared" ref="L254:L258" si="201">(I254-AC254)/12+AC254</f>
      </c>
      <c r="M254" s="116">
        <f t="shared" si="615"/>
      </c>
      <c r="N254" s="117">
        <f t="shared" si="645"/>
      </c>
      <c r="O254" s="118">
        <f t="shared" si="555"/>
      </c>
      <c r="P254" s="119">
        <f t="shared" si="585"/>
      </c>
      <c r="Q254" s="119">
        <f t="shared" si="765"/>
      </c>
      <c r="R254" s="119">
        <f t="shared" si="795"/>
      </c>
      <c r="S254" s="120">
        <f t="shared" si="675"/>
      </c>
      <c r="T254" s="121">
        <f t="shared" si="705"/>
      </c>
      <c r="U254" s="119">
        <f t="shared" si="984"/>
      </c>
      <c r="V254" s="122">
        <f t="shared" si="735"/>
      </c>
      <c r="W254" s="122">
        <f t="shared" si="1014"/>
      </c>
      <c r="X254" s="119">
        <f t="shared" si="825"/>
      </c>
      <c r="Y254" s="123">
        <f t="shared" ref="Y254:Y258" si="888">Z254+AA254</f>
      </c>
      <c r="Z254" s="123">
        <v>3</v>
      </c>
      <c r="AA254" s="123">
        <v>4</v>
      </c>
      <c r="AB254" s="124">
        <v>8748.000000000007</v>
      </c>
      <c r="AC254" s="124">
        <v>0</v>
      </c>
      <c r="AD254" s="120">
        <f t="shared" si="9"/>
      </c>
      <c r="AE254" s="125" t="s">
        <v>121</v>
      </c>
      <c r="AF254" s="126" t="s">
        <v>137</v>
      </c>
      <c r="AG254" s="127">
        <v>4</v>
      </c>
      <c r="AH254" s="127">
        <v>59291</v>
      </c>
      <c r="AI254" s="128">
        <v>861</v>
      </c>
      <c r="AJ254" s="128">
        <v>951</v>
      </c>
      <c r="AK254" s="127">
        <v>129</v>
      </c>
      <c r="AL254" s="129">
        <v>151</v>
      </c>
    </row>
    <row r="255">
      <c r="A255" s="108"/>
      <c r="B255" s="109" t="s">
        <v>139</v>
      </c>
      <c r="C255" s="110" t="s">
        <v>145</v>
      </c>
      <c r="D255" s="143">
        <f t="shared" si="330"/>
      </c>
      <c r="E255" s="147">
        <v>1543</v>
      </c>
      <c r="F255" s="145">
        <v>4054.03</v>
      </c>
      <c r="G255" s="113">
        <v>0</v>
      </c>
      <c r="H255" s="113">
        <v>0</v>
      </c>
      <c r="I255" s="113">
        <f t="shared" si="459"/>
      </c>
      <c r="J255" s="114">
        <v>0</v>
      </c>
      <c r="K255" s="115">
        <f t="shared" si="72"/>
      </c>
      <c r="L255" s="115">
        <f t="shared" si="201"/>
      </c>
      <c r="M255" s="116">
        <f t="shared" si="615"/>
      </c>
      <c r="N255" s="117">
        <f t="shared" si="645"/>
      </c>
      <c r="O255" s="118">
        <f t="shared" si="555"/>
      </c>
      <c r="P255" s="119">
        <f t="shared" si="585"/>
      </c>
      <c r="Q255" s="119">
        <f t="shared" si="765"/>
      </c>
      <c r="R255" s="119">
        <f t="shared" si="795"/>
      </c>
      <c r="S255" s="120">
        <f t="shared" si="675"/>
      </c>
      <c r="T255" s="121">
        <f t="shared" si="705"/>
      </c>
      <c r="U255" s="119">
        <f t="shared" si="984"/>
      </c>
      <c r="V255" s="122">
        <f t="shared" si="735"/>
      </c>
      <c r="W255" s="122">
        <f t="shared" si="1014"/>
      </c>
      <c r="X255" s="119">
        <f t="shared" si="825"/>
      </c>
      <c r="Y255" s="123">
        <f t="shared" si="888"/>
      </c>
      <c r="Z255" s="123">
        <v>7</v>
      </c>
      <c r="AA255" s="123">
        <v>7</v>
      </c>
      <c r="AB255" s="124">
        <v>5481.599999999984</v>
      </c>
      <c r="AC255" s="124">
        <v>0</v>
      </c>
      <c r="AD255" s="120">
        <f t="shared" si="9"/>
      </c>
      <c r="AE255" s="125" t="s">
        <v>121</v>
      </c>
      <c r="AF255" s="126" t="s">
        <v>137</v>
      </c>
      <c r="AG255" s="127">
        <v>5</v>
      </c>
      <c r="AH255" s="128">
        <v>65998</v>
      </c>
      <c r="AI255" s="128">
        <v>907</v>
      </c>
      <c r="AJ255" s="128">
        <v>1019</v>
      </c>
      <c r="AK255" s="129">
        <v>159</v>
      </c>
      <c r="AL255" s="129">
        <v>187</v>
      </c>
    </row>
    <row r="256">
      <c r="A256" s="108"/>
      <c r="B256" s="109" t="s">
        <v>139</v>
      </c>
      <c r="C256" s="141" t="s">
        <v>146</v>
      </c>
      <c r="D256" s="143">
        <f t="shared" si="330"/>
      </c>
      <c r="E256" s="147">
        <v>1324.53</v>
      </c>
      <c r="F256" s="147">
        <v>6346.33</v>
      </c>
      <c r="G256" s="113">
        <v>0</v>
      </c>
      <c r="H256" s="113">
        <v>0</v>
      </c>
      <c r="I256" s="113">
        <f t="shared" si="459"/>
      </c>
      <c r="J256" s="114">
        <v>0</v>
      </c>
      <c r="K256" s="115">
        <f t="shared" si="72"/>
      </c>
      <c r="L256" s="115">
        <f t="shared" si="201"/>
      </c>
      <c r="M256" s="116">
        <f t="shared" si="615"/>
      </c>
      <c r="N256" s="117">
        <f t="shared" si="645"/>
      </c>
      <c r="O256" s="118">
        <f t="shared" si="555"/>
      </c>
      <c r="P256" s="119">
        <f t="shared" si="585"/>
      </c>
      <c r="Q256" s="119">
        <f t="shared" si="765"/>
      </c>
      <c r="R256" s="119">
        <f t="shared" si="795"/>
      </c>
      <c r="S256" s="120">
        <f t="shared" si="675"/>
      </c>
      <c r="T256" s="121">
        <f t="shared" si="705"/>
      </c>
      <c r="U256" s="119">
        <f t="shared" si="984"/>
      </c>
      <c r="V256" s="122">
        <f t="shared" si="735"/>
      </c>
      <c r="W256" s="122">
        <f t="shared" si="1014"/>
      </c>
      <c r="X256" s="119">
        <f t="shared" si="825"/>
      </c>
      <c r="Y256" s="123">
        <f t="shared" si="888"/>
      </c>
      <c r="Z256" s="123">
        <v>4</v>
      </c>
      <c r="AA256" s="123">
        <v>6</v>
      </c>
      <c r="AB256" s="124">
        <v>14521.44000000001</v>
      </c>
      <c r="AC256" s="124">
        <v>0</v>
      </c>
      <c r="AD256" s="120">
        <f t="shared" si="9"/>
      </c>
      <c r="AE256" s="125" t="s">
        <v>121</v>
      </c>
      <c r="AF256" s="126" t="s">
        <v>137</v>
      </c>
      <c r="AG256" s="129">
        <v>6</v>
      </c>
      <c r="AH256" s="128">
        <v>101740</v>
      </c>
      <c r="AI256" s="128">
        <v>1106</v>
      </c>
      <c r="AJ256" s="128">
        <v>1232</v>
      </c>
      <c r="AK256" s="129">
        <v>192</v>
      </c>
      <c r="AL256" s="129">
        <v>227</v>
      </c>
    </row>
    <row r="257">
      <c r="A257" s="108"/>
      <c r="B257" s="109" t="s">
        <v>139</v>
      </c>
      <c r="C257" s="110" t="s">
        <v>147</v>
      </c>
      <c r="D257" s="143">
        <f t="shared" si="330"/>
      </c>
      <c r="E257" s="147">
        <v>890.74</v>
      </c>
      <c r="F257" s="145">
        <v>6549.13</v>
      </c>
      <c r="G257" s="113">
        <v>0</v>
      </c>
      <c r="H257" s="113">
        <v>0</v>
      </c>
      <c r="I257" s="113">
        <f t="shared" si="459"/>
      </c>
      <c r="J257" s="114">
        <v>555.12</v>
      </c>
      <c r="K257" s="115">
        <f t="shared" si="72"/>
      </c>
      <c r="L257" s="115">
        <f t="shared" si="201"/>
      </c>
      <c r="M257" s="116">
        <f t="shared" si="615"/>
      </c>
      <c r="N257" s="117">
        <f t="shared" si="645"/>
      </c>
      <c r="O257" s="118">
        <f t="shared" si="555"/>
      </c>
      <c r="P257" s="119">
        <f t="shared" si="585"/>
      </c>
      <c r="Q257" s="119">
        <f t="shared" si="765"/>
      </c>
      <c r="R257" s="119">
        <f t="shared" si="795"/>
      </c>
      <c r="S257" s="120">
        <f t="shared" si="675"/>
      </c>
      <c r="T257" s="121">
        <f t="shared" si="705"/>
      </c>
      <c r="U257" s="119">
        <f t="shared" si="984"/>
      </c>
      <c r="V257" s="122">
        <f t="shared" si="735"/>
      </c>
      <c r="W257" s="122">
        <f t="shared" si="1014"/>
      </c>
      <c r="X257" s="119">
        <f t="shared" si="825"/>
      </c>
      <c r="Y257" s="123">
        <f t="shared" si="888"/>
      </c>
      <c r="Z257" s="123">
        <v>16</v>
      </c>
      <c r="AA257" s="123">
        <v>7</v>
      </c>
      <c r="AB257" s="124">
        <v>20966.52</v>
      </c>
      <c r="AC257" s="124">
        <v>0</v>
      </c>
      <c r="AD257" s="120">
        <f t="shared" si="9"/>
      </c>
      <c r="AE257" s="125" t="s">
        <v>121</v>
      </c>
      <c r="AF257" s="126" t="s">
        <v>137</v>
      </c>
      <c r="AG257" s="127">
        <v>7</v>
      </c>
      <c r="AH257" s="128">
        <v>96917</v>
      </c>
      <c r="AI257" s="128">
        <v>1178</v>
      </c>
      <c r="AJ257" s="128">
        <v>1368</v>
      </c>
      <c r="AK257" s="129">
        <v>194</v>
      </c>
      <c r="AL257" s="129">
        <v>255</v>
      </c>
    </row>
    <row r="258">
      <c r="A258" s="108"/>
      <c r="B258" s="109" t="s">
        <v>139</v>
      </c>
      <c r="C258" s="110" t="s">
        <v>148</v>
      </c>
      <c r="D258" s="143">
        <f t="shared" si="330"/>
      </c>
      <c r="E258" s="147">
        <v>483.1</v>
      </c>
      <c r="F258" s="145">
        <v>1326.26</v>
      </c>
      <c r="G258" s="113">
        <v>0</v>
      </c>
      <c r="H258" s="113">
        <v>0</v>
      </c>
      <c r="I258" s="113">
        <f t="shared" si="459"/>
      </c>
      <c r="J258" s="114">
        <v>2724.6</v>
      </c>
      <c r="K258" s="115">
        <f t="shared" si="72"/>
      </c>
      <c r="L258" s="115">
        <f t="shared" si="201"/>
      </c>
      <c r="M258" s="116">
        <f t="shared" si="615"/>
      </c>
      <c r="N258" s="117">
        <f t="shared" si="645"/>
      </c>
      <c r="O258" s="118">
        <f t="shared" si="555"/>
      </c>
      <c r="P258" s="119">
        <f t="shared" si="585"/>
      </c>
      <c r="Q258" s="119">
        <f t="shared" si="765"/>
      </c>
      <c r="R258" s="119">
        <f t="shared" si="795"/>
      </c>
      <c r="S258" s="120">
        <f t="shared" si="675"/>
      </c>
      <c r="T258" s="121">
        <f t="shared" si="705"/>
      </c>
      <c r="U258" s="119">
        <f t="shared" si="984"/>
      </c>
      <c r="V258" s="122">
        <f t="shared" si="735"/>
      </c>
      <c r="W258" s="122">
        <f t="shared" si="1014"/>
      </c>
      <c r="X258" s="119">
        <f t="shared" si="825"/>
      </c>
      <c r="Y258" s="123">
        <f t="shared" si="888"/>
      </c>
      <c r="Z258" s="123">
        <v>2</v>
      </c>
      <c r="AA258" s="123">
        <v>4</v>
      </c>
      <c r="AB258" s="124">
        <v>8483.16</v>
      </c>
      <c r="AC258" s="124">
        <v>0</v>
      </c>
      <c r="AD258" s="120">
        <f t="shared" si="9"/>
      </c>
      <c r="AE258" s="125" t="s">
        <v>121</v>
      </c>
      <c r="AF258" s="126" t="s">
        <v>137</v>
      </c>
      <c r="AG258" s="127">
        <v>3</v>
      </c>
      <c r="AH258" s="128">
        <v>16061</v>
      </c>
      <c r="AI258" s="128">
        <v>523</v>
      </c>
      <c r="AJ258" s="128">
        <v>653</v>
      </c>
      <c r="AK258" s="129">
        <v>85</v>
      </c>
      <c r="AL258" s="129">
        <v>71</v>
      </c>
    </row>
    <row r="259">
      <c r="A259" s="108"/>
      <c r="B259" s="130" t="s">
        <v>127</v>
      </c>
      <c r="C259" s="131">
        <v>5</v>
      </c>
      <c r="D259" s="132">
        <f>SUM(D254:D258)</f>
      </c>
      <c r="E259" s="132">
        <f>SUM(E254:E258)</f>
      </c>
      <c r="F259" s="132">
        <f>SUM(F254:F258)</f>
      </c>
      <c r="G259" s="132">
        <f>SUM(G254:G258)</f>
      </c>
      <c r="H259" s="132">
        <f>SUM(H254:H258)</f>
      </c>
      <c r="I259" s="132">
        <f>SUM(I254:I258)</f>
      </c>
      <c r="J259" s="132">
        <f>SUM(J254:J258)</f>
      </c>
      <c r="K259" s="132">
        <f>SUM(K254:K258)</f>
      </c>
      <c r="L259" s="132">
        <f>SUM(L254:L258)</f>
      </c>
      <c r="M259" s="133">
        <f t="shared" si="615"/>
      </c>
      <c r="N259" s="134">
        <f t="shared" si="645"/>
      </c>
      <c r="O259" s="134">
        <f t="shared" si="555"/>
      </c>
      <c r="P259" s="135">
        <f t="shared" si="585"/>
      </c>
      <c r="Q259" s="135">
        <f t="shared" si="765"/>
      </c>
      <c r="R259" s="135">
        <f t="shared" si="795"/>
      </c>
      <c r="S259" s="136">
        <f t="shared" si="675"/>
      </c>
      <c r="T259" s="136">
        <f t="shared" si="705"/>
      </c>
      <c r="U259" s="135">
        <f t="shared" si="984"/>
      </c>
      <c r="V259" s="136">
        <f t="shared" si="735"/>
      </c>
      <c r="W259" s="136">
        <f t="shared" si="1014"/>
      </c>
      <c r="X259" s="135">
        <f t="shared" si="825"/>
      </c>
      <c r="Y259" s="132">
        <f>SUM(Y254:Y258)</f>
      </c>
      <c r="Z259" s="132">
        <f>SUM(Z254:Z258)</f>
      </c>
      <c r="AA259" s="132">
        <f>SUM(AA254:AA258)</f>
      </c>
      <c r="AB259" s="132">
        <f>SUM(AB254:AB258)</f>
      </c>
      <c r="AC259" s="132">
        <f>SUM(AC254:AC258)</f>
      </c>
      <c r="AD259" s="150">
        <f t="shared" si="9"/>
      </c>
      <c r="AE259" s="151"/>
      <c r="AF259" s="139"/>
      <c r="AG259" s="132">
        <f>SUM(AG254:AG258)</f>
      </c>
      <c r="AH259" s="132">
        <f>SUM(AH254:AH258)</f>
      </c>
      <c r="AI259" s="132">
        <f>SUM(AI254:AI258)</f>
      </c>
      <c r="AJ259" s="132">
        <f>SUM(AJ254:AJ258)</f>
      </c>
      <c r="AK259" s="132">
        <f>SUM(AK254:AK258)</f>
      </c>
      <c r="AL259" s="132">
        <f>SUM(AL254:AL258)</f>
      </c>
    </row>
    <row r="260">
      <c r="A260" s="108"/>
      <c r="B260" s="152" t="s">
        <v>127</v>
      </c>
      <c r="C260" s="153">
        <f>C241+C247+C253+C259</f>
      </c>
      <c r="D260" s="153">
        <f>D241+D247+D253+D259</f>
      </c>
      <c r="E260" s="153">
        <f>E241+E247+E253+E259</f>
      </c>
      <c r="F260" s="153">
        <f>F241+F247+F253+F259</f>
      </c>
      <c r="G260" s="153">
        <f>G241+G247+G253+G259</f>
      </c>
      <c r="H260" s="153">
        <f>H241+H247+H253+H259</f>
      </c>
      <c r="I260" s="153">
        <f>I241+I247+I253+I259</f>
      </c>
      <c r="J260" s="153">
        <f>J241+J247+J253+J259</f>
      </c>
      <c r="K260" s="153">
        <f>K241+K247+K253+K259</f>
      </c>
      <c r="L260" s="153">
        <f>L241+L247+L253+L259</f>
      </c>
      <c r="M260" s="154">
        <f t="shared" si="615"/>
      </c>
      <c r="N260" s="154">
        <f t="shared" si="645"/>
      </c>
      <c r="O260" s="154">
        <f t="shared" si="555"/>
      </c>
      <c r="P260" s="154">
        <f t="shared" si="585"/>
      </c>
      <c r="Q260" s="154">
        <f t="shared" si="765"/>
      </c>
      <c r="R260" s="154">
        <f t="shared" si="795"/>
      </c>
      <c r="S260" s="155">
        <f t="shared" si="675"/>
      </c>
      <c r="T260" s="155">
        <f t="shared" si="705"/>
      </c>
      <c r="U260" s="154">
        <f t="shared" si="984"/>
      </c>
      <c r="V260" s="155">
        <f t="shared" si="735"/>
      </c>
      <c r="W260" s="155">
        <f t="shared" si="1014"/>
      </c>
      <c r="X260" s="154">
        <f t="shared" si="825"/>
      </c>
      <c r="Y260" s="156">
        <f>Y241+Y247+Y253+Y259</f>
      </c>
      <c r="Z260" s="156">
        <f>Z241+Z247+Z253+Z259</f>
      </c>
      <c r="AA260" s="156">
        <f>AA241+AA247+AA253+AA259</f>
      </c>
      <c r="AB260" s="156">
        <f>AB241+AB247+AB253+AB259</f>
      </c>
      <c r="AC260" s="156">
        <f>AC241+AC247+AC253+AC259</f>
      </c>
      <c r="AD260" s="157">
        <f>AD241+AD247+AD253+AD259</f>
      </c>
      <c r="AE260" s="158"/>
      <c r="AF260" s="159"/>
      <c r="AG260" s="153">
        <f>AG241+AG247+AG253+AG259</f>
      </c>
      <c r="AH260" s="153">
        <f>AH241+AH247+AH253+AH259</f>
      </c>
      <c r="AI260" s="153">
        <f>AI241+AI247+AI253+AI259</f>
      </c>
      <c r="AJ260" s="153">
        <f>AJ241+AJ247+AJ253+AJ259</f>
      </c>
      <c r="AK260" s="153">
        <f>AK241+AK247+AK253+AK259</f>
      </c>
      <c r="AL260" s="153">
        <f>AL241+AL247+AL253+AL259</f>
      </c>
    </row>
    <row r="261">
      <c r="A261" s="94" t="s">
        <v>81</v>
      </c>
      <c r="B261" s="95" t="s">
        <v>82</v>
      </c>
      <c r="C261" s="95" t="s">
        <v>83</v>
      </c>
      <c r="D261" s="96" t="s">
        <v>84</v>
      </c>
      <c r="E261" s="164" t="s">
        <v>85</v>
      </c>
      <c r="F261" s="95" t="s">
        <v>86</v>
      </c>
      <c r="G261" s="97" t="s">
        <v>87</v>
      </c>
      <c r="H261" s="97" t="s">
        <v>88</v>
      </c>
      <c r="I261" s="96" t="s">
        <v>89</v>
      </c>
      <c r="J261" s="98" t="s">
        <v>90</v>
      </c>
      <c r="K261" s="99" t="s">
        <v>91</v>
      </c>
      <c r="L261" s="99" t="s">
        <v>92</v>
      </c>
      <c r="M261" s="100" t="s">
        <v>93</v>
      </c>
      <c r="N261" s="99" t="s">
        <v>94</v>
      </c>
      <c r="O261" s="95" t="s">
        <v>95</v>
      </c>
      <c r="P261" s="100" t="s">
        <v>96</v>
      </c>
      <c r="Q261" s="101" t="s">
        <v>97</v>
      </c>
      <c r="R261" s="101" t="s">
        <v>98</v>
      </c>
      <c r="S261" s="96" t="s">
        <v>99</v>
      </c>
      <c r="T261" s="102" t="s">
        <v>100</v>
      </c>
      <c r="U261" s="100" t="s">
        <v>101</v>
      </c>
      <c r="V261" s="103" t="s">
        <v>102</v>
      </c>
      <c r="W261" s="104" t="s">
        <v>103</v>
      </c>
      <c r="X261" s="100" t="s">
        <v>104</v>
      </c>
      <c r="Y261" s="105" t="s">
        <v>105</v>
      </c>
      <c r="Z261" s="106" t="s">
        <v>106</v>
      </c>
      <c r="AA261" s="105" t="s">
        <v>107</v>
      </c>
      <c r="AB261" s="107" t="s">
        <v>108</v>
      </c>
      <c r="AC261" s="107" t="s">
        <v>109</v>
      </c>
      <c r="AD261" s="99" t="s">
        <v>110</v>
      </c>
      <c r="AE261" s="98" t="s">
        <v>111</v>
      </c>
      <c r="AF261" s="99" t="s">
        <v>112</v>
      </c>
      <c r="AG261" s="98" t="s">
        <v>113</v>
      </c>
      <c r="AH261" s="98" t="s">
        <v>114</v>
      </c>
      <c r="AI261" s="99" t="s">
        <v>115</v>
      </c>
      <c r="AJ261" s="98" t="s">
        <v>116</v>
      </c>
      <c r="AK261" s="99" t="s">
        <v>117</v>
      </c>
      <c r="AL261" s="98" t="s">
        <v>118</v>
      </c>
    </row>
    <row r="262">
      <c r="A262" s="108">
        <v>46276</v>
      </c>
      <c r="B262" s="109" t="s">
        <v>143</v>
      </c>
      <c r="C262" s="110" t="s">
        <v>120</v>
      </c>
      <c r="D262" s="143">
        <f t="shared" ref="D262:D266" si="331">E262+F262+G262+H262</f>
      </c>
      <c r="E262" s="144">
        <v>1267.36</v>
      </c>
      <c r="F262" s="146">
        <v>5938.01</v>
      </c>
      <c r="G262" s="113">
        <v>0</v>
      </c>
      <c r="H262" s="113">
        <v>0</v>
      </c>
      <c r="I262" s="113">
        <f t="shared" ref="I262:I266" si="460">AB262+AC262</f>
      </c>
      <c r="J262" s="114">
        <v>7130.16</v>
      </c>
      <c r="K262" s="115">
        <f t="shared" ref="K262:K266" si="73">I262-J262</f>
      </c>
      <c r="L262" s="115">
        <f t="shared" ref="L262:L266" si="202">(I262-AC262)/12+AC262</f>
      </c>
      <c r="M262" s="116">
        <f t="shared" ref="M262:M286" si="616">I262/D262</f>
      </c>
      <c r="N262" s="117">
        <f t="shared" ref="N262:N286" si="646">(I262-J262)/D262</f>
      </c>
      <c r="O262" s="118">
        <f t="shared" ref="O262:O286" si="556">(AC262+AB262/12)/D262</f>
      </c>
      <c r="P262" s="119">
        <f t="shared" ref="P262:P286" si="586">I262/AA262</f>
      </c>
      <c r="Q262" s="119">
        <f t="shared" ref="Q262:Q286" si="766">D262/AA262</f>
      </c>
      <c r="R262" s="119">
        <f t="shared" ref="R262:R286" si="796">D262/AG262</f>
      </c>
      <c r="S262" s="120">
        <f t="shared" ref="S262:S286" si="676">AA262/Y262</f>
      </c>
      <c r="T262" s="121">
        <f t="shared" ref="T262:T286" si="706">AI262/AH262</f>
      </c>
      <c r="U262" s="119">
        <f t="shared" ref="U262:U286" si="985">D262/AJ262</f>
      </c>
      <c r="V262" s="122">
        <f t="shared" ref="V262:V286" si="736">AK262/AJ262</f>
      </c>
      <c r="W262" s="122">
        <f t="shared" ref="W262:W286" si="1015">AL262/AJ262</f>
      </c>
      <c r="X262" s="119">
        <f t="shared" ref="X262:X286" si="826">D262/AL262</f>
      </c>
      <c r="Y262" s="123">
        <f t="shared" ref="Y262:Y266" si="889">Z262+AA262</f>
      </c>
      <c r="Z262" s="123">
        <v>4</v>
      </c>
      <c r="AA262" s="123">
        <v>11</v>
      </c>
      <c r="AB262" s="124">
        <v>13819.68</v>
      </c>
      <c r="AC262" s="124">
        <v>0</v>
      </c>
      <c r="AD262" s="120">
        <f t="shared" ref="AD262:AD285" si="10">AC262/I262</f>
      </c>
      <c r="AE262" s="125" t="s">
        <v>121</v>
      </c>
      <c r="AF262" s="126" t="s">
        <v>149</v>
      </c>
      <c r="AG262" s="127">
        <v>8</v>
      </c>
      <c r="AH262" s="127">
        <v>94115</v>
      </c>
      <c r="AI262" s="128">
        <v>1674</v>
      </c>
      <c r="AJ262" s="128">
        <v>1957</v>
      </c>
      <c r="AK262" s="127">
        <v>266</v>
      </c>
      <c r="AL262" s="129">
        <v>293</v>
      </c>
    </row>
    <row r="263">
      <c r="A263" s="108"/>
      <c r="B263" s="109" t="s">
        <v>143</v>
      </c>
      <c r="C263" s="110" t="s">
        <v>123</v>
      </c>
      <c r="D263" s="143">
        <f t="shared" si="331"/>
      </c>
      <c r="E263" s="147">
        <v>1727.89</v>
      </c>
      <c r="F263" s="146">
        <v>10102.93</v>
      </c>
      <c r="G263" s="113">
        <v>0</v>
      </c>
      <c r="H263" s="113">
        <v>0</v>
      </c>
      <c r="I263" s="113">
        <f t="shared" si="460"/>
      </c>
      <c r="J263" s="114">
        <v>1259.52</v>
      </c>
      <c r="K263" s="115">
        <f t="shared" si="73"/>
      </c>
      <c r="L263" s="115">
        <f t="shared" si="202"/>
      </c>
      <c r="M263" s="116">
        <f t="shared" si="616"/>
      </c>
      <c r="N263" s="117">
        <f t="shared" si="646"/>
      </c>
      <c r="O263" s="118">
        <f t="shared" si="556"/>
      </c>
      <c r="P263" s="119">
        <f t="shared" si="586"/>
      </c>
      <c r="Q263" s="119">
        <f t="shared" si="766"/>
      </c>
      <c r="R263" s="119">
        <f t="shared" si="796"/>
      </c>
      <c r="S263" s="120">
        <f t="shared" si="676"/>
      </c>
      <c r="T263" s="121">
        <f t="shared" si="706"/>
      </c>
      <c r="U263" s="119">
        <f t="shared" si="985"/>
      </c>
      <c r="V263" s="122">
        <f t="shared" si="736"/>
      </c>
      <c r="W263" s="122">
        <f t="shared" si="1015"/>
      </c>
      <c r="X263" s="119">
        <f t="shared" si="826"/>
      </c>
      <c r="Y263" s="123">
        <f t="shared" si="889"/>
      </c>
      <c r="Z263" s="123">
        <v>8</v>
      </c>
      <c r="AA263" s="123">
        <v>13</v>
      </c>
      <c r="AB263" s="124">
        <v>27381.839999999997</v>
      </c>
      <c r="AC263" s="124">
        <v>591</v>
      </c>
      <c r="AD263" s="120">
        <f t="shared" si="10"/>
      </c>
      <c r="AE263" s="125" t="s">
        <v>121</v>
      </c>
      <c r="AF263" s="126" t="s">
        <v>149</v>
      </c>
      <c r="AG263" s="127">
        <v>12</v>
      </c>
      <c r="AH263" s="128">
        <v>141367</v>
      </c>
      <c r="AI263" s="128">
        <v>1913</v>
      </c>
      <c r="AJ263" s="128">
        <v>2253</v>
      </c>
      <c r="AK263" s="129">
        <v>372</v>
      </c>
      <c r="AL263" s="129">
        <v>412</v>
      </c>
    </row>
    <row r="264">
      <c r="A264" s="108"/>
      <c r="B264" s="109" t="s">
        <v>143</v>
      </c>
      <c r="C264" s="110" t="s">
        <v>124</v>
      </c>
      <c r="D264" s="111">
        <f t="shared" si="331"/>
      </c>
      <c r="E264" s="165">
        <v>1539.86</v>
      </c>
      <c r="F264" s="110">
        <v>7182.53</v>
      </c>
      <c r="G264" s="113">
        <v>0</v>
      </c>
      <c r="H264" s="113">
        <v>0</v>
      </c>
      <c r="I264" s="113">
        <f t="shared" si="460"/>
      </c>
      <c r="J264" s="114">
        <v>6626.88</v>
      </c>
      <c r="K264" s="115">
        <f t="shared" si="73"/>
      </c>
      <c r="L264" s="115">
        <f t="shared" si="202"/>
      </c>
      <c r="M264" s="116">
        <f t="shared" si="616"/>
      </c>
      <c r="N264" s="117">
        <f t="shared" si="646"/>
      </c>
      <c r="O264" s="118">
        <f t="shared" si="556"/>
      </c>
      <c r="P264" s="119">
        <f t="shared" si="586"/>
      </c>
      <c r="Q264" s="119">
        <f t="shared" si="766"/>
      </c>
      <c r="R264" s="119">
        <f t="shared" si="796"/>
      </c>
      <c r="S264" s="120">
        <f t="shared" si="676"/>
      </c>
      <c r="T264" s="121">
        <f t="shared" si="706"/>
      </c>
      <c r="U264" s="119">
        <f t="shared" si="985"/>
      </c>
      <c r="V264" s="122">
        <f t="shared" si="736"/>
      </c>
      <c r="W264" s="122">
        <f t="shared" si="1015"/>
      </c>
      <c r="X264" s="119">
        <f t="shared" si="826"/>
      </c>
      <c r="Y264" s="123">
        <f t="shared" si="889"/>
      </c>
      <c r="Z264" s="123">
        <v>7</v>
      </c>
      <c r="AA264" s="123">
        <v>9</v>
      </c>
      <c r="AB264" s="124">
        <v>12011.76000000001</v>
      </c>
      <c r="AC264" s="124">
        <v>697</v>
      </c>
      <c r="AD264" s="120">
        <f t="shared" si="10"/>
      </c>
      <c r="AE264" s="125" t="s">
        <v>121</v>
      </c>
      <c r="AF264" s="126" t="s">
        <v>149</v>
      </c>
      <c r="AG264" s="127">
        <v>8</v>
      </c>
      <c r="AH264" s="128">
        <v>94392</v>
      </c>
      <c r="AI264" s="128">
        <v>1364</v>
      </c>
      <c r="AJ264" s="128">
        <v>1656</v>
      </c>
      <c r="AK264" s="129">
        <v>278</v>
      </c>
      <c r="AL264" s="129">
        <v>260</v>
      </c>
    </row>
    <row r="265">
      <c r="A265" s="108"/>
      <c r="B265" s="109" t="s">
        <v>143</v>
      </c>
      <c r="C265" s="110" t="s">
        <v>125</v>
      </c>
      <c r="D265" s="111">
        <f t="shared" si="331"/>
      </c>
      <c r="E265" s="110">
        <v>1286.42</v>
      </c>
      <c r="F265" s="113">
        <v>7799.98</v>
      </c>
      <c r="G265" s="113">
        <v>0</v>
      </c>
      <c r="H265" s="113">
        <v>0</v>
      </c>
      <c r="I265" s="113">
        <f t="shared" si="460"/>
      </c>
      <c r="J265" s="114">
        <f>6448.68+3110.4</f>
      </c>
      <c r="K265" s="115">
        <f t="shared" si="73"/>
      </c>
      <c r="L265" s="115">
        <f t="shared" si="202"/>
      </c>
      <c r="M265" s="116">
        <f t="shared" si="616"/>
      </c>
      <c r="N265" s="117">
        <f t="shared" si="646"/>
      </c>
      <c r="O265" s="118">
        <f t="shared" si="556"/>
      </c>
      <c r="P265" s="119">
        <f t="shared" si="586"/>
      </c>
      <c r="Q265" s="119">
        <f t="shared" si="766"/>
      </c>
      <c r="R265" s="119">
        <f t="shared" si="796"/>
      </c>
      <c r="S265" s="120">
        <f t="shared" si="676"/>
      </c>
      <c r="T265" s="121">
        <f t="shared" si="706"/>
      </c>
      <c r="U265" s="119">
        <f t="shared" si="985"/>
      </c>
      <c r="V265" s="122">
        <f t="shared" si="736"/>
      </c>
      <c r="W265" s="122">
        <f t="shared" si="1015"/>
      </c>
      <c r="X265" s="119">
        <f t="shared" si="826"/>
      </c>
      <c r="Y265" s="123">
        <f t="shared" si="889"/>
      </c>
      <c r="Z265" s="123">
        <v>7</v>
      </c>
      <c r="AA265" s="123">
        <v>6</v>
      </c>
      <c r="AB265" s="124">
        <v>14236.559999999998</v>
      </c>
      <c r="AC265" s="124">
        <v>0</v>
      </c>
      <c r="AD265" s="120">
        <f t="shared" si="10"/>
      </c>
      <c r="AE265" s="125" t="s">
        <v>121</v>
      </c>
      <c r="AF265" s="126" t="s">
        <v>149</v>
      </c>
      <c r="AG265" s="127">
        <v>4</v>
      </c>
      <c r="AH265" s="128">
        <v>96769</v>
      </c>
      <c r="AI265" s="128">
        <v>1122</v>
      </c>
      <c r="AJ265" s="128">
        <v>1332</v>
      </c>
      <c r="AK265" s="129">
        <v>224</v>
      </c>
      <c r="AL265" s="129">
        <v>243</v>
      </c>
    </row>
    <row r="266">
      <c r="A266" s="108"/>
      <c r="B266" s="109" t="s">
        <v>143</v>
      </c>
      <c r="C266" s="110" t="s">
        <v>126</v>
      </c>
      <c r="D266" s="111">
        <f t="shared" si="331"/>
      </c>
      <c r="E266" s="112">
        <v>1533.74</v>
      </c>
      <c r="F266" s="113">
        <v>6435.79</v>
      </c>
      <c r="G266" s="113">
        <v>0</v>
      </c>
      <c r="H266" s="113">
        <v>0</v>
      </c>
      <c r="I266" s="113">
        <f t="shared" si="460"/>
      </c>
      <c r="J266" s="114">
        <v>4436.64</v>
      </c>
      <c r="K266" s="115">
        <f t="shared" si="73"/>
      </c>
      <c r="L266" s="115">
        <f t="shared" si="202"/>
      </c>
      <c r="M266" s="116">
        <f t="shared" si="616"/>
      </c>
      <c r="N266" s="117">
        <f t="shared" si="646"/>
      </c>
      <c r="O266" s="118">
        <f t="shared" si="556"/>
      </c>
      <c r="P266" s="119">
        <f t="shared" si="586"/>
      </c>
      <c r="Q266" s="119">
        <f t="shared" si="766"/>
      </c>
      <c r="R266" s="119">
        <f t="shared" si="796"/>
      </c>
      <c r="S266" s="120">
        <f t="shared" si="676"/>
      </c>
      <c r="T266" s="121">
        <f t="shared" si="706"/>
      </c>
      <c r="U266" s="119">
        <f t="shared" si="985"/>
      </c>
      <c r="V266" s="122">
        <f t="shared" si="736"/>
      </c>
      <c r="W266" s="122">
        <f t="shared" si="1015"/>
      </c>
      <c r="X266" s="119">
        <f t="shared" si="826"/>
      </c>
      <c r="Y266" s="123">
        <f t="shared" si="889"/>
      </c>
      <c r="Z266" s="123">
        <v>5</v>
      </c>
      <c r="AA266" s="123">
        <v>9</v>
      </c>
      <c r="AB266" s="124">
        <v>17118.000000000007</v>
      </c>
      <c r="AC266" s="124">
        <v>0</v>
      </c>
      <c r="AD266" s="120">
        <f t="shared" si="10"/>
      </c>
      <c r="AE266" s="125" t="s">
        <v>121</v>
      </c>
      <c r="AF266" s="126" t="s">
        <v>149</v>
      </c>
      <c r="AG266" s="127">
        <v>8</v>
      </c>
      <c r="AH266" s="128">
        <v>82327</v>
      </c>
      <c r="AI266" s="128">
        <v>1082</v>
      </c>
      <c r="AJ266" s="128">
        <v>1271</v>
      </c>
      <c r="AK266" s="127">
        <v>219</v>
      </c>
      <c r="AL266" s="127">
        <v>247</v>
      </c>
    </row>
    <row r="267">
      <c r="A267" s="108"/>
      <c r="B267" s="130" t="s">
        <v>127</v>
      </c>
      <c r="C267" s="131">
        <v>5</v>
      </c>
      <c r="D267" s="132">
        <f>SUM(D262:D266)</f>
      </c>
      <c r="E267" s="132">
        <f>SUM(E262:E266)</f>
      </c>
      <c r="F267" s="132">
        <f>SUM(F262:F266)</f>
      </c>
      <c r="G267" s="132">
        <f>SUM(G262:G266)</f>
      </c>
      <c r="H267" s="132">
        <f>SUM(H262:H266)</f>
      </c>
      <c r="I267" s="132">
        <f>SUM(I262:I266)</f>
      </c>
      <c r="J267" s="132">
        <f>SUM(J262:J266)</f>
      </c>
      <c r="K267" s="132">
        <f>SUM(K262:K266)</f>
      </c>
      <c r="L267" s="132">
        <f>SUM(L262:L266)</f>
      </c>
      <c r="M267" s="133">
        <f t="shared" si="616"/>
      </c>
      <c r="N267" s="134">
        <f t="shared" si="646"/>
      </c>
      <c r="O267" s="134">
        <f t="shared" si="556"/>
      </c>
      <c r="P267" s="135">
        <f t="shared" si="586"/>
      </c>
      <c r="Q267" s="135">
        <f t="shared" si="766"/>
      </c>
      <c r="R267" s="135">
        <f t="shared" si="796"/>
      </c>
      <c r="S267" s="136">
        <f t="shared" si="676"/>
      </c>
      <c r="T267" s="136">
        <f t="shared" si="706"/>
      </c>
      <c r="U267" s="135">
        <f t="shared" si="985"/>
      </c>
      <c r="V267" s="136">
        <f t="shared" si="736"/>
      </c>
      <c r="W267" s="136">
        <f t="shared" si="1015"/>
      </c>
      <c r="X267" s="135">
        <f t="shared" si="826"/>
      </c>
      <c r="Y267" s="132">
        <f>SUM(Y262:Y266)</f>
      </c>
      <c r="Z267" s="132">
        <f>SUM(Z262:Z266)</f>
      </c>
      <c r="AA267" s="132">
        <f>SUM(AA262:AA266)</f>
      </c>
      <c r="AB267" s="132">
        <f>SUM(AB262:AB266)</f>
      </c>
      <c r="AC267" s="132">
        <f>SUM(AC262:AC266)</f>
      </c>
      <c r="AD267" s="137">
        <f t="shared" si="10"/>
      </c>
      <c r="AE267" s="138"/>
      <c r="AF267" s="139"/>
      <c r="AG267" s="132">
        <f>SUM(AG262:AG266)</f>
      </c>
      <c r="AH267" s="132">
        <f>SUM(AH262:AH266)</f>
      </c>
      <c r="AI267" s="132">
        <f>SUM(AI262:AI266)</f>
      </c>
      <c r="AJ267" s="132">
        <f>SUM(AJ262:AJ266)</f>
      </c>
      <c r="AK267" s="132">
        <f>SUM(AK262:AK266)</f>
      </c>
      <c r="AL267" s="132">
        <f>SUM(AL262:AL266)</f>
      </c>
    </row>
    <row r="268">
      <c r="A268" s="108"/>
      <c r="B268" s="109" t="s">
        <v>128</v>
      </c>
      <c r="C268" s="110" t="s">
        <v>129</v>
      </c>
      <c r="D268" s="111">
        <f t="shared" ref="D268:D272" si="332">E268+F268+G268+H268</f>
      </c>
      <c r="E268" s="112">
        <v>1058.62</v>
      </c>
      <c r="F268" s="113">
        <v>5951.3</v>
      </c>
      <c r="G268" s="113">
        <v>0</v>
      </c>
      <c r="H268" s="113">
        <v>0</v>
      </c>
      <c r="I268" s="113">
        <f t="shared" ref="I268:I272" si="461">AB268+AC268</f>
      </c>
      <c r="J268" s="114">
        <v>2464.56</v>
      </c>
      <c r="K268" s="115">
        <f t="shared" ref="K268:K272" si="74">I268-J268</f>
      </c>
      <c r="L268" s="115">
        <f t="shared" ref="L268:L272" si="203">(I268-AC268)/12+AC268</f>
      </c>
      <c r="M268" s="116">
        <f t="shared" si="616"/>
      </c>
      <c r="N268" s="117">
        <f t="shared" si="646"/>
      </c>
      <c r="O268" s="118">
        <f t="shared" si="556"/>
      </c>
      <c r="P268" s="119">
        <f t="shared" si="586"/>
      </c>
      <c r="Q268" s="119">
        <f t="shared" si="766"/>
      </c>
      <c r="R268" s="119">
        <f t="shared" si="796"/>
      </c>
      <c r="S268" s="120">
        <f t="shared" si="676"/>
      </c>
      <c r="T268" s="121">
        <f t="shared" si="706"/>
      </c>
      <c r="U268" s="119">
        <f t="shared" si="985"/>
      </c>
      <c r="V268" s="122">
        <f t="shared" si="736"/>
      </c>
      <c r="W268" s="122">
        <f t="shared" si="1015"/>
      </c>
      <c r="X268" s="119">
        <f t="shared" si="826"/>
      </c>
      <c r="Y268" s="123">
        <f t="shared" ref="Y268:Y272" si="890">Z268+AA268</f>
      </c>
      <c r="Z268" s="123">
        <v>6</v>
      </c>
      <c r="AA268" s="123">
        <v>6</v>
      </c>
      <c r="AB268" s="124">
        <v>6864.480000000003</v>
      </c>
      <c r="AC268" s="124">
        <v>380</v>
      </c>
      <c r="AD268" s="120">
        <f t="shared" si="10"/>
      </c>
      <c r="AE268" s="125" t="s">
        <v>121</v>
      </c>
      <c r="AF268" s="126" t="s">
        <v>149</v>
      </c>
      <c r="AG268" s="127">
        <v>6</v>
      </c>
      <c r="AH268" s="128">
        <v>71444</v>
      </c>
      <c r="AI268" s="128">
        <v>948</v>
      </c>
      <c r="AJ268" s="128">
        <v>1131</v>
      </c>
      <c r="AK268" s="127">
        <v>203</v>
      </c>
      <c r="AL268" s="127">
        <v>239</v>
      </c>
    </row>
    <row r="269">
      <c r="A269" s="108"/>
      <c r="B269" s="109" t="s">
        <v>128</v>
      </c>
      <c r="C269" s="110" t="s">
        <v>130</v>
      </c>
      <c r="D269" s="111">
        <f t="shared" si="332"/>
      </c>
      <c r="E269" s="110">
        <v>1049.39</v>
      </c>
      <c r="F269" s="113">
        <v>5605.84</v>
      </c>
      <c r="G269" s="113">
        <v>0</v>
      </c>
      <c r="H269" s="113">
        <v>0</v>
      </c>
      <c r="I269" s="113">
        <f t="shared" si="461"/>
      </c>
      <c r="J269" s="162">
        <v>663</v>
      </c>
      <c r="K269" s="115">
        <f t="shared" si="74"/>
      </c>
      <c r="L269" s="115">
        <f t="shared" si="203"/>
      </c>
      <c r="M269" s="116">
        <f t="shared" si="616"/>
      </c>
      <c r="N269" s="117">
        <f t="shared" si="646"/>
      </c>
      <c r="O269" s="118">
        <f t="shared" si="556"/>
      </c>
      <c r="P269" s="119">
        <f t="shared" si="586"/>
      </c>
      <c r="Q269" s="119">
        <f t="shared" si="766"/>
      </c>
      <c r="R269" s="119">
        <f t="shared" si="796"/>
      </c>
      <c r="S269" s="120">
        <f t="shared" si="676"/>
      </c>
      <c r="T269" s="121">
        <f t="shared" si="706"/>
      </c>
      <c r="U269" s="119">
        <f t="shared" si="985"/>
      </c>
      <c r="V269" s="122">
        <f t="shared" si="736"/>
      </c>
      <c r="W269" s="122">
        <f t="shared" si="1015"/>
      </c>
      <c r="X269" s="119">
        <f t="shared" si="826"/>
      </c>
      <c r="Y269" s="123">
        <f t="shared" si="890"/>
      </c>
      <c r="Z269" s="123">
        <v>9</v>
      </c>
      <c r="AA269" s="123">
        <v>9</v>
      </c>
      <c r="AB269" s="124">
        <v>11847.599999999999</v>
      </c>
      <c r="AC269" s="124">
        <v>1537</v>
      </c>
      <c r="AD269" s="120">
        <f t="shared" si="10"/>
      </c>
      <c r="AE269" s="125" t="s">
        <v>121</v>
      </c>
      <c r="AF269" s="126" t="s">
        <v>149</v>
      </c>
      <c r="AG269" s="127">
        <v>8</v>
      </c>
      <c r="AH269" s="128">
        <v>73589</v>
      </c>
      <c r="AI269" s="128">
        <v>951</v>
      </c>
      <c r="AJ269" s="128">
        <v>1051</v>
      </c>
      <c r="AK269" s="129">
        <v>187</v>
      </c>
      <c r="AL269" s="129">
        <v>205</v>
      </c>
    </row>
    <row r="270">
      <c r="A270" s="108"/>
      <c r="B270" s="109" t="s">
        <v>128</v>
      </c>
      <c r="C270" s="110" t="s">
        <v>131</v>
      </c>
      <c r="D270" s="111">
        <f t="shared" si="332"/>
      </c>
      <c r="E270" s="110">
        <v>635.88</v>
      </c>
      <c r="F270" s="110">
        <v>11323.41</v>
      </c>
      <c r="G270" s="113">
        <v>0</v>
      </c>
      <c r="H270" s="113">
        <v>0</v>
      </c>
      <c r="I270" s="113">
        <f t="shared" si="461"/>
      </c>
      <c r="J270" s="114">
        <v>3386.44</v>
      </c>
      <c r="K270" s="115">
        <f t="shared" si="74"/>
      </c>
      <c r="L270" s="115">
        <f t="shared" si="203"/>
      </c>
      <c r="M270" s="116">
        <f t="shared" si="616"/>
      </c>
      <c r="N270" s="117">
        <f t="shared" si="646"/>
      </c>
      <c r="O270" s="118">
        <f t="shared" si="556"/>
      </c>
      <c r="P270" s="119">
        <f t="shared" si="586"/>
      </c>
      <c r="Q270" s="119">
        <f t="shared" si="766"/>
      </c>
      <c r="R270" s="119">
        <f t="shared" si="796"/>
      </c>
      <c r="S270" s="120">
        <f t="shared" si="676"/>
      </c>
      <c r="T270" s="121">
        <f t="shared" si="706"/>
      </c>
      <c r="U270" s="119">
        <f t="shared" si="985"/>
      </c>
      <c r="V270" s="122">
        <f t="shared" si="736"/>
      </c>
      <c r="W270" s="122">
        <f t="shared" si="1015"/>
      </c>
      <c r="X270" s="119">
        <f t="shared" si="826"/>
      </c>
      <c r="Y270" s="123">
        <f t="shared" si="890"/>
      </c>
      <c r="Z270" s="123">
        <v>11</v>
      </c>
      <c r="AA270" s="123">
        <v>14</v>
      </c>
      <c r="AB270" s="124">
        <v>22241.759999999987</v>
      </c>
      <c r="AC270" s="124">
        <v>2611</v>
      </c>
      <c r="AD270" s="120">
        <f t="shared" si="10"/>
      </c>
      <c r="AE270" s="125" t="s">
        <v>121</v>
      </c>
      <c r="AF270" s="126" t="s">
        <v>149</v>
      </c>
      <c r="AG270" s="129">
        <v>10</v>
      </c>
      <c r="AH270" s="128">
        <v>150672</v>
      </c>
      <c r="AI270" s="128">
        <v>1404</v>
      </c>
      <c r="AJ270" s="128">
        <v>1448</v>
      </c>
      <c r="AK270" s="129">
        <v>249</v>
      </c>
      <c r="AL270" s="129">
        <v>351</v>
      </c>
    </row>
    <row r="271">
      <c r="A271" s="108"/>
      <c r="B271" s="109" t="s">
        <v>128</v>
      </c>
      <c r="C271" s="110" t="s">
        <v>132</v>
      </c>
      <c r="D271" s="111">
        <f t="shared" si="332"/>
      </c>
      <c r="E271" s="110">
        <v>831.42</v>
      </c>
      <c r="F271" s="113">
        <v>9007.43</v>
      </c>
      <c r="G271" s="113">
        <v>0</v>
      </c>
      <c r="H271" s="113">
        <v>0</v>
      </c>
      <c r="I271" s="113">
        <f t="shared" si="461"/>
      </c>
      <c r="J271" s="114">
        <v>8822.52</v>
      </c>
      <c r="K271" s="115">
        <f t="shared" si="74"/>
      </c>
      <c r="L271" s="115">
        <f t="shared" si="203"/>
      </c>
      <c r="M271" s="116">
        <f t="shared" si="616"/>
      </c>
      <c r="N271" s="117">
        <f t="shared" si="646"/>
      </c>
      <c r="O271" s="118">
        <f t="shared" si="556"/>
      </c>
      <c r="P271" s="119">
        <f t="shared" si="586"/>
      </c>
      <c r="Q271" s="119">
        <f t="shared" si="766"/>
      </c>
      <c r="R271" s="119">
        <f t="shared" si="796"/>
      </c>
      <c r="S271" s="120">
        <f t="shared" si="676"/>
      </c>
      <c r="T271" s="121">
        <f t="shared" si="706"/>
      </c>
      <c r="U271" s="119">
        <f t="shared" si="985"/>
      </c>
      <c r="V271" s="122">
        <f t="shared" si="736"/>
      </c>
      <c r="W271" s="122">
        <f t="shared" si="1015"/>
      </c>
      <c r="X271" s="119">
        <f t="shared" si="826"/>
      </c>
      <c r="Y271" s="123">
        <f t="shared" si="890"/>
      </c>
      <c r="Z271" s="123">
        <v>7</v>
      </c>
      <c r="AA271" s="123">
        <v>11</v>
      </c>
      <c r="AB271" s="114">
        <v>22874.400000000016</v>
      </c>
      <c r="AC271" s="124">
        <v>656</v>
      </c>
      <c r="AD271" s="120">
        <f t="shared" si="10"/>
      </c>
      <c r="AE271" s="125" t="s">
        <v>121</v>
      </c>
      <c r="AF271" s="126" t="s">
        <v>149</v>
      </c>
      <c r="AG271" s="127">
        <v>8</v>
      </c>
      <c r="AH271" s="128">
        <v>119927</v>
      </c>
      <c r="AI271" s="128">
        <v>1425</v>
      </c>
      <c r="AJ271" s="128">
        <v>1516</v>
      </c>
      <c r="AK271" s="129">
        <v>246</v>
      </c>
      <c r="AL271" s="129">
        <v>295</v>
      </c>
    </row>
    <row r="272">
      <c r="A272" s="108"/>
      <c r="B272" s="109" t="s">
        <v>128</v>
      </c>
      <c r="C272" s="110" t="s">
        <v>134</v>
      </c>
      <c r="D272" s="111">
        <f t="shared" si="332"/>
      </c>
      <c r="E272" s="110">
        <v>1098.23</v>
      </c>
      <c r="F272" s="140">
        <v>7657.34</v>
      </c>
      <c r="G272" s="113">
        <v>0</v>
      </c>
      <c r="H272" s="113">
        <v>0</v>
      </c>
      <c r="I272" s="113">
        <f t="shared" si="461"/>
      </c>
      <c r="J272" s="160">
        <f>1109.16+1591.92+2611+2415+2036.88</f>
      </c>
      <c r="K272" s="115">
        <f t="shared" si="74"/>
      </c>
      <c r="L272" s="115">
        <f t="shared" si="203"/>
      </c>
      <c r="M272" s="116">
        <f t="shared" si="616"/>
      </c>
      <c r="N272" s="117">
        <f t="shared" si="646"/>
      </c>
      <c r="O272" s="118">
        <f t="shared" si="556"/>
      </c>
      <c r="P272" s="119">
        <f t="shared" si="586"/>
      </c>
      <c r="Q272" s="119">
        <f t="shared" si="766"/>
      </c>
      <c r="R272" s="119">
        <f t="shared" si="796"/>
      </c>
      <c r="S272" s="120">
        <f t="shared" si="676"/>
      </c>
      <c r="T272" s="121">
        <f t="shared" si="706"/>
      </c>
      <c r="U272" s="119">
        <f t="shared" si="985"/>
      </c>
      <c r="V272" s="122">
        <f t="shared" si="736"/>
      </c>
      <c r="W272" s="122">
        <f t="shared" si="1015"/>
      </c>
      <c r="X272" s="119">
        <f t="shared" si="826"/>
      </c>
      <c r="Y272" s="123">
        <f t="shared" si="890"/>
      </c>
      <c r="Z272" s="123">
        <v>9</v>
      </c>
      <c r="AA272" s="123">
        <v>10</v>
      </c>
      <c r="AB272" s="124">
        <f>11806.12-2611</f>
      </c>
      <c r="AC272" s="124">
        <v>5026</v>
      </c>
      <c r="AD272" s="120">
        <f t="shared" si="10"/>
      </c>
      <c r="AE272" s="125" t="s">
        <v>121</v>
      </c>
      <c r="AF272" s="126" t="s">
        <v>149</v>
      </c>
      <c r="AG272" s="127">
        <v>5</v>
      </c>
      <c r="AH272" s="128">
        <v>97445</v>
      </c>
      <c r="AI272" s="128">
        <v>1317</v>
      </c>
      <c r="AJ272" s="128">
        <v>1478</v>
      </c>
      <c r="AK272" s="129">
        <v>239</v>
      </c>
      <c r="AL272" s="129">
        <v>300</v>
      </c>
    </row>
    <row r="273">
      <c r="A273" s="108"/>
      <c r="B273" s="130" t="s">
        <v>127</v>
      </c>
      <c r="C273" s="131">
        <v>5</v>
      </c>
      <c r="D273" s="132">
        <f>SUM(D268:D272)</f>
      </c>
      <c r="E273" s="132">
        <f>SUM(E268:E272)</f>
      </c>
      <c r="F273" s="132">
        <f>SUM(F268:F272)</f>
      </c>
      <c r="G273" s="132">
        <f>SUM(G268:G272)</f>
      </c>
      <c r="H273" s="132">
        <f>SUM(H268:H272)</f>
      </c>
      <c r="I273" s="132">
        <f>SUM(I268:I272)</f>
      </c>
      <c r="J273" s="132">
        <f>SUM(J268:J272)</f>
      </c>
      <c r="K273" s="132">
        <f>SUM(K268:K272)</f>
      </c>
      <c r="L273" s="132">
        <f>SUM(L268:L272)</f>
      </c>
      <c r="M273" s="133">
        <f t="shared" si="616"/>
      </c>
      <c r="N273" s="134">
        <f t="shared" si="646"/>
      </c>
      <c r="O273" s="134">
        <f t="shared" si="556"/>
      </c>
      <c r="P273" s="135">
        <f t="shared" si="586"/>
      </c>
      <c r="Q273" s="135">
        <f t="shared" si="766"/>
      </c>
      <c r="R273" s="135">
        <f t="shared" si="796"/>
      </c>
      <c r="S273" s="136">
        <f t="shared" si="676"/>
      </c>
      <c r="T273" s="136">
        <f t="shared" si="706"/>
      </c>
      <c r="U273" s="135">
        <f t="shared" si="985"/>
      </c>
      <c r="V273" s="136">
        <f t="shared" si="736"/>
      </c>
      <c r="W273" s="136">
        <f t="shared" si="1015"/>
      </c>
      <c r="X273" s="135">
        <f t="shared" si="826"/>
      </c>
      <c r="Y273" s="132">
        <f>SUM(Y268:Y272)</f>
      </c>
      <c r="Z273" s="132">
        <f>SUM(Z268:Z272)</f>
      </c>
      <c r="AA273" s="132">
        <f>SUM(AA268:AA272)</f>
      </c>
      <c r="AB273" s="132">
        <f>SUM(AB268:AB272)</f>
      </c>
      <c r="AC273" s="132">
        <f>SUM(AC268:AC272)</f>
      </c>
      <c r="AD273" s="137">
        <f t="shared" si="10"/>
      </c>
      <c r="AE273" s="138"/>
      <c r="AF273" s="139"/>
      <c r="AG273" s="132">
        <f>SUM(AG268:AG272)</f>
      </c>
      <c r="AH273" s="132">
        <f>SUM(AH268:AH272)</f>
      </c>
      <c r="AI273" s="132">
        <f>SUM(AI268:AI272)</f>
      </c>
      <c r="AJ273" s="132">
        <f>SUM(AJ268:AJ272)</f>
      </c>
      <c r="AK273" s="132">
        <f>SUM(AK268:AK272)</f>
      </c>
      <c r="AL273" s="132">
        <f>SUM(AL268:AL272)</f>
      </c>
    </row>
    <row r="274">
      <c r="A274" s="108"/>
      <c r="B274" s="109" t="s">
        <v>139</v>
      </c>
      <c r="C274" s="110" t="s">
        <v>135</v>
      </c>
      <c r="D274" s="111">
        <f t="shared" ref="D274:D278" si="333">E274+F274+G274+H274</f>
      </c>
      <c r="E274" s="110">
        <v>1726.1</v>
      </c>
      <c r="F274" s="140">
        <v>5607.46</v>
      </c>
      <c r="G274" s="113">
        <v>0</v>
      </c>
      <c r="H274" s="113">
        <v>0</v>
      </c>
      <c r="I274" s="113">
        <f t="shared" ref="I274:I278" si="462">AB274+AC274</f>
      </c>
      <c r="J274" s="160">
        <v>0</v>
      </c>
      <c r="K274" s="115">
        <f t="shared" ref="K274:K278" si="75">I274-J274</f>
      </c>
      <c r="L274" s="115">
        <f t="shared" ref="L274:L278" si="204">(I274-AC274)/12+AC274</f>
      </c>
      <c r="M274" s="116">
        <f t="shared" si="616"/>
      </c>
      <c r="N274" s="117">
        <f t="shared" si="646"/>
      </c>
      <c r="O274" s="118">
        <f t="shared" si="556"/>
      </c>
      <c r="P274" s="119">
        <f t="shared" si="586"/>
      </c>
      <c r="Q274" s="119">
        <f t="shared" si="766"/>
      </c>
      <c r="R274" s="119">
        <f t="shared" si="796"/>
      </c>
      <c r="S274" s="120">
        <f t="shared" si="676"/>
      </c>
      <c r="T274" s="121">
        <f t="shared" si="706"/>
      </c>
      <c r="U274" s="119">
        <f t="shared" si="985"/>
      </c>
      <c r="V274" s="122">
        <f t="shared" si="736"/>
      </c>
      <c r="W274" s="122">
        <f t="shared" si="1015"/>
      </c>
      <c r="X274" s="119">
        <f t="shared" si="826"/>
      </c>
      <c r="Y274" s="123">
        <f t="shared" ref="Y274:Y278" si="891">Z274+AA274</f>
      </c>
      <c r="Z274" s="123">
        <v>3</v>
      </c>
      <c r="AA274" s="123">
        <v>3</v>
      </c>
      <c r="AB274" s="124">
        <v>1648.07999999998</v>
      </c>
      <c r="AC274" s="124">
        <v>0</v>
      </c>
      <c r="AD274" s="120">
        <f t="shared" si="10"/>
      </c>
      <c r="AE274" s="125" t="s">
        <v>121</v>
      </c>
      <c r="AF274" s="126" t="s">
        <v>137</v>
      </c>
      <c r="AG274" s="127">
        <v>5</v>
      </c>
      <c r="AH274" s="128">
        <v>89005</v>
      </c>
      <c r="AI274" s="128">
        <v>1247</v>
      </c>
      <c r="AJ274" s="128">
        <v>1401</v>
      </c>
      <c r="AK274" s="129">
        <v>194</v>
      </c>
      <c r="AL274" s="129">
        <v>214</v>
      </c>
    </row>
    <row r="275">
      <c r="A275" s="108"/>
      <c r="B275" s="109" t="s">
        <v>139</v>
      </c>
      <c r="C275" s="110" t="s">
        <v>138</v>
      </c>
      <c r="D275" s="111">
        <f t="shared" si="333"/>
      </c>
      <c r="E275" s="141">
        <v>1780.91</v>
      </c>
      <c r="F275" s="142">
        <v>5399.11</v>
      </c>
      <c r="G275" s="113">
        <v>0</v>
      </c>
      <c r="H275" s="113">
        <v>0</v>
      </c>
      <c r="I275" s="113">
        <f t="shared" si="462"/>
      </c>
      <c r="J275" s="160">
        <v>0</v>
      </c>
      <c r="K275" s="115">
        <f t="shared" si="75"/>
      </c>
      <c r="L275" s="115">
        <f t="shared" si="204"/>
      </c>
      <c r="M275" s="116">
        <f t="shared" si="616"/>
      </c>
      <c r="N275" s="117">
        <f t="shared" si="646"/>
      </c>
      <c r="O275" s="118">
        <f t="shared" si="556"/>
      </c>
      <c r="P275" s="119">
        <f t="shared" si="586"/>
      </c>
      <c r="Q275" s="119">
        <f t="shared" si="766"/>
      </c>
      <c r="R275" s="119">
        <f t="shared" si="796"/>
      </c>
      <c r="S275" s="120">
        <f t="shared" si="676"/>
      </c>
      <c r="T275" s="121">
        <f t="shared" si="706"/>
      </c>
      <c r="U275" s="119">
        <f t="shared" si="985"/>
      </c>
      <c r="V275" s="122">
        <f t="shared" si="736"/>
      </c>
      <c r="W275" s="122">
        <f t="shared" si="1015"/>
      </c>
      <c r="X275" s="119">
        <f t="shared" si="826"/>
      </c>
      <c r="Y275" s="123">
        <f t="shared" si="891"/>
      </c>
      <c r="Z275" s="123">
        <v>3</v>
      </c>
      <c r="AA275" s="123">
        <v>6</v>
      </c>
      <c r="AB275" s="124">
        <v>6444.360000000008</v>
      </c>
      <c r="AC275" s="124">
        <v>645</v>
      </c>
      <c r="AD275" s="120">
        <f t="shared" si="10"/>
      </c>
      <c r="AE275" s="125" t="s">
        <v>121</v>
      </c>
      <c r="AF275" s="126" t="s">
        <v>137</v>
      </c>
      <c r="AG275" s="129">
        <v>6</v>
      </c>
      <c r="AH275" s="128">
        <v>87252</v>
      </c>
      <c r="AI275" s="128">
        <v>1360</v>
      </c>
      <c r="AJ275" s="128">
        <v>1609</v>
      </c>
      <c r="AK275" s="129">
        <v>198</v>
      </c>
      <c r="AL275" s="129">
        <v>226</v>
      </c>
    </row>
    <row r="276">
      <c r="A276" s="108"/>
      <c r="B276" s="109" t="s">
        <v>139</v>
      </c>
      <c r="C276" s="110" t="s">
        <v>140</v>
      </c>
      <c r="D276" s="111">
        <f t="shared" si="333"/>
      </c>
      <c r="E276" s="110">
        <v>1230.36</v>
      </c>
      <c r="F276" s="140">
        <v>6798.55</v>
      </c>
      <c r="G276" s="113">
        <v>0</v>
      </c>
      <c r="H276" s="113">
        <v>0</v>
      </c>
      <c r="I276" s="113">
        <f t="shared" si="462"/>
      </c>
      <c r="J276" s="160">
        <v>0</v>
      </c>
      <c r="K276" s="115">
        <f t="shared" si="75"/>
      </c>
      <c r="L276" s="115">
        <f t="shared" si="204"/>
      </c>
      <c r="M276" s="116">
        <f t="shared" si="616"/>
      </c>
      <c r="N276" s="117">
        <f t="shared" si="646"/>
      </c>
      <c r="O276" s="118">
        <f t="shared" si="556"/>
      </c>
      <c r="P276" s="119">
        <f t="shared" si="586"/>
      </c>
      <c r="Q276" s="119">
        <f t="shared" si="766"/>
      </c>
      <c r="R276" s="119">
        <f t="shared" si="796"/>
      </c>
      <c r="S276" s="120">
        <f t="shared" si="676"/>
      </c>
      <c r="T276" s="121">
        <f t="shared" si="706"/>
      </c>
      <c r="U276" s="119">
        <f t="shared" si="985"/>
      </c>
      <c r="V276" s="122">
        <f t="shared" si="736"/>
      </c>
      <c r="W276" s="122">
        <f t="shared" si="1015"/>
      </c>
      <c r="X276" s="119">
        <f t="shared" si="826"/>
      </c>
      <c r="Y276" s="123">
        <f t="shared" si="891"/>
      </c>
      <c r="Z276" s="123">
        <v>2</v>
      </c>
      <c r="AA276" s="123">
        <v>8</v>
      </c>
      <c r="AB276" s="124">
        <v>13222.55999999999</v>
      </c>
      <c r="AC276" s="124">
        <v>0</v>
      </c>
      <c r="AD276" s="120">
        <f t="shared" si="10"/>
      </c>
      <c r="AE276" s="125" t="s">
        <v>121</v>
      </c>
      <c r="AF276" s="126" t="s">
        <v>137</v>
      </c>
      <c r="AG276" s="127">
        <v>5</v>
      </c>
      <c r="AH276" s="128">
        <v>96736</v>
      </c>
      <c r="AI276" s="128">
        <v>1128</v>
      </c>
      <c r="AJ276" s="128">
        <v>1486</v>
      </c>
      <c r="AK276" s="129">
        <v>207</v>
      </c>
      <c r="AL276" s="129">
        <v>201</v>
      </c>
    </row>
    <row r="277">
      <c r="A277" s="108"/>
      <c r="B277" s="109" t="s">
        <v>139</v>
      </c>
      <c r="C277" s="141" t="s">
        <v>141</v>
      </c>
      <c r="D277" s="111">
        <f t="shared" si="333"/>
      </c>
      <c r="E277" s="110">
        <v>1629.55</v>
      </c>
      <c r="F277" s="140">
        <v>5032.66</v>
      </c>
      <c r="G277" s="113">
        <v>0</v>
      </c>
      <c r="H277" s="113">
        <v>0</v>
      </c>
      <c r="I277" s="113">
        <f t="shared" si="462"/>
      </c>
      <c r="J277" s="160">
        <f>1578.6+1686.96</f>
      </c>
      <c r="K277" s="115">
        <f t="shared" si="75"/>
      </c>
      <c r="L277" s="115">
        <f t="shared" si="204"/>
      </c>
      <c r="M277" s="116">
        <f t="shared" si="616"/>
      </c>
      <c r="N277" s="117">
        <f t="shared" si="646"/>
      </c>
      <c r="O277" s="118">
        <f t="shared" si="556"/>
      </c>
      <c r="P277" s="119">
        <f t="shared" si="586"/>
      </c>
      <c r="Q277" s="119">
        <f t="shared" si="766"/>
      </c>
      <c r="R277" s="119">
        <f t="shared" si="796"/>
      </c>
      <c r="S277" s="120">
        <f t="shared" si="676"/>
      </c>
      <c r="T277" s="121">
        <f t="shared" si="706"/>
      </c>
      <c r="U277" s="119">
        <f t="shared" si="985"/>
      </c>
      <c r="V277" s="122">
        <f t="shared" si="736"/>
      </c>
      <c r="W277" s="122">
        <f t="shared" si="1015"/>
      </c>
      <c r="X277" s="119">
        <f t="shared" si="826"/>
      </c>
      <c r="Y277" s="123">
        <f t="shared" si="891"/>
      </c>
      <c r="Z277" s="123">
        <v>2</v>
      </c>
      <c r="AA277" s="123">
        <v>5</v>
      </c>
      <c r="AB277" s="124">
        <v>9925.920000000006</v>
      </c>
      <c r="AC277" s="124">
        <v>0</v>
      </c>
      <c r="AD277" s="120">
        <f t="shared" si="10"/>
      </c>
      <c r="AE277" s="125" t="s">
        <v>121</v>
      </c>
      <c r="AF277" s="126" t="s">
        <v>137</v>
      </c>
      <c r="AG277" s="127">
        <v>4</v>
      </c>
      <c r="AH277" s="128">
        <v>74958</v>
      </c>
      <c r="AI277" s="128">
        <v>1067</v>
      </c>
      <c r="AJ277" s="128">
        <v>1289</v>
      </c>
      <c r="AK277" s="129">
        <v>176</v>
      </c>
      <c r="AL277" s="129">
        <v>213</v>
      </c>
    </row>
    <row r="278">
      <c r="A278" s="108"/>
      <c r="B278" s="109" t="s">
        <v>139</v>
      </c>
      <c r="C278" s="141" t="s">
        <v>142</v>
      </c>
      <c r="D278" s="111">
        <f t="shared" si="333"/>
      </c>
      <c r="E278" s="110">
        <v>1534.33</v>
      </c>
      <c r="F278" s="140">
        <v>7838.66</v>
      </c>
      <c r="G278" s="113">
        <v>0</v>
      </c>
      <c r="H278" s="113">
        <v>0</v>
      </c>
      <c r="I278" s="113">
        <f t="shared" si="462"/>
      </c>
      <c r="J278" s="160">
        <v>599</v>
      </c>
      <c r="K278" s="115">
        <f t="shared" si="75"/>
      </c>
      <c r="L278" s="115">
        <f t="shared" si="204"/>
      </c>
      <c r="M278" s="116">
        <f t="shared" si="616"/>
      </c>
      <c r="N278" s="117">
        <f t="shared" si="646"/>
      </c>
      <c r="O278" s="118">
        <f t="shared" si="556"/>
      </c>
      <c r="P278" s="119">
        <f t="shared" si="586"/>
      </c>
      <c r="Q278" s="119">
        <f t="shared" si="766"/>
      </c>
      <c r="R278" s="119">
        <f t="shared" si="796"/>
      </c>
      <c r="S278" s="120">
        <f t="shared" si="676"/>
      </c>
      <c r="T278" s="121">
        <f t="shared" si="706"/>
      </c>
      <c r="U278" s="119">
        <f t="shared" si="985"/>
      </c>
      <c r="V278" s="122">
        <f t="shared" si="736"/>
      </c>
      <c r="W278" s="122">
        <f t="shared" si="1015"/>
      </c>
      <c r="X278" s="119">
        <f t="shared" si="826"/>
      </c>
      <c r="Y278" s="123">
        <f t="shared" si="891"/>
      </c>
      <c r="Z278" s="123">
        <v>7</v>
      </c>
      <c r="AA278" s="123">
        <v>7</v>
      </c>
      <c r="AB278" s="124">
        <v>2633.040000000001</v>
      </c>
      <c r="AC278" s="124">
        <v>4936.35</v>
      </c>
      <c r="AD278" s="120">
        <f t="shared" si="10"/>
      </c>
      <c r="AE278" s="125" t="s">
        <v>121</v>
      </c>
      <c r="AF278" s="126" t="s">
        <v>137</v>
      </c>
      <c r="AG278" s="127">
        <v>5</v>
      </c>
      <c r="AH278" s="128">
        <v>108397</v>
      </c>
      <c r="AI278" s="128">
        <v>1575</v>
      </c>
      <c r="AJ278" s="128">
        <v>1829</v>
      </c>
      <c r="AK278" s="129">
        <v>275</v>
      </c>
      <c r="AL278" s="129">
        <v>307</v>
      </c>
    </row>
    <row r="279">
      <c r="A279" s="108"/>
      <c r="B279" s="130" t="s">
        <v>127</v>
      </c>
      <c r="C279" s="131">
        <v>5</v>
      </c>
      <c r="D279" s="132">
        <f>SUM(D274:D278)</f>
      </c>
      <c r="E279" s="132">
        <f>SUM(E274:E278)</f>
      </c>
      <c r="F279" s="132">
        <f>SUM(F274:F278)</f>
      </c>
      <c r="G279" s="132">
        <f>SUM(G274:G278)</f>
      </c>
      <c r="H279" s="132">
        <f>SUM(H274:H278)</f>
      </c>
      <c r="I279" s="132">
        <f>SUM(I274:I278)</f>
      </c>
      <c r="J279" s="132">
        <f>SUM(J274:J278)</f>
      </c>
      <c r="K279" s="132">
        <f>SUM(K274:K278)</f>
      </c>
      <c r="L279" s="132">
        <f>SUM(L274:L278)</f>
      </c>
      <c r="M279" s="133">
        <f t="shared" si="616"/>
      </c>
      <c r="N279" s="134">
        <f t="shared" si="646"/>
      </c>
      <c r="O279" s="134">
        <f t="shared" si="556"/>
      </c>
      <c r="P279" s="135">
        <f t="shared" si="586"/>
      </c>
      <c r="Q279" s="135">
        <f t="shared" si="766"/>
      </c>
      <c r="R279" s="135">
        <f t="shared" si="796"/>
      </c>
      <c r="S279" s="136">
        <f t="shared" si="676"/>
      </c>
      <c r="T279" s="136">
        <f t="shared" si="706"/>
      </c>
      <c r="U279" s="135">
        <f t="shared" si="985"/>
      </c>
      <c r="V279" s="136">
        <f t="shared" si="736"/>
      </c>
      <c r="W279" s="136">
        <f t="shared" si="1015"/>
      </c>
      <c r="X279" s="135">
        <f t="shared" si="826"/>
      </c>
      <c r="Y279" s="132">
        <f>SUM(Y274:Y278)</f>
      </c>
      <c r="Z279" s="132">
        <f>SUM(Z274:Z278)</f>
      </c>
      <c r="AA279" s="132">
        <f>SUM(AA274:AA278)</f>
      </c>
      <c r="AB279" s="132">
        <f>SUM(AB274:AB278)</f>
      </c>
      <c r="AC279" s="132">
        <f>SUM(AC274:AC278)</f>
      </c>
      <c r="AD279" s="137">
        <f t="shared" si="10"/>
      </c>
      <c r="AE279" s="138"/>
      <c r="AF279" s="139"/>
      <c r="AG279" s="132">
        <f>SUM(AG274:AG278)</f>
      </c>
      <c r="AH279" s="132">
        <f>SUM(AH274:AH278)</f>
      </c>
      <c r="AI279" s="132">
        <f>SUM(AI274:AI278)</f>
      </c>
      <c r="AJ279" s="132">
        <f>SUM(AJ274:AJ278)</f>
      </c>
      <c r="AK279" s="132">
        <f>SUM(AK274:AK278)</f>
      </c>
      <c r="AL279" s="132">
        <f>SUM(AL274:AL278)</f>
      </c>
    </row>
    <row r="280">
      <c r="A280" s="108"/>
      <c r="B280" s="109" t="s">
        <v>133</v>
      </c>
      <c r="C280" s="141" t="s">
        <v>144</v>
      </c>
      <c r="D280" s="143">
        <f t="shared" ref="D280:D284" si="334">E280+F280+G280+H280</f>
      </c>
      <c r="E280" s="144">
        <v>68.36</v>
      </c>
      <c r="F280" s="145">
        <v>7074.65</v>
      </c>
      <c r="G280" s="113">
        <v>0</v>
      </c>
      <c r="H280" s="113">
        <v>0</v>
      </c>
      <c r="I280" s="113">
        <f t="shared" ref="I280:I284" si="463">AB280+AC280</f>
      </c>
      <c r="J280" s="114">
        <v>0</v>
      </c>
      <c r="K280" s="115">
        <f t="shared" ref="K280:K284" si="76">I280-J280</f>
      </c>
      <c r="L280" s="115">
        <f t="shared" ref="L280:L284" si="205">(I280-AC280)/12+AC280</f>
      </c>
      <c r="M280" s="116">
        <f t="shared" si="616"/>
      </c>
      <c r="N280" s="117">
        <f t="shared" si="646"/>
      </c>
      <c r="O280" s="118">
        <f t="shared" si="556"/>
      </c>
      <c r="P280" s="119">
        <f t="shared" si="586"/>
      </c>
      <c r="Q280" s="119">
        <f t="shared" si="766"/>
      </c>
      <c r="R280" s="119">
        <f t="shared" si="796"/>
      </c>
      <c r="S280" s="120">
        <f t="shared" si="676"/>
      </c>
      <c r="T280" s="121">
        <f t="shared" si="706"/>
      </c>
      <c r="U280" s="119">
        <f t="shared" si="985"/>
      </c>
      <c r="V280" s="122">
        <f t="shared" si="736"/>
      </c>
      <c r="W280" s="122">
        <f t="shared" si="1015"/>
      </c>
      <c r="X280" s="119">
        <f t="shared" si="826"/>
      </c>
      <c r="Y280" s="123">
        <f t="shared" ref="Y280:Y284" si="892">Z280+AA280</f>
      </c>
      <c r="Z280" s="123">
        <v>7</v>
      </c>
      <c r="AA280" s="123">
        <v>5</v>
      </c>
      <c r="AB280" s="124">
        <v>3898.80000000001</v>
      </c>
      <c r="AC280" s="124">
        <v>1560.8500000000022</v>
      </c>
      <c r="AD280" s="120">
        <f t="shared" si="10"/>
      </c>
      <c r="AE280" s="125" t="s">
        <v>121</v>
      </c>
      <c r="AF280" s="126" t="s">
        <v>137</v>
      </c>
      <c r="AG280" s="127">
        <v>7</v>
      </c>
      <c r="AH280" s="127">
        <v>90226</v>
      </c>
      <c r="AI280" s="128">
        <v>944</v>
      </c>
      <c r="AJ280" s="128">
        <v>978</v>
      </c>
      <c r="AK280" s="127">
        <v>188</v>
      </c>
      <c r="AL280" s="129">
        <v>242</v>
      </c>
    </row>
    <row r="281">
      <c r="A281" s="108"/>
      <c r="B281" s="109" t="s">
        <v>133</v>
      </c>
      <c r="C281" s="110" t="s">
        <v>145</v>
      </c>
      <c r="D281" s="143">
        <f t="shared" si="334"/>
      </c>
      <c r="E281" s="147">
        <v>13.27</v>
      </c>
      <c r="F281" s="145">
        <v>5770.81</v>
      </c>
      <c r="G281" s="113">
        <v>0</v>
      </c>
      <c r="H281" s="113">
        <v>0</v>
      </c>
      <c r="I281" s="113">
        <f t="shared" si="463"/>
      </c>
      <c r="J281" s="114">
        <v>2946.48</v>
      </c>
      <c r="K281" s="115">
        <f t="shared" si="76"/>
      </c>
      <c r="L281" s="115">
        <f t="shared" si="205"/>
      </c>
      <c r="M281" s="116">
        <f t="shared" si="616"/>
      </c>
      <c r="N281" s="117">
        <f t="shared" si="646"/>
      </c>
      <c r="O281" s="118">
        <f t="shared" si="556"/>
      </c>
      <c r="P281" s="119">
        <f t="shared" si="586"/>
      </c>
      <c r="Q281" s="119">
        <f t="shared" si="766"/>
      </c>
      <c r="R281" s="119">
        <f t="shared" si="796"/>
      </c>
      <c r="S281" s="120">
        <f t="shared" si="676"/>
      </c>
      <c r="T281" s="121">
        <f t="shared" si="706"/>
      </c>
      <c r="U281" s="119">
        <f t="shared" si="985"/>
      </c>
      <c r="V281" s="122">
        <f t="shared" si="736"/>
      </c>
      <c r="W281" s="122">
        <f t="shared" si="1015"/>
      </c>
      <c r="X281" s="119">
        <f t="shared" si="826"/>
      </c>
      <c r="Y281" s="123">
        <f t="shared" si="892"/>
      </c>
      <c r="Z281" s="123">
        <v>4</v>
      </c>
      <c r="AA281" s="123">
        <v>7</v>
      </c>
      <c r="AB281" s="124">
        <v>12328.07999999998</v>
      </c>
      <c r="AC281" s="124">
        <v>0</v>
      </c>
      <c r="AD281" s="120">
        <f t="shared" si="10"/>
      </c>
      <c r="AE281" s="125" t="s">
        <v>121</v>
      </c>
      <c r="AF281" s="126" t="s">
        <v>137</v>
      </c>
      <c r="AG281" s="127">
        <v>5</v>
      </c>
      <c r="AH281" s="128">
        <v>71327</v>
      </c>
      <c r="AI281" s="128">
        <v>725</v>
      </c>
      <c r="AJ281" s="128">
        <v>749</v>
      </c>
      <c r="AK281" s="129">
        <v>157</v>
      </c>
      <c r="AL281" s="129">
        <v>193</v>
      </c>
    </row>
    <row r="282">
      <c r="A282" s="108"/>
      <c r="B282" s="109" t="s">
        <v>133</v>
      </c>
      <c r="C282" s="141" t="s">
        <v>146</v>
      </c>
      <c r="D282" s="143">
        <f t="shared" si="334"/>
      </c>
      <c r="E282" s="147">
        <v>2081.62</v>
      </c>
      <c r="F282" s="147">
        <v>5854.76</v>
      </c>
      <c r="G282" s="113">
        <v>0</v>
      </c>
      <c r="H282" s="113">
        <v>0</v>
      </c>
      <c r="I282" s="113">
        <f t="shared" si="463"/>
      </c>
      <c r="J282" s="114">
        <v>4691.52</v>
      </c>
      <c r="K282" s="115">
        <f t="shared" si="76"/>
      </c>
      <c r="L282" s="115">
        <f t="shared" si="205"/>
      </c>
      <c r="M282" s="116">
        <f t="shared" si="616"/>
      </c>
      <c r="N282" s="117">
        <f t="shared" si="646"/>
      </c>
      <c r="O282" s="118">
        <f t="shared" si="556"/>
      </c>
      <c r="P282" s="119">
        <f t="shared" si="586"/>
      </c>
      <c r="Q282" s="119">
        <f t="shared" si="766"/>
      </c>
      <c r="R282" s="119">
        <f t="shared" si="796"/>
      </c>
      <c r="S282" s="120">
        <f t="shared" si="676"/>
      </c>
      <c r="T282" s="121">
        <f t="shared" si="706"/>
      </c>
      <c r="U282" s="119">
        <f t="shared" si="985"/>
      </c>
      <c r="V282" s="122">
        <f t="shared" si="736"/>
      </c>
      <c r="W282" s="122">
        <f t="shared" si="1015"/>
      </c>
      <c r="X282" s="119">
        <f t="shared" si="826"/>
      </c>
      <c r="Y282" s="123">
        <f t="shared" si="892"/>
      </c>
      <c r="Z282" s="123">
        <v>5</v>
      </c>
      <c r="AA282" s="123">
        <v>6</v>
      </c>
      <c r="AB282" s="124">
        <v>9545.04000000003</v>
      </c>
      <c r="AC282" s="124">
        <v>656</v>
      </c>
      <c r="AD282" s="120">
        <f t="shared" si="10"/>
      </c>
      <c r="AE282" s="125" t="s">
        <v>121</v>
      </c>
      <c r="AF282" s="126" t="s">
        <v>137</v>
      </c>
      <c r="AG282" s="129">
        <v>6</v>
      </c>
      <c r="AH282" s="128">
        <v>100565</v>
      </c>
      <c r="AI282" s="128">
        <v>1489</v>
      </c>
      <c r="AJ282" s="128">
        <v>1801</v>
      </c>
      <c r="AK282" s="129">
        <v>223</v>
      </c>
      <c r="AL282" s="129">
        <v>232</v>
      </c>
    </row>
    <row r="283">
      <c r="A283" s="108"/>
      <c r="B283" s="109" t="s">
        <v>133</v>
      </c>
      <c r="C283" s="110" t="s">
        <v>147</v>
      </c>
      <c r="D283" s="143">
        <f t="shared" si="334"/>
      </c>
      <c r="E283" s="147">
        <v>817.48</v>
      </c>
      <c r="F283" s="145">
        <v>7079.13</v>
      </c>
      <c r="G283" s="113">
        <v>0</v>
      </c>
      <c r="H283" s="113">
        <v>0</v>
      </c>
      <c r="I283" s="113">
        <f t="shared" si="463"/>
      </c>
      <c r="J283" s="114">
        <v>0</v>
      </c>
      <c r="K283" s="115">
        <f t="shared" si="76"/>
      </c>
      <c r="L283" s="115">
        <f t="shared" si="205"/>
      </c>
      <c r="M283" s="116">
        <f t="shared" si="616"/>
      </c>
      <c r="N283" s="117">
        <f t="shared" si="646"/>
      </c>
      <c r="O283" s="118">
        <f t="shared" si="556"/>
      </c>
      <c r="P283" s="119">
        <f t="shared" si="586"/>
      </c>
      <c r="Q283" s="119">
        <f t="shared" si="766"/>
      </c>
      <c r="R283" s="119">
        <f t="shared" si="796"/>
      </c>
      <c r="S283" s="120">
        <f t="shared" si="676"/>
      </c>
      <c r="T283" s="121">
        <f t="shared" si="706"/>
      </c>
      <c r="U283" s="119">
        <f t="shared" si="985"/>
      </c>
      <c r="V283" s="122">
        <f t="shared" si="736"/>
      </c>
      <c r="W283" s="122">
        <f t="shared" si="1015"/>
      </c>
      <c r="X283" s="119">
        <f t="shared" si="826"/>
      </c>
      <c r="Y283" s="123">
        <f t="shared" si="892"/>
      </c>
      <c r="Z283" s="123">
        <v>6</v>
      </c>
      <c r="AA283" s="123">
        <v>5</v>
      </c>
      <c r="AB283" s="124">
        <v>8523.36</v>
      </c>
      <c r="AC283" s="124">
        <v>0</v>
      </c>
      <c r="AD283" s="120">
        <f t="shared" si="10"/>
      </c>
      <c r="AE283" s="125" t="s">
        <v>121</v>
      </c>
      <c r="AF283" s="126" t="s">
        <v>137</v>
      </c>
      <c r="AG283" s="127">
        <v>5</v>
      </c>
      <c r="AH283" s="128">
        <v>105714</v>
      </c>
      <c r="AI283" s="128">
        <v>1322</v>
      </c>
      <c r="AJ283" s="128">
        <v>1604</v>
      </c>
      <c r="AK283" s="129">
        <v>187</v>
      </c>
      <c r="AL283" s="129">
        <v>212</v>
      </c>
    </row>
    <row r="284">
      <c r="A284" s="108"/>
      <c r="B284" s="109" t="s">
        <v>133</v>
      </c>
      <c r="C284" s="110" t="s">
        <v>148</v>
      </c>
      <c r="D284" s="143">
        <f t="shared" si="334"/>
      </c>
      <c r="E284" s="147">
        <v>500.5</v>
      </c>
      <c r="F284" s="145">
        <v>2763.12</v>
      </c>
      <c r="G284" s="113">
        <v>0</v>
      </c>
      <c r="H284" s="113">
        <v>0</v>
      </c>
      <c r="I284" s="113">
        <f t="shared" si="463"/>
      </c>
      <c r="J284" s="114">
        <f>460.68+1856.04</f>
      </c>
      <c r="K284" s="115">
        <f t="shared" si="76"/>
      </c>
      <c r="L284" s="115">
        <f t="shared" si="205"/>
      </c>
      <c r="M284" s="116">
        <f t="shared" si="616"/>
      </c>
      <c r="N284" s="117">
        <f t="shared" si="646"/>
      </c>
      <c r="O284" s="118">
        <f t="shared" si="556"/>
      </c>
      <c r="P284" s="119">
        <f t="shared" si="586"/>
      </c>
      <c r="Q284" s="119">
        <f t="shared" si="766"/>
      </c>
      <c r="R284" s="119">
        <f t="shared" si="796"/>
      </c>
      <c r="S284" s="120">
        <f t="shared" si="676"/>
      </c>
      <c r="T284" s="121">
        <f t="shared" si="706"/>
      </c>
      <c r="U284" s="119">
        <f t="shared" si="985"/>
      </c>
      <c r="V284" s="122">
        <f t="shared" si="736"/>
      </c>
      <c r="W284" s="122">
        <f t="shared" si="1015"/>
      </c>
      <c r="X284" s="119">
        <f t="shared" si="826"/>
      </c>
      <c r="Y284" s="123">
        <f t="shared" si="892"/>
      </c>
      <c r="Z284" s="123">
        <v>2</v>
      </c>
      <c r="AA284" s="123">
        <v>4</v>
      </c>
      <c r="AB284" s="124">
        <v>9023.16</v>
      </c>
      <c r="AC284" s="124">
        <v>0</v>
      </c>
      <c r="AD284" s="120">
        <f t="shared" si="10"/>
      </c>
      <c r="AE284" s="125" t="s">
        <v>121</v>
      </c>
      <c r="AF284" s="126" t="s">
        <v>137</v>
      </c>
      <c r="AG284" s="127">
        <v>3</v>
      </c>
      <c r="AH284" s="128">
        <v>35946</v>
      </c>
      <c r="AI284" s="128">
        <v>705</v>
      </c>
      <c r="AJ284" s="128">
        <v>896</v>
      </c>
      <c r="AK284" s="129">
        <v>95</v>
      </c>
      <c r="AL284" s="129">
        <v>80</v>
      </c>
    </row>
    <row r="285">
      <c r="A285" s="108"/>
      <c r="B285" s="130" t="s">
        <v>127</v>
      </c>
      <c r="C285" s="131">
        <v>5</v>
      </c>
      <c r="D285" s="132">
        <f>SUM(D280:D284)</f>
      </c>
      <c r="E285" s="132">
        <f>SUM(E280:E284)</f>
      </c>
      <c r="F285" s="132">
        <f>SUM(F280:F284)</f>
      </c>
      <c r="G285" s="132">
        <f>SUM(G280:G284)</f>
      </c>
      <c r="H285" s="132">
        <f>SUM(H280:H284)</f>
      </c>
      <c r="I285" s="132">
        <f>SUM(I280:I284)</f>
      </c>
      <c r="J285" s="132">
        <f>SUM(J280:J284)</f>
      </c>
      <c r="K285" s="132">
        <f>SUM(K280:K284)</f>
      </c>
      <c r="L285" s="132">
        <f>SUM(L280:L284)</f>
      </c>
      <c r="M285" s="133">
        <f t="shared" si="616"/>
      </c>
      <c r="N285" s="134">
        <f t="shared" si="646"/>
      </c>
      <c r="O285" s="134">
        <f t="shared" si="556"/>
      </c>
      <c r="P285" s="135">
        <f t="shared" si="586"/>
      </c>
      <c r="Q285" s="135">
        <f t="shared" si="766"/>
      </c>
      <c r="R285" s="135">
        <f t="shared" si="796"/>
      </c>
      <c r="S285" s="136">
        <f t="shared" si="676"/>
      </c>
      <c r="T285" s="136">
        <f t="shared" si="706"/>
      </c>
      <c r="U285" s="135">
        <f t="shared" si="985"/>
      </c>
      <c r="V285" s="136">
        <f t="shared" si="736"/>
      </c>
      <c r="W285" s="136">
        <f t="shared" si="1015"/>
      </c>
      <c r="X285" s="135">
        <f t="shared" si="826"/>
      </c>
      <c r="Y285" s="132">
        <f>SUM(Y280:Y284)</f>
      </c>
      <c r="Z285" s="132">
        <f>SUM(Z280:Z284)</f>
      </c>
      <c r="AA285" s="132">
        <f>SUM(AA280:AA284)</f>
      </c>
      <c r="AB285" s="132">
        <f>SUM(AB280:AB284)</f>
      </c>
      <c r="AC285" s="132">
        <f>SUM(AC280:AC284)</f>
      </c>
      <c r="AD285" s="150">
        <f t="shared" si="10"/>
      </c>
      <c r="AE285" s="151"/>
      <c r="AF285" s="139"/>
      <c r="AG285" s="132">
        <f>SUM(AG280:AG284)</f>
      </c>
      <c r="AH285" s="132">
        <f>SUM(AH280:AH284)</f>
      </c>
      <c r="AI285" s="132">
        <f>SUM(AI280:AI284)</f>
      </c>
      <c r="AJ285" s="132">
        <f>SUM(AJ280:AJ284)</f>
      </c>
      <c r="AK285" s="132">
        <f>SUM(AK280:AK284)</f>
      </c>
      <c r="AL285" s="132">
        <f>SUM(AL280:AL284)</f>
      </c>
    </row>
    <row r="286">
      <c r="A286" s="108"/>
      <c r="B286" s="152" t="s">
        <v>127</v>
      </c>
      <c r="C286" s="153">
        <f>C267+C273+C279+C285</f>
      </c>
      <c r="D286" s="153">
        <f>D267+D273+D279+D285</f>
      </c>
      <c r="E286" s="153">
        <f>E267+E273+E279+E285</f>
      </c>
      <c r="F286" s="153">
        <f>F267+F273+F279+F285</f>
      </c>
      <c r="G286" s="153">
        <f>G267+G273+G279+G285</f>
      </c>
      <c r="H286" s="153">
        <f>H267+H273+H279+H285</f>
      </c>
      <c r="I286" s="153">
        <f>I267+I273+I279+I285</f>
      </c>
      <c r="J286" s="153">
        <f>J267+J273+J279+J285</f>
      </c>
      <c r="K286" s="153">
        <f>K267+K273+K279+K285</f>
      </c>
      <c r="L286" s="153">
        <f>L267+L273+L279+L285</f>
      </c>
      <c r="M286" s="154">
        <f t="shared" si="616"/>
      </c>
      <c r="N286" s="154">
        <f t="shared" si="646"/>
      </c>
      <c r="O286" s="154">
        <f t="shared" si="556"/>
      </c>
      <c r="P286" s="154">
        <f t="shared" si="586"/>
      </c>
      <c r="Q286" s="154">
        <f t="shared" si="766"/>
      </c>
      <c r="R286" s="154">
        <f t="shared" si="796"/>
      </c>
      <c r="S286" s="155">
        <f t="shared" si="676"/>
      </c>
      <c r="T286" s="155">
        <f t="shared" si="706"/>
      </c>
      <c r="U286" s="154">
        <f t="shared" si="985"/>
      </c>
      <c r="V286" s="155">
        <f t="shared" si="736"/>
      </c>
      <c r="W286" s="155">
        <f t="shared" si="1015"/>
      </c>
      <c r="X286" s="154">
        <f t="shared" si="826"/>
      </c>
      <c r="Y286" s="156">
        <f>Y267+Y273+Y279+Y285</f>
      </c>
      <c r="Z286" s="156">
        <f>Z267+Z273+Z279+Z285</f>
      </c>
      <c r="AA286" s="156">
        <f>AA267+AA273+AA279+AA285</f>
      </c>
      <c r="AB286" s="156">
        <f>AB267+AB273+AB279+AB285</f>
      </c>
      <c r="AC286" s="156">
        <f>AC267+AC273+AC279+AC285</f>
      </c>
      <c r="AD286" s="157">
        <f>AD267+AD273+AD279+AD285</f>
      </c>
      <c r="AE286" s="158"/>
      <c r="AF286" s="159"/>
      <c r="AG286" s="153">
        <f>AG267+AG273+AG279+AG285</f>
      </c>
      <c r="AH286" s="153">
        <f>AH267+AH273+AH279+AH285</f>
      </c>
      <c r="AI286" s="153">
        <f>AI267+AI273+AI279+AI285</f>
      </c>
      <c r="AJ286" s="153">
        <f>AJ267+AJ273+AJ279+AJ285</f>
      </c>
      <c r="AK286" s="153">
        <f>AK267+AK273+AK279+AK285</f>
      </c>
      <c r="AL286" s="153">
        <f>AL267+AL273+AL279+AL285</f>
      </c>
    </row>
    <row r="287">
      <c r="A287" s="94" t="s">
        <v>81</v>
      </c>
      <c r="B287" s="95" t="s">
        <v>82</v>
      </c>
      <c r="C287" s="95" t="s">
        <v>83</v>
      </c>
      <c r="D287" s="96" t="s">
        <v>84</v>
      </c>
      <c r="E287" s="164" t="s">
        <v>85</v>
      </c>
      <c r="F287" s="95" t="s">
        <v>86</v>
      </c>
      <c r="G287" s="97" t="s">
        <v>87</v>
      </c>
      <c r="H287" s="97" t="s">
        <v>88</v>
      </c>
      <c r="I287" s="96" t="s">
        <v>89</v>
      </c>
      <c r="J287" s="98" t="s">
        <v>90</v>
      </c>
      <c r="K287" s="99" t="s">
        <v>91</v>
      </c>
      <c r="L287" s="99" t="s">
        <v>92</v>
      </c>
      <c r="M287" s="100" t="s">
        <v>93</v>
      </c>
      <c r="N287" s="99" t="s">
        <v>94</v>
      </c>
      <c r="O287" s="95" t="s">
        <v>95</v>
      </c>
      <c r="P287" s="100" t="s">
        <v>96</v>
      </c>
      <c r="Q287" s="101" t="s">
        <v>97</v>
      </c>
      <c r="R287" s="101" t="s">
        <v>98</v>
      </c>
      <c r="S287" s="96" t="s">
        <v>99</v>
      </c>
      <c r="T287" s="102" t="s">
        <v>100</v>
      </c>
      <c r="U287" s="100" t="s">
        <v>101</v>
      </c>
      <c r="V287" s="103" t="s">
        <v>102</v>
      </c>
      <c r="W287" s="104" t="s">
        <v>103</v>
      </c>
      <c r="X287" s="100" t="s">
        <v>104</v>
      </c>
      <c r="Y287" s="105" t="s">
        <v>105</v>
      </c>
      <c r="Z287" s="106" t="s">
        <v>106</v>
      </c>
      <c r="AA287" s="105" t="s">
        <v>107</v>
      </c>
      <c r="AB287" s="107" t="s">
        <v>108</v>
      </c>
      <c r="AC287" s="107" t="s">
        <v>109</v>
      </c>
      <c r="AD287" s="99" t="s">
        <v>110</v>
      </c>
      <c r="AE287" s="98" t="s">
        <v>111</v>
      </c>
      <c r="AF287" s="99" t="s">
        <v>112</v>
      </c>
      <c r="AG287" s="98" t="s">
        <v>113</v>
      </c>
      <c r="AH287" s="98" t="s">
        <v>114</v>
      </c>
      <c r="AI287" s="99" t="s">
        <v>115</v>
      </c>
      <c r="AJ287" s="98" t="s">
        <v>116</v>
      </c>
      <c r="AK287" s="99" t="s">
        <v>117</v>
      </c>
      <c r="AL287" s="98" t="s">
        <v>118</v>
      </c>
    </row>
    <row r="288">
      <c r="A288" s="108">
        <v>46277</v>
      </c>
      <c r="B288" s="109" t="s">
        <v>143</v>
      </c>
      <c r="C288" s="110" t="s">
        <v>120</v>
      </c>
      <c r="D288" s="143">
        <f t="shared" ref="D288:D292" si="335">E288+F288+G288+H288</f>
      </c>
      <c r="E288" s="144">
        <v>1888.24</v>
      </c>
      <c r="F288" s="146">
        <v>4582.35</v>
      </c>
      <c r="G288" s="113">
        <v>0</v>
      </c>
      <c r="H288" s="113">
        <v>0</v>
      </c>
      <c r="I288" s="113">
        <f t="shared" ref="I288:I292" si="464">AB288+AC288</f>
      </c>
      <c r="J288" s="114">
        <v>13884.48</v>
      </c>
      <c r="K288" s="115">
        <f t="shared" ref="K288:K292" si="77">I288-J288</f>
      </c>
      <c r="L288" s="115">
        <f t="shared" ref="L288:L292" si="206">(I288-AC288)/12+AC288</f>
      </c>
      <c r="M288" s="116">
        <f t="shared" ref="M288:M312" si="617">I288/D288</f>
      </c>
      <c r="N288" s="117">
        <f t="shared" ref="N288:N312" si="647">(I288-J288)/D288</f>
      </c>
      <c r="O288" s="118">
        <f t="shared" ref="O288:O312" si="557">(AC288+AB288/12)/D288</f>
      </c>
      <c r="P288" s="119">
        <f t="shared" ref="P288:P312" si="587">I288/AA288</f>
      </c>
      <c r="Q288" s="119">
        <f t="shared" ref="Q288:Q312" si="767">D288/AA288</f>
      </c>
      <c r="R288" s="119">
        <f t="shared" ref="R288:R312" si="797">D288/AG288</f>
      </c>
      <c r="S288" s="120">
        <f t="shared" ref="S288:S312" si="677">AA288/Y288</f>
      </c>
      <c r="T288" s="121">
        <f t="shared" ref="T288:T312" si="707">AI288/AH288</f>
      </c>
      <c r="U288" s="119">
        <f t="shared" ref="U288:U312" si="986">D288/AJ288</f>
      </c>
      <c r="V288" s="122">
        <f t="shared" ref="V288:V312" si="737">AK288/AJ288</f>
      </c>
      <c r="W288" s="122">
        <f t="shared" ref="W288:W312" si="1016">AL288/AJ288</f>
      </c>
      <c r="X288" s="119">
        <f t="shared" ref="X288:X312" si="827">D288/AL288</f>
      </c>
      <c r="Y288" s="123">
        <f t="shared" ref="Y288:Y292" si="893">Z288+AA288</f>
      </c>
      <c r="Z288" s="123">
        <v>3</v>
      </c>
      <c r="AA288" s="123">
        <v>7</v>
      </c>
      <c r="AB288" s="124">
        <v>18853.56</v>
      </c>
      <c r="AC288" s="124">
        <v>0</v>
      </c>
      <c r="AD288" s="120">
        <f t="shared" ref="AD288:AD311" si="11">AC288/I288</f>
      </c>
      <c r="AE288" s="125" t="s">
        <v>121</v>
      </c>
      <c r="AF288" s="126" t="s">
        <v>149</v>
      </c>
      <c r="AG288" s="127">
        <v>7</v>
      </c>
      <c r="AH288" s="127">
        <v>62961</v>
      </c>
      <c r="AI288" s="128">
        <v>2191</v>
      </c>
      <c r="AJ288" s="128">
        <v>2786</v>
      </c>
      <c r="AK288" s="127">
        <v>244</v>
      </c>
      <c r="AL288" s="129">
        <v>197</v>
      </c>
    </row>
    <row r="289">
      <c r="A289" s="108"/>
      <c r="B289" s="109" t="s">
        <v>143</v>
      </c>
      <c r="C289" s="110" t="s">
        <v>123</v>
      </c>
      <c r="D289" s="143">
        <f t="shared" si="335"/>
      </c>
      <c r="E289" s="147">
        <v>2975.09</v>
      </c>
      <c r="F289" s="146">
        <v>5919</v>
      </c>
      <c r="G289" s="113">
        <v>0</v>
      </c>
      <c r="H289" s="113">
        <v>0</v>
      </c>
      <c r="I289" s="113">
        <f t="shared" si="464"/>
      </c>
      <c r="J289" s="114">
        <v>6881.5</v>
      </c>
      <c r="K289" s="115">
        <f t="shared" si="77"/>
      </c>
      <c r="L289" s="115">
        <f t="shared" si="206"/>
      </c>
      <c r="M289" s="116">
        <f t="shared" si="617"/>
      </c>
      <c r="N289" s="117">
        <f t="shared" si="647"/>
      </c>
      <c r="O289" s="118">
        <f t="shared" si="557"/>
      </c>
      <c r="P289" s="119">
        <f t="shared" si="587"/>
      </c>
      <c r="Q289" s="119">
        <f t="shared" si="767"/>
      </c>
      <c r="R289" s="119">
        <f t="shared" si="797"/>
      </c>
      <c r="S289" s="120">
        <f t="shared" si="677"/>
      </c>
      <c r="T289" s="121">
        <f t="shared" si="707"/>
      </c>
      <c r="U289" s="119">
        <f t="shared" si="986"/>
      </c>
      <c r="V289" s="122">
        <f t="shared" si="737"/>
      </c>
      <c r="W289" s="122">
        <f t="shared" si="1016"/>
      </c>
      <c r="X289" s="119">
        <f t="shared" si="827"/>
      </c>
      <c r="Y289" s="123">
        <f t="shared" si="893"/>
      </c>
      <c r="Z289" s="123">
        <v>9</v>
      </c>
      <c r="AA289" s="123">
        <v>10</v>
      </c>
      <c r="AB289" s="124">
        <v>20093.399999999998</v>
      </c>
      <c r="AC289" s="124">
        <v>2156.5</v>
      </c>
      <c r="AD289" s="120">
        <f t="shared" si="11"/>
      </c>
      <c r="AE289" s="125" t="s">
        <v>121</v>
      </c>
      <c r="AF289" s="126" t="s">
        <v>149</v>
      </c>
      <c r="AG289" s="127">
        <v>9</v>
      </c>
      <c r="AH289" s="128">
        <v>83459</v>
      </c>
      <c r="AI289" s="128">
        <v>2521</v>
      </c>
      <c r="AJ289" s="128">
        <v>3224</v>
      </c>
      <c r="AK289" s="129">
        <v>419</v>
      </c>
      <c r="AL289" s="129">
        <v>330</v>
      </c>
    </row>
    <row r="290">
      <c r="A290" s="108"/>
      <c r="B290" s="109" t="s">
        <v>143</v>
      </c>
      <c r="C290" s="110" t="s">
        <v>124</v>
      </c>
      <c r="D290" s="111">
        <f t="shared" si="335"/>
      </c>
      <c r="E290" s="165">
        <v>2174.64</v>
      </c>
      <c r="F290" s="110">
        <v>4551</v>
      </c>
      <c r="G290" s="113">
        <v>0</v>
      </c>
      <c r="H290" s="113">
        <v>0</v>
      </c>
      <c r="I290" s="113">
        <f t="shared" si="464"/>
      </c>
      <c r="J290" s="114">
        <v>1869.88</v>
      </c>
      <c r="K290" s="115">
        <f t="shared" si="77"/>
      </c>
      <c r="L290" s="115">
        <f t="shared" si="206"/>
      </c>
      <c r="M290" s="116">
        <f t="shared" si="617"/>
      </c>
      <c r="N290" s="117">
        <f t="shared" si="647"/>
      </c>
      <c r="O290" s="118">
        <f t="shared" si="557"/>
      </c>
      <c r="P290" s="119">
        <f t="shared" si="587"/>
      </c>
      <c r="Q290" s="119">
        <f t="shared" si="767"/>
      </c>
      <c r="R290" s="119">
        <f t="shared" si="797"/>
      </c>
      <c r="S290" s="120">
        <f t="shared" si="677"/>
      </c>
      <c r="T290" s="121">
        <f t="shared" si="707"/>
      </c>
      <c r="U290" s="119">
        <f t="shared" si="986"/>
      </c>
      <c r="V290" s="122">
        <f t="shared" si="737"/>
      </c>
      <c r="W290" s="122">
        <f t="shared" si="1016"/>
      </c>
      <c r="X290" s="119">
        <f t="shared" si="827"/>
      </c>
      <c r="Y290" s="123">
        <f t="shared" si="893"/>
      </c>
      <c r="Z290" s="123">
        <v>5</v>
      </c>
      <c r="AA290" s="123">
        <v>4</v>
      </c>
      <c r="AB290" s="124">
        <v>2299.3199999999997</v>
      </c>
      <c r="AC290" s="124">
        <v>1296</v>
      </c>
      <c r="AD290" s="120">
        <f t="shared" si="11"/>
      </c>
      <c r="AE290" s="125" t="s">
        <v>121</v>
      </c>
      <c r="AF290" s="126" t="s">
        <v>149</v>
      </c>
      <c r="AG290" s="127">
        <v>4</v>
      </c>
      <c r="AH290" s="128">
        <v>69456</v>
      </c>
      <c r="AI290" s="128">
        <v>1752</v>
      </c>
      <c r="AJ290" s="128">
        <v>2287</v>
      </c>
      <c r="AK290" s="129">
        <v>295</v>
      </c>
      <c r="AL290" s="129">
        <v>240</v>
      </c>
    </row>
    <row r="291">
      <c r="A291" s="108"/>
      <c r="B291" s="109" t="s">
        <v>143</v>
      </c>
      <c r="C291" s="110" t="s">
        <v>125</v>
      </c>
      <c r="D291" s="111">
        <f t="shared" si="335"/>
      </c>
      <c r="E291" s="110">
        <v>1988.08</v>
      </c>
      <c r="F291" s="113">
        <v>3827.85</v>
      </c>
      <c r="G291" s="113">
        <v>0</v>
      </c>
      <c r="H291" s="113">
        <v>0</v>
      </c>
      <c r="I291" s="113">
        <f t="shared" si="464"/>
      </c>
      <c r="J291" s="114">
        <v>943.92</v>
      </c>
      <c r="K291" s="115">
        <f t="shared" si="77"/>
      </c>
      <c r="L291" s="115">
        <f t="shared" si="206"/>
      </c>
      <c r="M291" s="116">
        <f t="shared" si="617"/>
      </c>
      <c r="N291" s="117">
        <f t="shared" si="647"/>
      </c>
      <c r="O291" s="118">
        <f t="shared" si="557"/>
      </c>
      <c r="P291" s="119">
        <f t="shared" si="587"/>
      </c>
      <c r="Q291" s="119">
        <f t="shared" si="767"/>
      </c>
      <c r="R291" s="119">
        <f t="shared" si="797"/>
      </c>
      <c r="S291" s="120">
        <f t="shared" si="677"/>
      </c>
      <c r="T291" s="121">
        <f t="shared" si="707"/>
      </c>
      <c r="U291" s="119">
        <f t="shared" si="986"/>
      </c>
      <c r="V291" s="122">
        <f t="shared" si="737"/>
      </c>
      <c r="W291" s="122">
        <f t="shared" si="1016"/>
      </c>
      <c r="X291" s="119">
        <f t="shared" si="827"/>
      </c>
      <c r="Y291" s="123">
        <f t="shared" si="893"/>
      </c>
      <c r="Z291" s="123">
        <v>8</v>
      </c>
      <c r="AA291" s="123">
        <v>5</v>
      </c>
      <c r="AB291" s="124">
        <v>6814.800000000003</v>
      </c>
      <c r="AC291" s="124">
        <v>0</v>
      </c>
      <c r="AD291" s="120">
        <f t="shared" si="11"/>
      </c>
      <c r="AE291" s="125" t="s">
        <v>121</v>
      </c>
      <c r="AF291" s="126" t="s">
        <v>149</v>
      </c>
      <c r="AG291" s="127">
        <v>5</v>
      </c>
      <c r="AH291" s="128">
        <v>61404</v>
      </c>
      <c r="AI291" s="128">
        <v>1487</v>
      </c>
      <c r="AJ291" s="128">
        <v>1802</v>
      </c>
      <c r="AK291" s="129">
        <v>227</v>
      </c>
      <c r="AL291" s="129">
        <v>197</v>
      </c>
    </row>
    <row r="292">
      <c r="A292" s="108"/>
      <c r="B292" s="109" t="s">
        <v>143</v>
      </c>
      <c r="C292" s="110" t="s">
        <v>126</v>
      </c>
      <c r="D292" s="111">
        <f t="shared" si="335"/>
      </c>
      <c r="E292" s="112">
        <v>1420.61</v>
      </c>
      <c r="F292" s="113">
        <v>5718.54</v>
      </c>
      <c r="G292" s="113">
        <v>0</v>
      </c>
      <c r="H292" s="113">
        <v>0</v>
      </c>
      <c r="I292" s="113">
        <f t="shared" si="464"/>
      </c>
      <c r="J292" s="114">
        <v>2493.72</v>
      </c>
      <c r="K292" s="115">
        <f t="shared" si="77"/>
      </c>
      <c r="L292" s="115">
        <f t="shared" si="206"/>
      </c>
      <c r="M292" s="116">
        <f t="shared" si="617"/>
      </c>
      <c r="N292" s="117">
        <f t="shared" si="647"/>
      </c>
      <c r="O292" s="118">
        <f t="shared" si="557"/>
      </c>
      <c r="P292" s="119">
        <f t="shared" si="587"/>
      </c>
      <c r="Q292" s="119">
        <f t="shared" si="767"/>
      </c>
      <c r="R292" s="119">
        <f t="shared" si="797"/>
      </c>
      <c r="S292" s="120">
        <f t="shared" si="677"/>
      </c>
      <c r="T292" s="121">
        <f t="shared" si="707"/>
      </c>
      <c r="U292" s="119">
        <f t="shared" si="986"/>
      </c>
      <c r="V292" s="122">
        <f t="shared" si="737"/>
      </c>
      <c r="W292" s="122">
        <f t="shared" si="1016"/>
      </c>
      <c r="X292" s="119">
        <f t="shared" si="827"/>
      </c>
      <c r="Y292" s="123">
        <f t="shared" si="893"/>
      </c>
      <c r="Z292" s="123">
        <v>7</v>
      </c>
      <c r="AA292" s="123">
        <v>6</v>
      </c>
      <c r="AB292" s="124">
        <v>7493.03999999999</v>
      </c>
      <c r="AC292" s="124">
        <v>697</v>
      </c>
      <c r="AD292" s="120">
        <f t="shared" si="11"/>
      </c>
      <c r="AE292" s="125" t="s">
        <v>121</v>
      </c>
      <c r="AF292" s="126" t="s">
        <v>149</v>
      </c>
      <c r="AG292" s="127">
        <v>5</v>
      </c>
      <c r="AH292" s="128">
        <v>76275</v>
      </c>
      <c r="AI292" s="128">
        <v>1254</v>
      </c>
      <c r="AJ292" s="128">
        <v>1479</v>
      </c>
      <c r="AK292" s="127">
        <v>225</v>
      </c>
      <c r="AL292" s="127">
        <v>233</v>
      </c>
    </row>
    <row r="293">
      <c r="A293" s="108"/>
      <c r="B293" s="130" t="s">
        <v>127</v>
      </c>
      <c r="C293" s="131">
        <v>5</v>
      </c>
      <c r="D293" s="132">
        <f>SUM(D288:D292)</f>
      </c>
      <c r="E293" s="132">
        <f>SUM(E288:E292)</f>
      </c>
      <c r="F293" s="132">
        <f>SUM(F288:F292)</f>
      </c>
      <c r="G293" s="132">
        <f>SUM(G288:G292)</f>
      </c>
      <c r="H293" s="132">
        <f>SUM(H288:H292)</f>
      </c>
      <c r="I293" s="132">
        <f>SUM(I288:I292)</f>
      </c>
      <c r="J293" s="132">
        <f>SUM(J288:J292)</f>
      </c>
      <c r="K293" s="132">
        <f>SUM(K288:K292)</f>
      </c>
      <c r="L293" s="132">
        <f>SUM(L288:L292)</f>
      </c>
      <c r="M293" s="133">
        <f t="shared" si="617"/>
      </c>
      <c r="N293" s="134">
        <f t="shared" si="647"/>
      </c>
      <c r="O293" s="134">
        <f t="shared" si="557"/>
      </c>
      <c r="P293" s="135">
        <f t="shared" si="587"/>
      </c>
      <c r="Q293" s="135">
        <f t="shared" si="767"/>
      </c>
      <c r="R293" s="135">
        <f t="shared" si="797"/>
      </c>
      <c r="S293" s="136">
        <f t="shared" si="677"/>
      </c>
      <c r="T293" s="136">
        <f t="shared" si="707"/>
      </c>
      <c r="U293" s="135">
        <f t="shared" si="986"/>
      </c>
      <c r="V293" s="136">
        <f t="shared" si="737"/>
      </c>
      <c r="W293" s="136">
        <f t="shared" si="1016"/>
      </c>
      <c r="X293" s="135">
        <f t="shared" si="827"/>
      </c>
      <c r="Y293" s="132">
        <f>SUM(Y288:Y292)</f>
      </c>
      <c r="Z293" s="132">
        <f>SUM(Z288:Z292)</f>
      </c>
      <c r="AA293" s="132">
        <f>SUM(AA288:AA292)</f>
      </c>
      <c r="AB293" s="132">
        <f>SUM(AB288:AB292)</f>
      </c>
      <c r="AC293" s="132">
        <f>SUM(AC288:AC292)</f>
      </c>
      <c r="AD293" s="137">
        <f t="shared" si="11"/>
      </c>
      <c r="AE293" s="138"/>
      <c r="AF293" s="139"/>
      <c r="AG293" s="132">
        <f>SUM(AG288:AG292)</f>
      </c>
      <c r="AH293" s="132">
        <f>SUM(AH288:AH292)</f>
      </c>
      <c r="AI293" s="132">
        <f>SUM(AI288:AI292)</f>
      </c>
      <c r="AJ293" s="132">
        <f>SUM(AJ288:AJ292)</f>
      </c>
      <c r="AK293" s="132">
        <f>SUM(AK288:AK292)</f>
      </c>
      <c r="AL293" s="132">
        <f>SUM(AL288:AL292)</f>
      </c>
    </row>
    <row r="294">
      <c r="A294" s="108"/>
      <c r="B294" s="109" t="s">
        <v>128</v>
      </c>
      <c r="C294" s="110" t="s">
        <v>129</v>
      </c>
      <c r="D294" s="111">
        <f t="shared" ref="D294:D298" si="336">E294+F294+G294+H294</f>
      </c>
      <c r="E294" s="112">
        <v>826.25</v>
      </c>
      <c r="F294" s="113">
        <v>5965.26</v>
      </c>
      <c r="G294" s="113">
        <v>0</v>
      </c>
      <c r="H294" s="113">
        <v>0</v>
      </c>
      <c r="I294" s="113">
        <f t="shared" ref="I294:I298" si="465">AB294+AC294</f>
      </c>
      <c r="J294" s="114">
        <v>3952.8</v>
      </c>
      <c r="K294" s="115">
        <f t="shared" ref="K294:K298" si="78">I294-J294</f>
      </c>
      <c r="L294" s="115">
        <f t="shared" ref="L294:L298" si="207">(I294-AC294)/12+AC294</f>
      </c>
      <c r="M294" s="116">
        <f t="shared" si="617"/>
      </c>
      <c r="N294" s="117">
        <f t="shared" si="647"/>
      </c>
      <c r="O294" s="118">
        <f t="shared" si="557"/>
      </c>
      <c r="P294" s="119">
        <f t="shared" si="587"/>
      </c>
      <c r="Q294" s="119">
        <f t="shared" si="767"/>
      </c>
      <c r="R294" s="119">
        <f t="shared" si="797"/>
      </c>
      <c r="S294" s="120">
        <f t="shared" si="677"/>
      </c>
      <c r="T294" s="121">
        <f t="shared" si="707"/>
      </c>
      <c r="U294" s="119">
        <f t="shared" si="986"/>
      </c>
      <c r="V294" s="122">
        <f t="shared" si="737"/>
      </c>
      <c r="W294" s="122">
        <f t="shared" si="1016"/>
      </c>
      <c r="X294" s="119">
        <f t="shared" si="827"/>
      </c>
      <c r="Y294" s="123">
        <f t="shared" ref="Y294:Y298" si="894">Z294+AA294</f>
      </c>
      <c r="Z294" s="123">
        <v>8</v>
      </c>
      <c r="AA294" s="123">
        <v>8</v>
      </c>
      <c r="AB294" s="124">
        <v>13708.440000000002</v>
      </c>
      <c r="AC294" s="124">
        <v>489</v>
      </c>
      <c r="AD294" s="120">
        <f t="shared" si="11"/>
      </c>
      <c r="AE294" s="125" t="s">
        <v>121</v>
      </c>
      <c r="AF294" s="126" t="s">
        <v>149</v>
      </c>
      <c r="AG294" s="127">
        <v>6</v>
      </c>
      <c r="AH294" s="128">
        <v>68412</v>
      </c>
      <c r="AI294" s="128">
        <v>1063</v>
      </c>
      <c r="AJ294" s="128">
        <v>1242</v>
      </c>
      <c r="AK294" s="127">
        <v>166</v>
      </c>
      <c r="AL294" s="127">
        <v>185</v>
      </c>
    </row>
    <row r="295">
      <c r="A295" s="108"/>
      <c r="B295" s="109" t="s">
        <v>128</v>
      </c>
      <c r="C295" s="110" t="s">
        <v>130</v>
      </c>
      <c r="D295" s="111">
        <f t="shared" si="336"/>
      </c>
      <c r="E295" s="110">
        <v>656.23</v>
      </c>
      <c r="F295" s="113">
        <v>5328.11</v>
      </c>
      <c r="G295" s="113">
        <v>0</v>
      </c>
      <c r="H295" s="113">
        <v>0</v>
      </c>
      <c r="I295" s="113">
        <f t="shared" si="465"/>
      </c>
      <c r="J295" s="162">
        <v>0</v>
      </c>
      <c r="K295" s="115">
        <f t="shared" si="78"/>
      </c>
      <c r="L295" s="115">
        <f t="shared" si="207"/>
      </c>
      <c r="M295" s="116">
        <f t="shared" si="617"/>
      </c>
      <c r="N295" s="117">
        <f t="shared" si="647"/>
      </c>
      <c r="O295" s="118">
        <f t="shared" si="557"/>
      </c>
      <c r="P295" s="119">
        <f t="shared" si="587"/>
      </c>
      <c r="Q295" s="119">
        <f t="shared" si="767"/>
      </c>
      <c r="R295" s="119">
        <f t="shared" si="797"/>
      </c>
      <c r="S295" s="120">
        <f t="shared" si="677"/>
      </c>
      <c r="T295" s="121">
        <f t="shared" si="707"/>
      </c>
      <c r="U295" s="119">
        <f t="shared" si="986"/>
      </c>
      <c r="V295" s="122">
        <f t="shared" si="737"/>
      </c>
      <c r="W295" s="122">
        <f t="shared" si="1016"/>
      </c>
      <c r="X295" s="119">
        <f t="shared" si="827"/>
      </c>
      <c r="Y295" s="123">
        <f t="shared" si="894"/>
      </c>
      <c r="Z295" s="123">
        <v>5</v>
      </c>
      <c r="AA295" s="123">
        <v>6</v>
      </c>
      <c r="AB295" s="124">
        <v>8963.039999999994</v>
      </c>
      <c r="AC295" s="124">
        <v>1386</v>
      </c>
      <c r="AD295" s="120">
        <f t="shared" si="11"/>
      </c>
      <c r="AE295" s="125" t="s">
        <v>121</v>
      </c>
      <c r="AF295" s="126" t="s">
        <v>149</v>
      </c>
      <c r="AG295" s="127">
        <v>5</v>
      </c>
      <c r="AH295" s="128">
        <v>90667</v>
      </c>
      <c r="AI295" s="128">
        <v>935</v>
      </c>
      <c r="AJ295" s="128">
        <v>1120</v>
      </c>
      <c r="AK295" s="129">
        <v>158</v>
      </c>
      <c r="AL295" s="129">
        <v>186</v>
      </c>
    </row>
    <row r="296">
      <c r="A296" s="108"/>
      <c r="B296" s="109" t="s">
        <v>128</v>
      </c>
      <c r="C296" s="110" t="s">
        <v>131</v>
      </c>
      <c r="D296" s="111">
        <f t="shared" si="336"/>
      </c>
      <c r="E296" s="110">
        <v>438.84</v>
      </c>
      <c r="F296" s="110">
        <v>4733.86</v>
      </c>
      <c r="G296" s="113">
        <v>0</v>
      </c>
      <c r="H296" s="113">
        <v>0</v>
      </c>
      <c r="I296" s="113">
        <f t="shared" si="465"/>
      </c>
      <c r="J296" s="114">
        <v>4240.08</v>
      </c>
      <c r="K296" s="115">
        <f t="shared" si="78"/>
      </c>
      <c r="L296" s="115">
        <f t="shared" si="207"/>
      </c>
      <c r="M296" s="116">
        <f t="shared" si="617"/>
      </c>
      <c r="N296" s="117">
        <f t="shared" si="647"/>
      </c>
      <c r="O296" s="118">
        <f t="shared" si="557"/>
      </c>
      <c r="P296" s="119">
        <f t="shared" si="587"/>
      </c>
      <c r="Q296" s="119">
        <f t="shared" si="767"/>
      </c>
      <c r="R296" s="119">
        <f t="shared" si="797"/>
      </c>
      <c r="S296" s="120">
        <f t="shared" si="677"/>
      </c>
      <c r="T296" s="121">
        <f t="shared" si="707"/>
      </c>
      <c r="U296" s="119">
        <f t="shared" si="986"/>
      </c>
      <c r="V296" s="122">
        <f t="shared" si="737"/>
      </c>
      <c r="W296" s="122">
        <f t="shared" si="1016"/>
      </c>
      <c r="X296" s="119">
        <f t="shared" si="827"/>
      </c>
      <c r="Y296" s="123">
        <f t="shared" si="894"/>
      </c>
      <c r="Z296" s="123">
        <v>5</v>
      </c>
      <c r="AA296" s="123">
        <v>5</v>
      </c>
      <c r="AB296" s="124">
        <v>8474.76000000001</v>
      </c>
      <c r="AC296" s="124">
        <v>1045</v>
      </c>
      <c r="AD296" s="120">
        <f t="shared" si="11"/>
      </c>
      <c r="AE296" s="125" t="s">
        <v>121</v>
      </c>
      <c r="AF296" s="126" t="s">
        <v>149</v>
      </c>
      <c r="AG296" s="129">
        <v>4</v>
      </c>
      <c r="AH296" s="128">
        <v>68939</v>
      </c>
      <c r="AI296" s="128">
        <v>704</v>
      </c>
      <c r="AJ296" s="128">
        <v>827</v>
      </c>
      <c r="AK296" s="129">
        <v>126</v>
      </c>
      <c r="AL296" s="129">
        <v>150</v>
      </c>
    </row>
    <row r="297">
      <c r="A297" s="108"/>
      <c r="B297" s="109" t="s">
        <v>128</v>
      </c>
      <c r="C297" s="110" t="s">
        <v>132</v>
      </c>
      <c r="D297" s="111">
        <f t="shared" si="336"/>
      </c>
      <c r="E297" s="110">
        <v>523.9</v>
      </c>
      <c r="F297" s="113">
        <v>7048.55</v>
      </c>
      <c r="G297" s="113">
        <v>0</v>
      </c>
      <c r="H297" s="113">
        <v>0</v>
      </c>
      <c r="I297" s="113">
        <f t="shared" si="465"/>
      </c>
      <c r="J297" s="114">
        <v>2404.08</v>
      </c>
      <c r="K297" s="115">
        <f t="shared" si="78"/>
      </c>
      <c r="L297" s="115">
        <f t="shared" si="207"/>
      </c>
      <c r="M297" s="116">
        <f t="shared" si="617"/>
      </c>
      <c r="N297" s="117">
        <f t="shared" si="647"/>
      </c>
      <c r="O297" s="118">
        <f t="shared" si="557"/>
      </c>
      <c r="P297" s="119">
        <f t="shared" si="587"/>
      </c>
      <c r="Q297" s="119">
        <f t="shared" si="767"/>
      </c>
      <c r="R297" s="119">
        <f t="shared" si="797"/>
      </c>
      <c r="S297" s="120">
        <f t="shared" si="677"/>
      </c>
      <c r="T297" s="121">
        <f t="shared" si="707"/>
      </c>
      <c r="U297" s="119">
        <f t="shared" si="986"/>
      </c>
      <c r="V297" s="122">
        <f t="shared" si="737"/>
      </c>
      <c r="W297" s="122">
        <f t="shared" si="1016"/>
      </c>
      <c r="X297" s="119">
        <f t="shared" si="827"/>
      </c>
      <c r="Y297" s="123">
        <f t="shared" si="894"/>
      </c>
      <c r="Z297" s="123">
        <v>3</v>
      </c>
      <c r="AA297" s="123">
        <v>6</v>
      </c>
      <c r="AB297" s="114">
        <v>9134.64</v>
      </c>
      <c r="AC297" s="124">
        <v>0</v>
      </c>
      <c r="AD297" s="120">
        <f t="shared" si="11"/>
      </c>
      <c r="AE297" s="125" t="s">
        <v>121</v>
      </c>
      <c r="AF297" s="126" t="s">
        <v>149</v>
      </c>
      <c r="AG297" s="127">
        <v>4</v>
      </c>
      <c r="AH297" s="128">
        <v>86154</v>
      </c>
      <c r="AI297" s="128">
        <v>1075</v>
      </c>
      <c r="AJ297" s="128">
        <v>1271</v>
      </c>
      <c r="AK297" s="129">
        <v>199</v>
      </c>
      <c r="AL297" s="129">
        <v>212</v>
      </c>
    </row>
    <row r="298">
      <c r="A298" s="108"/>
      <c r="B298" s="109" t="s">
        <v>128</v>
      </c>
      <c r="C298" s="110" t="s">
        <v>134</v>
      </c>
      <c r="D298" s="111">
        <f t="shared" si="336"/>
      </c>
      <c r="E298" s="110">
        <v>546.27</v>
      </c>
      <c r="F298" s="140">
        <v>4269.2</v>
      </c>
      <c r="G298" s="113">
        <v>0</v>
      </c>
      <c r="H298" s="113">
        <v>0</v>
      </c>
      <c r="I298" s="113">
        <f t="shared" si="465"/>
      </c>
      <c r="J298" s="160">
        <v>4270.32</v>
      </c>
      <c r="K298" s="115">
        <f t="shared" si="78"/>
      </c>
      <c r="L298" s="115">
        <f t="shared" si="207"/>
      </c>
      <c r="M298" s="116">
        <f t="shared" si="617"/>
      </c>
      <c r="N298" s="117">
        <f t="shared" si="647"/>
      </c>
      <c r="O298" s="118">
        <f t="shared" si="557"/>
      </c>
      <c r="P298" s="119">
        <f t="shared" si="587"/>
      </c>
      <c r="Q298" s="119">
        <f t="shared" si="767"/>
      </c>
      <c r="R298" s="119">
        <f t="shared" si="797"/>
      </c>
      <c r="S298" s="120">
        <f t="shared" si="677"/>
      </c>
      <c r="T298" s="121">
        <f t="shared" si="707"/>
      </c>
      <c r="U298" s="119">
        <f t="shared" si="986"/>
      </c>
      <c r="V298" s="122">
        <f t="shared" si="737"/>
      </c>
      <c r="W298" s="122">
        <f t="shared" si="1016"/>
      </c>
      <c r="X298" s="119">
        <f t="shared" si="827"/>
      </c>
      <c r="Y298" s="123">
        <f t="shared" si="894"/>
      </c>
      <c r="Z298" s="123">
        <v>8</v>
      </c>
      <c r="AA298" s="123">
        <v>5</v>
      </c>
      <c r="AB298" s="124">
        <v>11436.119999999995</v>
      </c>
      <c r="AC298" s="124">
        <v>0</v>
      </c>
      <c r="AD298" s="120">
        <f t="shared" si="11"/>
      </c>
      <c r="AE298" s="125" t="s">
        <v>121</v>
      </c>
      <c r="AF298" s="126" t="s">
        <v>149</v>
      </c>
      <c r="AG298" s="127">
        <v>5</v>
      </c>
      <c r="AH298" s="127">
        <v>56249</v>
      </c>
      <c r="AI298" s="127">
        <v>760</v>
      </c>
      <c r="AJ298" s="127">
        <v>857</v>
      </c>
      <c r="AK298" s="127">
        <v>147</v>
      </c>
      <c r="AL298" s="127">
        <v>192</v>
      </c>
    </row>
    <row r="299">
      <c r="A299" s="108"/>
      <c r="B299" s="130" t="s">
        <v>127</v>
      </c>
      <c r="C299" s="131">
        <v>5</v>
      </c>
      <c r="D299" s="132">
        <f>SUM(D294:D298)</f>
      </c>
      <c r="E299" s="132">
        <f>SUM(E294:E298)</f>
      </c>
      <c r="F299" s="132">
        <f>SUM(F294:F298)</f>
      </c>
      <c r="G299" s="132">
        <f>SUM(G294:G298)</f>
      </c>
      <c r="H299" s="132">
        <f>SUM(H294:H298)</f>
      </c>
      <c r="I299" s="132">
        <f>SUM(I294:I298)</f>
      </c>
      <c r="J299" s="132">
        <f>SUM(J294:J298)</f>
      </c>
      <c r="K299" s="132">
        <f>SUM(K294:K298)</f>
      </c>
      <c r="L299" s="132">
        <f>SUM(L294:L298)</f>
      </c>
      <c r="M299" s="133">
        <f t="shared" si="617"/>
      </c>
      <c r="N299" s="134">
        <f t="shared" si="647"/>
      </c>
      <c r="O299" s="134">
        <f t="shared" si="557"/>
      </c>
      <c r="P299" s="135">
        <f t="shared" si="587"/>
      </c>
      <c r="Q299" s="135">
        <f t="shared" si="767"/>
      </c>
      <c r="R299" s="135">
        <f t="shared" si="797"/>
      </c>
      <c r="S299" s="136">
        <f t="shared" si="677"/>
      </c>
      <c r="T299" s="136">
        <f t="shared" si="707"/>
      </c>
      <c r="U299" s="135">
        <f t="shared" si="986"/>
      </c>
      <c r="V299" s="136">
        <f t="shared" si="737"/>
      </c>
      <c r="W299" s="136">
        <f t="shared" si="1016"/>
      </c>
      <c r="X299" s="135">
        <f t="shared" si="827"/>
      </c>
      <c r="Y299" s="132">
        <f>SUM(Y294:Y298)</f>
      </c>
      <c r="Z299" s="132">
        <f>SUM(Z294:Z298)</f>
      </c>
      <c r="AA299" s="132">
        <f>SUM(AA294:AA298)</f>
      </c>
      <c r="AB299" s="132">
        <f>SUM(AB294:AB298)</f>
      </c>
      <c r="AC299" s="132">
        <f>SUM(AC294:AC298)</f>
      </c>
      <c r="AD299" s="137">
        <f t="shared" si="11"/>
      </c>
      <c r="AE299" s="138"/>
      <c r="AF299" s="139"/>
      <c r="AG299" s="132">
        <f>SUM(AG294:AG298)</f>
      </c>
      <c r="AH299" s="132">
        <f>SUM(AH294:AH298)</f>
      </c>
      <c r="AI299" s="132">
        <f>SUM(AI294:AI298)</f>
      </c>
      <c r="AJ299" s="132">
        <f>SUM(AJ294:AJ298)</f>
      </c>
      <c r="AK299" s="132">
        <f>SUM(AK294:AK298)</f>
      </c>
      <c r="AL299" s="132">
        <f>SUM(AL294:AL298)</f>
      </c>
    </row>
    <row r="300">
      <c r="A300" s="108"/>
      <c r="B300" s="109" t="s">
        <v>133</v>
      </c>
      <c r="C300" s="110" t="s">
        <v>135</v>
      </c>
      <c r="D300" s="111">
        <f t="shared" ref="D300:D304" si="337">E300+F300+G300+H300</f>
      </c>
      <c r="E300" s="110">
        <v>540.54</v>
      </c>
      <c r="F300" s="140">
        <v>5647.37</v>
      </c>
      <c r="G300" s="113">
        <v>0</v>
      </c>
      <c r="H300" s="113">
        <v>0</v>
      </c>
      <c r="I300" s="113">
        <f t="shared" ref="I300:I304" si="466">AB300+AC300</f>
      </c>
      <c r="J300" s="160">
        <v>7366.68</v>
      </c>
      <c r="K300" s="115">
        <f t="shared" ref="K300:K304" si="79">I300-J300</f>
      </c>
      <c r="L300" s="115">
        <f t="shared" ref="L300:L304" si="208">(I300-AC300)/12+AC300</f>
      </c>
      <c r="M300" s="116">
        <f t="shared" si="617"/>
      </c>
      <c r="N300" s="117">
        <f t="shared" si="647"/>
      </c>
      <c r="O300" s="118">
        <f t="shared" si="557"/>
      </c>
      <c r="P300" s="119">
        <f t="shared" si="587"/>
      </c>
      <c r="Q300" s="119">
        <f t="shared" si="767"/>
      </c>
      <c r="R300" s="119">
        <f t="shared" si="797"/>
      </c>
      <c r="S300" s="120">
        <f t="shared" si="677"/>
      </c>
      <c r="T300" s="121">
        <f t="shared" si="707"/>
      </c>
      <c r="U300" s="119">
        <f t="shared" si="986"/>
      </c>
      <c r="V300" s="122">
        <f t="shared" si="737"/>
      </c>
      <c r="W300" s="122">
        <f t="shared" si="1016"/>
      </c>
      <c r="X300" s="119">
        <f t="shared" si="827"/>
      </c>
      <c r="Y300" s="123">
        <f t="shared" ref="Y300:Y304" si="895">Z300+AA300</f>
      </c>
      <c r="Z300" s="123">
        <v>4</v>
      </c>
      <c r="AA300" s="123">
        <v>10</v>
      </c>
      <c r="AB300" s="124">
        <v>16561.8</v>
      </c>
      <c r="AC300" s="124">
        <v>4620.6</v>
      </c>
      <c r="AD300" s="120">
        <f t="shared" si="11"/>
      </c>
      <c r="AE300" s="125" t="s">
        <v>121</v>
      </c>
      <c r="AF300" s="126" t="s">
        <v>152</v>
      </c>
      <c r="AG300" s="127">
        <v>7</v>
      </c>
      <c r="AH300" s="127">
        <v>93755</v>
      </c>
      <c r="AI300" s="127">
        <v>870</v>
      </c>
      <c r="AJ300" s="127">
        <v>992</v>
      </c>
      <c r="AK300" s="127">
        <v>188</v>
      </c>
      <c r="AL300" s="127">
        <v>208</v>
      </c>
    </row>
    <row r="301">
      <c r="A301" s="108"/>
      <c r="B301" s="109" t="s">
        <v>133</v>
      </c>
      <c r="C301" s="110" t="s">
        <v>138</v>
      </c>
      <c r="D301" s="111">
        <f t="shared" si="337"/>
      </c>
      <c r="E301" s="110">
        <v>423.79</v>
      </c>
      <c r="F301" s="140">
        <v>6497.83</v>
      </c>
      <c r="G301" s="113">
        <v>0</v>
      </c>
      <c r="H301" s="113">
        <v>0</v>
      </c>
      <c r="I301" s="113">
        <f t="shared" si="466"/>
      </c>
      <c r="J301" s="160">
        <v>8213.4</v>
      </c>
      <c r="K301" s="115">
        <f t="shared" si="79"/>
      </c>
      <c r="L301" s="115">
        <f t="shared" si="208"/>
      </c>
      <c r="M301" s="116">
        <f t="shared" si="617"/>
      </c>
      <c r="N301" s="117">
        <f t="shared" si="647"/>
      </c>
      <c r="O301" s="118">
        <f t="shared" si="557"/>
      </c>
      <c r="P301" s="119">
        <f t="shared" si="587"/>
      </c>
      <c r="Q301" s="119">
        <f t="shared" si="767"/>
      </c>
      <c r="R301" s="119">
        <f t="shared" si="797"/>
      </c>
      <c r="S301" s="120">
        <f t="shared" si="677"/>
      </c>
      <c r="T301" s="121">
        <f t="shared" si="707"/>
      </c>
      <c r="U301" s="119">
        <f t="shared" si="986"/>
      </c>
      <c r="V301" s="122">
        <f t="shared" si="737"/>
      </c>
      <c r="W301" s="122">
        <f t="shared" si="1016"/>
      </c>
      <c r="X301" s="119">
        <f t="shared" si="827"/>
      </c>
      <c r="Y301" s="123">
        <f t="shared" si="895"/>
      </c>
      <c r="Z301" s="123">
        <v>6</v>
      </c>
      <c r="AA301" s="123">
        <v>7</v>
      </c>
      <c r="AB301" s="124">
        <v>19356.36</v>
      </c>
      <c r="AC301" s="124">
        <v>0</v>
      </c>
      <c r="AD301" s="120">
        <f t="shared" si="11"/>
      </c>
      <c r="AE301" s="125" t="s">
        <v>121</v>
      </c>
      <c r="AF301" s="126" t="s">
        <v>152</v>
      </c>
      <c r="AG301" s="129">
        <v>6</v>
      </c>
      <c r="AH301" s="128">
        <v>97831</v>
      </c>
      <c r="AI301" s="128">
        <v>847</v>
      </c>
      <c r="AJ301" s="128">
        <v>936</v>
      </c>
      <c r="AK301" s="129">
        <v>173</v>
      </c>
      <c r="AL301" s="129">
        <v>165</v>
      </c>
    </row>
    <row r="302">
      <c r="A302" s="108"/>
      <c r="B302" s="109" t="s">
        <v>133</v>
      </c>
      <c r="C302" s="110" t="s">
        <v>140</v>
      </c>
      <c r="D302" s="111">
        <f t="shared" si="337"/>
      </c>
      <c r="E302" s="110">
        <v>304.7</v>
      </c>
      <c r="F302" s="140">
        <v>5921.37</v>
      </c>
      <c r="G302" s="113">
        <v>0</v>
      </c>
      <c r="H302" s="113">
        <v>0</v>
      </c>
      <c r="I302" s="113">
        <f t="shared" si="466"/>
      </c>
      <c r="J302" s="160">
        <v>1551.96</v>
      </c>
      <c r="K302" s="115">
        <f t="shared" si="79"/>
      </c>
      <c r="L302" s="115">
        <f t="shared" si="208"/>
      </c>
      <c r="M302" s="116">
        <f t="shared" si="617"/>
      </c>
      <c r="N302" s="117">
        <f t="shared" si="647"/>
      </c>
      <c r="O302" s="118">
        <f t="shared" si="557"/>
      </c>
      <c r="P302" s="119">
        <f t="shared" si="587"/>
      </c>
      <c r="Q302" s="119">
        <f t="shared" si="767"/>
      </c>
      <c r="R302" s="119">
        <f t="shared" si="797"/>
      </c>
      <c r="S302" s="120">
        <f t="shared" si="677"/>
      </c>
      <c r="T302" s="121">
        <f t="shared" si="707"/>
      </c>
      <c r="U302" s="119">
        <f t="shared" si="986"/>
      </c>
      <c r="V302" s="122">
        <f t="shared" si="737"/>
      </c>
      <c r="W302" s="122">
        <f t="shared" si="1016"/>
      </c>
      <c r="X302" s="119">
        <f t="shared" si="827"/>
      </c>
      <c r="Y302" s="123">
        <f t="shared" si="895"/>
      </c>
      <c r="Z302" s="123">
        <v>6</v>
      </c>
      <c r="AA302" s="123">
        <v>5</v>
      </c>
      <c r="AB302" s="124">
        <v>11707.56</v>
      </c>
      <c r="AC302" s="124">
        <v>4028</v>
      </c>
      <c r="AD302" s="120">
        <f t="shared" si="11"/>
      </c>
      <c r="AE302" s="125" t="s">
        <v>121</v>
      </c>
      <c r="AF302" s="126" t="s">
        <v>152</v>
      </c>
      <c r="AG302" s="127">
        <v>4</v>
      </c>
      <c r="AH302" s="128">
        <v>100117</v>
      </c>
      <c r="AI302" s="128">
        <v>817</v>
      </c>
      <c r="AJ302" s="128">
        <v>969</v>
      </c>
      <c r="AK302" s="129">
        <v>133</v>
      </c>
      <c r="AL302" s="129">
        <v>152</v>
      </c>
    </row>
    <row r="303">
      <c r="A303" s="108"/>
      <c r="B303" s="109" t="s">
        <v>133</v>
      </c>
      <c r="C303" s="141" t="s">
        <v>141</v>
      </c>
      <c r="D303" s="111">
        <f t="shared" si="337"/>
      </c>
      <c r="E303" s="110">
        <v>499.11</v>
      </c>
      <c r="F303" s="140">
        <v>5446.83</v>
      </c>
      <c r="G303" s="113">
        <v>0</v>
      </c>
      <c r="H303" s="113">
        <v>0</v>
      </c>
      <c r="I303" s="113">
        <f t="shared" si="466"/>
      </c>
      <c r="J303" s="160">
        <v>1149.12</v>
      </c>
      <c r="K303" s="115">
        <f t="shared" si="79"/>
      </c>
      <c r="L303" s="115">
        <f t="shared" si="208"/>
      </c>
      <c r="M303" s="116">
        <f t="shared" si="617"/>
      </c>
      <c r="N303" s="117">
        <f t="shared" si="647"/>
      </c>
      <c r="O303" s="118">
        <f t="shared" si="557"/>
      </c>
      <c r="P303" s="119">
        <f t="shared" si="587"/>
      </c>
      <c r="Q303" s="119">
        <f t="shared" si="767"/>
      </c>
      <c r="R303" s="119">
        <f t="shared" si="797"/>
      </c>
      <c r="S303" s="120">
        <f t="shared" si="677"/>
      </c>
      <c r="T303" s="121">
        <f t="shared" si="707"/>
      </c>
      <c r="U303" s="119">
        <f t="shared" si="986"/>
      </c>
      <c r="V303" s="122">
        <f t="shared" si="737"/>
      </c>
      <c r="W303" s="122">
        <f t="shared" si="1016"/>
      </c>
      <c r="X303" s="119">
        <f t="shared" si="827"/>
      </c>
      <c r="Y303" s="123">
        <f t="shared" si="895"/>
      </c>
      <c r="Z303" s="123">
        <v>5</v>
      </c>
      <c r="AA303" s="123">
        <v>3</v>
      </c>
      <c r="AB303" s="124">
        <v>7128</v>
      </c>
      <c r="AC303" s="124">
        <v>0</v>
      </c>
      <c r="AD303" s="120">
        <f t="shared" si="11"/>
      </c>
      <c r="AE303" s="125" t="s">
        <v>121</v>
      </c>
      <c r="AF303" s="126" t="s">
        <v>152</v>
      </c>
      <c r="AG303" s="127">
        <v>3</v>
      </c>
      <c r="AH303" s="128">
        <v>110334</v>
      </c>
      <c r="AI303" s="128">
        <v>967</v>
      </c>
      <c r="AJ303" s="128">
        <v>1124</v>
      </c>
      <c r="AK303" s="129">
        <v>160</v>
      </c>
      <c r="AL303" s="129">
        <v>155</v>
      </c>
    </row>
    <row r="304">
      <c r="A304" s="108"/>
      <c r="B304" s="109" t="s">
        <v>133</v>
      </c>
      <c r="C304" s="141" t="s">
        <v>142</v>
      </c>
      <c r="D304" s="111">
        <f t="shared" si="337"/>
      </c>
      <c r="E304" s="110">
        <v>488.4</v>
      </c>
      <c r="F304" s="140">
        <v>5791.46</v>
      </c>
      <c r="G304" s="113">
        <v>0</v>
      </c>
      <c r="H304" s="113">
        <v>0</v>
      </c>
      <c r="I304" s="113">
        <f t="shared" si="466"/>
      </c>
      <c r="J304" s="160">
        <v>0</v>
      </c>
      <c r="K304" s="115">
        <f t="shared" si="79"/>
      </c>
      <c r="L304" s="115">
        <f t="shared" si="208"/>
      </c>
      <c r="M304" s="116">
        <f t="shared" si="617"/>
      </c>
      <c r="N304" s="117">
        <f t="shared" si="647"/>
      </c>
      <c r="O304" s="118">
        <f t="shared" si="557"/>
      </c>
      <c r="P304" s="119">
        <f t="shared" si="587"/>
      </c>
      <c r="Q304" s="119">
        <f t="shared" si="767"/>
      </c>
      <c r="R304" s="119">
        <f t="shared" si="797"/>
      </c>
      <c r="S304" s="120">
        <f t="shared" si="677"/>
      </c>
      <c r="T304" s="121">
        <f t="shared" si="707"/>
      </c>
      <c r="U304" s="119">
        <f t="shared" si="986"/>
      </c>
      <c r="V304" s="122">
        <f t="shared" si="737"/>
      </c>
      <c r="W304" s="122">
        <f t="shared" si="1016"/>
      </c>
      <c r="X304" s="119">
        <f t="shared" si="827"/>
      </c>
      <c r="Y304" s="123">
        <f t="shared" si="895"/>
      </c>
      <c r="Z304" s="123">
        <v>3</v>
      </c>
      <c r="AA304" s="123">
        <v>5</v>
      </c>
      <c r="AB304" s="124">
        <v>13692.48</v>
      </c>
      <c r="AC304" s="124">
        <v>0</v>
      </c>
      <c r="AD304" s="120">
        <f t="shared" si="11"/>
      </c>
      <c r="AE304" s="125" t="s">
        <v>121</v>
      </c>
      <c r="AF304" s="126" t="s">
        <v>152</v>
      </c>
      <c r="AG304" s="127">
        <v>3</v>
      </c>
      <c r="AH304" s="128">
        <v>103724</v>
      </c>
      <c r="AI304" s="128">
        <v>1106</v>
      </c>
      <c r="AJ304" s="128">
        <v>1337</v>
      </c>
      <c r="AK304" s="129">
        <v>164</v>
      </c>
      <c r="AL304" s="129">
        <v>193</v>
      </c>
    </row>
    <row r="305">
      <c r="A305" s="108"/>
      <c r="B305" s="130" t="s">
        <v>127</v>
      </c>
      <c r="C305" s="131">
        <v>5</v>
      </c>
      <c r="D305" s="132">
        <f>SUM(D300:D304)</f>
      </c>
      <c r="E305" s="132">
        <f>SUM(E300:E304)</f>
      </c>
      <c r="F305" s="132">
        <f>SUM(F300:F304)</f>
      </c>
      <c r="G305" s="132">
        <f>SUM(G300:G304)</f>
      </c>
      <c r="H305" s="132">
        <f>SUM(H300:H304)</f>
      </c>
      <c r="I305" s="132">
        <f>SUM(I300:I304)</f>
      </c>
      <c r="J305" s="132">
        <f>SUM(J300:J304)</f>
      </c>
      <c r="K305" s="132">
        <f>SUM(K300:K304)</f>
      </c>
      <c r="L305" s="132">
        <f>SUM(L300:L304)</f>
      </c>
      <c r="M305" s="133">
        <f t="shared" si="617"/>
      </c>
      <c r="N305" s="134">
        <f t="shared" si="647"/>
      </c>
      <c r="O305" s="134">
        <f t="shared" si="557"/>
      </c>
      <c r="P305" s="135">
        <f t="shared" si="587"/>
      </c>
      <c r="Q305" s="135">
        <f t="shared" si="767"/>
      </c>
      <c r="R305" s="135">
        <f t="shared" si="797"/>
      </c>
      <c r="S305" s="136">
        <f t="shared" si="677"/>
      </c>
      <c r="T305" s="136">
        <f t="shared" si="707"/>
      </c>
      <c r="U305" s="135">
        <f t="shared" si="986"/>
      </c>
      <c r="V305" s="136">
        <f t="shared" si="737"/>
      </c>
      <c r="W305" s="136">
        <f t="shared" si="1016"/>
      </c>
      <c r="X305" s="135">
        <f t="shared" si="827"/>
      </c>
      <c r="Y305" s="132">
        <f>SUM(Y300:Y304)</f>
      </c>
      <c r="Z305" s="132">
        <f>SUM(Z300:Z304)</f>
      </c>
      <c r="AA305" s="132">
        <f>SUM(AA300:AA304)</f>
      </c>
      <c r="AB305" s="132">
        <f>SUM(AB300:AB304)</f>
      </c>
      <c r="AC305" s="132">
        <f>SUM(AC300:AC304)</f>
      </c>
      <c r="AD305" s="137">
        <f t="shared" si="11"/>
      </c>
      <c r="AE305" s="138"/>
      <c r="AF305" s="139"/>
      <c r="AG305" s="132">
        <f>SUM(AG300:AG304)</f>
      </c>
      <c r="AH305" s="132">
        <f>SUM(AH300:AH304)</f>
      </c>
      <c r="AI305" s="132">
        <f>SUM(AI300:AI304)</f>
      </c>
      <c r="AJ305" s="132">
        <f>SUM(AJ300:AJ304)</f>
      </c>
      <c r="AK305" s="132">
        <f>SUM(AK300:AK304)</f>
      </c>
      <c r="AL305" s="132">
        <f>SUM(AL300:AL304)</f>
      </c>
    </row>
    <row r="306">
      <c r="A306" s="108"/>
      <c r="B306" s="109" t="s">
        <v>139</v>
      </c>
      <c r="C306" s="141" t="s">
        <v>144</v>
      </c>
      <c r="D306" s="143">
        <f t="shared" ref="D306:D310" si="338">E306+F306+G306+H306</f>
      </c>
      <c r="E306" s="166">
        <v>575.71</v>
      </c>
      <c r="F306" s="145">
        <v>5533.32</v>
      </c>
      <c r="G306" s="113">
        <v>0</v>
      </c>
      <c r="H306" s="113">
        <v>0</v>
      </c>
      <c r="I306" s="113">
        <f t="shared" ref="I306:I310" si="467">AB306+AC306</f>
      </c>
      <c r="J306" s="114">
        <v>0</v>
      </c>
      <c r="K306" s="115">
        <f t="shared" ref="K306:K310" si="80">I306-J306</f>
      </c>
      <c r="L306" s="115">
        <f t="shared" ref="L306:L310" si="209">(I306-AC306)/12+AC306</f>
      </c>
      <c r="M306" s="116">
        <f t="shared" si="617"/>
      </c>
      <c r="N306" s="117">
        <f t="shared" si="647"/>
      </c>
      <c r="O306" s="118">
        <f t="shared" si="557"/>
      </c>
      <c r="P306" s="119">
        <f t="shared" si="587"/>
      </c>
      <c r="Q306" s="119">
        <f t="shared" si="767"/>
      </c>
      <c r="R306" s="119">
        <f t="shared" si="797"/>
      </c>
      <c r="S306" s="120">
        <f t="shared" si="677"/>
      </c>
      <c r="T306" s="121">
        <f t="shared" si="707"/>
      </c>
      <c r="U306" s="119">
        <f t="shared" si="986"/>
      </c>
      <c r="V306" s="122">
        <f t="shared" si="737"/>
      </c>
      <c r="W306" s="122">
        <f t="shared" si="1016"/>
      </c>
      <c r="X306" s="119">
        <f t="shared" si="827"/>
      </c>
      <c r="Y306" s="123">
        <f t="shared" ref="Y306:Y310" si="896">Z306+AA306</f>
      </c>
      <c r="Z306" s="123">
        <v>3</v>
      </c>
      <c r="AA306" s="123">
        <v>5</v>
      </c>
      <c r="AB306" s="124">
        <v>8421.84</v>
      </c>
      <c r="AC306" s="124">
        <v>0</v>
      </c>
      <c r="AD306" s="120">
        <f t="shared" si="11"/>
      </c>
      <c r="AE306" s="125" t="s">
        <v>121</v>
      </c>
      <c r="AF306" s="126" t="s">
        <v>152</v>
      </c>
      <c r="AG306" s="127">
        <v>5</v>
      </c>
      <c r="AH306" s="127">
        <v>100318</v>
      </c>
      <c r="AI306" s="128">
        <v>1068</v>
      </c>
      <c r="AJ306" s="128">
        <v>1269</v>
      </c>
      <c r="AK306" s="127">
        <v>178</v>
      </c>
      <c r="AL306" s="129">
        <v>179</v>
      </c>
    </row>
    <row r="307">
      <c r="A307" s="108"/>
      <c r="B307" s="109" t="s">
        <v>139</v>
      </c>
      <c r="C307" s="110" t="s">
        <v>145</v>
      </c>
      <c r="D307" s="143">
        <f t="shared" si="338"/>
      </c>
      <c r="E307" s="147">
        <v>644.29</v>
      </c>
      <c r="F307" s="145">
        <v>5569.76</v>
      </c>
      <c r="G307" s="113">
        <v>0</v>
      </c>
      <c r="H307" s="113">
        <v>0</v>
      </c>
      <c r="I307" s="113">
        <f t="shared" si="467"/>
      </c>
      <c r="J307" s="114">
        <v>0</v>
      </c>
      <c r="K307" s="115">
        <f t="shared" si="80"/>
      </c>
      <c r="L307" s="115">
        <f t="shared" si="209"/>
      </c>
      <c r="M307" s="116">
        <f t="shared" si="617"/>
      </c>
      <c r="N307" s="117">
        <f t="shared" si="647"/>
      </c>
      <c r="O307" s="118">
        <f t="shared" si="557"/>
      </c>
      <c r="P307" s="119">
        <f t="shared" si="587"/>
      </c>
      <c r="Q307" s="119">
        <f t="shared" si="767"/>
      </c>
      <c r="R307" s="119">
        <f t="shared" si="797"/>
      </c>
      <c r="S307" s="120">
        <f t="shared" si="677"/>
      </c>
      <c r="T307" s="121">
        <f t="shared" si="707"/>
      </c>
      <c r="U307" s="119">
        <f t="shared" si="986"/>
      </c>
      <c r="V307" s="122">
        <f t="shared" si="737"/>
      </c>
      <c r="W307" s="122">
        <f t="shared" si="1016"/>
      </c>
      <c r="X307" s="119">
        <f t="shared" si="827"/>
      </c>
      <c r="Y307" s="123">
        <f t="shared" si="896"/>
      </c>
      <c r="Z307" s="123">
        <v>9</v>
      </c>
      <c r="AA307" s="123">
        <v>4</v>
      </c>
      <c r="AB307" s="124">
        <v>2822.04</v>
      </c>
      <c r="AC307" s="124">
        <v>0</v>
      </c>
      <c r="AD307" s="120">
        <f t="shared" si="11"/>
      </c>
      <c r="AE307" s="125" t="s">
        <v>121</v>
      </c>
      <c r="AF307" s="126" t="s">
        <v>152</v>
      </c>
      <c r="AG307" s="127">
        <v>4</v>
      </c>
      <c r="AH307" s="128">
        <v>96557</v>
      </c>
      <c r="AI307" s="128">
        <v>1148</v>
      </c>
      <c r="AJ307" s="128">
        <v>1328</v>
      </c>
      <c r="AK307" s="129">
        <v>152</v>
      </c>
      <c r="AL307" s="129">
        <v>175</v>
      </c>
    </row>
    <row r="308">
      <c r="A308" s="108"/>
      <c r="B308" s="109" t="s">
        <v>139</v>
      </c>
      <c r="C308" s="141" t="s">
        <v>146</v>
      </c>
      <c r="D308" s="143">
        <f t="shared" si="338"/>
      </c>
      <c r="E308" s="147">
        <v>251.67</v>
      </c>
      <c r="F308" s="147">
        <v>8858.33</v>
      </c>
      <c r="G308" s="113">
        <v>0</v>
      </c>
      <c r="H308" s="113">
        <v>0</v>
      </c>
      <c r="I308" s="113">
        <f t="shared" si="467"/>
      </c>
      <c r="J308" s="114">
        <v>0</v>
      </c>
      <c r="K308" s="115">
        <f t="shared" si="80"/>
      </c>
      <c r="L308" s="115">
        <f t="shared" si="209"/>
      </c>
      <c r="M308" s="116">
        <f t="shared" si="617"/>
      </c>
      <c r="N308" s="117">
        <f t="shared" si="647"/>
      </c>
      <c r="O308" s="118">
        <f t="shared" si="557"/>
      </c>
      <c r="P308" s="119">
        <f t="shared" si="587"/>
      </c>
      <c r="Q308" s="119">
        <f t="shared" si="767"/>
      </c>
      <c r="R308" s="119">
        <f t="shared" si="797"/>
      </c>
      <c r="S308" s="120">
        <f t="shared" si="677"/>
      </c>
      <c r="T308" s="121">
        <f t="shared" si="707"/>
      </c>
      <c r="U308" s="119">
        <f t="shared" si="986"/>
      </c>
      <c r="V308" s="122">
        <f t="shared" si="737"/>
      </c>
      <c r="W308" s="122">
        <f t="shared" si="1016"/>
      </c>
      <c r="X308" s="119">
        <f t="shared" si="827"/>
      </c>
      <c r="Y308" s="123">
        <f t="shared" si="896"/>
      </c>
      <c r="Z308" s="123">
        <v>10</v>
      </c>
      <c r="AA308" s="123">
        <v>6</v>
      </c>
      <c r="AB308" s="124">
        <v>20448.72</v>
      </c>
      <c r="AC308" s="124">
        <v>0</v>
      </c>
      <c r="AD308" s="120">
        <f t="shared" si="11"/>
      </c>
      <c r="AE308" s="125" t="s">
        <v>121</v>
      </c>
      <c r="AF308" s="126" t="s">
        <v>152</v>
      </c>
      <c r="AG308" s="129">
        <v>5</v>
      </c>
      <c r="AH308" s="128">
        <v>127821</v>
      </c>
      <c r="AI308" s="128">
        <v>1559</v>
      </c>
      <c r="AJ308" s="128">
        <v>1850</v>
      </c>
      <c r="AK308" s="129">
        <v>177</v>
      </c>
      <c r="AL308" s="129">
        <v>221</v>
      </c>
    </row>
    <row r="309">
      <c r="A309" s="108"/>
      <c r="B309" s="109" t="s">
        <v>139</v>
      </c>
      <c r="C309" s="110" t="s">
        <v>147</v>
      </c>
      <c r="D309" s="143">
        <f t="shared" si="338"/>
      </c>
      <c r="E309" s="147">
        <v>373.77</v>
      </c>
      <c r="F309" s="145">
        <v>5987</v>
      </c>
      <c r="G309" s="113">
        <v>0</v>
      </c>
      <c r="H309" s="113">
        <v>0</v>
      </c>
      <c r="I309" s="113">
        <f t="shared" si="467"/>
      </c>
      <c r="J309" s="114">
        <v>0</v>
      </c>
      <c r="K309" s="115">
        <f t="shared" si="80"/>
      </c>
      <c r="L309" s="115">
        <f t="shared" si="209"/>
      </c>
      <c r="M309" s="116">
        <f t="shared" si="617"/>
      </c>
      <c r="N309" s="117">
        <f t="shared" si="647"/>
      </c>
      <c r="O309" s="118">
        <f t="shared" si="557"/>
      </c>
      <c r="P309" s="119">
        <f t="shared" si="587"/>
      </c>
      <c r="Q309" s="119">
        <f t="shared" si="767"/>
      </c>
      <c r="R309" s="119">
        <f t="shared" si="797"/>
      </c>
      <c r="S309" s="120">
        <f t="shared" si="677"/>
      </c>
      <c r="T309" s="121">
        <f t="shared" si="707"/>
      </c>
      <c r="U309" s="119">
        <f t="shared" si="986"/>
      </c>
      <c r="V309" s="122">
        <f t="shared" si="737"/>
      </c>
      <c r="W309" s="122">
        <f t="shared" si="1016"/>
      </c>
      <c r="X309" s="119">
        <f t="shared" si="827"/>
      </c>
      <c r="Y309" s="123">
        <f t="shared" si="896"/>
      </c>
      <c r="Z309" s="123">
        <v>6</v>
      </c>
      <c r="AA309" s="123">
        <v>8</v>
      </c>
      <c r="AB309" s="124">
        <v>14318.76</v>
      </c>
      <c r="AC309" s="124">
        <v>1882</v>
      </c>
      <c r="AD309" s="120">
        <f t="shared" si="11"/>
      </c>
      <c r="AE309" s="125" t="s">
        <v>121</v>
      </c>
      <c r="AF309" s="126" t="s">
        <v>152</v>
      </c>
      <c r="AG309" s="127">
        <v>6</v>
      </c>
      <c r="AH309" s="128">
        <v>102096</v>
      </c>
      <c r="AI309" s="128">
        <v>1533</v>
      </c>
      <c r="AJ309" s="128">
        <v>1915</v>
      </c>
      <c r="AK309" s="129">
        <v>175</v>
      </c>
      <c r="AL309" s="129">
        <v>196</v>
      </c>
    </row>
    <row r="310">
      <c r="A310" s="108"/>
      <c r="B310" s="109" t="s">
        <v>139</v>
      </c>
      <c r="C310" s="110" t="s">
        <v>148</v>
      </c>
      <c r="D310" s="143">
        <f t="shared" si="338"/>
      </c>
      <c r="E310" s="147">
        <v>416.23</v>
      </c>
      <c r="F310" s="145">
        <v>1334.24</v>
      </c>
      <c r="G310" s="113">
        <v>0</v>
      </c>
      <c r="H310" s="113">
        <v>0</v>
      </c>
      <c r="I310" s="113">
        <f t="shared" si="467"/>
      </c>
      <c r="J310" s="114">
        <v>0</v>
      </c>
      <c r="K310" s="115">
        <f t="shared" si="80"/>
      </c>
      <c r="L310" s="115">
        <f t="shared" si="209"/>
      </c>
      <c r="M310" s="116">
        <f t="shared" si="617"/>
      </c>
      <c r="N310" s="117">
        <f t="shared" si="647"/>
      </c>
      <c r="O310" s="118">
        <f t="shared" si="557"/>
      </c>
      <c r="P310" s="119">
        <f t="shared" si="587"/>
      </c>
      <c r="Q310" s="119">
        <f t="shared" si="767"/>
      </c>
      <c r="R310" s="119">
        <f t="shared" si="797"/>
      </c>
      <c r="S310" s="120">
        <f t="shared" si="677"/>
      </c>
      <c r="T310" s="121">
        <f t="shared" si="707"/>
      </c>
      <c r="U310" s="119">
        <f t="shared" si="986"/>
      </c>
      <c r="V310" s="122">
        <f t="shared" si="737"/>
      </c>
      <c r="W310" s="122">
        <f t="shared" si="1016"/>
      </c>
      <c r="X310" s="119">
        <f t="shared" si="827"/>
      </c>
      <c r="Y310" s="123">
        <f t="shared" si="896"/>
      </c>
      <c r="Z310" s="123">
        <v>4</v>
      </c>
      <c r="AA310" s="123">
        <v>4</v>
      </c>
      <c r="AB310" s="124">
        <v>5273.64</v>
      </c>
      <c r="AC310" s="124">
        <v>0</v>
      </c>
      <c r="AD310" s="120">
        <f t="shared" si="11"/>
      </c>
      <c r="AE310" s="125" t="s">
        <v>121</v>
      </c>
      <c r="AF310" s="126" t="s">
        <v>152</v>
      </c>
      <c r="AG310" s="127">
        <v>4</v>
      </c>
      <c r="AH310" s="128">
        <v>13786</v>
      </c>
      <c r="AI310" s="128">
        <v>702</v>
      </c>
      <c r="AJ310" s="128">
        <v>925</v>
      </c>
      <c r="AK310" s="129">
        <v>69</v>
      </c>
      <c r="AL310" s="129">
        <v>62</v>
      </c>
    </row>
    <row r="311">
      <c r="A311" s="108"/>
      <c r="B311" s="130" t="s">
        <v>127</v>
      </c>
      <c r="C311" s="131">
        <v>5</v>
      </c>
      <c r="D311" s="132">
        <f>SUM(D306:D310)</f>
      </c>
      <c r="E311" s="132">
        <f>SUM(E306:E310)</f>
      </c>
      <c r="F311" s="132">
        <f>SUM(F306:F310)</f>
      </c>
      <c r="G311" s="132">
        <f>SUM(G306:G310)</f>
      </c>
      <c r="H311" s="132">
        <f>SUM(H306:H310)</f>
      </c>
      <c r="I311" s="132">
        <f>SUM(I306:I310)</f>
      </c>
      <c r="J311" s="132">
        <f>SUM(J306:J310)</f>
      </c>
      <c r="K311" s="132">
        <f>SUM(K306:K310)</f>
      </c>
      <c r="L311" s="132">
        <f>SUM(L306:L310)</f>
      </c>
      <c r="M311" s="133">
        <f t="shared" si="617"/>
      </c>
      <c r="N311" s="134">
        <f t="shared" si="647"/>
      </c>
      <c r="O311" s="134">
        <f t="shared" si="557"/>
      </c>
      <c r="P311" s="135">
        <f t="shared" si="587"/>
      </c>
      <c r="Q311" s="135">
        <f t="shared" si="767"/>
      </c>
      <c r="R311" s="135">
        <f t="shared" si="797"/>
      </c>
      <c r="S311" s="136">
        <f t="shared" si="677"/>
      </c>
      <c r="T311" s="136">
        <f t="shared" si="707"/>
      </c>
      <c r="U311" s="135">
        <f t="shared" si="986"/>
      </c>
      <c r="V311" s="136">
        <f t="shared" si="737"/>
      </c>
      <c r="W311" s="136">
        <f t="shared" si="1016"/>
      </c>
      <c r="X311" s="135">
        <f t="shared" si="827"/>
      </c>
      <c r="Y311" s="132">
        <f>SUM(Y306:Y310)</f>
      </c>
      <c r="Z311" s="132">
        <f>SUM(Z306:Z310)</f>
      </c>
      <c r="AA311" s="132">
        <f>SUM(AA306:AA310)</f>
      </c>
      <c r="AB311" s="132">
        <f>SUM(AB306:AB310)</f>
      </c>
      <c r="AC311" s="132">
        <f>SUM(AC306:AC310)</f>
      </c>
      <c r="AD311" s="150">
        <f t="shared" si="11"/>
      </c>
      <c r="AE311" s="151"/>
      <c r="AF311" s="139"/>
      <c r="AG311" s="132">
        <f>SUM(AG306:AG310)</f>
      </c>
      <c r="AH311" s="132">
        <f>SUM(AH306:AH310)</f>
      </c>
      <c r="AI311" s="132">
        <f>SUM(AI306:AI310)</f>
      </c>
      <c r="AJ311" s="132">
        <f>SUM(AJ306:AJ310)</f>
      </c>
      <c r="AK311" s="132">
        <f>SUM(AK306:AK310)</f>
      </c>
      <c r="AL311" s="132">
        <f>SUM(AL306:AL310)</f>
      </c>
    </row>
    <row r="312">
      <c r="A312" s="108"/>
      <c r="B312" s="152" t="s">
        <v>127</v>
      </c>
      <c r="C312" s="153">
        <f>C293+C299+C305+C311</f>
      </c>
      <c r="D312" s="153">
        <f>D293+D299+D305+D311</f>
      </c>
      <c r="E312" s="153">
        <f>E293+E299+E305+E311</f>
      </c>
      <c r="F312" s="153">
        <f>F293+F299+F305+F311</f>
      </c>
      <c r="G312" s="153">
        <f>G293+G299+G305+G311</f>
      </c>
      <c r="H312" s="153">
        <f>H293+H299+H305+H311</f>
      </c>
      <c r="I312" s="153">
        <f>I293+I299+I305+I311</f>
      </c>
      <c r="J312" s="153">
        <f>J293+J299+J305+J311</f>
      </c>
      <c r="K312" s="153">
        <f>K293+K299+K305+K311</f>
      </c>
      <c r="L312" s="153">
        <f>L293+L299+L305+L311</f>
      </c>
      <c r="M312" s="154">
        <f t="shared" si="617"/>
      </c>
      <c r="N312" s="154">
        <f t="shared" si="647"/>
      </c>
      <c r="O312" s="154">
        <f t="shared" si="557"/>
      </c>
      <c r="P312" s="154">
        <f t="shared" si="587"/>
      </c>
      <c r="Q312" s="154">
        <f t="shared" si="767"/>
      </c>
      <c r="R312" s="154">
        <f t="shared" si="797"/>
      </c>
      <c r="S312" s="155">
        <f t="shared" si="677"/>
      </c>
      <c r="T312" s="155">
        <f t="shared" si="707"/>
      </c>
      <c r="U312" s="154">
        <f t="shared" si="986"/>
      </c>
      <c r="V312" s="155">
        <f t="shared" si="737"/>
      </c>
      <c r="W312" s="155">
        <f t="shared" si="1016"/>
      </c>
      <c r="X312" s="154">
        <f t="shared" si="827"/>
      </c>
      <c r="Y312" s="156">
        <f>Y293+Y299+Y305+Y311</f>
      </c>
      <c r="Z312" s="156">
        <f>Z293+Z299+Z305+Z311</f>
      </c>
      <c r="AA312" s="156">
        <f>AA293+AA299+AA305+AA311</f>
      </c>
      <c r="AB312" s="156">
        <f>AB293+AB299+AB305+AB311</f>
      </c>
      <c r="AC312" s="156">
        <f>AC293+AC299+AC305+AC311</f>
      </c>
      <c r="AD312" s="157">
        <f>AD293+AD299+AD305+AD311</f>
      </c>
      <c r="AE312" s="158"/>
      <c r="AF312" s="159"/>
      <c r="AG312" s="153">
        <f>AG293+AG299+AG305+AG311</f>
      </c>
      <c r="AH312" s="153">
        <f>AH293+AH299+AH305+AH311</f>
      </c>
      <c r="AI312" s="153">
        <f>AI293+AI299+AI305+AI311</f>
      </c>
      <c r="AJ312" s="153">
        <f>AJ293+AJ299+AJ305+AJ311</f>
      </c>
      <c r="AK312" s="153">
        <f>AK293+AK299+AK305+AK311</f>
      </c>
      <c r="AL312" s="153">
        <f>AL293+AL299+AL305+AL311</f>
      </c>
    </row>
    <row r="313">
      <c r="A313" s="94" t="s">
        <v>81</v>
      </c>
      <c r="B313" s="95" t="s">
        <v>82</v>
      </c>
      <c r="C313" s="95" t="s">
        <v>83</v>
      </c>
      <c r="D313" s="96" t="s">
        <v>84</v>
      </c>
      <c r="E313" s="164" t="s">
        <v>85</v>
      </c>
      <c r="F313" s="95" t="s">
        <v>86</v>
      </c>
      <c r="G313" s="97" t="s">
        <v>87</v>
      </c>
      <c r="H313" s="97" t="s">
        <v>88</v>
      </c>
      <c r="I313" s="96" t="s">
        <v>89</v>
      </c>
      <c r="J313" s="98" t="s">
        <v>90</v>
      </c>
      <c r="K313" s="99" t="s">
        <v>91</v>
      </c>
      <c r="L313" s="99" t="s">
        <v>92</v>
      </c>
      <c r="M313" s="100" t="s">
        <v>93</v>
      </c>
      <c r="N313" s="99" t="s">
        <v>94</v>
      </c>
      <c r="O313" s="95" t="s">
        <v>95</v>
      </c>
      <c r="P313" s="100" t="s">
        <v>96</v>
      </c>
      <c r="Q313" s="101" t="s">
        <v>97</v>
      </c>
      <c r="R313" s="101" t="s">
        <v>98</v>
      </c>
      <c r="S313" s="96" t="s">
        <v>99</v>
      </c>
      <c r="T313" s="102" t="s">
        <v>100</v>
      </c>
      <c r="U313" s="100" t="s">
        <v>101</v>
      </c>
      <c r="V313" s="103" t="s">
        <v>102</v>
      </c>
      <c r="W313" s="104" t="s">
        <v>103</v>
      </c>
      <c r="X313" s="100" t="s">
        <v>104</v>
      </c>
      <c r="Y313" s="105" t="s">
        <v>105</v>
      </c>
      <c r="Z313" s="106" t="s">
        <v>106</v>
      </c>
      <c r="AA313" s="105" t="s">
        <v>107</v>
      </c>
      <c r="AB313" s="107" t="s">
        <v>108</v>
      </c>
      <c r="AC313" s="107" t="s">
        <v>109</v>
      </c>
      <c r="AD313" s="99" t="s">
        <v>110</v>
      </c>
      <c r="AE313" s="98" t="s">
        <v>111</v>
      </c>
      <c r="AF313" s="99" t="s">
        <v>112</v>
      </c>
      <c r="AG313" s="98" t="s">
        <v>113</v>
      </c>
      <c r="AH313" s="98" t="s">
        <v>114</v>
      </c>
      <c r="AI313" s="99" t="s">
        <v>115</v>
      </c>
      <c r="AJ313" s="98" t="s">
        <v>116</v>
      </c>
      <c r="AK313" s="99" t="s">
        <v>117</v>
      </c>
      <c r="AL313" s="98" t="s">
        <v>118</v>
      </c>
    </row>
    <row r="314">
      <c r="A314" s="108">
        <v>46278</v>
      </c>
      <c r="B314" s="109" t="s">
        <v>143</v>
      </c>
      <c r="C314" s="110" t="s">
        <v>120</v>
      </c>
      <c r="D314" s="143">
        <f t="shared" ref="D314:D318" si="339">E314+F314+G314+H314</f>
      </c>
      <c r="E314" s="144">
        <v>1443.75</v>
      </c>
      <c r="F314" s="146">
        <v>8520.12</v>
      </c>
      <c r="G314" s="113">
        <v>0</v>
      </c>
      <c r="H314" s="113">
        <v>0</v>
      </c>
      <c r="I314" s="113">
        <f t="shared" ref="I314:I318" si="468">AB314+AC314</f>
      </c>
      <c r="J314" s="114">
        <v>6312.12</v>
      </c>
      <c r="K314" s="115">
        <f t="shared" ref="K314:K318" si="81">I314-J314</f>
      </c>
      <c r="L314" s="115">
        <f t="shared" ref="L314:L318" si="210">(I314-AC314)/12+AC314</f>
      </c>
      <c r="M314" s="116">
        <f t="shared" ref="M314:M338" si="618">I314/D314</f>
      </c>
      <c r="N314" s="117">
        <f t="shared" ref="N314:N338" si="648">(I314-J314)/D314</f>
      </c>
      <c r="O314" s="118">
        <f t="shared" ref="O314:O338" si="558">(AC314+AB314/12)/D314</f>
      </c>
      <c r="P314" s="119">
        <f t="shared" ref="P314:P338" si="588">I314/AA314</f>
      </c>
      <c r="Q314" s="119">
        <f t="shared" ref="Q314:Q338" si="768">D314/AA314</f>
      </c>
      <c r="R314" s="119">
        <f t="shared" ref="R314:R338" si="798">D314/AG314</f>
      </c>
      <c r="S314" s="120">
        <f t="shared" ref="S314:S338" si="678">AA314/Y314</f>
      </c>
      <c r="T314" s="121">
        <f t="shared" ref="T314:T338" si="708">AI314/AH314</f>
      </c>
      <c r="U314" s="119">
        <f t="shared" ref="U314:U338" si="987">D314/AJ314</f>
      </c>
      <c r="V314" s="122">
        <f t="shared" ref="V314:V338" si="738">AK314/AJ314</f>
      </c>
      <c r="W314" s="122">
        <f t="shared" ref="W314:W338" si="1017">AL314/AJ314</f>
      </c>
      <c r="X314" s="119">
        <f t="shared" ref="X314:X338" si="828">D314/AL314</f>
      </c>
      <c r="Y314" s="123">
        <f t="shared" ref="Y314:Y318" si="897">Z314+AA314</f>
      </c>
      <c r="Z314" s="123">
        <v>6</v>
      </c>
      <c r="AA314" s="123">
        <v>9</v>
      </c>
      <c r="AB314" s="124">
        <v>16153.559999999998</v>
      </c>
      <c r="AC314" s="124">
        <v>0</v>
      </c>
      <c r="AD314" s="120">
        <f t="shared" ref="AD314:AD337" si="12">AC314/I314</f>
      </c>
      <c r="AE314" s="125" t="s">
        <v>121</v>
      </c>
      <c r="AF314" s="126" t="s">
        <v>153</v>
      </c>
      <c r="AG314" s="127">
        <v>8</v>
      </c>
      <c r="AH314" s="127">
        <v>100161</v>
      </c>
      <c r="AI314" s="128">
        <v>3203</v>
      </c>
      <c r="AJ314" s="128">
        <v>3654</v>
      </c>
      <c r="AK314" s="127">
        <v>444</v>
      </c>
      <c r="AL314" s="129">
        <v>397</v>
      </c>
    </row>
    <row r="315">
      <c r="A315" s="108"/>
      <c r="B315" s="109" t="s">
        <v>143</v>
      </c>
      <c r="C315" s="110" t="s">
        <v>123</v>
      </c>
      <c r="D315" s="143">
        <f t="shared" si="339"/>
      </c>
      <c r="E315" s="147">
        <v>1926.72</v>
      </c>
      <c r="F315" s="146">
        <v>9451.12</v>
      </c>
      <c r="G315" s="113">
        <v>0</v>
      </c>
      <c r="H315" s="113">
        <v>0</v>
      </c>
      <c r="I315" s="113">
        <f t="shared" si="468"/>
      </c>
      <c r="J315" s="114">
        <v>7474.2</v>
      </c>
      <c r="K315" s="115">
        <f t="shared" si="81"/>
      </c>
      <c r="L315" s="115">
        <f t="shared" si="210"/>
      </c>
      <c r="M315" s="116">
        <f t="shared" si="618"/>
      </c>
      <c r="N315" s="117">
        <f t="shared" si="648"/>
      </c>
      <c r="O315" s="118">
        <f t="shared" si="558"/>
      </c>
      <c r="P315" s="119">
        <f t="shared" si="588"/>
      </c>
      <c r="Q315" s="119">
        <f t="shared" si="768"/>
      </c>
      <c r="R315" s="119">
        <f t="shared" si="798"/>
      </c>
      <c r="S315" s="120">
        <f t="shared" si="678"/>
      </c>
      <c r="T315" s="121">
        <f t="shared" si="708"/>
      </c>
      <c r="U315" s="119">
        <f t="shared" si="987"/>
      </c>
      <c r="V315" s="122">
        <f t="shared" si="738"/>
      </c>
      <c r="W315" s="122">
        <f t="shared" si="1017"/>
      </c>
      <c r="X315" s="119">
        <f t="shared" si="828"/>
      </c>
      <c r="Y315" s="123">
        <f t="shared" si="897"/>
      </c>
      <c r="Z315" s="123">
        <v>6</v>
      </c>
      <c r="AA315" s="123">
        <v>14</v>
      </c>
      <c r="AB315" s="124">
        <v>29198.160000000003</v>
      </c>
      <c r="AC315" s="124">
        <v>14796.55</v>
      </c>
      <c r="AD315" s="120">
        <f t="shared" si="12"/>
      </c>
      <c r="AE315" s="125" t="s">
        <v>121</v>
      </c>
      <c r="AF315" s="126" t="s">
        <v>153</v>
      </c>
      <c r="AG315" s="127">
        <v>10</v>
      </c>
      <c r="AH315" s="128">
        <v>109670</v>
      </c>
      <c r="AI315" s="128">
        <v>3126</v>
      </c>
      <c r="AJ315" s="128">
        <v>3514</v>
      </c>
      <c r="AK315" s="129">
        <v>467</v>
      </c>
      <c r="AL315" s="129">
        <v>391</v>
      </c>
    </row>
    <row r="316">
      <c r="A316" s="108"/>
      <c r="B316" s="109" t="s">
        <v>143</v>
      </c>
      <c r="C316" s="110" t="s">
        <v>124</v>
      </c>
      <c r="D316" s="111">
        <f t="shared" si="339"/>
      </c>
      <c r="E316" s="165">
        <v>1272.84</v>
      </c>
      <c r="F316" s="110">
        <v>7040.05</v>
      </c>
      <c r="G316" s="113">
        <v>0</v>
      </c>
      <c r="H316" s="113">
        <v>0</v>
      </c>
      <c r="I316" s="113">
        <f t="shared" si="468"/>
      </c>
      <c r="J316" s="114">
        <f>2005.56+1958</f>
      </c>
      <c r="K316" s="115">
        <f t="shared" si="81"/>
      </c>
      <c r="L316" s="115">
        <f t="shared" si="210"/>
      </c>
      <c r="M316" s="116">
        <f t="shared" si="618"/>
      </c>
      <c r="N316" s="117">
        <f t="shared" si="648"/>
      </c>
      <c r="O316" s="118">
        <f t="shared" si="558"/>
      </c>
      <c r="P316" s="119">
        <f t="shared" si="588"/>
      </c>
      <c r="Q316" s="119">
        <f t="shared" si="768"/>
      </c>
      <c r="R316" s="119">
        <f t="shared" si="798"/>
      </c>
      <c r="S316" s="120">
        <f t="shared" si="678"/>
      </c>
      <c r="T316" s="121">
        <f t="shared" si="708"/>
      </c>
      <c r="U316" s="119">
        <f t="shared" si="987"/>
      </c>
      <c r="V316" s="122">
        <f t="shared" si="738"/>
      </c>
      <c r="W316" s="122">
        <f t="shared" si="1017"/>
      </c>
      <c r="X316" s="119">
        <f t="shared" si="828"/>
      </c>
      <c r="Y316" s="123">
        <f t="shared" si="897"/>
      </c>
      <c r="Z316" s="123">
        <v>14</v>
      </c>
      <c r="AA316" s="123">
        <v>7</v>
      </c>
      <c r="AB316" s="124">
        <v>8537.400000000001</v>
      </c>
      <c r="AC316" s="124">
        <v>5898.100000000002</v>
      </c>
      <c r="AD316" s="120">
        <f t="shared" si="12"/>
      </c>
      <c r="AE316" s="125" t="s">
        <v>121</v>
      </c>
      <c r="AF316" s="126" t="s">
        <v>153</v>
      </c>
      <c r="AG316" s="127">
        <v>6</v>
      </c>
      <c r="AH316" s="128">
        <v>81420</v>
      </c>
      <c r="AI316" s="128">
        <v>1767</v>
      </c>
      <c r="AJ316" s="128">
        <v>2082</v>
      </c>
      <c r="AK316" s="129">
        <v>290</v>
      </c>
      <c r="AL316" s="129">
        <v>298</v>
      </c>
    </row>
    <row r="317">
      <c r="A317" s="108"/>
      <c r="B317" s="109" t="s">
        <v>143</v>
      </c>
      <c r="C317" s="110" t="s">
        <v>125</v>
      </c>
      <c r="D317" s="111">
        <f t="shared" si="339"/>
      </c>
      <c r="E317" s="110">
        <v>1395.32</v>
      </c>
      <c r="F317" s="113">
        <v>5766.4</v>
      </c>
      <c r="G317" s="113">
        <v>0</v>
      </c>
      <c r="H317" s="113">
        <v>0</v>
      </c>
      <c r="I317" s="113">
        <f t="shared" si="468"/>
      </c>
      <c r="J317" s="114">
        <v>3218.3999999999996</v>
      </c>
      <c r="K317" s="115">
        <f t="shared" si="81"/>
      </c>
      <c r="L317" s="115">
        <f t="shared" si="210"/>
      </c>
      <c r="M317" s="116">
        <f t="shared" si="618"/>
      </c>
      <c r="N317" s="117">
        <f t="shared" si="648"/>
      </c>
      <c r="O317" s="118">
        <f t="shared" si="558"/>
      </c>
      <c r="P317" s="119">
        <f t="shared" si="588"/>
      </c>
      <c r="Q317" s="119">
        <f t="shared" si="768"/>
      </c>
      <c r="R317" s="119">
        <f t="shared" si="798"/>
      </c>
      <c r="S317" s="120">
        <f t="shared" si="678"/>
      </c>
      <c r="T317" s="121">
        <f t="shared" si="708"/>
      </c>
      <c r="U317" s="119">
        <f t="shared" si="987"/>
      </c>
      <c r="V317" s="122">
        <f t="shared" si="738"/>
      </c>
      <c r="W317" s="122">
        <f t="shared" si="1017"/>
      </c>
      <c r="X317" s="119">
        <f t="shared" si="828"/>
      </c>
      <c r="Y317" s="123">
        <f t="shared" si="897"/>
      </c>
      <c r="Z317" s="123">
        <v>4</v>
      </c>
      <c r="AA317" s="123">
        <v>6</v>
      </c>
      <c r="AB317" s="124">
        <v>10717.919999999998</v>
      </c>
      <c r="AC317" s="124">
        <v>1927</v>
      </c>
      <c r="AD317" s="120">
        <f t="shared" si="12"/>
      </c>
      <c r="AE317" s="125" t="s">
        <v>121</v>
      </c>
      <c r="AF317" s="126" t="s">
        <v>153</v>
      </c>
      <c r="AG317" s="127">
        <v>4</v>
      </c>
      <c r="AH317" s="128">
        <v>60094</v>
      </c>
      <c r="AI317" s="128">
        <v>1295</v>
      </c>
      <c r="AJ317" s="128">
        <v>1533</v>
      </c>
      <c r="AK317" s="129">
        <v>190</v>
      </c>
      <c r="AL317" s="129">
        <v>223</v>
      </c>
    </row>
    <row r="318">
      <c r="A318" s="108"/>
      <c r="B318" s="109" t="s">
        <v>143</v>
      </c>
      <c r="C318" s="110" t="s">
        <v>126</v>
      </c>
      <c r="D318" s="111">
        <f t="shared" si="339"/>
      </c>
      <c r="E318" s="112">
        <v>1573.78</v>
      </c>
      <c r="F318" s="113">
        <v>5044.24</v>
      </c>
      <c r="G318" s="113">
        <v>0</v>
      </c>
      <c r="H318" s="113">
        <v>0</v>
      </c>
      <c r="I318" s="113">
        <f t="shared" si="468"/>
      </c>
      <c r="J318" s="114">
        <f>4414.12+676.08</f>
      </c>
      <c r="K318" s="115">
        <f t="shared" si="81"/>
      </c>
      <c r="L318" s="115">
        <f t="shared" si="210"/>
      </c>
      <c r="M318" s="116">
        <f t="shared" si="618"/>
      </c>
      <c r="N318" s="117">
        <f t="shared" si="648"/>
      </c>
      <c r="O318" s="118">
        <f t="shared" si="558"/>
      </c>
      <c r="P318" s="119">
        <f t="shared" si="588"/>
      </c>
      <c r="Q318" s="119">
        <f t="shared" si="768"/>
      </c>
      <c r="R318" s="119">
        <f t="shared" si="798"/>
      </c>
      <c r="S318" s="120">
        <f t="shared" si="678"/>
      </c>
      <c r="T318" s="121">
        <f t="shared" si="708"/>
      </c>
      <c r="U318" s="119">
        <f t="shared" si="987"/>
      </c>
      <c r="V318" s="122">
        <f t="shared" si="738"/>
      </c>
      <c r="W318" s="122">
        <f t="shared" si="1017"/>
      </c>
      <c r="X318" s="119">
        <f t="shared" si="828"/>
      </c>
      <c r="Y318" s="123">
        <f t="shared" si="897"/>
      </c>
      <c r="Z318" s="123">
        <v>1</v>
      </c>
      <c r="AA318" s="123">
        <v>6</v>
      </c>
      <c r="AB318" s="124">
        <v>5807.039999999986</v>
      </c>
      <c r="AC318" s="124">
        <v>0</v>
      </c>
      <c r="AD318" s="120">
        <f t="shared" si="12"/>
      </c>
      <c r="AE318" s="125" t="s">
        <v>121</v>
      </c>
      <c r="AF318" s="126" t="s">
        <v>153</v>
      </c>
      <c r="AG318" s="127">
        <v>6</v>
      </c>
      <c r="AH318" s="128">
        <v>53933</v>
      </c>
      <c r="AI318" s="128">
        <v>1071</v>
      </c>
      <c r="AJ318" s="128">
        <v>1287</v>
      </c>
      <c r="AK318" s="127">
        <v>201</v>
      </c>
      <c r="AL318" s="127">
        <v>208</v>
      </c>
    </row>
    <row r="319">
      <c r="A319" s="108"/>
      <c r="B319" s="130" t="s">
        <v>127</v>
      </c>
      <c r="C319" s="131">
        <v>5</v>
      </c>
      <c r="D319" s="132">
        <f>SUM(D314:D318)</f>
      </c>
      <c r="E319" s="132">
        <f>SUM(E314:E318)</f>
      </c>
      <c r="F319" s="132">
        <f>SUM(F314:F318)</f>
      </c>
      <c r="G319" s="132">
        <f>SUM(G314:G318)</f>
      </c>
      <c r="H319" s="132">
        <f>SUM(H314:H318)</f>
      </c>
      <c r="I319" s="132">
        <f>SUM(I314:I318)</f>
      </c>
      <c r="J319" s="132">
        <f>SUM(J314:J318)</f>
      </c>
      <c r="K319" s="132">
        <f>SUM(K314:K318)</f>
      </c>
      <c r="L319" s="132">
        <f>SUM(L314:L318)</f>
      </c>
      <c r="M319" s="133">
        <f t="shared" si="618"/>
      </c>
      <c r="N319" s="134">
        <f t="shared" si="648"/>
      </c>
      <c r="O319" s="134">
        <f t="shared" si="558"/>
      </c>
      <c r="P319" s="135">
        <f t="shared" si="588"/>
      </c>
      <c r="Q319" s="135">
        <f t="shared" si="768"/>
      </c>
      <c r="R319" s="135">
        <f t="shared" si="798"/>
      </c>
      <c r="S319" s="136">
        <f t="shared" si="678"/>
      </c>
      <c r="T319" s="136">
        <f t="shared" si="708"/>
      </c>
      <c r="U319" s="135">
        <f t="shared" si="987"/>
      </c>
      <c r="V319" s="136">
        <f t="shared" si="738"/>
      </c>
      <c r="W319" s="136">
        <f t="shared" si="1017"/>
      </c>
      <c r="X319" s="135">
        <f t="shared" si="828"/>
      </c>
      <c r="Y319" s="132">
        <f>SUM(Y314:Y318)</f>
      </c>
      <c r="Z319" s="132">
        <f>SUM(Z314:Z318)</f>
      </c>
      <c r="AA319" s="132">
        <f>SUM(AA314:AA318)</f>
      </c>
      <c r="AB319" s="132">
        <f>SUM(AB314:AB318)</f>
      </c>
      <c r="AC319" s="132">
        <f>SUM(AC314:AC318)</f>
      </c>
      <c r="AD319" s="137">
        <f t="shared" si="12"/>
      </c>
      <c r="AE319" s="138"/>
      <c r="AF319" s="139"/>
      <c r="AG319" s="132">
        <f>SUM(AG314:AG318)</f>
      </c>
      <c r="AH319" s="132">
        <f>SUM(AH314:AH318)</f>
      </c>
      <c r="AI319" s="132">
        <f>SUM(AI314:AI318)</f>
      </c>
      <c r="AJ319" s="132">
        <f>SUM(AJ314:AJ318)</f>
      </c>
      <c r="AK319" s="132">
        <f>SUM(AK314:AK318)</f>
      </c>
      <c r="AL319" s="132">
        <f>SUM(AL314:AL318)</f>
      </c>
    </row>
    <row r="320">
      <c r="A320" s="108"/>
      <c r="B320" s="109" t="s">
        <v>119</v>
      </c>
      <c r="C320" s="110" t="s">
        <v>129</v>
      </c>
      <c r="D320" s="111">
        <f t="shared" ref="D320:D324" si="340">E320+F320+G320+H320</f>
      </c>
      <c r="E320" s="112">
        <v>1004.88</v>
      </c>
      <c r="F320" s="113">
        <v>11843.05</v>
      </c>
      <c r="G320" s="113">
        <v>0</v>
      </c>
      <c r="H320" s="113">
        <v>0</v>
      </c>
      <c r="I320" s="113">
        <f t="shared" ref="I320:I324" si="469">AB320+AC320</f>
      </c>
      <c r="J320" s="114">
        <v>2299.3199999999997</v>
      </c>
      <c r="K320" s="115">
        <f t="shared" ref="K320:K324" si="82">I320-J320</f>
      </c>
      <c r="L320" s="115">
        <f t="shared" ref="L320:L324" si="211">(I320-AC320)/12+AC320</f>
      </c>
      <c r="M320" s="116">
        <f t="shared" si="618"/>
      </c>
      <c r="N320" s="117">
        <f t="shared" si="648"/>
      </c>
      <c r="O320" s="118">
        <f t="shared" si="558"/>
      </c>
      <c r="P320" s="119">
        <f t="shared" si="588"/>
      </c>
      <c r="Q320" s="119">
        <f t="shared" si="768"/>
      </c>
      <c r="R320" s="119">
        <f t="shared" si="798"/>
      </c>
      <c r="S320" s="120">
        <f t="shared" si="678"/>
      </c>
      <c r="T320" s="121">
        <f t="shared" si="708"/>
      </c>
      <c r="U320" s="119">
        <f t="shared" si="987"/>
      </c>
      <c r="V320" s="122">
        <f t="shared" si="738"/>
      </c>
      <c r="W320" s="122">
        <f t="shared" si="1017"/>
      </c>
      <c r="X320" s="119">
        <f t="shared" si="828"/>
      </c>
      <c r="Y320" s="123">
        <f t="shared" ref="Y320:Y324" si="898">Z320+AA320</f>
      </c>
      <c r="Z320" s="123">
        <v>9</v>
      </c>
      <c r="AA320" s="123">
        <v>11</v>
      </c>
      <c r="AB320" s="124">
        <v>19350.360000000015</v>
      </c>
      <c r="AC320" s="124">
        <v>0</v>
      </c>
      <c r="AD320" s="120">
        <f t="shared" si="12"/>
      </c>
      <c r="AE320" s="125" t="s">
        <v>121</v>
      </c>
      <c r="AF320" s="126" t="s">
        <v>153</v>
      </c>
      <c r="AG320" s="127">
        <v>10</v>
      </c>
      <c r="AH320" s="128">
        <v>129107</v>
      </c>
      <c r="AI320" s="128">
        <v>1701</v>
      </c>
      <c r="AJ320" s="128">
        <v>1900</v>
      </c>
      <c r="AK320" s="127">
        <v>327</v>
      </c>
      <c r="AL320" s="127">
        <v>367</v>
      </c>
    </row>
    <row r="321">
      <c r="A321" s="108"/>
      <c r="B321" s="109" t="s">
        <v>119</v>
      </c>
      <c r="C321" s="110" t="s">
        <v>130</v>
      </c>
      <c r="D321" s="111">
        <f t="shared" si="340"/>
      </c>
      <c r="E321" s="110">
        <v>830.87</v>
      </c>
      <c r="F321" s="113">
        <v>7632.64</v>
      </c>
      <c r="G321" s="113">
        <v>0</v>
      </c>
      <c r="H321" s="113">
        <v>0</v>
      </c>
      <c r="I321" s="113">
        <f t="shared" si="469"/>
      </c>
      <c r="J321" s="162">
        <f>2151.36+708.48+1172.88</f>
      </c>
      <c r="K321" s="115">
        <f t="shared" si="82"/>
      </c>
      <c r="L321" s="115">
        <f t="shared" si="211"/>
      </c>
      <c r="M321" s="116">
        <f t="shared" si="618"/>
      </c>
      <c r="N321" s="117">
        <f t="shared" si="648"/>
      </c>
      <c r="O321" s="118">
        <f t="shared" si="558"/>
      </c>
      <c r="P321" s="119">
        <f t="shared" si="588"/>
      </c>
      <c r="Q321" s="119">
        <f t="shared" si="768"/>
      </c>
      <c r="R321" s="119">
        <f t="shared" si="798"/>
      </c>
      <c r="S321" s="120">
        <f t="shared" si="678"/>
      </c>
      <c r="T321" s="121">
        <f t="shared" si="708"/>
      </c>
      <c r="U321" s="119">
        <f t="shared" si="987"/>
      </c>
      <c r="V321" s="122">
        <f t="shared" si="738"/>
      </c>
      <c r="W321" s="122">
        <f t="shared" si="1017"/>
      </c>
      <c r="X321" s="119">
        <f t="shared" si="828"/>
      </c>
      <c r="Y321" s="123">
        <f t="shared" si="898"/>
      </c>
      <c r="Z321" s="123">
        <v>17</v>
      </c>
      <c r="AA321" s="123">
        <v>13</v>
      </c>
      <c r="AB321" s="124">
        <v>16312.320000000007</v>
      </c>
      <c r="AC321" s="124">
        <v>0</v>
      </c>
      <c r="AD321" s="120">
        <f t="shared" si="12"/>
      </c>
      <c r="AE321" s="125" t="s">
        <v>121</v>
      </c>
      <c r="AF321" s="126" t="s">
        <v>153</v>
      </c>
      <c r="AG321" s="127">
        <v>10</v>
      </c>
      <c r="AH321" s="128">
        <v>102068</v>
      </c>
      <c r="AI321" s="128">
        <v>1475</v>
      </c>
      <c r="AJ321" s="128">
        <v>1606</v>
      </c>
      <c r="AK321" s="129">
        <v>257</v>
      </c>
      <c r="AL321" s="129">
        <v>304</v>
      </c>
    </row>
    <row r="322">
      <c r="A322" s="108"/>
      <c r="B322" s="109" t="s">
        <v>119</v>
      </c>
      <c r="C322" s="110" t="s">
        <v>131</v>
      </c>
      <c r="D322" s="111">
        <f t="shared" si="340"/>
      </c>
      <c r="E322" s="110">
        <v>722.45</v>
      </c>
      <c r="F322" s="110">
        <v>6493.2</v>
      </c>
      <c r="G322" s="113">
        <v>0</v>
      </c>
      <c r="H322" s="113">
        <v>0</v>
      </c>
      <c r="I322" s="113">
        <f t="shared" si="469"/>
      </c>
      <c r="J322" s="114">
        <v>1561.9999999999982</v>
      </c>
      <c r="K322" s="115">
        <f t="shared" si="82"/>
      </c>
      <c r="L322" s="115">
        <f t="shared" si="211"/>
      </c>
      <c r="M322" s="116">
        <f t="shared" si="618"/>
      </c>
      <c r="N322" s="117">
        <f t="shared" si="648"/>
      </c>
      <c r="O322" s="118">
        <f t="shared" si="558"/>
      </c>
      <c r="P322" s="119">
        <f t="shared" si="588"/>
      </c>
      <c r="Q322" s="119">
        <f t="shared" si="768"/>
      </c>
      <c r="R322" s="119">
        <f t="shared" si="798"/>
      </c>
      <c r="S322" s="120">
        <f t="shared" si="678"/>
      </c>
      <c r="T322" s="121">
        <f t="shared" si="708"/>
      </c>
      <c r="U322" s="119">
        <f t="shared" si="987"/>
      </c>
      <c r="V322" s="122">
        <f t="shared" si="738"/>
      </c>
      <c r="W322" s="122">
        <f t="shared" si="1017"/>
      </c>
      <c r="X322" s="119">
        <f t="shared" si="828"/>
      </c>
      <c r="Y322" s="123">
        <f t="shared" si="898"/>
      </c>
      <c r="Z322" s="123">
        <v>11</v>
      </c>
      <c r="AA322" s="123">
        <v>7</v>
      </c>
      <c r="AB322" s="124">
        <v>16405.199999999983</v>
      </c>
      <c r="AC322" s="124">
        <v>1562</v>
      </c>
      <c r="AD322" s="120">
        <f t="shared" si="12"/>
      </c>
      <c r="AE322" s="125" t="s">
        <v>121</v>
      </c>
      <c r="AF322" s="126" t="s">
        <v>153</v>
      </c>
      <c r="AG322" s="129">
        <v>6</v>
      </c>
      <c r="AH322" s="128">
        <v>90540</v>
      </c>
      <c r="AI322" s="128">
        <v>1379</v>
      </c>
      <c r="AJ322" s="128">
        <v>1510</v>
      </c>
      <c r="AK322" s="129">
        <v>218</v>
      </c>
      <c r="AL322" s="129">
        <v>248</v>
      </c>
    </row>
    <row r="323">
      <c r="A323" s="108"/>
      <c r="B323" s="109" t="s">
        <v>119</v>
      </c>
      <c r="C323" s="110" t="s">
        <v>132</v>
      </c>
      <c r="D323" s="111">
        <f t="shared" si="340"/>
      </c>
      <c r="E323" s="110">
        <v>771.85</v>
      </c>
      <c r="F323" s="113">
        <v>11962.52</v>
      </c>
      <c r="G323" s="113">
        <v>0</v>
      </c>
      <c r="H323" s="113">
        <v>0</v>
      </c>
      <c r="I323" s="113">
        <f t="shared" si="469"/>
      </c>
      <c r="J323" s="114">
        <v>0</v>
      </c>
      <c r="K323" s="115">
        <f t="shared" si="82"/>
      </c>
      <c r="L323" s="115">
        <f t="shared" si="211"/>
      </c>
      <c r="M323" s="116">
        <f t="shared" si="618"/>
      </c>
      <c r="N323" s="117">
        <f t="shared" si="648"/>
      </c>
      <c r="O323" s="118">
        <f t="shared" si="558"/>
      </c>
      <c r="P323" s="119">
        <f t="shared" si="588"/>
      </c>
      <c r="Q323" s="119">
        <f t="shared" si="768"/>
      </c>
      <c r="R323" s="119">
        <f t="shared" si="798"/>
      </c>
      <c r="S323" s="120">
        <f t="shared" si="678"/>
      </c>
      <c r="T323" s="121">
        <f t="shared" si="708"/>
      </c>
      <c r="U323" s="119">
        <f t="shared" si="987"/>
      </c>
      <c r="V323" s="122">
        <f t="shared" si="738"/>
      </c>
      <c r="W323" s="122">
        <f t="shared" si="1017"/>
      </c>
      <c r="X323" s="119">
        <f t="shared" si="828"/>
      </c>
      <c r="Y323" s="123">
        <f t="shared" si="898"/>
      </c>
      <c r="Z323" s="123">
        <v>14</v>
      </c>
      <c r="AA323" s="123">
        <v>5</v>
      </c>
      <c r="AB323" s="114">
        <v>11207.880000000005</v>
      </c>
      <c r="AC323" s="124">
        <v>0</v>
      </c>
      <c r="AD323" s="120">
        <f t="shared" si="12"/>
      </c>
      <c r="AE323" s="125" t="s">
        <v>121</v>
      </c>
      <c r="AF323" s="126" t="s">
        <v>153</v>
      </c>
      <c r="AG323" s="127">
        <v>4</v>
      </c>
      <c r="AH323" s="128">
        <v>132351</v>
      </c>
      <c r="AI323" s="128">
        <v>2181</v>
      </c>
      <c r="AJ323" s="128">
        <v>2342</v>
      </c>
      <c r="AK323" s="129">
        <v>298</v>
      </c>
      <c r="AL323" s="129">
        <v>400</v>
      </c>
    </row>
    <row r="324">
      <c r="A324" s="108"/>
      <c r="B324" s="109" t="s">
        <v>119</v>
      </c>
      <c r="C324" s="110" t="s">
        <v>134</v>
      </c>
      <c r="D324" s="111">
        <f t="shared" si="340"/>
      </c>
      <c r="E324" s="110">
        <v>458.68</v>
      </c>
      <c r="F324" s="140">
        <v>6143.82</v>
      </c>
      <c r="G324" s="113">
        <v>0</v>
      </c>
      <c r="H324" s="113">
        <v>0</v>
      </c>
      <c r="I324" s="113">
        <f t="shared" si="469"/>
      </c>
      <c r="J324" s="160">
        <f>906.12+733.32+3777.84</f>
      </c>
      <c r="K324" s="115">
        <f t="shared" si="82"/>
      </c>
      <c r="L324" s="115">
        <f t="shared" si="211"/>
      </c>
      <c r="M324" s="116">
        <f t="shared" si="618"/>
      </c>
      <c r="N324" s="117">
        <f t="shared" si="648"/>
      </c>
      <c r="O324" s="118">
        <f t="shared" si="558"/>
      </c>
      <c r="P324" s="119">
        <f t="shared" si="588"/>
      </c>
      <c r="Q324" s="119">
        <f t="shared" si="768"/>
      </c>
      <c r="R324" s="119">
        <f t="shared" si="798"/>
      </c>
      <c r="S324" s="120">
        <f t="shared" si="678"/>
      </c>
      <c r="T324" s="121">
        <f t="shared" si="708"/>
      </c>
      <c r="U324" s="119">
        <f t="shared" si="987"/>
      </c>
      <c r="V324" s="122">
        <f t="shared" si="738"/>
      </c>
      <c r="W324" s="122">
        <f t="shared" si="1017"/>
      </c>
      <c r="X324" s="119">
        <f t="shared" si="828"/>
      </c>
      <c r="Y324" s="123">
        <f t="shared" si="898"/>
      </c>
      <c r="Z324" s="123">
        <v>5</v>
      </c>
      <c r="AA324" s="123">
        <v>8</v>
      </c>
      <c r="AB324" s="124">
        <v>15715.080000000016</v>
      </c>
      <c r="AC324" s="124">
        <v>1454</v>
      </c>
      <c r="AD324" s="120">
        <f t="shared" si="12"/>
      </c>
      <c r="AE324" s="125" t="s">
        <v>121</v>
      </c>
      <c r="AF324" s="126" t="s">
        <v>153</v>
      </c>
      <c r="AG324" s="127">
        <v>6</v>
      </c>
      <c r="AH324" s="127">
        <v>84063</v>
      </c>
      <c r="AI324" s="127">
        <v>1264</v>
      </c>
      <c r="AJ324" s="127">
        <v>1394</v>
      </c>
      <c r="AK324" s="127">
        <v>220</v>
      </c>
      <c r="AL324" s="127">
        <v>242</v>
      </c>
    </row>
    <row r="325">
      <c r="A325" s="108"/>
      <c r="B325" s="130" t="s">
        <v>127</v>
      </c>
      <c r="C325" s="131">
        <v>5</v>
      </c>
      <c r="D325" s="132">
        <f>SUM(D320:D324)</f>
      </c>
      <c r="E325" s="132">
        <f>SUM(E320:E324)</f>
      </c>
      <c r="F325" s="132">
        <f>SUM(F320:F324)</f>
      </c>
      <c r="G325" s="132">
        <f>SUM(G320:G324)</f>
      </c>
      <c r="H325" s="132">
        <f>SUM(H320:H324)</f>
      </c>
      <c r="I325" s="132">
        <f>SUM(I320:I324)</f>
      </c>
      <c r="J325" s="132">
        <f>SUM(J320:J324)</f>
      </c>
      <c r="K325" s="132">
        <f>SUM(K320:K324)</f>
      </c>
      <c r="L325" s="132">
        <f>SUM(L320:L324)</f>
      </c>
      <c r="M325" s="133">
        <f t="shared" si="618"/>
      </c>
      <c r="N325" s="134">
        <f t="shared" si="648"/>
      </c>
      <c r="O325" s="134">
        <f t="shared" si="558"/>
      </c>
      <c r="P325" s="135">
        <f t="shared" si="588"/>
      </c>
      <c r="Q325" s="135">
        <f t="shared" si="768"/>
      </c>
      <c r="R325" s="135">
        <f t="shared" si="798"/>
      </c>
      <c r="S325" s="136">
        <f t="shared" si="678"/>
      </c>
      <c r="T325" s="136">
        <f t="shared" si="708"/>
      </c>
      <c r="U325" s="135">
        <f t="shared" si="987"/>
      </c>
      <c r="V325" s="136">
        <f t="shared" si="738"/>
      </c>
      <c r="W325" s="136">
        <f t="shared" si="1017"/>
      </c>
      <c r="X325" s="135">
        <f t="shared" si="828"/>
      </c>
      <c r="Y325" s="132">
        <f>SUM(Y320:Y324)</f>
      </c>
      <c r="Z325" s="132">
        <f>SUM(Z320:Z324)</f>
      </c>
      <c r="AA325" s="132">
        <f>SUM(AA320:AA324)</f>
      </c>
      <c r="AB325" s="132">
        <f>SUM(AB320:AB324)</f>
      </c>
      <c r="AC325" s="132">
        <f>SUM(AC320:AC324)</f>
      </c>
      <c r="AD325" s="137">
        <f t="shared" si="12"/>
      </c>
      <c r="AE325" s="138"/>
      <c r="AF325" s="139"/>
      <c r="AG325" s="132">
        <f>SUM(AG320:AG324)</f>
      </c>
      <c r="AH325" s="132">
        <f>SUM(AH320:AH324)</f>
      </c>
      <c r="AI325" s="132">
        <f>SUM(AI320:AI324)</f>
      </c>
      <c r="AJ325" s="132">
        <f>SUM(AJ320:AJ324)</f>
      </c>
      <c r="AK325" s="132">
        <f>SUM(AK320:AK324)</f>
      </c>
      <c r="AL325" s="132">
        <f>SUM(AL320:AL324)</f>
      </c>
    </row>
    <row r="326">
      <c r="A326" s="108"/>
      <c r="B326" s="109" t="s">
        <v>133</v>
      </c>
      <c r="C326" s="110" t="s">
        <v>135</v>
      </c>
      <c r="D326" s="111">
        <f t="shared" ref="D326:D330" si="341">E326+F326+G326+H326</f>
      </c>
      <c r="E326" s="110">
        <v>381.64</v>
      </c>
      <c r="F326" s="140">
        <v>5149.31</v>
      </c>
      <c r="G326" s="113">
        <v>0</v>
      </c>
      <c r="H326" s="113">
        <v>0</v>
      </c>
      <c r="I326" s="113">
        <f t="shared" ref="I326:I330" si="470">AB326+AC326</f>
      </c>
      <c r="J326" s="160">
        <v>970.92</v>
      </c>
      <c r="K326" s="115">
        <f t="shared" ref="K326:K330" si="83">I326-J326</f>
      </c>
      <c r="L326" s="115">
        <f t="shared" ref="L326:L330" si="212">(I326-AC326)/12+AC326</f>
      </c>
      <c r="M326" s="116">
        <f t="shared" si="618"/>
      </c>
      <c r="N326" s="117">
        <f t="shared" si="648"/>
      </c>
      <c r="O326" s="118">
        <f t="shared" si="558"/>
      </c>
      <c r="P326" s="119">
        <f t="shared" si="588"/>
      </c>
      <c r="Q326" s="119">
        <f t="shared" si="768"/>
      </c>
      <c r="R326" s="119">
        <f t="shared" si="798"/>
      </c>
      <c r="S326" s="120">
        <f t="shared" si="678"/>
      </c>
      <c r="T326" s="121">
        <f t="shared" si="708"/>
      </c>
      <c r="U326" s="119">
        <f t="shared" si="987"/>
      </c>
      <c r="V326" s="122">
        <f t="shared" si="738"/>
      </c>
      <c r="W326" s="122">
        <f t="shared" si="1017"/>
      </c>
      <c r="X326" s="119">
        <f t="shared" si="828"/>
      </c>
      <c r="Y326" s="123">
        <f t="shared" ref="Y326:Y330" si="899">Z326+AA326</f>
      </c>
      <c r="Z326" s="123">
        <v>7</v>
      </c>
      <c r="AA326" s="123">
        <v>4</v>
      </c>
      <c r="AB326" s="124">
        <v>4395.600000000006</v>
      </c>
      <c r="AC326" s="124">
        <v>0</v>
      </c>
      <c r="AD326" s="120">
        <f t="shared" si="12"/>
      </c>
      <c r="AE326" s="125" t="s">
        <v>121</v>
      </c>
      <c r="AF326" s="126" t="s">
        <v>137</v>
      </c>
      <c r="AG326" s="127">
        <v>3</v>
      </c>
      <c r="AH326" s="127">
        <v>70724</v>
      </c>
      <c r="AI326" s="127">
        <v>932</v>
      </c>
      <c r="AJ326" s="127">
        <v>1063</v>
      </c>
      <c r="AK326" s="127">
        <v>128</v>
      </c>
      <c r="AL326" s="127">
        <v>195</v>
      </c>
    </row>
    <row r="327">
      <c r="A327" s="108"/>
      <c r="B327" s="109" t="s">
        <v>133</v>
      </c>
      <c r="C327" s="110" t="s">
        <v>138</v>
      </c>
      <c r="D327" s="111">
        <f t="shared" si="341"/>
      </c>
      <c r="E327" s="110">
        <v>400.7</v>
      </c>
      <c r="F327" s="140">
        <v>3146.33</v>
      </c>
      <c r="G327" s="113">
        <v>0</v>
      </c>
      <c r="H327" s="113">
        <v>0</v>
      </c>
      <c r="I327" s="113">
        <f t="shared" si="470"/>
      </c>
      <c r="J327" s="160">
        <v>0</v>
      </c>
      <c r="K327" s="115">
        <f t="shared" si="83"/>
      </c>
      <c r="L327" s="115">
        <f t="shared" si="212"/>
      </c>
      <c r="M327" s="116">
        <f t="shared" si="618"/>
      </c>
      <c r="N327" s="117">
        <f t="shared" si="648"/>
      </c>
      <c r="O327" s="118">
        <f t="shared" si="558"/>
      </c>
      <c r="P327" s="119">
        <f t="shared" si="588"/>
      </c>
      <c r="Q327" s="119">
        <f t="shared" si="768"/>
      </c>
      <c r="R327" s="119">
        <f t="shared" si="798"/>
      </c>
      <c r="S327" s="120">
        <f t="shared" si="678"/>
      </c>
      <c r="T327" s="121">
        <f t="shared" si="708"/>
      </c>
      <c r="U327" s="119">
        <f t="shared" si="987"/>
      </c>
      <c r="V327" s="122">
        <f t="shared" si="738"/>
      </c>
      <c r="W327" s="122">
        <f t="shared" si="1017"/>
      </c>
      <c r="X327" s="119">
        <f t="shared" si="828"/>
      </c>
      <c r="Y327" s="123">
        <f t="shared" si="899"/>
      </c>
      <c r="Z327" s="123">
        <v>3</v>
      </c>
      <c r="AA327" s="123">
        <v>1</v>
      </c>
      <c r="AB327" s="124">
        <v>1591.9199999999837</v>
      </c>
      <c r="AC327" s="124">
        <v>0</v>
      </c>
      <c r="AD327" s="120">
        <f t="shared" si="12"/>
      </c>
      <c r="AE327" s="125" t="s">
        <v>121</v>
      </c>
      <c r="AF327" s="126" t="s">
        <v>137</v>
      </c>
      <c r="AG327" s="129">
        <v>1</v>
      </c>
      <c r="AH327" s="128">
        <v>39082</v>
      </c>
      <c r="AI327" s="128">
        <v>717</v>
      </c>
      <c r="AJ327" s="128">
        <v>775</v>
      </c>
      <c r="AK327" s="129">
        <v>104</v>
      </c>
      <c r="AL327" s="129">
        <v>132</v>
      </c>
    </row>
    <row r="328">
      <c r="A328" s="108"/>
      <c r="B328" s="109" t="s">
        <v>133</v>
      </c>
      <c r="C328" s="110" t="s">
        <v>140</v>
      </c>
      <c r="D328" s="111">
        <f t="shared" si="341"/>
      </c>
      <c r="E328" s="110">
        <v>411.64</v>
      </c>
      <c r="F328" s="140">
        <v>5606.19</v>
      </c>
      <c r="G328" s="113">
        <v>0</v>
      </c>
      <c r="H328" s="113">
        <v>0</v>
      </c>
      <c r="I328" s="113">
        <f t="shared" si="470"/>
      </c>
      <c r="J328" s="160">
        <v>0</v>
      </c>
      <c r="K328" s="115">
        <f t="shared" si="83"/>
      </c>
      <c r="L328" s="115">
        <f t="shared" si="212"/>
      </c>
      <c r="M328" s="116">
        <f t="shared" si="618"/>
      </c>
      <c r="N328" s="117">
        <f t="shared" si="648"/>
      </c>
      <c r="O328" s="118">
        <f t="shared" si="558"/>
      </c>
      <c r="P328" s="119">
        <f t="shared" si="588"/>
      </c>
      <c r="Q328" s="119">
        <f t="shared" si="768"/>
      </c>
      <c r="R328" s="119">
        <f t="shared" si="798"/>
      </c>
      <c r="S328" s="120">
        <f t="shared" si="678"/>
      </c>
      <c r="T328" s="121">
        <f t="shared" si="708"/>
      </c>
      <c r="U328" s="119">
        <f t="shared" si="987"/>
      </c>
      <c r="V328" s="122">
        <f t="shared" si="738"/>
      </c>
      <c r="W328" s="122">
        <f t="shared" si="1017"/>
      </c>
      <c r="X328" s="119">
        <f t="shared" si="828"/>
      </c>
      <c r="Y328" s="123">
        <f t="shared" si="899"/>
      </c>
      <c r="Z328" s="123">
        <v>2</v>
      </c>
      <c r="AA328" s="123">
        <v>6</v>
      </c>
      <c r="AB328" s="124">
        <v>13881.839999999997</v>
      </c>
      <c r="AC328" s="124">
        <v>0</v>
      </c>
      <c r="AD328" s="120">
        <f t="shared" si="12"/>
      </c>
      <c r="AE328" s="125" t="s">
        <v>121</v>
      </c>
      <c r="AF328" s="126" t="s">
        <v>137</v>
      </c>
      <c r="AG328" s="127">
        <v>5</v>
      </c>
      <c r="AH328" s="128">
        <v>56267</v>
      </c>
      <c r="AI328" s="128">
        <v>876</v>
      </c>
      <c r="AJ328" s="128">
        <v>955</v>
      </c>
      <c r="AK328" s="129">
        <v>117</v>
      </c>
      <c r="AL328" s="129">
        <v>162</v>
      </c>
    </row>
    <row r="329">
      <c r="A329" s="108"/>
      <c r="B329" s="109" t="s">
        <v>133</v>
      </c>
      <c r="C329" s="141" t="s">
        <v>141</v>
      </c>
      <c r="D329" s="111">
        <f t="shared" si="341"/>
      </c>
      <c r="E329" s="110">
        <v>431.3</v>
      </c>
      <c r="F329" s="140">
        <v>7398.85</v>
      </c>
      <c r="G329" s="113">
        <v>0</v>
      </c>
      <c r="H329" s="113">
        <v>0</v>
      </c>
      <c r="I329" s="113">
        <f t="shared" si="470"/>
      </c>
      <c r="J329" s="160">
        <f>696.6+752.76</f>
      </c>
      <c r="K329" s="115">
        <f t="shared" si="83"/>
      </c>
      <c r="L329" s="115">
        <f t="shared" si="212"/>
      </c>
      <c r="M329" s="116">
        <f t="shared" si="618"/>
      </c>
      <c r="N329" s="117">
        <f t="shared" si="648"/>
      </c>
      <c r="O329" s="118">
        <f t="shared" si="558"/>
      </c>
      <c r="P329" s="119">
        <f t="shared" si="588"/>
      </c>
      <c r="Q329" s="119">
        <f t="shared" si="768"/>
      </c>
      <c r="R329" s="119">
        <f t="shared" si="798"/>
      </c>
      <c r="S329" s="120">
        <f t="shared" si="678"/>
      </c>
      <c r="T329" s="121">
        <f t="shared" si="708"/>
      </c>
      <c r="U329" s="119">
        <f t="shared" si="987"/>
      </c>
      <c r="V329" s="122">
        <f t="shared" si="738"/>
      </c>
      <c r="W329" s="122">
        <f t="shared" si="1017"/>
      </c>
      <c r="X329" s="119">
        <f t="shared" si="828"/>
      </c>
      <c r="Y329" s="123">
        <f t="shared" si="899"/>
      </c>
      <c r="Z329" s="123">
        <v>9</v>
      </c>
      <c r="AA329" s="123">
        <v>8</v>
      </c>
      <c r="AB329" s="124">
        <v>14770.080000000016</v>
      </c>
      <c r="AC329" s="124">
        <v>0</v>
      </c>
      <c r="AD329" s="120">
        <f t="shared" si="12"/>
      </c>
      <c r="AE329" s="125" t="s">
        <v>121</v>
      </c>
      <c r="AF329" s="126" t="s">
        <v>137</v>
      </c>
      <c r="AG329" s="127">
        <v>8</v>
      </c>
      <c r="AH329" s="128">
        <v>101988</v>
      </c>
      <c r="AI329" s="128">
        <v>1388</v>
      </c>
      <c r="AJ329" s="128">
        <v>1446</v>
      </c>
      <c r="AK329" s="129">
        <v>201</v>
      </c>
      <c r="AL329" s="129">
        <v>255</v>
      </c>
    </row>
    <row r="330">
      <c r="A330" s="108"/>
      <c r="B330" s="109" t="s">
        <v>133</v>
      </c>
      <c r="C330" s="141" t="s">
        <v>142</v>
      </c>
      <c r="D330" s="111">
        <f t="shared" si="341"/>
      </c>
      <c r="E330" s="110">
        <v>2274.96</v>
      </c>
      <c r="F330" s="140">
        <v>5236.75</v>
      </c>
      <c r="G330" s="113">
        <v>0</v>
      </c>
      <c r="H330" s="113">
        <v>0</v>
      </c>
      <c r="I330" s="113">
        <f t="shared" si="470"/>
      </c>
      <c r="J330" s="160">
        <v>0</v>
      </c>
      <c r="K330" s="115">
        <f t="shared" si="83"/>
      </c>
      <c r="L330" s="115">
        <f t="shared" si="212"/>
      </c>
      <c r="M330" s="116">
        <f t="shared" si="618"/>
      </c>
      <c r="N330" s="117">
        <f t="shared" si="648"/>
      </c>
      <c r="O330" s="118">
        <f t="shared" si="558"/>
      </c>
      <c r="P330" s="119">
        <f t="shared" si="588"/>
      </c>
      <c r="Q330" s="119">
        <f t="shared" si="768"/>
      </c>
      <c r="R330" s="119">
        <f t="shared" si="798"/>
      </c>
      <c r="S330" s="120">
        <f t="shared" si="678"/>
      </c>
      <c r="T330" s="121">
        <f t="shared" si="708"/>
      </c>
      <c r="U330" s="119">
        <f t="shared" si="987"/>
      </c>
      <c r="V330" s="122">
        <f t="shared" si="738"/>
      </c>
      <c r="W330" s="122">
        <f t="shared" si="1017"/>
      </c>
      <c r="X330" s="119">
        <f t="shared" si="828"/>
      </c>
      <c r="Y330" s="123">
        <f t="shared" si="899"/>
      </c>
      <c r="Z330" s="123">
        <v>5</v>
      </c>
      <c r="AA330" s="123">
        <f>8+1</f>
      </c>
      <c r="AB330" s="124">
        <f>10581.84+733.32</f>
      </c>
      <c r="AC330" s="124">
        <v>2707</v>
      </c>
      <c r="AD330" s="120">
        <f t="shared" si="12"/>
      </c>
      <c r="AE330" s="125" t="s">
        <v>121</v>
      </c>
      <c r="AF330" s="126" t="s">
        <v>137</v>
      </c>
      <c r="AG330" s="127">
        <v>7</v>
      </c>
      <c r="AH330" s="128">
        <v>85847</v>
      </c>
      <c r="AI330" s="128">
        <v>2468</v>
      </c>
      <c r="AJ330" s="128">
        <v>2757</v>
      </c>
      <c r="AK330" s="129">
        <v>244</v>
      </c>
      <c r="AL330" s="129">
        <v>257</v>
      </c>
    </row>
    <row r="331">
      <c r="A331" s="108"/>
      <c r="B331" s="130" t="s">
        <v>127</v>
      </c>
      <c r="C331" s="131">
        <v>5</v>
      </c>
      <c r="D331" s="132">
        <f>SUM(D326:D330)</f>
      </c>
      <c r="E331" s="132">
        <f>SUM(E326:E330)</f>
      </c>
      <c r="F331" s="132">
        <f>SUM(F326:F330)</f>
      </c>
      <c r="G331" s="132">
        <f>SUM(G326:G330)</f>
      </c>
      <c r="H331" s="132">
        <f>SUM(H326:H330)</f>
      </c>
      <c r="I331" s="132">
        <f>SUM(I326:I330)</f>
      </c>
      <c r="J331" s="132">
        <f>SUM(J326:J330)</f>
      </c>
      <c r="K331" s="132">
        <f>SUM(K326:K330)</f>
      </c>
      <c r="L331" s="132">
        <f>SUM(L326:L330)</f>
      </c>
      <c r="M331" s="133">
        <f t="shared" si="618"/>
      </c>
      <c r="N331" s="134">
        <f t="shared" si="648"/>
      </c>
      <c r="O331" s="134">
        <f t="shared" si="558"/>
      </c>
      <c r="P331" s="135">
        <f t="shared" si="588"/>
      </c>
      <c r="Q331" s="135">
        <f t="shared" si="768"/>
      </c>
      <c r="R331" s="135">
        <f t="shared" si="798"/>
      </c>
      <c r="S331" s="136">
        <f t="shared" si="678"/>
      </c>
      <c r="T331" s="136">
        <f t="shared" si="708"/>
      </c>
      <c r="U331" s="135">
        <f t="shared" si="987"/>
      </c>
      <c r="V331" s="136">
        <f t="shared" si="738"/>
      </c>
      <c r="W331" s="136">
        <f t="shared" si="1017"/>
      </c>
      <c r="X331" s="135">
        <f t="shared" si="828"/>
      </c>
      <c r="Y331" s="132">
        <f>SUM(Y326:Y330)</f>
      </c>
      <c r="Z331" s="132">
        <f>SUM(Z326:Z330)</f>
      </c>
      <c r="AA331" s="132">
        <f>SUM(AA326:AA330)</f>
      </c>
      <c r="AB331" s="132">
        <f>SUM(AB326:AB330)</f>
      </c>
      <c r="AC331" s="132">
        <f>SUM(AC326:AC330)</f>
      </c>
      <c r="AD331" s="137">
        <f t="shared" si="12"/>
      </c>
      <c r="AE331" s="138"/>
      <c r="AF331" s="139"/>
      <c r="AG331" s="132">
        <f>SUM(AG326:AG330)</f>
      </c>
      <c r="AH331" s="132">
        <f>SUM(AH326:AH330)</f>
      </c>
      <c r="AI331" s="132">
        <f>SUM(AI326:AI330)</f>
      </c>
      <c r="AJ331" s="132">
        <f>SUM(AJ326:AJ330)</f>
      </c>
      <c r="AK331" s="132">
        <f>SUM(AK326:AK330)</f>
      </c>
      <c r="AL331" s="132">
        <f>SUM(AL326:AL330)</f>
      </c>
    </row>
    <row r="332">
      <c r="A332" s="108"/>
      <c r="B332" s="109" t="s">
        <v>139</v>
      </c>
      <c r="C332" s="141" t="s">
        <v>144</v>
      </c>
      <c r="D332" s="143">
        <f t="shared" ref="D332:D336" si="342">E332+F332+G332+H332</f>
      </c>
      <c r="E332" s="166">
        <v>3786.36</v>
      </c>
      <c r="F332" s="145">
        <v>6768.02</v>
      </c>
      <c r="G332" s="113">
        <v>0</v>
      </c>
      <c r="H332" s="113">
        <v>0</v>
      </c>
      <c r="I332" s="113">
        <f t="shared" ref="I332:I336" si="471">AB332+AC332</f>
      </c>
      <c r="J332" s="114">
        <v>0</v>
      </c>
      <c r="K332" s="115">
        <f t="shared" ref="K332:K336" si="84">I332-J332</f>
      </c>
      <c r="L332" s="115">
        <f t="shared" ref="L332:L336" si="213">(I332-AC332)/12+AC332</f>
      </c>
      <c r="M332" s="116">
        <f t="shared" si="618"/>
      </c>
      <c r="N332" s="117">
        <f t="shared" si="648"/>
      </c>
      <c r="O332" s="118">
        <f t="shared" si="558"/>
      </c>
      <c r="P332" s="119">
        <f t="shared" si="588"/>
      </c>
      <c r="Q332" s="119">
        <f t="shared" si="768"/>
      </c>
      <c r="R332" s="119">
        <f t="shared" si="798"/>
      </c>
      <c r="S332" s="120">
        <f t="shared" si="678"/>
      </c>
      <c r="T332" s="121">
        <f t="shared" si="708"/>
      </c>
      <c r="U332" s="119">
        <f t="shared" si="987"/>
      </c>
      <c r="V332" s="122">
        <f t="shared" si="738"/>
      </c>
      <c r="W332" s="122">
        <f t="shared" si="1017"/>
      </c>
      <c r="X332" s="119">
        <f t="shared" si="828"/>
      </c>
      <c r="Y332" s="123">
        <f t="shared" ref="Y332:Y336" si="900">Z332+AA332</f>
      </c>
      <c r="Z332" s="123">
        <v>6</v>
      </c>
      <c r="AA332" s="123">
        <v>4</v>
      </c>
      <c r="AB332" s="124">
        <v>8417.399999999994</v>
      </c>
      <c r="AC332" s="124">
        <v>0</v>
      </c>
      <c r="AD332" s="120">
        <f t="shared" si="12"/>
      </c>
      <c r="AE332" s="125" t="s">
        <v>121</v>
      </c>
      <c r="AF332" s="126" t="s">
        <v>137</v>
      </c>
      <c r="AG332" s="127">
        <v>4</v>
      </c>
      <c r="AH332" s="127">
        <v>109833</v>
      </c>
      <c r="AI332" s="128">
        <v>4099</v>
      </c>
      <c r="AJ332" s="128">
        <v>4625</v>
      </c>
      <c r="AK332" s="127">
        <v>381</v>
      </c>
      <c r="AL332" s="129">
        <v>349</v>
      </c>
    </row>
    <row r="333">
      <c r="A333" s="108"/>
      <c r="B333" s="109" t="s">
        <v>139</v>
      </c>
      <c r="C333" s="110" t="s">
        <v>145</v>
      </c>
      <c r="D333" s="143">
        <f t="shared" si="342"/>
      </c>
      <c r="E333" s="147">
        <v>2858.94</v>
      </c>
      <c r="F333" s="145">
        <v>3920.13</v>
      </c>
      <c r="G333" s="113">
        <v>0</v>
      </c>
      <c r="H333" s="113">
        <v>0</v>
      </c>
      <c r="I333" s="113">
        <f t="shared" si="471"/>
      </c>
      <c r="J333" s="114">
        <v>0</v>
      </c>
      <c r="K333" s="115">
        <f t="shared" si="84"/>
      </c>
      <c r="L333" s="115">
        <f t="shared" si="213"/>
      </c>
      <c r="M333" s="116">
        <f t="shared" si="618"/>
      </c>
      <c r="N333" s="117">
        <f t="shared" si="648"/>
      </c>
      <c r="O333" s="118">
        <f t="shared" si="558"/>
      </c>
      <c r="P333" s="119">
        <f t="shared" si="588"/>
      </c>
      <c r="Q333" s="119">
        <f t="shared" si="768"/>
      </c>
      <c r="R333" s="119">
        <f t="shared" si="798"/>
      </c>
      <c r="S333" s="120">
        <f t="shared" si="678"/>
      </c>
      <c r="T333" s="121">
        <f t="shared" si="708"/>
      </c>
      <c r="U333" s="119">
        <f t="shared" si="987"/>
      </c>
      <c r="V333" s="122">
        <f t="shared" si="738"/>
      </c>
      <c r="W333" s="122">
        <f t="shared" si="1017"/>
      </c>
      <c r="X333" s="119">
        <f t="shared" si="828"/>
      </c>
      <c r="Y333" s="123">
        <f t="shared" si="900"/>
      </c>
      <c r="Z333" s="123">
        <v>7</v>
      </c>
      <c r="AA333" s="123">
        <v>6</v>
      </c>
      <c r="AB333" s="124">
        <v>10965.23999999999</v>
      </c>
      <c r="AC333" s="124">
        <v>0</v>
      </c>
      <c r="AD333" s="120">
        <f t="shared" si="12"/>
      </c>
      <c r="AE333" s="125" t="s">
        <v>121</v>
      </c>
      <c r="AF333" s="126" t="s">
        <v>137</v>
      </c>
      <c r="AG333" s="127">
        <v>6</v>
      </c>
      <c r="AH333" s="128">
        <v>74076</v>
      </c>
      <c r="AI333" s="128">
        <v>2743</v>
      </c>
      <c r="AJ333" s="128">
        <v>3232</v>
      </c>
      <c r="AK333" s="129">
        <v>276</v>
      </c>
      <c r="AL333" s="129">
        <v>254</v>
      </c>
    </row>
    <row r="334">
      <c r="A334" s="108"/>
      <c r="B334" s="109" t="s">
        <v>139</v>
      </c>
      <c r="C334" s="141" t="s">
        <v>146</v>
      </c>
      <c r="D334" s="143">
        <f t="shared" si="342"/>
      </c>
      <c r="E334" s="147">
        <v>2402.39</v>
      </c>
      <c r="F334" s="147">
        <v>3963.25</v>
      </c>
      <c r="G334" s="113">
        <v>0</v>
      </c>
      <c r="H334" s="113">
        <v>0</v>
      </c>
      <c r="I334" s="113">
        <f t="shared" si="471"/>
      </c>
      <c r="J334" s="114">
        <v>0</v>
      </c>
      <c r="K334" s="115">
        <f t="shared" si="84"/>
      </c>
      <c r="L334" s="115">
        <f t="shared" si="213"/>
      </c>
      <c r="M334" s="116">
        <f t="shared" si="618"/>
      </c>
      <c r="N334" s="117">
        <f t="shared" si="648"/>
      </c>
      <c r="O334" s="118">
        <f t="shared" si="558"/>
      </c>
      <c r="P334" s="119">
        <f t="shared" si="588"/>
      </c>
      <c r="Q334" s="119">
        <f t="shared" si="768"/>
      </c>
      <c r="R334" s="119">
        <f t="shared" si="798"/>
      </c>
      <c r="S334" s="120">
        <f t="shared" si="678"/>
      </c>
      <c r="T334" s="121">
        <f t="shared" si="708"/>
      </c>
      <c r="U334" s="119">
        <f t="shared" si="987"/>
      </c>
      <c r="V334" s="122">
        <f t="shared" si="738"/>
      </c>
      <c r="W334" s="122">
        <f t="shared" si="1017"/>
      </c>
      <c r="X334" s="119">
        <f t="shared" si="828"/>
      </c>
      <c r="Y334" s="123">
        <f t="shared" si="900"/>
      </c>
      <c r="Z334" s="123">
        <v>6</v>
      </c>
      <c r="AA334" s="123">
        <v>5</v>
      </c>
      <c r="AB334" s="124">
        <v>7174.440000000002</v>
      </c>
      <c r="AC334" s="124">
        <v>0</v>
      </c>
      <c r="AD334" s="120">
        <f t="shared" si="12"/>
      </c>
      <c r="AE334" s="125" t="s">
        <v>121</v>
      </c>
      <c r="AF334" s="126" t="s">
        <v>137</v>
      </c>
      <c r="AG334" s="129">
        <v>5</v>
      </c>
      <c r="AH334" s="128">
        <v>64758</v>
      </c>
      <c r="AI334" s="128">
        <v>2185</v>
      </c>
      <c r="AJ334" s="128">
        <v>2634</v>
      </c>
      <c r="AK334" s="129">
        <v>244</v>
      </c>
      <c r="AL334" s="129">
        <v>199</v>
      </c>
    </row>
    <row r="335">
      <c r="A335" s="108"/>
      <c r="B335" s="109" t="s">
        <v>139</v>
      </c>
      <c r="C335" s="110" t="s">
        <v>147</v>
      </c>
      <c r="D335" s="143">
        <f t="shared" si="342"/>
      </c>
      <c r="E335" s="147">
        <v>1354.35</v>
      </c>
      <c r="F335" s="145">
        <v>4884.11</v>
      </c>
      <c r="G335" s="113">
        <v>0</v>
      </c>
      <c r="H335" s="113">
        <v>0</v>
      </c>
      <c r="I335" s="113">
        <f t="shared" si="471"/>
      </c>
      <c r="J335" s="114">
        <v>0</v>
      </c>
      <c r="K335" s="115">
        <f t="shared" si="84"/>
      </c>
      <c r="L335" s="115">
        <f t="shared" si="213"/>
      </c>
      <c r="M335" s="116">
        <f t="shared" si="618"/>
      </c>
      <c r="N335" s="117">
        <f t="shared" si="648"/>
      </c>
      <c r="O335" s="118">
        <f t="shared" si="558"/>
      </c>
      <c r="P335" s="119">
        <f t="shared" si="588"/>
      </c>
      <c r="Q335" s="119">
        <f t="shared" si="768"/>
      </c>
      <c r="R335" s="119">
        <f t="shared" si="798"/>
      </c>
      <c r="S335" s="120">
        <f t="shared" si="678"/>
      </c>
      <c r="T335" s="121">
        <f t="shared" si="708"/>
      </c>
      <c r="U335" s="119">
        <f t="shared" si="987"/>
      </c>
      <c r="V335" s="122">
        <f t="shared" si="738"/>
      </c>
      <c r="W335" s="122">
        <f t="shared" si="1017"/>
      </c>
      <c r="X335" s="119">
        <f t="shared" si="828"/>
      </c>
      <c r="Y335" s="123">
        <f t="shared" si="900"/>
      </c>
      <c r="Z335" s="123">
        <v>9</v>
      </c>
      <c r="AA335" s="123">
        <v>6</v>
      </c>
      <c r="AB335" s="124">
        <v>12533.4</v>
      </c>
      <c r="AC335" s="124">
        <v>0</v>
      </c>
      <c r="AD335" s="120">
        <f t="shared" si="12"/>
      </c>
      <c r="AE335" s="125" t="s">
        <v>121</v>
      </c>
      <c r="AF335" s="126" t="s">
        <v>137</v>
      </c>
      <c r="AG335" s="127">
        <v>5</v>
      </c>
      <c r="AH335" s="128">
        <v>67674</v>
      </c>
      <c r="AI335" s="128">
        <v>2265</v>
      </c>
      <c r="AJ335" s="128">
        <v>2728</v>
      </c>
      <c r="AK335" s="129">
        <v>256</v>
      </c>
      <c r="AL335" s="129">
        <v>214</v>
      </c>
    </row>
    <row r="336">
      <c r="A336" s="108"/>
      <c r="B336" s="109" t="s">
        <v>139</v>
      </c>
      <c r="C336" s="110" t="s">
        <v>148</v>
      </c>
      <c r="D336" s="143">
        <f t="shared" si="342"/>
      </c>
      <c r="E336" s="147">
        <v>406.13</v>
      </c>
      <c r="F336" s="145">
        <v>3397.53</v>
      </c>
      <c r="G336" s="113">
        <v>0</v>
      </c>
      <c r="H336" s="113">
        <v>0</v>
      </c>
      <c r="I336" s="113">
        <f t="shared" si="471"/>
      </c>
      <c r="J336" s="114">
        <v>0</v>
      </c>
      <c r="K336" s="115">
        <f t="shared" si="84"/>
      </c>
      <c r="L336" s="115">
        <f t="shared" si="213"/>
      </c>
      <c r="M336" s="116">
        <f t="shared" si="618"/>
      </c>
      <c r="N336" s="117">
        <f t="shared" si="648"/>
      </c>
      <c r="O336" s="118">
        <f t="shared" si="558"/>
      </c>
      <c r="P336" s="119">
        <f t="shared" si="588"/>
      </c>
      <c r="Q336" s="119">
        <f t="shared" si="768"/>
      </c>
      <c r="R336" s="119">
        <f t="shared" si="798"/>
      </c>
      <c r="S336" s="120">
        <f t="shared" si="678"/>
      </c>
      <c r="T336" s="121">
        <f t="shared" si="708"/>
      </c>
      <c r="U336" s="119">
        <f t="shared" si="987"/>
      </c>
      <c r="V336" s="122">
        <f t="shared" si="738"/>
      </c>
      <c r="W336" s="122">
        <f t="shared" si="1017"/>
      </c>
      <c r="X336" s="119">
        <f t="shared" si="828"/>
      </c>
      <c r="Y336" s="123">
        <f t="shared" si="900"/>
      </c>
      <c r="Z336" s="123">
        <v>0</v>
      </c>
      <c r="AA336" s="123">
        <v>1</v>
      </c>
      <c r="AB336" s="124">
        <v>646.9200000000001</v>
      </c>
      <c r="AC336" s="124">
        <v>0</v>
      </c>
      <c r="AD336" s="120">
        <f t="shared" si="12"/>
      </c>
      <c r="AE336" s="125" t="s">
        <v>121</v>
      </c>
      <c r="AF336" s="126" t="s">
        <v>137</v>
      </c>
      <c r="AG336" s="127">
        <v>0</v>
      </c>
      <c r="AH336" s="128">
        <v>46344</v>
      </c>
      <c r="AI336" s="128">
        <v>989</v>
      </c>
      <c r="AJ336" s="128">
        <v>1204</v>
      </c>
      <c r="AK336" s="129">
        <v>125</v>
      </c>
      <c r="AL336" s="129">
        <v>130</v>
      </c>
    </row>
    <row r="337">
      <c r="A337" s="108"/>
      <c r="B337" s="130" t="s">
        <v>127</v>
      </c>
      <c r="C337" s="131">
        <v>5</v>
      </c>
      <c r="D337" s="132">
        <f>SUM(D332:D336)</f>
      </c>
      <c r="E337" s="132">
        <f>SUM(E332:E336)</f>
      </c>
      <c r="F337" s="132">
        <f>SUM(F332:F336)</f>
      </c>
      <c r="G337" s="132">
        <f>SUM(G332:G336)</f>
      </c>
      <c r="H337" s="132">
        <f>SUM(H332:H336)</f>
      </c>
      <c r="I337" s="132">
        <f>SUM(I332:I336)</f>
      </c>
      <c r="J337" s="132">
        <f>SUM(J332:J336)</f>
      </c>
      <c r="K337" s="132">
        <f>SUM(K332:K336)</f>
      </c>
      <c r="L337" s="132">
        <f>SUM(L332:L336)</f>
      </c>
      <c r="M337" s="133">
        <f t="shared" si="618"/>
      </c>
      <c r="N337" s="134">
        <f t="shared" si="648"/>
      </c>
      <c r="O337" s="134">
        <f t="shared" si="558"/>
      </c>
      <c r="P337" s="135">
        <f t="shared" si="588"/>
      </c>
      <c r="Q337" s="135">
        <f t="shared" si="768"/>
      </c>
      <c r="R337" s="135">
        <f t="shared" si="798"/>
      </c>
      <c r="S337" s="136">
        <f t="shared" si="678"/>
      </c>
      <c r="T337" s="136">
        <f t="shared" si="708"/>
      </c>
      <c r="U337" s="135">
        <f t="shared" si="987"/>
      </c>
      <c r="V337" s="136">
        <f t="shared" si="738"/>
      </c>
      <c r="W337" s="136">
        <f t="shared" si="1017"/>
      </c>
      <c r="X337" s="135">
        <f t="shared" si="828"/>
      </c>
      <c r="Y337" s="132">
        <f>SUM(Y332:Y336)</f>
      </c>
      <c r="Z337" s="132">
        <f>SUM(Z332:Z336)</f>
      </c>
      <c r="AA337" s="132">
        <f>SUM(AA332:AA336)</f>
      </c>
      <c r="AB337" s="132">
        <f>SUM(AB332:AB336)</f>
      </c>
      <c r="AC337" s="132">
        <f>SUM(AC332:AC336)</f>
      </c>
      <c r="AD337" s="150">
        <f t="shared" si="12"/>
      </c>
      <c r="AE337" s="151"/>
      <c r="AF337" s="139"/>
      <c r="AG337" s="132">
        <f>SUM(AG332:AG336)</f>
      </c>
      <c r="AH337" s="132">
        <f>SUM(AH332:AH336)</f>
      </c>
      <c r="AI337" s="132">
        <f>SUM(AI332:AI336)</f>
      </c>
      <c r="AJ337" s="132">
        <f>SUM(AJ332:AJ336)</f>
      </c>
      <c r="AK337" s="132">
        <f>SUM(AK332:AK336)</f>
      </c>
      <c r="AL337" s="132">
        <f>SUM(AL332:AL336)</f>
      </c>
    </row>
    <row r="338">
      <c r="A338" s="108"/>
      <c r="B338" s="152" t="s">
        <v>127</v>
      </c>
      <c r="C338" s="153">
        <f>C319+C325+C331+C337</f>
      </c>
      <c r="D338" s="167">
        <f>D319+D325+D331+D337</f>
      </c>
      <c r="E338" s="153">
        <f>E319+E325+E331+E337</f>
      </c>
      <c r="F338" s="153">
        <f>F319+F325+F331+F337</f>
      </c>
      <c r="G338" s="153">
        <f>G319+G325+G331+G337</f>
      </c>
      <c r="H338" s="153">
        <f>H319+H325+H331+H337</f>
      </c>
      <c r="I338" s="167">
        <f>I319+I325+I331+I337</f>
      </c>
      <c r="J338" s="153">
        <f>J319+J325+J331+J337</f>
      </c>
      <c r="K338" s="153">
        <f>K319+K325+K331+K337</f>
      </c>
      <c r="L338" s="153">
        <f>L319+L325+L331+L337</f>
      </c>
      <c r="M338" s="154">
        <f t="shared" si="618"/>
      </c>
      <c r="N338" s="154">
        <f t="shared" si="648"/>
      </c>
      <c r="O338" s="154">
        <f t="shared" si="558"/>
      </c>
      <c r="P338" s="154">
        <f t="shared" si="588"/>
      </c>
      <c r="Q338" s="154">
        <f t="shared" si="768"/>
      </c>
      <c r="R338" s="154">
        <f t="shared" si="798"/>
      </c>
      <c r="S338" s="155">
        <f t="shared" si="678"/>
      </c>
      <c r="T338" s="155">
        <f t="shared" si="708"/>
      </c>
      <c r="U338" s="154">
        <f t="shared" si="987"/>
      </c>
      <c r="V338" s="155">
        <f t="shared" si="738"/>
      </c>
      <c r="W338" s="155">
        <f t="shared" si="1017"/>
      </c>
      <c r="X338" s="154">
        <f t="shared" si="828"/>
      </c>
      <c r="Y338" s="156">
        <f>Y319+Y325+Y331+Y337</f>
      </c>
      <c r="Z338" s="156">
        <f>Z319+Z325+Z331+Z337</f>
      </c>
      <c r="AA338" s="156">
        <f>AA319+AA325+AA331+AA337</f>
      </c>
      <c r="AB338" s="156">
        <f>AB319+AB325+AB331+AB337</f>
      </c>
      <c r="AC338" s="156">
        <f>AC319+AC325+AC331+AC337</f>
      </c>
      <c r="AD338" s="157">
        <f>AD319+AD325+AD331+AD337</f>
      </c>
      <c r="AE338" s="158"/>
      <c r="AF338" s="159"/>
      <c r="AG338" s="153">
        <f>AG319+AG325+AG331+AG337</f>
      </c>
      <c r="AH338" s="153">
        <f>AH319+AH325+AH331+AH337</f>
      </c>
      <c r="AI338" s="153">
        <f>AI319+AI325+AI331+AI337</f>
      </c>
      <c r="AJ338" s="153">
        <f>AJ319+AJ325+AJ331+AJ337</f>
      </c>
      <c r="AK338" s="153">
        <f>AK319+AK325+AK331+AK337</f>
      </c>
      <c r="AL338" s="153">
        <f>AL319+AL325+AL331+AL337</f>
      </c>
    </row>
    <row r="339">
      <c r="A339" s="94" t="s">
        <v>81</v>
      </c>
      <c r="B339" s="95" t="s">
        <v>82</v>
      </c>
      <c r="C339" s="95" t="s">
        <v>83</v>
      </c>
      <c r="D339" s="96" t="s">
        <v>84</v>
      </c>
      <c r="E339" s="164" t="s">
        <v>85</v>
      </c>
      <c r="F339" s="95" t="s">
        <v>86</v>
      </c>
      <c r="G339" s="97" t="s">
        <v>87</v>
      </c>
      <c r="H339" s="97" t="s">
        <v>88</v>
      </c>
      <c r="I339" s="96" t="s">
        <v>89</v>
      </c>
      <c r="J339" s="98" t="s">
        <v>90</v>
      </c>
      <c r="K339" s="99" t="s">
        <v>91</v>
      </c>
      <c r="L339" s="99" t="s">
        <v>92</v>
      </c>
      <c r="M339" s="100" t="s">
        <v>93</v>
      </c>
      <c r="N339" s="99" t="s">
        <v>94</v>
      </c>
      <c r="O339" s="95" t="s">
        <v>95</v>
      </c>
      <c r="P339" s="100" t="s">
        <v>96</v>
      </c>
      <c r="Q339" s="101" t="s">
        <v>97</v>
      </c>
      <c r="R339" s="101" t="s">
        <v>98</v>
      </c>
      <c r="S339" s="96" t="s">
        <v>99</v>
      </c>
      <c r="T339" s="102" t="s">
        <v>100</v>
      </c>
      <c r="U339" s="100" t="s">
        <v>101</v>
      </c>
      <c r="V339" s="103" t="s">
        <v>102</v>
      </c>
      <c r="W339" s="104" t="s">
        <v>103</v>
      </c>
      <c r="X339" s="100" t="s">
        <v>104</v>
      </c>
      <c r="Y339" s="105" t="s">
        <v>105</v>
      </c>
      <c r="Z339" s="106" t="s">
        <v>106</v>
      </c>
      <c r="AA339" s="105" t="s">
        <v>107</v>
      </c>
      <c r="AB339" s="107" t="s">
        <v>108</v>
      </c>
      <c r="AC339" s="107" t="s">
        <v>109</v>
      </c>
      <c r="AD339" s="99" t="s">
        <v>110</v>
      </c>
      <c r="AE339" s="98" t="s">
        <v>111</v>
      </c>
      <c r="AF339" s="99" t="s">
        <v>112</v>
      </c>
      <c r="AG339" s="98" t="s">
        <v>113</v>
      </c>
      <c r="AH339" s="98" t="s">
        <v>114</v>
      </c>
      <c r="AI339" s="99" t="s">
        <v>115</v>
      </c>
      <c r="AJ339" s="98" t="s">
        <v>116</v>
      </c>
      <c r="AK339" s="99" t="s">
        <v>117</v>
      </c>
      <c r="AL339" s="98" t="s">
        <v>118</v>
      </c>
    </row>
    <row r="340">
      <c r="A340" s="108">
        <v>46279</v>
      </c>
      <c r="B340" s="109" t="s">
        <v>119</v>
      </c>
      <c r="C340" s="110" t="s">
        <v>120</v>
      </c>
      <c r="D340" s="143">
        <f t="shared" ref="D340:D344" si="343">E340+F340+G340+H340</f>
      </c>
      <c r="E340" s="144">
        <v>1479.07</v>
      </c>
      <c r="F340" s="146">
        <v>7084.06</v>
      </c>
      <c r="G340" s="113">
        <v>0</v>
      </c>
      <c r="H340" s="113">
        <v>0</v>
      </c>
      <c r="I340" s="113">
        <f t="shared" ref="I340:I344" si="472">AB340+AC340</f>
      </c>
      <c r="J340" s="114">
        <v>5896.8</v>
      </c>
      <c r="K340" s="115">
        <f t="shared" ref="K340:K344" si="85">I340-J340</f>
      </c>
      <c r="L340" s="115">
        <f t="shared" ref="L340:L344" si="214">(I340-AC340)/12+AC340</f>
      </c>
      <c r="M340" s="116">
        <f t="shared" ref="M340:M364" si="619">I340/D340</f>
      </c>
      <c r="N340" s="117">
        <f t="shared" ref="N340:N364" si="649">(I340-J340)/D340</f>
      </c>
      <c r="O340" s="118">
        <f t="shared" ref="O340:O364" si="559">(AC340+AB340/12)/D340</f>
      </c>
      <c r="P340" s="119">
        <f t="shared" ref="P340:P364" si="589">I340/AA340</f>
      </c>
      <c r="Q340" s="119">
        <f t="shared" ref="Q340:Q364" si="769">D340/AA340</f>
      </c>
      <c r="R340" s="119">
        <f t="shared" ref="R340:R364" si="799">D340/AG340</f>
      </c>
      <c r="S340" s="120">
        <f t="shared" ref="S340:S364" si="679">AA340/Y340</f>
      </c>
      <c r="T340" s="121">
        <f t="shared" ref="T340:T364" si="709">AI340/AH340</f>
      </c>
      <c r="U340" s="119">
        <f t="shared" ref="U340:U364" si="988">D340/AJ340</f>
      </c>
      <c r="V340" s="122">
        <f t="shared" ref="V340:V364" si="739">AK340/AJ340</f>
      </c>
      <c r="W340" s="122">
        <f t="shared" ref="W340:W364" si="1018">AL340/AJ340</f>
      </c>
      <c r="X340" s="119">
        <f t="shared" ref="X340:X364" si="829">D340/AL340</f>
      </c>
      <c r="Y340" s="123">
        <f t="shared" ref="Y340:Y344" si="901">Z340+AA340</f>
      </c>
      <c r="Z340" s="123">
        <v>2</v>
      </c>
      <c r="AA340" s="123">
        <v>7</v>
      </c>
      <c r="AB340" s="124">
        <v>13402.68</v>
      </c>
      <c r="AC340" s="124">
        <v>0</v>
      </c>
      <c r="AD340" s="120">
        <f t="shared" ref="AD340:AD363" si="13">AC340/I340</f>
      </c>
      <c r="AE340" s="125" t="s">
        <v>121</v>
      </c>
      <c r="AF340" s="126" t="s">
        <v>153</v>
      </c>
      <c r="AG340" s="127">
        <v>5</v>
      </c>
      <c r="AH340" s="127">
        <v>113503</v>
      </c>
      <c r="AI340" s="128">
        <v>2445</v>
      </c>
      <c r="AJ340" s="128">
        <v>2893</v>
      </c>
      <c r="AK340" s="127">
        <v>332</v>
      </c>
      <c r="AL340" s="129">
        <v>278</v>
      </c>
    </row>
    <row r="341">
      <c r="A341" s="108"/>
      <c r="B341" s="109" t="s">
        <v>119</v>
      </c>
      <c r="C341" s="110" t="s">
        <v>123</v>
      </c>
      <c r="D341" s="143">
        <f t="shared" si="343"/>
      </c>
      <c r="E341" s="147">
        <v>1264.22</v>
      </c>
      <c r="F341" s="146">
        <v>5184.49</v>
      </c>
      <c r="G341" s="113">
        <v>0</v>
      </c>
      <c r="H341" s="113">
        <v>0</v>
      </c>
      <c r="I341" s="113">
        <f t="shared" si="472"/>
      </c>
      <c r="J341" s="114">
        <v>708.48</v>
      </c>
      <c r="K341" s="115">
        <f t="shared" si="85"/>
      </c>
      <c r="L341" s="115">
        <f t="shared" si="214"/>
      </c>
      <c r="M341" s="116">
        <f t="shared" si="619"/>
      </c>
      <c r="N341" s="117">
        <f t="shared" si="649"/>
      </c>
      <c r="O341" s="118">
        <f t="shared" si="559"/>
      </c>
      <c r="P341" s="119">
        <f t="shared" si="589"/>
      </c>
      <c r="Q341" s="119">
        <f t="shared" si="769"/>
      </c>
      <c r="R341" s="119">
        <f t="shared" si="799"/>
      </c>
      <c r="S341" s="120">
        <f t="shared" si="679"/>
      </c>
      <c r="T341" s="121">
        <f t="shared" si="709"/>
      </c>
      <c r="U341" s="119">
        <f t="shared" si="988"/>
      </c>
      <c r="V341" s="122">
        <f t="shared" si="739"/>
      </c>
      <c r="W341" s="122">
        <f t="shared" si="1018"/>
      </c>
      <c r="X341" s="119">
        <f t="shared" si="829"/>
      </c>
      <c r="Y341" s="123">
        <f t="shared" si="901"/>
      </c>
      <c r="Z341" s="123">
        <v>1</v>
      </c>
      <c r="AA341" s="123">
        <v>5</v>
      </c>
      <c r="AB341" s="124">
        <v>5080.32</v>
      </c>
      <c r="AC341" s="124">
        <v>0</v>
      </c>
      <c r="AD341" s="120">
        <f t="shared" si="13"/>
      </c>
      <c r="AE341" s="125" t="s">
        <v>121</v>
      </c>
      <c r="AF341" s="126" t="s">
        <v>153</v>
      </c>
      <c r="AG341" s="127">
        <v>5</v>
      </c>
      <c r="AH341" s="128">
        <v>79146</v>
      </c>
      <c r="AI341" s="128">
        <v>1549</v>
      </c>
      <c r="AJ341" s="128">
        <v>1984</v>
      </c>
      <c r="AK341" s="129">
        <v>246</v>
      </c>
      <c r="AL341" s="129">
        <v>206</v>
      </c>
    </row>
    <row r="342">
      <c r="A342" s="108"/>
      <c r="B342" s="109" t="s">
        <v>119</v>
      </c>
      <c r="C342" s="110" t="s">
        <v>124</v>
      </c>
      <c r="D342" s="111">
        <f t="shared" si="343"/>
      </c>
      <c r="E342" s="165">
        <v>902.63</v>
      </c>
      <c r="F342" s="110">
        <v>4970.88</v>
      </c>
      <c r="G342" s="113">
        <v>0</v>
      </c>
      <c r="H342" s="113">
        <v>0</v>
      </c>
      <c r="I342" s="113">
        <f t="shared" si="472"/>
      </c>
      <c r="J342" s="114">
        <v>1622.16</v>
      </c>
      <c r="K342" s="115">
        <f t="shared" si="85"/>
      </c>
      <c r="L342" s="115">
        <f t="shared" si="214"/>
      </c>
      <c r="M342" s="116">
        <f t="shared" si="619"/>
      </c>
      <c r="N342" s="117">
        <f t="shared" si="649"/>
      </c>
      <c r="O342" s="118">
        <f t="shared" si="559"/>
      </c>
      <c r="P342" s="119">
        <f t="shared" si="589"/>
      </c>
      <c r="Q342" s="119">
        <f t="shared" si="769"/>
      </c>
      <c r="R342" s="119">
        <f t="shared" si="799"/>
      </c>
      <c r="S342" s="120">
        <f t="shared" si="679"/>
      </c>
      <c r="T342" s="121">
        <f t="shared" si="709"/>
      </c>
      <c r="U342" s="119">
        <f t="shared" si="988"/>
      </c>
      <c r="V342" s="122">
        <f t="shared" si="739"/>
      </c>
      <c r="W342" s="122">
        <f t="shared" si="1018"/>
      </c>
      <c r="X342" s="119">
        <f t="shared" si="829"/>
      </c>
      <c r="Y342" s="123">
        <f t="shared" si="901"/>
      </c>
      <c r="Z342" s="123">
        <v>3</v>
      </c>
      <c r="AA342" s="123">
        <v>5</v>
      </c>
      <c r="AB342" s="124">
        <v>9761.400000000001</v>
      </c>
      <c r="AC342" s="124">
        <v>1184</v>
      </c>
      <c r="AD342" s="120">
        <f t="shared" si="13"/>
      </c>
      <c r="AE342" s="125" t="s">
        <v>121</v>
      </c>
      <c r="AF342" s="126" t="s">
        <v>153</v>
      </c>
      <c r="AG342" s="127">
        <v>4</v>
      </c>
      <c r="AH342" s="128">
        <v>65705</v>
      </c>
      <c r="AI342" s="128">
        <v>1080</v>
      </c>
      <c r="AJ342" s="128">
        <v>1328</v>
      </c>
      <c r="AK342" s="129">
        <v>186</v>
      </c>
      <c r="AL342" s="129">
        <v>161</v>
      </c>
    </row>
    <row r="343">
      <c r="A343" s="108"/>
      <c r="B343" s="109" t="s">
        <v>119</v>
      </c>
      <c r="C343" s="110" t="s">
        <v>125</v>
      </c>
      <c r="D343" s="111">
        <f t="shared" si="343"/>
      </c>
      <c r="E343" s="110">
        <v>1484.37</v>
      </c>
      <c r="F343" s="113">
        <v>4054.32</v>
      </c>
      <c r="G343" s="113">
        <v>0</v>
      </c>
      <c r="H343" s="113">
        <v>0</v>
      </c>
      <c r="I343" s="113">
        <f t="shared" si="472"/>
      </c>
      <c r="J343" s="114">
        <f>489+474+515.16</f>
      </c>
      <c r="K343" s="115">
        <f t="shared" si="85"/>
      </c>
      <c r="L343" s="115">
        <f t="shared" si="214"/>
      </c>
      <c r="M343" s="116">
        <f t="shared" si="619"/>
      </c>
      <c r="N343" s="117">
        <f t="shared" si="649"/>
      </c>
      <c r="O343" s="118">
        <f t="shared" si="559"/>
      </c>
      <c r="P343" s="119">
        <f t="shared" si="589"/>
      </c>
      <c r="Q343" s="119">
        <f t="shared" si="769"/>
      </c>
      <c r="R343" s="119">
        <f t="shared" si="799"/>
      </c>
      <c r="S343" s="120">
        <f t="shared" si="679"/>
      </c>
      <c r="T343" s="121">
        <f t="shared" si="709"/>
      </c>
      <c r="U343" s="119">
        <f t="shared" si="988"/>
      </c>
      <c r="V343" s="122">
        <f t="shared" si="739"/>
      </c>
      <c r="W343" s="122">
        <f t="shared" si="1018"/>
      </c>
      <c r="X343" s="119">
        <f t="shared" si="829"/>
      </c>
      <c r="Y343" s="123">
        <f t="shared" si="901"/>
      </c>
      <c r="Z343" s="123">
        <v>1</v>
      </c>
      <c r="AA343" s="123">
        <v>6</v>
      </c>
      <c r="AB343" s="124">
        <v>11640.720000000001</v>
      </c>
      <c r="AC343" s="124">
        <v>489</v>
      </c>
      <c r="AD343" s="120">
        <f t="shared" si="13"/>
      </c>
      <c r="AE343" s="125" t="s">
        <v>121</v>
      </c>
      <c r="AF343" s="126" t="s">
        <v>153</v>
      </c>
      <c r="AG343" s="127">
        <v>5</v>
      </c>
      <c r="AH343" s="128">
        <v>41662</v>
      </c>
      <c r="AI343" s="128">
        <v>848</v>
      </c>
      <c r="AJ343" s="128">
        <v>1064</v>
      </c>
      <c r="AK343" s="129">
        <v>147</v>
      </c>
      <c r="AL343" s="129">
        <v>141</v>
      </c>
    </row>
    <row r="344">
      <c r="A344" s="108"/>
      <c r="B344" s="109" t="s">
        <v>119</v>
      </c>
      <c r="C344" s="110" t="s">
        <v>126</v>
      </c>
      <c r="D344" s="111">
        <f t="shared" si="343"/>
      </c>
      <c r="E344" s="112">
        <v>712.48</v>
      </c>
      <c r="F344" s="113">
        <v>8884.16</v>
      </c>
      <c r="G344" s="113">
        <v>0</v>
      </c>
      <c r="H344" s="113">
        <v>0</v>
      </c>
      <c r="I344" s="113">
        <f t="shared" si="472"/>
      </c>
      <c r="J344" s="114">
        <v>1892.0400000000009</v>
      </c>
      <c r="K344" s="115">
        <f t="shared" si="85"/>
      </c>
      <c r="L344" s="115">
        <f t="shared" si="214"/>
      </c>
      <c r="M344" s="116">
        <f t="shared" si="619"/>
      </c>
      <c r="N344" s="117">
        <f t="shared" si="649"/>
      </c>
      <c r="O344" s="118">
        <f t="shared" si="559"/>
      </c>
      <c r="P344" s="119">
        <f t="shared" si="589"/>
      </c>
      <c r="Q344" s="119">
        <f t="shared" si="769"/>
      </c>
      <c r="R344" s="119">
        <f t="shared" si="799"/>
      </c>
      <c r="S344" s="120">
        <f t="shared" si="679"/>
      </c>
      <c r="T344" s="121">
        <f t="shared" si="709"/>
      </c>
      <c r="U344" s="119">
        <f t="shared" si="988"/>
      </c>
      <c r="V344" s="122">
        <f t="shared" si="739"/>
      </c>
      <c r="W344" s="122">
        <f t="shared" si="1018"/>
      </c>
      <c r="X344" s="119">
        <f t="shared" si="829"/>
      </c>
      <c r="Y344" s="123">
        <f t="shared" si="901"/>
      </c>
      <c r="Z344" s="123">
        <v>5</v>
      </c>
      <c r="AA344" s="123">
        <v>11</v>
      </c>
      <c r="AB344" s="124">
        <v>17318.16</v>
      </c>
      <c r="AC344" s="124">
        <v>0</v>
      </c>
      <c r="AD344" s="120">
        <f t="shared" si="13"/>
      </c>
      <c r="AE344" s="125" t="s">
        <v>121</v>
      </c>
      <c r="AF344" s="126" t="s">
        <v>153</v>
      </c>
      <c r="AG344" s="127">
        <v>7</v>
      </c>
      <c r="AH344" s="128">
        <v>87875</v>
      </c>
      <c r="AI344" s="128">
        <v>1102</v>
      </c>
      <c r="AJ344" s="128">
        <v>1245</v>
      </c>
      <c r="AK344" s="127">
        <v>193</v>
      </c>
      <c r="AL344" s="127">
        <v>255</v>
      </c>
    </row>
    <row r="345">
      <c r="A345" s="108"/>
      <c r="B345" s="130" t="s">
        <v>127</v>
      </c>
      <c r="C345" s="131">
        <v>5</v>
      </c>
      <c r="D345" s="132">
        <f>SUM(D340:D344)</f>
      </c>
      <c r="E345" s="132">
        <f>SUM(E340:E344)</f>
      </c>
      <c r="F345" s="132">
        <f>SUM(F340:F344)</f>
      </c>
      <c r="G345" s="132">
        <f>SUM(G340:G344)</f>
      </c>
      <c r="H345" s="132">
        <f>SUM(H340:H344)</f>
      </c>
      <c r="I345" s="132">
        <f>SUM(I340:I344)</f>
      </c>
      <c r="J345" s="132">
        <f>SUM(J340:J344)</f>
      </c>
      <c r="K345" s="132">
        <f>SUM(K340:K344)</f>
      </c>
      <c r="L345" s="132">
        <f>SUM(L340:L344)</f>
      </c>
      <c r="M345" s="133">
        <f t="shared" si="619"/>
      </c>
      <c r="N345" s="134">
        <f t="shared" si="649"/>
      </c>
      <c r="O345" s="134">
        <f t="shared" si="559"/>
      </c>
      <c r="P345" s="135">
        <f t="shared" si="589"/>
      </c>
      <c r="Q345" s="135">
        <f t="shared" si="769"/>
      </c>
      <c r="R345" s="135">
        <f t="shared" si="799"/>
      </c>
      <c r="S345" s="136">
        <f t="shared" si="679"/>
      </c>
      <c r="T345" s="136">
        <f t="shared" si="709"/>
      </c>
      <c r="U345" s="135">
        <f t="shared" si="988"/>
      </c>
      <c r="V345" s="136">
        <f t="shared" si="739"/>
      </c>
      <c r="W345" s="136">
        <f t="shared" si="1018"/>
      </c>
      <c r="X345" s="135">
        <f t="shared" si="829"/>
      </c>
      <c r="Y345" s="132">
        <f>SUM(Y340:Y344)</f>
      </c>
      <c r="Z345" s="132">
        <f>SUM(Z340:Z344)</f>
      </c>
      <c r="AA345" s="132">
        <f>SUM(AA340:AA344)</f>
      </c>
      <c r="AB345" s="132">
        <f>SUM(AB340:AB344)</f>
      </c>
      <c r="AC345" s="132">
        <f>SUM(AC340:AC344)</f>
      </c>
      <c r="AD345" s="137">
        <f t="shared" si="13"/>
      </c>
      <c r="AE345" s="138"/>
      <c r="AF345" s="139"/>
      <c r="AG345" s="132">
        <f>SUM(AG340:AG344)</f>
      </c>
      <c r="AH345" s="132">
        <f>SUM(AH340:AH344)</f>
      </c>
      <c r="AI345" s="132">
        <f>SUM(AI340:AI344)</f>
      </c>
      <c r="AJ345" s="132">
        <f>SUM(AJ340:AJ344)</f>
      </c>
      <c r="AK345" s="132">
        <f>SUM(AK340:AK344)</f>
      </c>
      <c r="AL345" s="132">
        <f>SUM(AL340:AL344)</f>
      </c>
    </row>
    <row r="346">
      <c r="A346" s="108"/>
      <c r="B346" s="109" t="s">
        <v>143</v>
      </c>
      <c r="C346" s="110" t="s">
        <v>129</v>
      </c>
      <c r="D346" s="111">
        <f t="shared" ref="D346:D350" si="344">E346+F346+G346+H346</f>
      </c>
      <c r="E346" s="112">
        <v>1417.59</v>
      </c>
      <c r="F346" s="113">
        <v>5238.5</v>
      </c>
      <c r="G346" s="113">
        <v>0</v>
      </c>
      <c r="H346" s="113">
        <v>0</v>
      </c>
      <c r="I346" s="113">
        <f t="shared" ref="I346:I350" si="473">AB346+AC346</f>
      </c>
      <c r="J346" s="114">
        <f>443.88+7422.84+1591.92</f>
      </c>
      <c r="K346" s="115">
        <f t="shared" ref="K346:K350" si="86">I346-J346</f>
      </c>
      <c r="L346" s="115">
        <f t="shared" ref="L346:L350" si="215">(I346-AC346)/12+AC346</f>
      </c>
      <c r="M346" s="116">
        <f t="shared" si="619"/>
      </c>
      <c r="N346" s="117">
        <f t="shared" si="649"/>
      </c>
      <c r="O346" s="118">
        <f t="shared" si="559"/>
      </c>
      <c r="P346" s="119">
        <f t="shared" si="589"/>
      </c>
      <c r="Q346" s="119">
        <f t="shared" si="769"/>
      </c>
      <c r="R346" s="119">
        <f t="shared" si="799"/>
      </c>
      <c r="S346" s="120">
        <f t="shared" si="679"/>
      </c>
      <c r="T346" s="121">
        <f t="shared" si="709"/>
      </c>
      <c r="U346" s="119">
        <f t="shared" si="988"/>
      </c>
      <c r="V346" s="122">
        <f t="shared" si="739"/>
      </c>
      <c r="W346" s="122">
        <f t="shared" si="1018"/>
      </c>
      <c r="X346" s="119">
        <f t="shared" si="829"/>
      </c>
      <c r="Y346" s="123">
        <f t="shared" ref="Y346:Y350" si="902">Z346+AA346</f>
      </c>
      <c r="Z346" s="123">
        <v>1</v>
      </c>
      <c r="AA346" s="123">
        <v>7</v>
      </c>
      <c r="AB346" s="124">
        <v>14286.23999999999</v>
      </c>
      <c r="AC346" s="124">
        <v>0</v>
      </c>
      <c r="AD346" s="120">
        <f t="shared" si="13"/>
      </c>
      <c r="AE346" s="125" t="s">
        <v>121</v>
      </c>
      <c r="AF346" s="126" t="s">
        <v>153</v>
      </c>
      <c r="AG346" s="127">
        <v>9</v>
      </c>
      <c r="AH346" s="128">
        <v>73850</v>
      </c>
      <c r="AI346" s="128">
        <v>1173</v>
      </c>
      <c r="AJ346" s="128">
        <v>1451</v>
      </c>
      <c r="AK346" s="127">
        <v>190</v>
      </c>
      <c r="AL346" s="127">
        <v>182</v>
      </c>
    </row>
    <row r="347">
      <c r="A347" s="108"/>
      <c r="B347" s="109" t="s">
        <v>143</v>
      </c>
      <c r="C347" s="110" t="s">
        <v>130</v>
      </c>
      <c r="D347" s="111">
        <f t="shared" si="344"/>
      </c>
      <c r="E347" s="110">
        <v>1189.73</v>
      </c>
      <c r="F347" s="113">
        <v>7432.63</v>
      </c>
      <c r="G347" s="113">
        <v>0</v>
      </c>
      <c r="H347" s="113">
        <v>0</v>
      </c>
      <c r="I347" s="113">
        <f t="shared" si="473"/>
      </c>
      <c r="J347" s="162">
        <f>7980.12+2514.24</f>
      </c>
      <c r="K347" s="115">
        <f t="shared" si="86"/>
      </c>
      <c r="L347" s="115">
        <f t="shared" si="215"/>
      </c>
      <c r="M347" s="116">
        <f t="shared" si="619"/>
      </c>
      <c r="N347" s="117">
        <f t="shared" si="649"/>
      </c>
      <c r="O347" s="118">
        <f t="shared" si="559"/>
      </c>
      <c r="P347" s="119">
        <f t="shared" si="589"/>
      </c>
      <c r="Q347" s="119">
        <f t="shared" si="769"/>
      </c>
      <c r="R347" s="119">
        <f t="shared" si="799"/>
      </c>
      <c r="S347" s="120">
        <f t="shared" si="679"/>
      </c>
      <c r="T347" s="121">
        <f t="shared" si="709"/>
      </c>
      <c r="U347" s="119">
        <f t="shared" si="988"/>
      </c>
      <c r="V347" s="122">
        <f t="shared" si="739"/>
      </c>
      <c r="W347" s="122">
        <f t="shared" si="1018"/>
      </c>
      <c r="X347" s="119">
        <f t="shared" si="829"/>
      </c>
      <c r="Y347" s="123">
        <f t="shared" si="902"/>
      </c>
      <c r="Z347" s="123">
        <v>2</v>
      </c>
      <c r="AA347" s="123">
        <v>7</v>
      </c>
      <c r="AB347" s="124">
        <v>16144.920000000013</v>
      </c>
      <c r="AC347" s="124">
        <v>0</v>
      </c>
      <c r="AD347" s="120">
        <f t="shared" si="13"/>
      </c>
      <c r="AE347" s="125" t="s">
        <v>121</v>
      </c>
      <c r="AF347" s="126" t="s">
        <v>153</v>
      </c>
      <c r="AG347" s="127">
        <v>7</v>
      </c>
      <c r="AH347" s="128">
        <v>113014</v>
      </c>
      <c r="AI347" s="128">
        <v>1526</v>
      </c>
      <c r="AJ347" s="128">
        <v>1754</v>
      </c>
      <c r="AK347" s="129">
        <v>254</v>
      </c>
      <c r="AL347" s="129">
        <v>256</v>
      </c>
    </row>
    <row r="348">
      <c r="A348" s="108"/>
      <c r="B348" s="109" t="s">
        <v>143</v>
      </c>
      <c r="C348" s="110" t="s">
        <v>131</v>
      </c>
      <c r="D348" s="111">
        <f t="shared" si="344"/>
      </c>
      <c r="E348" s="110">
        <v>1207.9</v>
      </c>
      <c r="F348" s="110">
        <v>6476.8</v>
      </c>
      <c r="G348" s="113">
        <v>0</v>
      </c>
      <c r="H348" s="113">
        <v>0</v>
      </c>
      <c r="I348" s="113">
        <f t="shared" si="473"/>
      </c>
      <c r="J348" s="114">
        <v>582.12</v>
      </c>
      <c r="K348" s="115">
        <f t="shared" si="86"/>
      </c>
      <c r="L348" s="115">
        <f t="shared" si="215"/>
      </c>
      <c r="M348" s="116">
        <f t="shared" si="619"/>
      </c>
      <c r="N348" s="117">
        <f t="shared" si="649"/>
      </c>
      <c r="O348" s="118">
        <f t="shared" si="559"/>
      </c>
      <c r="P348" s="119">
        <f t="shared" si="589"/>
      </c>
      <c r="Q348" s="119">
        <f t="shared" si="769"/>
      </c>
      <c r="R348" s="119">
        <f t="shared" si="799"/>
      </c>
      <c r="S348" s="120">
        <f t="shared" si="679"/>
      </c>
      <c r="T348" s="121">
        <f t="shared" si="709"/>
      </c>
      <c r="U348" s="119">
        <f t="shared" si="988"/>
      </c>
      <c r="V348" s="122">
        <f t="shared" si="739"/>
      </c>
      <c r="W348" s="122">
        <f t="shared" si="1018"/>
      </c>
      <c r="X348" s="119">
        <f t="shared" si="829"/>
      </c>
      <c r="Y348" s="123">
        <f t="shared" si="902"/>
      </c>
      <c r="Z348" s="123">
        <v>4</v>
      </c>
      <c r="AA348" s="123">
        <v>6</v>
      </c>
      <c r="AB348" s="124">
        <v>5812.559999999998</v>
      </c>
      <c r="AC348" s="124">
        <v>0</v>
      </c>
      <c r="AD348" s="120">
        <f t="shared" si="13"/>
      </c>
      <c r="AE348" s="125" t="s">
        <v>121</v>
      </c>
      <c r="AF348" s="126" t="s">
        <v>153</v>
      </c>
      <c r="AG348" s="129">
        <v>6</v>
      </c>
      <c r="AH348" s="128">
        <v>90225</v>
      </c>
      <c r="AI348" s="128">
        <v>1332</v>
      </c>
      <c r="AJ348" s="128">
        <v>1538</v>
      </c>
      <c r="AK348" s="129">
        <v>197</v>
      </c>
      <c r="AL348" s="129">
        <v>213</v>
      </c>
    </row>
    <row r="349">
      <c r="A349" s="108"/>
      <c r="B349" s="109" t="s">
        <v>143</v>
      </c>
      <c r="C349" s="110" t="s">
        <v>132</v>
      </c>
      <c r="D349" s="111">
        <f t="shared" si="344"/>
      </c>
      <c r="E349" s="110">
        <v>881.79</v>
      </c>
      <c r="F349" s="113">
        <v>5941.2</v>
      </c>
      <c r="G349" s="113">
        <v>0</v>
      </c>
      <c r="H349" s="113">
        <v>0</v>
      </c>
      <c r="I349" s="113">
        <f t="shared" si="473"/>
      </c>
      <c r="J349" s="114">
        <v>0</v>
      </c>
      <c r="K349" s="115">
        <f t="shared" si="86"/>
      </c>
      <c r="L349" s="115">
        <f t="shared" si="215"/>
      </c>
      <c r="M349" s="116">
        <f t="shared" si="619"/>
      </c>
      <c r="N349" s="117">
        <f t="shared" si="649"/>
      </c>
      <c r="O349" s="118">
        <f t="shared" si="559"/>
      </c>
      <c r="P349" s="119">
        <f t="shared" si="589"/>
      </c>
      <c r="Q349" s="119">
        <f t="shared" si="769"/>
      </c>
      <c r="R349" s="119">
        <f t="shared" si="799"/>
      </c>
      <c r="S349" s="120">
        <f t="shared" si="679"/>
      </c>
      <c r="T349" s="121">
        <f t="shared" si="709"/>
      </c>
      <c r="U349" s="119">
        <f t="shared" si="988"/>
      </c>
      <c r="V349" s="122">
        <f t="shared" si="739"/>
      </c>
      <c r="W349" s="122">
        <f t="shared" si="1018"/>
      </c>
      <c r="X349" s="119">
        <f t="shared" si="829"/>
      </c>
      <c r="Y349" s="123">
        <f t="shared" si="902"/>
      </c>
      <c r="Z349" s="123">
        <v>2</v>
      </c>
      <c r="AA349" s="123">
        <v>3</v>
      </c>
      <c r="AB349" s="114">
        <v>6148.440000000002</v>
      </c>
      <c r="AC349" s="124">
        <v>0</v>
      </c>
      <c r="AD349" s="120">
        <f t="shared" si="13"/>
      </c>
      <c r="AE349" s="125" t="s">
        <v>121</v>
      </c>
      <c r="AF349" s="126" t="s">
        <v>153</v>
      </c>
      <c r="AG349" s="127">
        <v>3</v>
      </c>
      <c r="AH349" s="128">
        <v>79294</v>
      </c>
      <c r="AI349" s="128">
        <v>1084</v>
      </c>
      <c r="AJ349" s="128">
        <v>1241</v>
      </c>
      <c r="AK349" s="129">
        <v>187</v>
      </c>
      <c r="AL349" s="129">
        <v>231</v>
      </c>
    </row>
    <row r="350">
      <c r="A350" s="108"/>
      <c r="B350" s="109" t="s">
        <v>143</v>
      </c>
      <c r="C350" s="110" t="s">
        <v>134</v>
      </c>
      <c r="D350" s="111">
        <f t="shared" si="344"/>
      </c>
      <c r="E350" s="110">
        <v>712.38</v>
      </c>
      <c r="F350" s="140">
        <v>7361.68</v>
      </c>
      <c r="G350" s="113">
        <v>0</v>
      </c>
      <c r="H350" s="113">
        <v>0</v>
      </c>
      <c r="I350" s="113">
        <f t="shared" si="473"/>
      </c>
      <c r="J350" s="160">
        <v>5157</v>
      </c>
      <c r="K350" s="115">
        <f t="shared" si="86"/>
      </c>
      <c r="L350" s="115">
        <f t="shared" si="215"/>
      </c>
      <c r="M350" s="116">
        <f t="shared" si="619"/>
      </c>
      <c r="N350" s="117">
        <f t="shared" si="649"/>
      </c>
      <c r="O350" s="118">
        <f t="shared" si="559"/>
      </c>
      <c r="P350" s="119">
        <f t="shared" si="589"/>
      </c>
      <c r="Q350" s="119">
        <f t="shared" si="769"/>
      </c>
      <c r="R350" s="119">
        <f t="shared" si="799"/>
      </c>
      <c r="S350" s="120">
        <f t="shared" si="679"/>
      </c>
      <c r="T350" s="121">
        <f t="shared" si="709"/>
      </c>
      <c r="U350" s="119">
        <f t="shared" si="988"/>
      </c>
      <c r="V350" s="122">
        <f t="shared" si="739"/>
      </c>
      <c r="W350" s="122">
        <f t="shared" si="1018"/>
      </c>
      <c r="X350" s="119">
        <f t="shared" si="829"/>
      </c>
      <c r="Y350" s="123">
        <f t="shared" si="902"/>
      </c>
      <c r="Z350" s="123">
        <v>4</v>
      </c>
      <c r="AA350" s="123">
        <v>8</v>
      </c>
      <c r="AB350" s="124">
        <v>15702.119999999995</v>
      </c>
      <c r="AC350" s="124">
        <v>0</v>
      </c>
      <c r="AD350" s="120">
        <f t="shared" si="13"/>
      </c>
      <c r="AE350" s="125" t="s">
        <v>121</v>
      </c>
      <c r="AF350" s="126" t="s">
        <v>153</v>
      </c>
      <c r="AG350" s="127">
        <v>8</v>
      </c>
      <c r="AH350" s="127">
        <v>91779</v>
      </c>
      <c r="AI350" s="127">
        <v>1230</v>
      </c>
      <c r="AJ350" s="127">
        <v>1387</v>
      </c>
      <c r="AK350" s="127">
        <v>217</v>
      </c>
      <c r="AL350" s="127">
        <v>240</v>
      </c>
    </row>
    <row r="351">
      <c r="A351" s="108"/>
      <c r="B351" s="130" t="s">
        <v>127</v>
      </c>
      <c r="C351" s="131">
        <v>5</v>
      </c>
      <c r="D351" s="132">
        <f>SUM(D346:D350)</f>
      </c>
      <c r="E351" s="132">
        <f>SUM(E346:E350)</f>
      </c>
      <c r="F351" s="132">
        <f>SUM(F346:F350)</f>
      </c>
      <c r="G351" s="132">
        <f>SUM(G346:G350)</f>
      </c>
      <c r="H351" s="132">
        <f>SUM(H346:H350)</f>
      </c>
      <c r="I351" s="132">
        <f>SUM(I346:I350)</f>
      </c>
      <c r="J351" s="132">
        <f>SUM(J346:J350)</f>
      </c>
      <c r="K351" s="132">
        <f>SUM(K346:K350)</f>
      </c>
      <c r="L351" s="132">
        <f>SUM(L346:L350)</f>
      </c>
      <c r="M351" s="133">
        <f t="shared" si="619"/>
      </c>
      <c r="N351" s="134">
        <f t="shared" si="649"/>
      </c>
      <c r="O351" s="134">
        <f t="shared" si="559"/>
      </c>
      <c r="P351" s="135">
        <f t="shared" si="589"/>
      </c>
      <c r="Q351" s="135">
        <f t="shared" si="769"/>
      </c>
      <c r="R351" s="135">
        <f t="shared" si="799"/>
      </c>
      <c r="S351" s="136">
        <f t="shared" si="679"/>
      </c>
      <c r="T351" s="136">
        <f t="shared" si="709"/>
      </c>
      <c r="U351" s="135">
        <f t="shared" si="988"/>
      </c>
      <c r="V351" s="136">
        <f t="shared" si="739"/>
      </c>
      <c r="W351" s="136">
        <f t="shared" si="1018"/>
      </c>
      <c r="X351" s="135">
        <f t="shared" si="829"/>
      </c>
      <c r="Y351" s="132">
        <f>SUM(Y346:Y350)</f>
      </c>
      <c r="Z351" s="132">
        <f>SUM(Z346:Z350)</f>
      </c>
      <c r="AA351" s="132">
        <f>SUM(AA346:AA350)</f>
      </c>
      <c r="AB351" s="132">
        <f>SUM(AB346:AB350)</f>
      </c>
      <c r="AC351" s="132">
        <f>SUM(AC346:AC350)</f>
      </c>
      <c r="AD351" s="137">
        <f t="shared" si="13"/>
      </c>
      <c r="AE351" s="138"/>
      <c r="AF351" s="139"/>
      <c r="AG351" s="132">
        <f>SUM(AG346:AG350)</f>
      </c>
      <c r="AH351" s="132">
        <f>SUM(AH346:AH350)</f>
      </c>
      <c r="AI351" s="132">
        <f>SUM(AI346:AI350)</f>
      </c>
      <c r="AJ351" s="132">
        <f>SUM(AJ346:AJ350)</f>
      </c>
      <c r="AK351" s="132">
        <f>SUM(AK346:AK350)</f>
      </c>
      <c r="AL351" s="132">
        <f>SUM(AL346:AL350)</f>
      </c>
    </row>
    <row r="352">
      <c r="A352" s="108"/>
      <c r="B352" s="109" t="s">
        <v>139</v>
      </c>
      <c r="C352" s="110" t="s">
        <v>135</v>
      </c>
      <c r="D352" s="111">
        <f t="shared" ref="D352:D356" si="345">E352+F352+G352+H352</f>
      </c>
      <c r="E352" s="110">
        <v>928.13</v>
      </c>
      <c r="F352" s="140">
        <v>6395.54</v>
      </c>
      <c r="G352" s="113">
        <v>0</v>
      </c>
      <c r="H352" s="113">
        <v>0</v>
      </c>
      <c r="I352" s="113">
        <f t="shared" ref="I352:I356" si="474">AB352+AC352</f>
      </c>
      <c r="J352" s="160">
        <v>923.4</v>
      </c>
      <c r="K352" s="115">
        <f t="shared" ref="K352:K356" si="87">I352-J352</f>
      </c>
      <c r="L352" s="115">
        <f t="shared" ref="L352:L356" si="216">(I352-AC352)/12+AC352</f>
      </c>
      <c r="M352" s="116">
        <f t="shared" si="619"/>
      </c>
      <c r="N352" s="117">
        <f t="shared" si="649"/>
      </c>
      <c r="O352" s="118">
        <f t="shared" si="559"/>
      </c>
      <c r="P352" s="119">
        <f t="shared" si="589"/>
      </c>
      <c r="Q352" s="119">
        <f t="shared" si="769"/>
      </c>
      <c r="R352" s="119">
        <f t="shared" si="799"/>
      </c>
      <c r="S352" s="120">
        <f t="shared" si="679"/>
      </c>
      <c r="T352" s="121">
        <f t="shared" si="709"/>
      </c>
      <c r="U352" s="119">
        <f t="shared" si="988"/>
      </c>
      <c r="V352" s="122">
        <f t="shared" si="739"/>
      </c>
      <c r="W352" s="122">
        <f t="shared" si="1018"/>
      </c>
      <c r="X352" s="119">
        <f t="shared" si="829"/>
      </c>
      <c r="Y352" s="123">
        <f t="shared" ref="Y352:Y356" si="903">Z352+AA352</f>
      </c>
      <c r="Z352" s="123">
        <v>4</v>
      </c>
      <c r="AA352" s="123">
        <v>5</v>
      </c>
      <c r="AB352" s="124">
        <v>7445.5199999999895</v>
      </c>
      <c r="AC352" s="124">
        <v>0</v>
      </c>
      <c r="AD352" s="120">
        <f t="shared" si="13"/>
      </c>
      <c r="AE352" s="125" t="s">
        <v>121</v>
      </c>
      <c r="AF352" s="126" t="s">
        <v>137</v>
      </c>
      <c r="AG352" s="127">
        <v>3</v>
      </c>
      <c r="AH352" s="127">
        <v>90298</v>
      </c>
      <c r="AI352" s="127">
        <v>1153</v>
      </c>
      <c r="AJ352" s="127">
        <v>1302</v>
      </c>
      <c r="AK352" s="127">
        <v>146</v>
      </c>
      <c r="AL352" s="127">
        <v>194</v>
      </c>
    </row>
    <row r="353">
      <c r="A353" s="108"/>
      <c r="B353" s="109" t="s">
        <v>139</v>
      </c>
      <c r="C353" s="110" t="s">
        <v>138</v>
      </c>
      <c r="D353" s="111">
        <f t="shared" si="345"/>
      </c>
      <c r="E353" s="110">
        <v>679.93</v>
      </c>
      <c r="F353" s="140">
        <v>4635.83</v>
      </c>
      <c r="G353" s="113">
        <v>0</v>
      </c>
      <c r="H353" s="113">
        <v>0</v>
      </c>
      <c r="I353" s="113">
        <f t="shared" si="474"/>
      </c>
      <c r="J353" s="160">
        <f>645.84+435.24</f>
      </c>
      <c r="K353" s="115">
        <f t="shared" si="87"/>
      </c>
      <c r="L353" s="115">
        <f t="shared" si="216"/>
      </c>
      <c r="M353" s="116">
        <f t="shared" si="619"/>
      </c>
      <c r="N353" s="117">
        <f t="shared" si="649"/>
      </c>
      <c r="O353" s="118">
        <f t="shared" si="559"/>
      </c>
      <c r="P353" s="119">
        <f t="shared" si="589"/>
      </c>
      <c r="Q353" s="119">
        <f t="shared" si="769"/>
      </c>
      <c r="R353" s="119">
        <f t="shared" si="799"/>
      </c>
      <c r="S353" s="120">
        <f t="shared" si="679"/>
      </c>
      <c r="T353" s="121">
        <f t="shared" si="709"/>
      </c>
      <c r="U353" s="119">
        <f t="shared" si="988"/>
      </c>
      <c r="V353" s="122">
        <f t="shared" si="739"/>
      </c>
      <c r="W353" s="122">
        <f t="shared" si="1018"/>
      </c>
      <c r="X353" s="119">
        <f t="shared" si="829"/>
      </c>
      <c r="Y353" s="123">
        <f t="shared" si="903"/>
      </c>
      <c r="Z353" s="123">
        <v>3</v>
      </c>
      <c r="AA353" s="123">
        <v>4</v>
      </c>
      <c r="AB353" s="124">
        <v>3926.8800000000047</v>
      </c>
      <c r="AC353" s="124">
        <v>0</v>
      </c>
      <c r="AD353" s="120">
        <f t="shared" si="13"/>
      </c>
      <c r="AE353" s="125" t="s">
        <v>121</v>
      </c>
      <c r="AF353" s="126" t="s">
        <v>137</v>
      </c>
      <c r="AG353" s="129">
        <v>2</v>
      </c>
      <c r="AH353" s="128">
        <v>63820</v>
      </c>
      <c r="AI353" s="128">
        <v>789</v>
      </c>
      <c r="AJ353" s="128">
        <v>868</v>
      </c>
      <c r="AK353" s="129">
        <v>121</v>
      </c>
      <c r="AL353" s="129">
        <v>149</v>
      </c>
    </row>
    <row r="354">
      <c r="A354" s="108"/>
      <c r="B354" s="109" t="s">
        <v>139</v>
      </c>
      <c r="C354" s="110" t="s">
        <v>140</v>
      </c>
      <c r="D354" s="111">
        <f t="shared" si="345"/>
      </c>
      <c r="E354" s="110">
        <v>581.93</v>
      </c>
      <c r="F354" s="140">
        <v>5223.89</v>
      </c>
      <c r="G354" s="113">
        <v>0</v>
      </c>
      <c r="H354" s="113">
        <v>0</v>
      </c>
      <c r="I354" s="113">
        <f t="shared" si="474"/>
      </c>
      <c r="J354" s="160">
        <v>0</v>
      </c>
      <c r="K354" s="115">
        <f t="shared" si="87"/>
      </c>
      <c r="L354" s="115">
        <f t="shared" si="216"/>
      </c>
      <c r="M354" s="116">
        <f t="shared" si="619"/>
      </c>
      <c r="N354" s="117">
        <f t="shared" si="649"/>
      </c>
      <c r="O354" s="118">
        <f t="shared" si="559"/>
      </c>
      <c r="P354" s="119">
        <f t="shared" si="589"/>
      </c>
      <c r="Q354" s="119">
        <f t="shared" si="769"/>
      </c>
      <c r="R354" s="119">
        <f t="shared" si="799"/>
      </c>
      <c r="S354" s="120">
        <f t="shared" si="679"/>
      </c>
      <c r="T354" s="121">
        <f t="shared" si="709"/>
      </c>
      <c r="U354" s="119">
        <f t="shared" si="988"/>
      </c>
      <c r="V354" s="122">
        <f t="shared" si="739"/>
      </c>
      <c r="W354" s="122">
        <f t="shared" si="1018"/>
      </c>
      <c r="X354" s="119">
        <f t="shared" si="829"/>
      </c>
      <c r="Y354" s="123">
        <f t="shared" si="903"/>
      </c>
      <c r="Z354" s="123">
        <v>3</v>
      </c>
      <c r="AA354" s="123">
        <v>5</v>
      </c>
      <c r="AB354" s="124">
        <v>8048.16</v>
      </c>
      <c r="AC354" s="124">
        <v>0</v>
      </c>
      <c r="AD354" s="120">
        <f t="shared" si="13"/>
      </c>
      <c r="AE354" s="125" t="s">
        <v>121</v>
      </c>
      <c r="AF354" s="126" t="s">
        <v>137</v>
      </c>
      <c r="AG354" s="127">
        <v>3</v>
      </c>
      <c r="AH354" s="128">
        <v>71538</v>
      </c>
      <c r="AI354" s="128">
        <v>745</v>
      </c>
      <c r="AJ354" s="128">
        <v>856</v>
      </c>
      <c r="AK354" s="129">
        <v>151</v>
      </c>
      <c r="AL354" s="129">
        <v>166</v>
      </c>
    </row>
    <row r="355">
      <c r="A355" s="108"/>
      <c r="B355" s="109" t="s">
        <v>139</v>
      </c>
      <c r="C355" s="141" t="s">
        <v>141</v>
      </c>
      <c r="D355" s="111">
        <f t="shared" si="345"/>
      </c>
      <c r="E355" s="110">
        <v>1274.83</v>
      </c>
      <c r="F355" s="140">
        <v>4563.35</v>
      </c>
      <c r="G355" s="113">
        <v>0</v>
      </c>
      <c r="H355" s="113">
        <v>0</v>
      </c>
      <c r="I355" s="113">
        <f t="shared" si="474"/>
      </c>
      <c r="J355" s="160">
        <f>923.4+3406.32+409.32+2112.48</f>
      </c>
      <c r="K355" s="115">
        <f t="shared" si="87"/>
      </c>
      <c r="L355" s="115">
        <f t="shared" si="216"/>
      </c>
      <c r="M355" s="116">
        <f t="shared" si="619"/>
      </c>
      <c r="N355" s="117">
        <f t="shared" si="649"/>
      </c>
      <c r="O355" s="118">
        <f t="shared" si="559"/>
      </c>
      <c r="P355" s="119">
        <f t="shared" si="589"/>
      </c>
      <c r="Q355" s="119">
        <f t="shared" si="769"/>
      </c>
      <c r="R355" s="119">
        <f t="shared" si="799"/>
      </c>
      <c r="S355" s="120">
        <f t="shared" si="679"/>
      </c>
      <c r="T355" s="121">
        <f t="shared" si="709"/>
      </c>
      <c r="U355" s="119">
        <f t="shared" si="988"/>
      </c>
      <c r="V355" s="122">
        <f t="shared" si="739"/>
      </c>
      <c r="W355" s="122">
        <f t="shared" si="1018"/>
      </c>
      <c r="X355" s="119">
        <f t="shared" si="829"/>
      </c>
      <c r="Y355" s="123">
        <f t="shared" si="903"/>
      </c>
      <c r="Z355" s="123">
        <v>5</v>
      </c>
      <c r="AA355" s="123">
        <v>11</v>
      </c>
      <c r="AB355" s="124">
        <v>25452.359999999986</v>
      </c>
      <c r="AC355" s="124">
        <v>0</v>
      </c>
      <c r="AD355" s="120">
        <f t="shared" si="13"/>
      </c>
      <c r="AE355" s="125" t="s">
        <v>121</v>
      </c>
      <c r="AF355" s="126" t="s">
        <v>137</v>
      </c>
      <c r="AG355" s="127">
        <v>9</v>
      </c>
      <c r="AH355" s="128">
        <v>77441</v>
      </c>
      <c r="AI355" s="128">
        <v>1078</v>
      </c>
      <c r="AJ355" s="128">
        <v>1263</v>
      </c>
      <c r="AK355" s="129">
        <v>168</v>
      </c>
      <c r="AL355" s="129">
        <v>171</v>
      </c>
    </row>
    <row r="356">
      <c r="A356" s="108"/>
      <c r="B356" s="109" t="s">
        <v>139</v>
      </c>
      <c r="C356" s="141" t="s">
        <v>142</v>
      </c>
      <c r="D356" s="111">
        <f t="shared" si="345"/>
      </c>
      <c r="E356" s="110">
        <v>1284.56</v>
      </c>
      <c r="F356" s="140">
        <v>4720.66</v>
      </c>
      <c r="G356" s="113">
        <v>0</v>
      </c>
      <c r="H356" s="113">
        <v>0</v>
      </c>
      <c r="I356" s="113">
        <f t="shared" si="474"/>
      </c>
      <c r="J356" s="160">
        <f>568.08+646.92+733.32</f>
      </c>
      <c r="K356" s="115">
        <f t="shared" si="87"/>
      </c>
      <c r="L356" s="115">
        <f t="shared" si="216"/>
      </c>
      <c r="M356" s="116">
        <f t="shared" si="619"/>
      </c>
      <c r="N356" s="117">
        <f t="shared" si="649"/>
      </c>
      <c r="O356" s="118">
        <f t="shared" si="559"/>
      </c>
      <c r="P356" s="119">
        <f t="shared" si="589"/>
      </c>
      <c r="Q356" s="119">
        <f t="shared" si="769"/>
      </c>
      <c r="R356" s="119">
        <f t="shared" si="799"/>
      </c>
      <c r="S356" s="120">
        <f t="shared" si="679"/>
      </c>
      <c r="T356" s="121">
        <f t="shared" si="709"/>
      </c>
      <c r="U356" s="119">
        <f t="shared" si="988"/>
      </c>
      <c r="V356" s="122">
        <f t="shared" si="739"/>
      </c>
      <c r="W356" s="122">
        <f t="shared" si="1018"/>
      </c>
      <c r="X356" s="119">
        <f t="shared" si="829"/>
      </c>
      <c r="Y356" s="123">
        <f t="shared" si="903"/>
      </c>
      <c r="Z356" s="123">
        <v>8</v>
      </c>
      <c r="AA356" s="123">
        <v>10</v>
      </c>
      <c r="AB356" s="124">
        <v>9940.320000000007</v>
      </c>
      <c r="AC356" s="124">
        <v>0</v>
      </c>
      <c r="AD356" s="120">
        <f t="shared" si="13"/>
      </c>
      <c r="AE356" s="125" t="s">
        <v>121</v>
      </c>
      <c r="AF356" s="126" t="s">
        <v>137</v>
      </c>
      <c r="AG356" s="127">
        <v>8</v>
      </c>
      <c r="AH356" s="128">
        <v>96347</v>
      </c>
      <c r="AI356" s="128">
        <v>1242</v>
      </c>
      <c r="AJ356" s="128">
        <v>1380</v>
      </c>
      <c r="AK356" s="129">
        <v>183</v>
      </c>
      <c r="AL356" s="129">
        <v>171</v>
      </c>
    </row>
    <row r="357">
      <c r="A357" s="108"/>
      <c r="B357" s="130" t="s">
        <v>127</v>
      </c>
      <c r="C357" s="131">
        <v>5</v>
      </c>
      <c r="D357" s="132">
        <f>SUM(D352:D356)</f>
      </c>
      <c r="E357" s="132">
        <f>SUM(E352:E356)</f>
      </c>
      <c r="F357" s="132">
        <f>SUM(F352:F356)</f>
      </c>
      <c r="G357" s="132">
        <f>SUM(G352:G356)</f>
      </c>
      <c r="H357" s="132">
        <f>SUM(H352:H356)</f>
      </c>
      <c r="I357" s="132">
        <f>SUM(I352:I356)</f>
      </c>
      <c r="J357" s="132">
        <f>SUM(J352:J356)</f>
      </c>
      <c r="K357" s="132">
        <f>SUM(K352:K356)</f>
      </c>
      <c r="L357" s="132">
        <f>SUM(L352:L356)</f>
      </c>
      <c r="M357" s="133">
        <f t="shared" si="619"/>
      </c>
      <c r="N357" s="134">
        <f t="shared" si="649"/>
      </c>
      <c r="O357" s="134">
        <f t="shared" si="559"/>
      </c>
      <c r="P357" s="135">
        <f t="shared" si="589"/>
      </c>
      <c r="Q357" s="135">
        <f t="shared" si="769"/>
      </c>
      <c r="R357" s="135">
        <f t="shared" si="799"/>
      </c>
      <c r="S357" s="136">
        <f t="shared" si="679"/>
      </c>
      <c r="T357" s="136">
        <f t="shared" si="709"/>
      </c>
      <c r="U357" s="135">
        <f t="shared" si="988"/>
      </c>
      <c r="V357" s="136">
        <f t="shared" si="739"/>
      </c>
      <c r="W357" s="136">
        <f t="shared" si="1018"/>
      </c>
      <c r="X357" s="135">
        <f t="shared" si="829"/>
      </c>
      <c r="Y357" s="132">
        <f>SUM(Y352:Y356)</f>
      </c>
      <c r="Z357" s="132">
        <f>SUM(Z352:Z356)</f>
      </c>
      <c r="AA357" s="132">
        <f>SUM(AA352:AA356)</f>
      </c>
      <c r="AB357" s="132">
        <f>SUM(AB352:AB356)</f>
      </c>
      <c r="AC357" s="132">
        <f>SUM(AC352:AC356)</f>
      </c>
      <c r="AD357" s="137">
        <f t="shared" si="13"/>
      </c>
      <c r="AE357" s="138"/>
      <c r="AF357" s="139"/>
      <c r="AG357" s="132">
        <f>SUM(AG352:AG356)</f>
      </c>
      <c r="AH357" s="132">
        <f>SUM(AH352:AH356)</f>
      </c>
      <c r="AI357" s="132">
        <f>SUM(AI352:AI356)</f>
      </c>
      <c r="AJ357" s="132">
        <f>SUM(AJ352:AJ356)</f>
      </c>
      <c r="AK357" s="132">
        <f>SUM(AK352:AK356)</f>
      </c>
      <c r="AL357" s="132">
        <f>SUM(AL352:AL356)</f>
      </c>
    </row>
    <row r="358">
      <c r="A358" s="108"/>
      <c r="B358" s="109" t="s">
        <v>128</v>
      </c>
      <c r="C358" s="141" t="s">
        <v>144</v>
      </c>
      <c r="D358" s="143">
        <f t="shared" ref="D358:D362" si="346">E358+F358+G358+H358</f>
      </c>
      <c r="E358" s="166">
        <v>701.67</v>
      </c>
      <c r="F358" s="145">
        <v>9144.81</v>
      </c>
      <c r="G358" s="113">
        <v>0</v>
      </c>
      <c r="H358" s="113">
        <v>0</v>
      </c>
      <c r="I358" s="113">
        <f t="shared" ref="I358:I362" si="475">AB358+AC358</f>
      </c>
      <c r="J358" s="114">
        <v>0</v>
      </c>
      <c r="K358" s="115">
        <f t="shared" ref="K358:K362" si="88">I358-J358</f>
      </c>
      <c r="L358" s="115">
        <f t="shared" ref="L358:L362" si="217">(I358-AC358)/12+AC358</f>
      </c>
      <c r="M358" s="116">
        <f t="shared" si="619"/>
      </c>
      <c r="N358" s="117">
        <f t="shared" si="649"/>
      </c>
      <c r="O358" s="118">
        <f t="shared" si="559"/>
      </c>
      <c r="P358" s="119">
        <f t="shared" si="589"/>
      </c>
      <c r="Q358" s="119">
        <f t="shared" si="769"/>
      </c>
      <c r="R358" s="119">
        <f t="shared" si="799"/>
      </c>
      <c r="S358" s="120">
        <f t="shared" si="679"/>
      </c>
      <c r="T358" s="121">
        <f t="shared" si="709"/>
      </c>
      <c r="U358" s="119">
        <f t="shared" si="988"/>
      </c>
      <c r="V358" s="122">
        <f t="shared" si="739"/>
      </c>
      <c r="W358" s="122">
        <f t="shared" si="1018"/>
      </c>
      <c r="X358" s="119">
        <f t="shared" si="829"/>
      </c>
      <c r="Y358" s="123">
        <f t="shared" ref="Y358:Y362" si="904">Z358+AA358</f>
      </c>
      <c r="Z358" s="123">
        <v>2</v>
      </c>
      <c r="AA358" s="123">
        <v>4</v>
      </c>
      <c r="AB358" s="124">
        <v>8667.839999999997</v>
      </c>
      <c r="AC358" s="124">
        <v>0</v>
      </c>
      <c r="AD358" s="120">
        <f t="shared" si="13"/>
      </c>
      <c r="AE358" s="125" t="s">
        <v>121</v>
      </c>
      <c r="AF358" s="126" t="s">
        <v>137</v>
      </c>
      <c r="AG358" s="127">
        <v>4</v>
      </c>
      <c r="AH358" s="127">
        <v>163254</v>
      </c>
      <c r="AI358" s="128">
        <v>1645</v>
      </c>
      <c r="AJ358" s="128">
        <v>1774</v>
      </c>
      <c r="AK358" s="127">
        <v>258</v>
      </c>
      <c r="AL358" s="129">
        <v>348</v>
      </c>
    </row>
    <row r="359">
      <c r="A359" s="108"/>
      <c r="B359" s="109" t="s">
        <v>128</v>
      </c>
      <c r="C359" s="110" t="s">
        <v>145</v>
      </c>
      <c r="D359" s="143">
        <f t="shared" si="346"/>
      </c>
      <c r="E359" s="147">
        <v>993.54</v>
      </c>
      <c r="F359" s="145">
        <v>5768.97</v>
      </c>
      <c r="G359" s="113">
        <v>0</v>
      </c>
      <c r="H359" s="113">
        <v>0</v>
      </c>
      <c r="I359" s="113">
        <f t="shared" si="475"/>
      </c>
      <c r="J359" s="114">
        <v>0</v>
      </c>
      <c r="K359" s="115">
        <f t="shared" si="88"/>
      </c>
      <c r="L359" s="115">
        <f t="shared" si="217"/>
      </c>
      <c r="M359" s="116">
        <f t="shared" si="619"/>
      </c>
      <c r="N359" s="117">
        <f t="shared" si="649"/>
      </c>
      <c r="O359" s="118">
        <f t="shared" si="559"/>
      </c>
      <c r="P359" s="119">
        <f t="shared" si="589"/>
      </c>
      <c r="Q359" s="119">
        <f t="shared" si="769"/>
      </c>
      <c r="R359" s="119">
        <f t="shared" si="799"/>
      </c>
      <c r="S359" s="120">
        <f t="shared" si="679"/>
      </c>
      <c r="T359" s="121">
        <f t="shared" si="709"/>
      </c>
      <c r="U359" s="119">
        <f t="shared" si="988"/>
      </c>
      <c r="V359" s="122">
        <f t="shared" si="739"/>
      </c>
      <c r="W359" s="122">
        <f t="shared" si="1018"/>
      </c>
      <c r="X359" s="119">
        <f t="shared" si="829"/>
      </c>
      <c r="Y359" s="123">
        <f t="shared" si="904"/>
      </c>
      <c r="Z359" s="123">
        <v>7</v>
      </c>
      <c r="AA359" s="123">
        <v>1</v>
      </c>
      <c r="AB359" s="124">
        <v>608.0400000000081</v>
      </c>
      <c r="AC359" s="124">
        <v>0</v>
      </c>
      <c r="AD359" s="120">
        <f t="shared" si="13"/>
      </c>
      <c r="AE359" s="125" t="s">
        <v>121</v>
      </c>
      <c r="AF359" s="126" t="s">
        <v>137</v>
      </c>
      <c r="AG359" s="127">
        <v>0</v>
      </c>
      <c r="AH359" s="128">
        <v>98533</v>
      </c>
      <c r="AI359" s="128">
        <v>1244</v>
      </c>
      <c r="AJ359" s="128">
        <v>1346</v>
      </c>
      <c r="AK359" s="129">
        <v>151</v>
      </c>
      <c r="AL359" s="129">
        <v>206</v>
      </c>
    </row>
    <row r="360">
      <c r="A360" s="108"/>
      <c r="B360" s="109" t="s">
        <v>128</v>
      </c>
      <c r="C360" s="141" t="s">
        <v>146</v>
      </c>
      <c r="D360" s="143">
        <f t="shared" si="346"/>
      </c>
      <c r="E360" s="147">
        <v>1431.22</v>
      </c>
      <c r="F360" s="147">
        <v>9738.48</v>
      </c>
      <c r="G360" s="113">
        <v>0</v>
      </c>
      <c r="H360" s="113">
        <v>0</v>
      </c>
      <c r="I360" s="113">
        <f t="shared" si="475"/>
      </c>
      <c r="J360" s="114">
        <v>0</v>
      </c>
      <c r="K360" s="115">
        <f t="shared" si="88"/>
      </c>
      <c r="L360" s="115">
        <f t="shared" si="217"/>
      </c>
      <c r="M360" s="116">
        <f t="shared" si="619"/>
      </c>
      <c r="N360" s="117">
        <f t="shared" si="649"/>
      </c>
      <c r="O360" s="118">
        <f t="shared" si="559"/>
      </c>
      <c r="P360" s="119">
        <f t="shared" si="589"/>
      </c>
      <c r="Q360" s="119">
        <f t="shared" si="769"/>
      </c>
      <c r="R360" s="119">
        <f t="shared" si="799"/>
      </c>
      <c r="S360" s="120">
        <f t="shared" si="679"/>
      </c>
      <c r="T360" s="121">
        <f t="shared" si="709"/>
      </c>
      <c r="U360" s="119">
        <f t="shared" si="988"/>
      </c>
      <c r="V360" s="122">
        <f t="shared" si="739"/>
      </c>
      <c r="W360" s="122">
        <f t="shared" si="1018"/>
      </c>
      <c r="X360" s="119">
        <f t="shared" si="829"/>
      </c>
      <c r="Y360" s="123">
        <f t="shared" si="904"/>
      </c>
      <c r="Z360" s="123">
        <v>8</v>
      </c>
      <c r="AA360" s="123">
        <v>11</v>
      </c>
      <c r="AB360" s="124">
        <v>15785.279999999999</v>
      </c>
      <c r="AC360" s="124">
        <v>2933</v>
      </c>
      <c r="AD360" s="120">
        <f t="shared" si="13"/>
      </c>
      <c r="AE360" s="125" t="s">
        <v>121</v>
      </c>
      <c r="AF360" s="126" t="s">
        <v>137</v>
      </c>
      <c r="AG360" s="129">
        <v>7</v>
      </c>
      <c r="AH360" s="128">
        <v>159229</v>
      </c>
      <c r="AI360" s="128">
        <v>1987</v>
      </c>
      <c r="AJ360" s="128">
        <v>2350</v>
      </c>
      <c r="AK360" s="129">
        <v>233</v>
      </c>
      <c r="AL360" s="129">
        <v>274</v>
      </c>
    </row>
    <row r="361">
      <c r="A361" s="108"/>
      <c r="B361" s="109" t="s">
        <v>128</v>
      </c>
      <c r="C361" s="110" t="s">
        <v>147</v>
      </c>
      <c r="D361" s="143">
        <f t="shared" si="346"/>
      </c>
      <c r="E361" s="147">
        <v>638.95</v>
      </c>
      <c r="F361" s="145">
        <v>9205.35</v>
      </c>
      <c r="G361" s="113">
        <v>0</v>
      </c>
      <c r="H361" s="113">
        <v>0</v>
      </c>
      <c r="I361" s="113">
        <f t="shared" si="475"/>
      </c>
      <c r="J361" s="114">
        <v>3532.68</v>
      </c>
      <c r="K361" s="115">
        <f t="shared" si="88"/>
      </c>
      <c r="L361" s="115">
        <f t="shared" si="217"/>
      </c>
      <c r="M361" s="116">
        <f t="shared" si="619"/>
      </c>
      <c r="N361" s="117">
        <f t="shared" si="649"/>
      </c>
      <c r="O361" s="118">
        <f t="shared" si="559"/>
      </c>
      <c r="P361" s="119">
        <f t="shared" si="589"/>
      </c>
      <c r="Q361" s="119">
        <f t="shared" si="769"/>
      </c>
      <c r="R361" s="119">
        <f t="shared" si="799"/>
      </c>
      <c r="S361" s="120">
        <f t="shared" si="679"/>
      </c>
      <c r="T361" s="121">
        <f t="shared" si="709"/>
      </c>
      <c r="U361" s="119">
        <f t="shared" si="988"/>
      </c>
      <c r="V361" s="122">
        <f t="shared" si="739"/>
      </c>
      <c r="W361" s="122">
        <f t="shared" si="1018"/>
      </c>
      <c r="X361" s="119">
        <f t="shared" si="829"/>
      </c>
      <c r="Y361" s="123">
        <f t="shared" si="904"/>
      </c>
      <c r="Z361" s="123">
        <v>4</v>
      </c>
      <c r="AA361" s="123">
        <v>5</v>
      </c>
      <c r="AB361" s="124">
        <f>4828.68+3532.68</f>
      </c>
      <c r="AC361" s="124">
        <v>0</v>
      </c>
      <c r="AD361" s="120">
        <f t="shared" si="13"/>
      </c>
      <c r="AE361" s="125" t="s">
        <v>121</v>
      </c>
      <c r="AF361" s="126" t="s">
        <v>137</v>
      </c>
      <c r="AG361" s="127">
        <v>3</v>
      </c>
      <c r="AH361" s="128">
        <v>145093</v>
      </c>
      <c r="AI361" s="128">
        <v>2032</v>
      </c>
      <c r="AJ361" s="128">
        <v>2579</v>
      </c>
      <c r="AK361" s="129">
        <v>257</v>
      </c>
      <c r="AL361" s="129">
        <v>285</v>
      </c>
    </row>
    <row r="362">
      <c r="A362" s="108"/>
      <c r="B362" s="109" t="s">
        <v>128</v>
      </c>
      <c r="C362" s="110" t="s">
        <v>148</v>
      </c>
      <c r="D362" s="143">
        <f t="shared" si="346"/>
      </c>
      <c r="E362" s="147">
        <v>349.58</v>
      </c>
      <c r="F362" s="145">
        <v>1727.2</v>
      </c>
      <c r="G362" s="113">
        <v>0</v>
      </c>
      <c r="H362" s="113">
        <v>0</v>
      </c>
      <c r="I362" s="113">
        <f t="shared" si="475"/>
      </c>
      <c r="J362" s="114">
        <v>0</v>
      </c>
      <c r="K362" s="115">
        <f t="shared" si="88"/>
      </c>
      <c r="L362" s="115">
        <f t="shared" si="217"/>
      </c>
      <c r="M362" s="116">
        <f t="shared" si="619"/>
      </c>
      <c r="N362" s="117">
        <f t="shared" si="649"/>
      </c>
      <c r="O362" s="118">
        <f t="shared" si="559"/>
      </c>
      <c r="P362" s="119">
        <f t="shared" si="589"/>
      </c>
      <c r="Q362" s="119">
        <f t="shared" si="769"/>
      </c>
      <c r="R362" s="119">
        <f t="shared" si="799"/>
      </c>
      <c r="S362" s="120">
        <f t="shared" si="679"/>
      </c>
      <c r="T362" s="121">
        <f t="shared" si="709"/>
      </c>
      <c r="U362" s="119">
        <f t="shared" si="988"/>
      </c>
      <c r="V362" s="122">
        <f t="shared" si="739"/>
      </c>
      <c r="W362" s="122">
        <f t="shared" si="1018"/>
      </c>
      <c r="X362" s="119">
        <f t="shared" si="829"/>
      </c>
      <c r="Y362" s="123">
        <f t="shared" si="904"/>
      </c>
      <c r="Z362" s="123">
        <v>5</v>
      </c>
      <c r="AA362" s="123">
        <v>3</v>
      </c>
      <c r="AB362" s="124">
        <v>9057.96</v>
      </c>
      <c r="AC362" s="124">
        <v>0</v>
      </c>
      <c r="AD362" s="120">
        <f t="shared" si="13"/>
      </c>
      <c r="AE362" s="125" t="s">
        <v>121</v>
      </c>
      <c r="AF362" s="126" t="s">
        <v>137</v>
      </c>
      <c r="AG362" s="127">
        <v>4</v>
      </c>
      <c r="AH362" s="128">
        <v>24469</v>
      </c>
      <c r="AI362" s="128">
        <v>805</v>
      </c>
      <c r="AJ362" s="128">
        <v>1078</v>
      </c>
      <c r="AK362" s="129">
        <v>107</v>
      </c>
      <c r="AL362" s="129">
        <v>86</v>
      </c>
    </row>
    <row r="363">
      <c r="A363" s="108"/>
      <c r="B363" s="130" t="s">
        <v>127</v>
      </c>
      <c r="C363" s="131">
        <v>5</v>
      </c>
      <c r="D363" s="132">
        <f>SUM(D358:D362)</f>
      </c>
      <c r="E363" s="132">
        <f>SUM(E358:E362)</f>
      </c>
      <c r="F363" s="132">
        <f>SUM(F358:F362)</f>
      </c>
      <c r="G363" s="132">
        <f>SUM(G358:G362)</f>
      </c>
      <c r="H363" s="132">
        <f>SUM(H358:H362)</f>
      </c>
      <c r="I363" s="132">
        <f>SUM(I358:I362)</f>
      </c>
      <c r="J363" s="132">
        <f>SUM(J358:J362)</f>
      </c>
      <c r="K363" s="132">
        <f>SUM(K358:K362)</f>
      </c>
      <c r="L363" s="132">
        <f>SUM(L358:L362)</f>
      </c>
      <c r="M363" s="133">
        <f t="shared" si="619"/>
      </c>
      <c r="N363" s="134">
        <f t="shared" si="649"/>
      </c>
      <c r="O363" s="134">
        <f t="shared" si="559"/>
      </c>
      <c r="P363" s="135">
        <f t="shared" si="589"/>
      </c>
      <c r="Q363" s="135">
        <f t="shared" si="769"/>
      </c>
      <c r="R363" s="135">
        <f t="shared" si="799"/>
      </c>
      <c r="S363" s="136">
        <f t="shared" si="679"/>
      </c>
      <c r="T363" s="136">
        <f t="shared" si="709"/>
      </c>
      <c r="U363" s="135">
        <f t="shared" si="988"/>
      </c>
      <c r="V363" s="136">
        <f t="shared" si="739"/>
      </c>
      <c r="W363" s="136">
        <f t="shared" si="1018"/>
      </c>
      <c r="X363" s="135">
        <f t="shared" si="829"/>
      </c>
      <c r="Y363" s="132">
        <f>SUM(Y358:Y362)</f>
      </c>
      <c r="Z363" s="132">
        <f>SUM(Z358:Z362)</f>
      </c>
      <c r="AA363" s="132">
        <f>SUM(AA358:AA362)</f>
      </c>
      <c r="AB363" s="132">
        <f>SUM(AB358:AB362)</f>
      </c>
      <c r="AC363" s="132">
        <f>SUM(AC358:AC362)</f>
      </c>
      <c r="AD363" s="150">
        <f t="shared" si="13"/>
      </c>
      <c r="AE363" s="151"/>
      <c r="AF363" s="139"/>
      <c r="AG363" s="132">
        <f>SUM(AG358:AG362)</f>
      </c>
      <c r="AH363" s="132">
        <f>SUM(AH358:AH362)</f>
      </c>
      <c r="AI363" s="132">
        <f>SUM(AI358:AI362)</f>
      </c>
      <c r="AJ363" s="132">
        <f>SUM(AJ358:AJ362)</f>
      </c>
      <c r="AK363" s="132">
        <f>SUM(AK358:AK362)</f>
      </c>
      <c r="AL363" s="132">
        <f>SUM(AL358:AL362)</f>
      </c>
    </row>
    <row r="364">
      <c r="A364" s="108"/>
      <c r="B364" s="152" t="s">
        <v>127</v>
      </c>
      <c r="C364" s="153">
        <f>C345+C351+C357+C363</f>
      </c>
      <c r="D364" s="167">
        <f>D345+D351+D357+D363</f>
      </c>
      <c r="E364" s="153">
        <f>E345+E351+E357+E363</f>
      </c>
      <c r="F364" s="153">
        <f>F345+F351+F357+F363</f>
      </c>
      <c r="G364" s="153">
        <f>G345+G351+G357+G363</f>
      </c>
      <c r="H364" s="153">
        <f>H345+H351+H357+H363</f>
      </c>
      <c r="I364" s="167">
        <f>I345+I351+I357+I363</f>
      </c>
      <c r="J364" s="153">
        <f>J345+J351+J357+J363</f>
      </c>
      <c r="K364" s="153">
        <f>K345+K351+K357+K363</f>
      </c>
      <c r="L364" s="153">
        <f>L345+L351+L357+L363</f>
      </c>
      <c r="M364" s="154">
        <f t="shared" si="619"/>
      </c>
      <c r="N364" s="154">
        <f t="shared" si="649"/>
      </c>
      <c r="O364" s="154">
        <f t="shared" si="559"/>
      </c>
      <c r="P364" s="154">
        <f t="shared" si="589"/>
      </c>
      <c r="Q364" s="154">
        <f t="shared" si="769"/>
      </c>
      <c r="R364" s="154">
        <f t="shared" si="799"/>
      </c>
      <c r="S364" s="155">
        <f t="shared" si="679"/>
      </c>
      <c r="T364" s="155">
        <f t="shared" si="709"/>
      </c>
      <c r="U364" s="154">
        <f t="shared" si="988"/>
      </c>
      <c r="V364" s="155">
        <f t="shared" si="739"/>
      </c>
      <c r="W364" s="155">
        <f t="shared" si="1018"/>
      </c>
      <c r="X364" s="154">
        <f t="shared" si="829"/>
      </c>
      <c r="Y364" s="156">
        <f>Y345+Y351+Y357+Y363</f>
      </c>
      <c r="Z364" s="156">
        <f>Z345+Z351+Z357+Z363</f>
      </c>
      <c r="AA364" s="156">
        <f>AA345+AA351+AA357+AA363</f>
      </c>
      <c r="AB364" s="156">
        <f>AB345+AB351+AB357+AB363</f>
      </c>
      <c r="AC364" s="156">
        <f>AC345+AC351+AC357+AC363</f>
      </c>
      <c r="AD364" s="157">
        <f>AD345+AD351+AD357+AD363</f>
      </c>
      <c r="AE364" s="158"/>
      <c r="AF364" s="159"/>
      <c r="AG364" s="153">
        <f>AG345+AG351+AG357+AG363</f>
      </c>
      <c r="AH364" s="153">
        <f>AH345+AH351+AH357+AH363</f>
      </c>
      <c r="AI364" s="153">
        <f>AI345+AI351+AI357+AI363</f>
      </c>
      <c r="AJ364" s="153">
        <f>AJ345+AJ351+AJ357+AJ363</f>
      </c>
      <c r="AK364" s="153">
        <f>AK345+AK351+AK357+AK363</f>
      </c>
      <c r="AL364" s="153">
        <f>AL345+AL351+AL357+AL363</f>
      </c>
    </row>
    <row r="365">
      <c r="A365" s="94" t="s">
        <v>81</v>
      </c>
      <c r="B365" s="95" t="s">
        <v>82</v>
      </c>
      <c r="C365" s="95" t="s">
        <v>83</v>
      </c>
      <c r="D365" s="96" t="s">
        <v>84</v>
      </c>
      <c r="E365" s="164" t="s">
        <v>85</v>
      </c>
      <c r="F365" s="95" t="s">
        <v>86</v>
      </c>
      <c r="G365" s="97" t="s">
        <v>87</v>
      </c>
      <c r="H365" s="97" t="s">
        <v>88</v>
      </c>
      <c r="I365" s="96" t="s">
        <v>89</v>
      </c>
      <c r="J365" s="98" t="s">
        <v>90</v>
      </c>
      <c r="K365" s="99" t="s">
        <v>91</v>
      </c>
      <c r="L365" s="99" t="s">
        <v>92</v>
      </c>
      <c r="M365" s="100" t="s">
        <v>93</v>
      </c>
      <c r="N365" s="99" t="s">
        <v>94</v>
      </c>
      <c r="O365" s="95" t="s">
        <v>95</v>
      </c>
      <c r="P365" s="100" t="s">
        <v>96</v>
      </c>
      <c r="Q365" s="101" t="s">
        <v>97</v>
      </c>
      <c r="R365" s="101" t="s">
        <v>98</v>
      </c>
      <c r="S365" s="96" t="s">
        <v>99</v>
      </c>
      <c r="T365" s="102" t="s">
        <v>100</v>
      </c>
      <c r="U365" s="100" t="s">
        <v>101</v>
      </c>
      <c r="V365" s="103" t="s">
        <v>102</v>
      </c>
      <c r="W365" s="104" t="s">
        <v>103</v>
      </c>
      <c r="X365" s="100" t="s">
        <v>104</v>
      </c>
      <c r="Y365" s="105" t="s">
        <v>105</v>
      </c>
      <c r="Z365" s="106" t="s">
        <v>106</v>
      </c>
      <c r="AA365" s="105" t="s">
        <v>107</v>
      </c>
      <c r="AB365" s="107" t="s">
        <v>108</v>
      </c>
      <c r="AC365" s="107" t="s">
        <v>109</v>
      </c>
      <c r="AD365" s="99" t="s">
        <v>110</v>
      </c>
      <c r="AE365" s="98" t="s">
        <v>111</v>
      </c>
      <c r="AF365" s="99" t="s">
        <v>112</v>
      </c>
      <c r="AG365" s="98" t="s">
        <v>113</v>
      </c>
      <c r="AH365" s="98" t="s">
        <v>114</v>
      </c>
      <c r="AI365" s="99" t="s">
        <v>115</v>
      </c>
      <c r="AJ365" s="98" t="s">
        <v>116</v>
      </c>
      <c r="AK365" s="99" t="s">
        <v>117</v>
      </c>
      <c r="AL365" s="98" t="s">
        <v>118</v>
      </c>
    </row>
    <row r="366">
      <c r="A366" s="108">
        <v>46280</v>
      </c>
      <c r="B366" s="109" t="s">
        <v>143</v>
      </c>
      <c r="C366" s="110" t="s">
        <v>120</v>
      </c>
      <c r="D366" s="143">
        <f t="shared" ref="D366:D370" si="347">E366+F366+G366+H366</f>
      </c>
      <c r="E366" s="144">
        <v>1587.28</v>
      </c>
      <c r="F366" s="146">
        <v>3451.67</v>
      </c>
      <c r="G366" s="113">
        <v>0</v>
      </c>
      <c r="H366" s="113">
        <v>0</v>
      </c>
      <c r="I366" s="113">
        <f t="shared" ref="I366:I370" si="476">AB366+AC366</f>
      </c>
      <c r="J366" s="114">
        <v>1871.64</v>
      </c>
      <c r="K366" s="115">
        <f t="shared" ref="K366:K370" si="89">I366-J366</f>
      </c>
      <c r="L366" s="115">
        <f t="shared" ref="L366:L370" si="218">(I366-AC366)/12+AC366</f>
      </c>
      <c r="M366" s="116">
        <f t="shared" ref="M366:M389" si="620">I366/D366</f>
      </c>
      <c r="N366" s="117">
        <f t="shared" ref="N366:N389" si="650">(I366-J366)/D366</f>
      </c>
      <c r="O366" s="118">
        <f t="shared" ref="O366:O389" si="560">(AC366+AB366/12)/D366</f>
      </c>
      <c r="P366" s="119">
        <f t="shared" ref="P366:P389" si="590">I366/AA366</f>
      </c>
      <c r="Q366" s="119">
        <f t="shared" ref="Q366:Q389" si="770">D366/AA366</f>
      </c>
      <c r="R366" s="119">
        <f t="shared" ref="R366:R389" si="800">D366/AG366</f>
      </c>
      <c r="S366" s="120">
        <f t="shared" ref="S366:S389" si="680">AA366/Y366</f>
      </c>
      <c r="T366" s="121">
        <f t="shared" ref="T366:T389" si="710">AI366/AH366</f>
      </c>
      <c r="U366" s="119">
        <f t="shared" ref="U366:U389" si="989">D366/AJ366</f>
      </c>
      <c r="V366" s="122">
        <f t="shared" ref="V366:V389" si="740">AK366/AJ366</f>
      </c>
      <c r="W366" s="122">
        <f t="shared" ref="W366:W389" si="1019">AL366/AJ366</f>
      </c>
      <c r="X366" s="119">
        <f t="shared" ref="X366:X389" si="830">D366/AL366</f>
      </c>
      <c r="Y366" s="123">
        <f t="shared" ref="Y366:Y370" si="905">Z366+AA366</f>
      </c>
      <c r="Z366" s="123">
        <v>1</v>
      </c>
      <c r="AA366" s="123">
        <v>2</v>
      </c>
      <c r="AB366" s="124">
        <v>2547.720000000001</v>
      </c>
      <c r="AC366" s="124">
        <v>0</v>
      </c>
      <c r="AD366" s="120">
        <f t="shared" ref="AD366:AD388" si="14">AC366/I366</f>
      </c>
      <c r="AE366" s="125" t="s">
        <v>121</v>
      </c>
      <c r="AF366" s="126" t="s">
        <v>153</v>
      </c>
      <c r="AG366" s="127">
        <v>1</v>
      </c>
      <c r="AH366" s="127">
        <v>56090</v>
      </c>
      <c r="AI366" s="128">
        <v>2810</v>
      </c>
      <c r="AJ366" s="128">
        <v>3291</v>
      </c>
      <c r="AK366" s="127">
        <v>249</v>
      </c>
      <c r="AL366" s="129">
        <v>186</v>
      </c>
    </row>
    <row r="367">
      <c r="A367" s="108"/>
      <c r="B367" s="109" t="s">
        <v>143</v>
      </c>
      <c r="C367" s="110" t="s">
        <v>123</v>
      </c>
      <c r="D367" s="143">
        <f t="shared" si="347"/>
      </c>
      <c r="E367" s="147">
        <v>2055.33</v>
      </c>
      <c r="F367" s="146">
        <v>6291.29</v>
      </c>
      <c r="G367" s="113">
        <v>0</v>
      </c>
      <c r="H367" s="113">
        <v>0</v>
      </c>
      <c r="I367" s="113">
        <f t="shared" si="476"/>
      </c>
      <c r="J367" s="114">
        <v>2076.72</v>
      </c>
      <c r="K367" s="115">
        <f t="shared" si="89"/>
      </c>
      <c r="L367" s="115">
        <f t="shared" si="218"/>
      </c>
      <c r="M367" s="116">
        <f t="shared" si="620"/>
      </c>
      <c r="N367" s="117">
        <f t="shared" si="650"/>
      </c>
      <c r="O367" s="118">
        <f t="shared" si="560"/>
      </c>
      <c r="P367" s="119">
        <f t="shared" si="590"/>
      </c>
      <c r="Q367" s="119">
        <f t="shared" si="770"/>
      </c>
      <c r="R367" s="119">
        <f t="shared" si="800"/>
      </c>
      <c r="S367" s="120">
        <f t="shared" si="680"/>
      </c>
      <c r="T367" s="121">
        <f t="shared" si="710"/>
      </c>
      <c r="U367" s="119">
        <f t="shared" si="989"/>
      </c>
      <c r="V367" s="122">
        <f t="shared" si="740"/>
      </c>
      <c r="W367" s="122">
        <f t="shared" si="1019"/>
      </c>
      <c r="X367" s="119">
        <f t="shared" si="830"/>
      </c>
      <c r="Y367" s="123">
        <f t="shared" si="905"/>
      </c>
      <c r="Z367" s="123">
        <v>6</v>
      </c>
      <c r="AA367" s="123">
        <v>7</v>
      </c>
      <c r="AB367" s="124">
        <v>10014.719999999998</v>
      </c>
      <c r="AC367" s="124">
        <v>0</v>
      </c>
      <c r="AD367" s="120">
        <f t="shared" si="14"/>
      </c>
      <c r="AE367" s="125" t="s">
        <v>121</v>
      </c>
      <c r="AF367" s="126" t="s">
        <v>153</v>
      </c>
      <c r="AG367" s="127">
        <v>5</v>
      </c>
      <c r="AH367" s="128">
        <v>75513</v>
      </c>
      <c r="AI367" s="128">
        <v>2147</v>
      </c>
      <c r="AJ367" s="128">
        <v>2441</v>
      </c>
      <c r="AK367" s="129">
        <v>286</v>
      </c>
      <c r="AL367" s="129">
        <v>264</v>
      </c>
    </row>
    <row r="368">
      <c r="A368" s="108"/>
      <c r="B368" s="109" t="s">
        <v>143</v>
      </c>
      <c r="C368" s="110" t="s">
        <v>124</v>
      </c>
      <c r="D368" s="111">
        <f t="shared" si="347"/>
      </c>
      <c r="E368" s="165">
        <v>1814.47</v>
      </c>
      <c r="F368" s="110">
        <v>3911.83</v>
      </c>
      <c r="G368" s="113">
        <v>0</v>
      </c>
      <c r="H368" s="113">
        <v>0</v>
      </c>
      <c r="I368" s="113">
        <f t="shared" si="476"/>
      </c>
      <c r="J368" s="114">
        <v>668.52</v>
      </c>
      <c r="K368" s="115">
        <f t="shared" si="89"/>
      </c>
      <c r="L368" s="115">
        <f t="shared" si="218"/>
      </c>
      <c r="M368" s="116">
        <f t="shared" si="620"/>
      </c>
      <c r="N368" s="117">
        <f t="shared" si="650"/>
      </c>
      <c r="O368" s="118">
        <f t="shared" si="560"/>
      </c>
      <c r="P368" s="119">
        <f t="shared" si="590"/>
      </c>
      <c r="Q368" s="119">
        <f t="shared" si="770"/>
      </c>
      <c r="R368" s="119">
        <f t="shared" si="800"/>
      </c>
      <c r="S368" s="120">
        <f t="shared" si="680"/>
      </c>
      <c r="T368" s="121">
        <f t="shared" si="710"/>
      </c>
      <c r="U368" s="119">
        <f t="shared" si="989"/>
      </c>
      <c r="V368" s="122">
        <f t="shared" si="740"/>
      </c>
      <c r="W368" s="122">
        <f t="shared" si="1019"/>
      </c>
      <c r="X368" s="119">
        <f t="shared" si="830"/>
      </c>
      <c r="Y368" s="123">
        <f t="shared" si="905"/>
      </c>
      <c r="Z368" s="123">
        <v>2</v>
      </c>
      <c r="AA368" s="123">
        <v>2</v>
      </c>
      <c r="AB368" s="124">
        <v>3371.7599999999984</v>
      </c>
      <c r="AC368" s="124">
        <v>0</v>
      </c>
      <c r="AD368" s="120">
        <f t="shared" si="14"/>
      </c>
      <c r="AE368" s="125" t="s">
        <v>121</v>
      </c>
      <c r="AF368" s="126" t="s">
        <v>153</v>
      </c>
      <c r="AG368" s="127">
        <v>2</v>
      </c>
      <c r="AH368" s="128">
        <v>46822</v>
      </c>
      <c r="AI368" s="128">
        <v>1442</v>
      </c>
      <c r="AJ368" s="128">
        <v>1762</v>
      </c>
      <c r="AK368" s="129">
        <v>178</v>
      </c>
      <c r="AL368" s="129">
        <v>169</v>
      </c>
    </row>
    <row r="369">
      <c r="A369" s="108"/>
      <c r="B369" s="109" t="s">
        <v>143</v>
      </c>
      <c r="C369" s="110" t="s">
        <v>125</v>
      </c>
      <c r="D369" s="111">
        <f t="shared" si="347"/>
      </c>
      <c r="E369" s="110">
        <v>1475.42</v>
      </c>
      <c r="F369" s="113">
        <v>3802.61</v>
      </c>
      <c r="G369" s="113">
        <v>0</v>
      </c>
      <c r="H369" s="113">
        <v>0</v>
      </c>
      <c r="I369" s="113">
        <f t="shared" si="476"/>
      </c>
      <c r="J369" s="114">
        <f>1736.64+906.12</f>
      </c>
      <c r="K369" s="115">
        <f t="shared" si="89"/>
      </c>
      <c r="L369" s="115">
        <f t="shared" si="218"/>
      </c>
      <c r="M369" s="116">
        <f t="shared" si="620"/>
      </c>
      <c r="N369" s="117">
        <f t="shared" si="650"/>
      </c>
      <c r="O369" s="118">
        <f t="shared" si="560"/>
      </c>
      <c r="P369" s="119">
        <f t="shared" si="590"/>
      </c>
      <c r="Q369" s="119">
        <f t="shared" si="770"/>
      </c>
      <c r="R369" s="119">
        <f t="shared" si="800"/>
      </c>
      <c r="S369" s="120">
        <f t="shared" si="680"/>
      </c>
      <c r="T369" s="121">
        <f t="shared" si="710"/>
      </c>
      <c r="U369" s="119">
        <f t="shared" si="989"/>
      </c>
      <c r="V369" s="122">
        <f t="shared" si="740"/>
      </c>
      <c r="W369" s="122">
        <f t="shared" si="1019"/>
      </c>
      <c r="X369" s="119">
        <f t="shared" si="830"/>
      </c>
      <c r="Y369" s="123">
        <f t="shared" si="905"/>
      </c>
      <c r="Z369" s="123">
        <v>6</v>
      </c>
      <c r="AA369" s="123">
        <v>6</v>
      </c>
      <c r="AB369" s="124">
        <v>10647.720000000001</v>
      </c>
      <c r="AC369" s="124">
        <v>0</v>
      </c>
      <c r="AD369" s="120">
        <f t="shared" si="14"/>
      </c>
      <c r="AE369" s="125" t="s">
        <v>121</v>
      </c>
      <c r="AF369" s="126" t="s">
        <v>153</v>
      </c>
      <c r="AG369" s="127">
        <v>6</v>
      </c>
      <c r="AH369" s="128">
        <v>41364</v>
      </c>
      <c r="AI369" s="128">
        <v>1219</v>
      </c>
      <c r="AJ369" s="128">
        <v>1510</v>
      </c>
      <c r="AK369" s="129">
        <v>185</v>
      </c>
      <c r="AL369" s="129">
        <v>135</v>
      </c>
    </row>
    <row r="370">
      <c r="A370" s="108"/>
      <c r="B370" s="109" t="s">
        <v>143</v>
      </c>
      <c r="C370" s="110" t="s">
        <v>126</v>
      </c>
      <c r="D370" s="111">
        <f t="shared" si="347"/>
      </c>
      <c r="E370" s="112">
        <v>1425.12</v>
      </c>
      <c r="F370" s="113">
        <v>4436.46</v>
      </c>
      <c r="G370" s="113">
        <v>0</v>
      </c>
      <c r="H370" s="113">
        <v>0</v>
      </c>
      <c r="I370" s="113">
        <f t="shared" si="476"/>
      </c>
      <c r="J370" s="114">
        <v>0</v>
      </c>
      <c r="K370" s="115">
        <f t="shared" si="89"/>
      </c>
      <c r="L370" s="115">
        <f t="shared" si="218"/>
      </c>
      <c r="M370" s="116">
        <f t="shared" si="620"/>
      </c>
      <c r="N370" s="117">
        <f t="shared" si="650"/>
      </c>
      <c r="O370" s="118">
        <f t="shared" si="560"/>
      </c>
      <c r="P370" s="119">
        <f t="shared" si="590"/>
      </c>
      <c r="Q370" s="119">
        <f t="shared" si="770"/>
      </c>
      <c r="R370" s="119">
        <f t="shared" si="800"/>
      </c>
      <c r="S370" s="120">
        <f t="shared" si="680"/>
      </c>
      <c r="T370" s="121">
        <f t="shared" si="710"/>
      </c>
      <c r="U370" s="119">
        <f t="shared" si="989"/>
      </c>
      <c r="V370" s="122">
        <f t="shared" si="740"/>
      </c>
      <c r="W370" s="122">
        <f t="shared" si="1019"/>
      </c>
      <c r="X370" s="119">
        <f t="shared" si="830"/>
      </c>
      <c r="Y370" s="123">
        <f t="shared" si="905"/>
      </c>
      <c r="Z370" s="123">
        <v>9</v>
      </c>
      <c r="AA370" s="123">
        <v>10</v>
      </c>
      <c r="AB370" s="124">
        <v>14749.560000000005</v>
      </c>
      <c r="AC370" s="124">
        <v>1608</v>
      </c>
      <c r="AD370" s="120">
        <f t="shared" si="14"/>
      </c>
      <c r="AE370" s="125" t="s">
        <v>121</v>
      </c>
      <c r="AF370" s="126" t="s">
        <v>153</v>
      </c>
      <c r="AG370" s="127">
        <v>9</v>
      </c>
      <c r="AH370" s="128">
        <v>48579</v>
      </c>
      <c r="AI370" s="128">
        <v>1266</v>
      </c>
      <c r="AJ370" s="128">
        <v>1522</v>
      </c>
      <c r="AK370" s="127">
        <v>195</v>
      </c>
      <c r="AL370" s="127">
        <v>183</v>
      </c>
    </row>
    <row r="371">
      <c r="A371" s="108"/>
      <c r="B371" s="130" t="s">
        <v>127</v>
      </c>
      <c r="C371" s="131">
        <v>5</v>
      </c>
      <c r="D371" s="132">
        <f>SUM(D366:D370)</f>
      </c>
      <c r="E371" s="132">
        <f>SUM(E366:E370)</f>
      </c>
      <c r="F371" s="132">
        <f>SUM(F366:F370)</f>
      </c>
      <c r="G371" s="132">
        <f>SUM(G366:G370)</f>
      </c>
      <c r="H371" s="132">
        <f>SUM(H366:H370)</f>
      </c>
      <c r="I371" s="132">
        <f>SUM(I366:I370)</f>
      </c>
      <c r="J371" s="132">
        <f>SUM(J366:J370)</f>
      </c>
      <c r="K371" s="132">
        <f>SUM(K366:K370)</f>
      </c>
      <c r="L371" s="132">
        <f>SUM(L366:L370)</f>
      </c>
      <c r="M371" s="133">
        <f t="shared" si="620"/>
      </c>
      <c r="N371" s="134">
        <f t="shared" si="650"/>
      </c>
      <c r="O371" s="134">
        <f t="shared" si="560"/>
      </c>
      <c r="P371" s="135">
        <f t="shared" si="590"/>
      </c>
      <c r="Q371" s="135">
        <f t="shared" si="770"/>
      </c>
      <c r="R371" s="135">
        <f t="shared" si="800"/>
      </c>
      <c r="S371" s="136">
        <f t="shared" si="680"/>
      </c>
      <c r="T371" s="136">
        <f t="shared" si="710"/>
      </c>
      <c r="U371" s="135">
        <f t="shared" si="989"/>
      </c>
      <c r="V371" s="136">
        <f t="shared" si="740"/>
      </c>
      <c r="W371" s="136">
        <f t="shared" si="1019"/>
      </c>
      <c r="X371" s="135">
        <f t="shared" si="830"/>
      </c>
      <c r="Y371" s="132">
        <f>SUM(Y366:Y370)</f>
      </c>
      <c r="Z371" s="132">
        <f>SUM(Z366:Z370)</f>
      </c>
      <c r="AA371" s="132">
        <f>SUM(AA366:AA370)</f>
      </c>
      <c r="AB371" s="132">
        <f>SUM(AB366:AB370)</f>
      </c>
      <c r="AC371" s="132">
        <f>SUM(AC366:AC370)</f>
      </c>
      <c r="AD371" s="137">
        <f t="shared" si="14"/>
      </c>
      <c r="AE371" s="138"/>
      <c r="AF371" s="139"/>
      <c r="AG371" s="132">
        <f>SUM(AG366:AG370)</f>
      </c>
      <c r="AH371" s="132">
        <f>SUM(AH366:AH370)</f>
      </c>
      <c r="AI371" s="132">
        <f>SUM(AI366:AI370)</f>
      </c>
      <c r="AJ371" s="132">
        <f>SUM(AJ366:AJ370)</f>
      </c>
      <c r="AK371" s="132">
        <f>SUM(AK366:AK370)</f>
      </c>
      <c r="AL371" s="132">
        <f>SUM(AL366:AL370)</f>
      </c>
    </row>
    <row r="372">
      <c r="A372" s="108"/>
      <c r="B372" s="109" t="s">
        <v>139</v>
      </c>
      <c r="C372" s="110" t="s">
        <v>129</v>
      </c>
      <c r="D372" s="111">
        <f t="shared" ref="D372:D376" si="348">E372+F372+G372+H372</f>
      </c>
      <c r="E372" s="112">
        <v>2642.83</v>
      </c>
      <c r="F372" s="113">
        <v>2516.71</v>
      </c>
      <c r="G372" s="113">
        <v>0</v>
      </c>
      <c r="H372" s="113">
        <v>0</v>
      </c>
      <c r="I372" s="113">
        <f t="shared" ref="I372:I376" si="477">AB372+AC372</f>
      </c>
      <c r="J372" s="114">
        <v>1480.68</v>
      </c>
      <c r="K372" s="115">
        <f t="shared" ref="K372:K376" si="90">I372-J372</f>
      </c>
      <c r="L372" s="115">
        <f t="shared" ref="L372:L376" si="219">(I372-AC372)/12+AC372</f>
      </c>
      <c r="M372" s="116">
        <f t="shared" si="620"/>
      </c>
      <c r="N372" s="117">
        <f t="shared" si="650"/>
      </c>
      <c r="O372" s="118">
        <f t="shared" si="560"/>
      </c>
      <c r="P372" s="119">
        <f t="shared" si="590"/>
      </c>
      <c r="Q372" s="119">
        <f t="shared" si="770"/>
      </c>
      <c r="R372" s="119">
        <f t="shared" si="800"/>
      </c>
      <c r="S372" s="120">
        <f t="shared" si="680"/>
      </c>
      <c r="T372" s="121">
        <f t="shared" si="710"/>
      </c>
      <c r="U372" s="119">
        <f t="shared" si="989"/>
      </c>
      <c r="V372" s="122">
        <f t="shared" si="740"/>
      </c>
      <c r="W372" s="122">
        <f t="shared" si="1019"/>
      </c>
      <c r="X372" s="119">
        <f t="shared" si="830"/>
      </c>
      <c r="Y372" s="123">
        <f t="shared" ref="Y372:Y376" si="906">Z372+AA372</f>
      </c>
      <c r="Z372" s="123">
        <v>2</v>
      </c>
      <c r="AA372" s="123">
        <v>3</v>
      </c>
      <c r="AB372" s="124">
        <v>3551.0399999999936</v>
      </c>
      <c r="AC372" s="124">
        <v>0</v>
      </c>
      <c r="AD372" s="120">
        <f t="shared" si="14"/>
      </c>
      <c r="AE372" s="125" t="s">
        <v>121</v>
      </c>
      <c r="AF372" s="126" t="s">
        <v>153</v>
      </c>
      <c r="AG372" s="127">
        <v>3</v>
      </c>
      <c r="AH372" s="128">
        <v>41923</v>
      </c>
      <c r="AI372" s="128">
        <v>1671</v>
      </c>
      <c r="AJ372" s="128">
        <v>2010</v>
      </c>
      <c r="AK372" s="127">
        <v>232</v>
      </c>
      <c r="AL372" s="127">
        <v>156</v>
      </c>
    </row>
    <row r="373">
      <c r="A373" s="108"/>
      <c r="B373" s="109" t="s">
        <v>139</v>
      </c>
      <c r="C373" s="110" t="s">
        <v>130</v>
      </c>
      <c r="D373" s="111">
        <f t="shared" si="348"/>
      </c>
      <c r="E373" s="110">
        <v>2919.12</v>
      </c>
      <c r="F373" s="113">
        <v>1566.34</v>
      </c>
      <c r="G373" s="113">
        <v>0</v>
      </c>
      <c r="H373" s="113">
        <v>0</v>
      </c>
      <c r="I373" s="113">
        <f t="shared" si="477"/>
      </c>
      <c r="J373" s="162">
        <v>0</v>
      </c>
      <c r="K373" s="115">
        <f t="shared" si="90"/>
      </c>
      <c r="L373" s="115">
        <f t="shared" si="219"/>
      </c>
      <c r="M373" s="116">
        <f t="shared" si="620"/>
      </c>
      <c r="N373" s="117">
        <f t="shared" si="650"/>
      </c>
      <c r="O373" s="118">
        <f t="shared" si="560"/>
      </c>
      <c r="P373" s="119">
        <f t="shared" si="590"/>
      </c>
      <c r="Q373" s="119">
        <f t="shared" si="770"/>
      </c>
      <c r="R373" s="119">
        <f t="shared" si="800"/>
      </c>
      <c r="S373" s="120">
        <f t="shared" si="680"/>
      </c>
      <c r="T373" s="121">
        <f t="shared" si="710"/>
      </c>
      <c r="U373" s="119">
        <f t="shared" si="989"/>
      </c>
      <c r="V373" s="122">
        <f t="shared" si="740"/>
      </c>
      <c r="W373" s="122">
        <f t="shared" si="1019"/>
      </c>
      <c r="X373" s="119">
        <f t="shared" si="830"/>
      </c>
      <c r="Y373" s="123">
        <f t="shared" si="906"/>
      </c>
      <c r="Z373" s="123">
        <v>1</v>
      </c>
      <c r="AA373" s="123">
        <v>3</v>
      </c>
      <c r="AB373" s="124">
        <v>3876.12000000001</v>
      </c>
      <c r="AC373" s="124">
        <v>0</v>
      </c>
      <c r="AD373" s="120">
        <f t="shared" si="14"/>
      </c>
      <c r="AE373" s="125" t="s">
        <v>121</v>
      </c>
      <c r="AF373" s="126" t="s">
        <v>153</v>
      </c>
      <c r="AG373" s="127">
        <v>3</v>
      </c>
      <c r="AH373" s="128">
        <v>33601</v>
      </c>
      <c r="AI373" s="128">
        <v>1555</v>
      </c>
      <c r="AJ373" s="128">
        <v>1912</v>
      </c>
      <c r="AK373" s="129">
        <v>203</v>
      </c>
      <c r="AL373" s="129">
        <v>123</v>
      </c>
    </row>
    <row r="374">
      <c r="A374" s="108"/>
      <c r="B374" s="109" t="s">
        <v>139</v>
      </c>
      <c r="C374" s="110" t="s">
        <v>131</v>
      </c>
      <c r="D374" s="111">
        <f t="shared" si="348"/>
      </c>
      <c r="E374" s="110">
        <v>1579.32</v>
      </c>
      <c r="F374" s="110">
        <v>3413.49</v>
      </c>
      <c r="G374" s="113">
        <v>0</v>
      </c>
      <c r="H374" s="113">
        <v>0</v>
      </c>
      <c r="I374" s="113">
        <f t="shared" si="477"/>
      </c>
      <c r="J374" s="114">
        <f>676.08+757.08</f>
      </c>
      <c r="K374" s="115">
        <f t="shared" si="90"/>
      </c>
      <c r="L374" s="115">
        <f t="shared" si="219"/>
      </c>
      <c r="M374" s="116">
        <f t="shared" si="620"/>
      </c>
      <c r="N374" s="117">
        <f t="shared" si="650"/>
      </c>
      <c r="O374" s="118">
        <f t="shared" si="560"/>
      </c>
      <c r="P374" s="119">
        <f t="shared" si="590"/>
      </c>
      <c r="Q374" s="119">
        <f t="shared" si="770"/>
      </c>
      <c r="R374" s="119">
        <f t="shared" si="800"/>
      </c>
      <c r="S374" s="120">
        <f t="shared" si="680"/>
      </c>
      <c r="T374" s="121">
        <f t="shared" si="710"/>
      </c>
      <c r="U374" s="119">
        <f t="shared" si="989"/>
      </c>
      <c r="V374" s="122">
        <f t="shared" si="740"/>
      </c>
      <c r="W374" s="122">
        <f t="shared" si="1019"/>
      </c>
      <c r="X374" s="119">
        <f t="shared" si="830"/>
      </c>
      <c r="Y374" s="123">
        <f t="shared" si="906"/>
      </c>
      <c r="Z374" s="123">
        <v>3</v>
      </c>
      <c r="AA374" s="123">
        <v>6</v>
      </c>
      <c r="AB374" s="124">
        <v>11063.159999999989</v>
      </c>
      <c r="AC374" s="124">
        <v>0</v>
      </c>
      <c r="AD374" s="120">
        <f t="shared" si="14"/>
      </c>
      <c r="AE374" s="125" t="s">
        <v>121</v>
      </c>
      <c r="AF374" s="126" t="s">
        <v>153</v>
      </c>
      <c r="AG374" s="129">
        <v>6</v>
      </c>
      <c r="AH374" s="128">
        <v>36256</v>
      </c>
      <c r="AI374" s="128">
        <v>1418</v>
      </c>
      <c r="AJ374" s="128">
        <v>1706</v>
      </c>
      <c r="AK374" s="129">
        <v>190</v>
      </c>
      <c r="AL374" s="129">
        <v>150</v>
      </c>
    </row>
    <row r="375">
      <c r="A375" s="108"/>
      <c r="B375" s="109" t="s">
        <v>139</v>
      </c>
      <c r="C375" s="110" t="s">
        <v>132</v>
      </c>
      <c r="D375" s="111">
        <f t="shared" si="348"/>
      </c>
      <c r="E375" s="110">
        <v>1259.96</v>
      </c>
      <c r="F375" s="113">
        <v>2659.44</v>
      </c>
      <c r="G375" s="113">
        <v>0</v>
      </c>
      <c r="H375" s="113">
        <v>0</v>
      </c>
      <c r="I375" s="113">
        <f t="shared" si="477"/>
      </c>
      <c r="J375" s="114">
        <v>0</v>
      </c>
      <c r="K375" s="115">
        <f t="shared" si="90"/>
      </c>
      <c r="L375" s="115">
        <f t="shared" si="219"/>
      </c>
      <c r="M375" s="116">
        <f t="shared" si="620"/>
      </c>
      <c r="N375" s="117">
        <f t="shared" si="650"/>
      </c>
      <c r="O375" s="118">
        <f t="shared" si="560"/>
      </c>
      <c r="P375" s="119">
        <f t="shared" si="590"/>
      </c>
      <c r="Q375" s="119">
        <f t="shared" si="770"/>
      </c>
      <c r="R375" s="119">
        <f t="shared" si="800"/>
      </c>
      <c r="S375" s="120">
        <f t="shared" si="680"/>
      </c>
      <c r="T375" s="121">
        <f t="shared" si="710"/>
      </c>
      <c r="U375" s="119">
        <f t="shared" si="989"/>
      </c>
      <c r="V375" s="122">
        <f t="shared" si="740"/>
      </c>
      <c r="W375" s="122">
        <f t="shared" si="1019"/>
      </c>
      <c r="X375" s="119">
        <f t="shared" si="830"/>
      </c>
      <c r="Y375" s="123">
        <f t="shared" si="906"/>
      </c>
      <c r="Z375" s="123">
        <v>0</v>
      </c>
      <c r="AA375" s="123">
        <v>8</v>
      </c>
      <c r="AB375" s="114">
        <v>15406.200000000004</v>
      </c>
      <c r="AC375" s="124">
        <v>0</v>
      </c>
      <c r="AD375" s="120">
        <f t="shared" si="14"/>
      </c>
      <c r="AE375" s="125" t="s">
        <v>121</v>
      </c>
      <c r="AF375" s="126" t="s">
        <v>153</v>
      </c>
      <c r="AG375" s="127">
        <v>8</v>
      </c>
      <c r="AH375" s="128">
        <v>33127</v>
      </c>
      <c r="AI375" s="128">
        <v>1045</v>
      </c>
      <c r="AJ375" s="128">
        <v>1256</v>
      </c>
      <c r="AK375" s="129">
        <v>195</v>
      </c>
      <c r="AL375" s="129">
        <v>141</v>
      </c>
    </row>
    <row r="376">
      <c r="A376" s="108"/>
      <c r="B376" s="109" t="s">
        <v>139</v>
      </c>
      <c r="C376" s="110" t="s">
        <v>134</v>
      </c>
      <c r="D376" s="111">
        <f t="shared" si="348"/>
      </c>
      <c r="E376" s="110">
        <v>1302.8</v>
      </c>
      <c r="F376" s="140">
        <v>4339.31</v>
      </c>
      <c r="G376" s="113">
        <v>0</v>
      </c>
      <c r="H376" s="113">
        <v>0</v>
      </c>
      <c r="I376" s="113">
        <f t="shared" si="477"/>
      </c>
      <c r="J376" s="114">
        <v>1029.24</v>
      </c>
      <c r="K376" s="115">
        <f t="shared" si="90"/>
      </c>
      <c r="L376" s="115">
        <f t="shared" si="219"/>
      </c>
      <c r="M376" s="116">
        <f t="shared" si="620"/>
      </c>
      <c r="N376" s="117">
        <f t="shared" si="650"/>
      </c>
      <c r="O376" s="118">
        <f t="shared" si="560"/>
      </c>
      <c r="P376" s="119">
        <f t="shared" si="590"/>
      </c>
      <c r="Q376" s="119">
        <f t="shared" si="770"/>
      </c>
      <c r="R376" s="119">
        <f t="shared" si="800"/>
      </c>
      <c r="S376" s="120">
        <f t="shared" si="680"/>
      </c>
      <c r="T376" s="121">
        <f t="shared" si="710"/>
      </c>
      <c r="U376" s="119">
        <f t="shared" si="989"/>
      </c>
      <c r="V376" s="122">
        <f t="shared" si="740"/>
      </c>
      <c r="W376" s="122">
        <f t="shared" si="1019"/>
      </c>
      <c r="X376" s="119">
        <f t="shared" si="830"/>
      </c>
      <c r="Y376" s="123">
        <f t="shared" si="906"/>
      </c>
      <c r="Z376" s="123">
        <v>5</v>
      </c>
      <c r="AA376" s="123">
        <v>3</v>
      </c>
      <c r="AB376" s="124">
        <v>2912.7600000000093</v>
      </c>
      <c r="AC376" s="124">
        <v>0</v>
      </c>
      <c r="AD376" s="120">
        <f t="shared" si="14"/>
      </c>
      <c r="AE376" s="125" t="s">
        <v>121</v>
      </c>
      <c r="AF376" s="126" t="s">
        <v>153</v>
      </c>
      <c r="AG376" s="127">
        <v>3</v>
      </c>
      <c r="AH376" s="127">
        <v>44739</v>
      </c>
      <c r="AI376" s="127">
        <v>1032</v>
      </c>
      <c r="AJ376" s="127">
        <v>1255</v>
      </c>
      <c r="AK376" s="127">
        <v>195</v>
      </c>
      <c r="AL376" s="127">
        <v>182</v>
      </c>
    </row>
    <row r="377">
      <c r="A377" s="108"/>
      <c r="B377" s="130" t="s">
        <v>127</v>
      </c>
      <c r="C377" s="131">
        <v>5</v>
      </c>
      <c r="D377" s="132">
        <f>SUM(D372:D376)</f>
      </c>
      <c r="E377" s="132">
        <f>SUM(E372:E376)</f>
      </c>
      <c r="F377" s="132">
        <f>SUM(F372:F376)</f>
      </c>
      <c r="G377" s="132">
        <f>SUM(G372:G376)</f>
      </c>
      <c r="H377" s="132">
        <f>SUM(H372:H376)</f>
      </c>
      <c r="I377" s="132">
        <f>SUM(I372:I376)</f>
      </c>
      <c r="J377" s="132">
        <f>SUM(J372:J376)</f>
      </c>
      <c r="K377" s="132">
        <f>SUM(K372:K376)</f>
      </c>
      <c r="L377" s="132">
        <f>SUM(L372:L376)</f>
      </c>
      <c r="M377" s="133">
        <f t="shared" si="620"/>
      </c>
      <c r="N377" s="134">
        <f t="shared" si="650"/>
      </c>
      <c r="O377" s="134">
        <f t="shared" si="560"/>
      </c>
      <c r="P377" s="135">
        <f t="shared" si="590"/>
      </c>
      <c r="Q377" s="135">
        <f t="shared" si="770"/>
      </c>
      <c r="R377" s="135">
        <f t="shared" si="800"/>
      </c>
      <c r="S377" s="136">
        <f t="shared" si="680"/>
      </c>
      <c r="T377" s="136">
        <f t="shared" si="710"/>
      </c>
      <c r="U377" s="135">
        <f t="shared" si="989"/>
      </c>
      <c r="V377" s="136">
        <f t="shared" si="740"/>
      </c>
      <c r="W377" s="136">
        <f t="shared" si="1019"/>
      </c>
      <c r="X377" s="135">
        <f t="shared" si="830"/>
      </c>
      <c r="Y377" s="132">
        <f>SUM(Y372:Y376)</f>
      </c>
      <c r="Z377" s="132">
        <f>SUM(Z372:Z376)</f>
      </c>
      <c r="AA377" s="132">
        <f>SUM(AA372:AA376)</f>
      </c>
      <c r="AB377" s="132">
        <f>SUM(AB372:AB376)</f>
      </c>
      <c r="AC377" s="132">
        <f>SUM(AC372:AC376)</f>
      </c>
      <c r="AD377" s="137">
        <f t="shared" si="14"/>
      </c>
      <c r="AE377" s="138"/>
      <c r="AF377" s="139"/>
      <c r="AG377" s="132">
        <f>SUM(AG372:AG376)</f>
      </c>
      <c r="AH377" s="132">
        <f>SUM(AH372:AH376)</f>
      </c>
      <c r="AI377" s="132">
        <f>SUM(AI372:AI376)</f>
      </c>
      <c r="AJ377" s="132">
        <f>SUM(AJ372:AJ376)</f>
      </c>
      <c r="AK377" s="132">
        <f>SUM(AK372:AK376)</f>
      </c>
      <c r="AL377" s="132">
        <f>SUM(AL372:AL376)</f>
      </c>
    </row>
    <row r="378">
      <c r="A378" s="108"/>
      <c r="B378" s="109" t="s">
        <v>133</v>
      </c>
      <c r="C378" s="110" t="s">
        <v>135</v>
      </c>
      <c r="D378" s="111">
        <f t="shared" ref="D378:D382" si="349">E378+F378+G378+H378</f>
      </c>
      <c r="E378" s="110">
        <v>1041.04</v>
      </c>
      <c r="F378" s="140">
        <v>3408.3</v>
      </c>
      <c r="G378" s="113">
        <v>0</v>
      </c>
      <c r="H378" s="113">
        <v>0</v>
      </c>
      <c r="I378" s="113">
        <f t="shared" ref="I378:I382" si="478">AB378+AC378</f>
      </c>
      <c r="J378" s="160">
        <v>899</v>
      </c>
      <c r="K378" s="115">
        <f t="shared" ref="K378:K382" si="91">I378-J378</f>
      </c>
      <c r="L378" s="115">
        <f t="shared" ref="L378:L382" si="220">(I378-AC378)/12+AC378</f>
      </c>
      <c r="M378" s="116">
        <f t="shared" si="620"/>
      </c>
      <c r="N378" s="117">
        <f t="shared" si="650"/>
      </c>
      <c r="O378" s="118">
        <f t="shared" si="560"/>
      </c>
      <c r="P378" s="119">
        <f t="shared" si="590"/>
      </c>
      <c r="Q378" s="119">
        <f t="shared" si="770"/>
      </c>
      <c r="R378" s="119">
        <f t="shared" si="800"/>
      </c>
      <c r="S378" s="120">
        <f t="shared" si="680"/>
      </c>
      <c r="T378" s="121">
        <f t="shared" si="710"/>
      </c>
      <c r="U378" s="119">
        <f t="shared" si="989"/>
      </c>
      <c r="V378" s="122">
        <f t="shared" si="740"/>
      </c>
      <c r="W378" s="122">
        <f t="shared" si="1019"/>
      </c>
      <c r="X378" s="119">
        <f t="shared" si="830"/>
      </c>
      <c r="Y378" s="123">
        <f t="shared" ref="Y378:Y382" si="907">Z378+AA378</f>
      </c>
      <c r="Z378" s="123">
        <v>7</v>
      </c>
      <c r="AA378" s="123">
        <v>2</v>
      </c>
      <c r="AB378" s="124">
        <v>733.3199999999779</v>
      </c>
      <c r="AC378" s="124">
        <v>899</v>
      </c>
      <c r="AD378" s="120">
        <f t="shared" si="14"/>
      </c>
      <c r="AE378" s="125" t="s">
        <v>121</v>
      </c>
      <c r="AF378" s="126" t="s">
        <v>154</v>
      </c>
      <c r="AG378" s="127">
        <v>1</v>
      </c>
      <c r="AH378" s="127">
        <v>41268</v>
      </c>
      <c r="AI378" s="127">
        <v>783</v>
      </c>
      <c r="AJ378" s="127">
        <v>913</v>
      </c>
      <c r="AK378" s="127">
        <v>147</v>
      </c>
      <c r="AL378" s="127">
        <v>123</v>
      </c>
    </row>
    <row r="379">
      <c r="A379" s="108"/>
      <c r="B379" s="109" t="s">
        <v>133</v>
      </c>
      <c r="C379" s="110" t="s">
        <v>138</v>
      </c>
      <c r="D379" s="111">
        <f t="shared" si="349"/>
      </c>
      <c r="E379" s="110">
        <v>2111.11</v>
      </c>
      <c r="F379" s="140">
        <v>2850.66</v>
      </c>
      <c r="G379" s="113">
        <v>0</v>
      </c>
      <c r="H379" s="113">
        <v>0</v>
      </c>
      <c r="I379" s="113">
        <f t="shared" si="478"/>
      </c>
      <c r="J379" s="160">
        <f>405+2603.88</f>
      </c>
      <c r="K379" s="115">
        <f t="shared" si="91"/>
      </c>
      <c r="L379" s="115">
        <f t="shared" si="220"/>
      </c>
      <c r="M379" s="116">
        <f t="shared" si="620"/>
      </c>
      <c r="N379" s="117">
        <f t="shared" si="650"/>
      </c>
      <c r="O379" s="118">
        <f t="shared" si="560"/>
      </c>
      <c r="P379" s="119">
        <f t="shared" si="590"/>
      </c>
      <c r="Q379" s="119">
        <f t="shared" si="770"/>
      </c>
      <c r="R379" s="119">
        <f t="shared" si="800"/>
      </c>
      <c r="S379" s="120">
        <f t="shared" si="680"/>
      </c>
      <c r="T379" s="121">
        <f t="shared" si="710"/>
      </c>
      <c r="U379" s="119">
        <f t="shared" si="989"/>
      </c>
      <c r="V379" s="122">
        <f t="shared" si="740"/>
      </c>
      <c r="W379" s="122">
        <f t="shared" si="1019"/>
      </c>
      <c r="X379" s="119">
        <f t="shared" si="830"/>
      </c>
      <c r="Y379" s="123">
        <f t="shared" si="907"/>
      </c>
      <c r="Z379" s="123">
        <v>1</v>
      </c>
      <c r="AA379" s="123">
        <v>3</v>
      </c>
      <c r="AB379" s="124">
        <v>4560.840000000026</v>
      </c>
      <c r="AC379" s="124">
        <v>0</v>
      </c>
      <c r="AD379" s="120">
        <f t="shared" si="14"/>
      </c>
      <c r="AE379" s="125" t="s">
        <v>121</v>
      </c>
      <c r="AF379" s="126" t="s">
        <v>154</v>
      </c>
      <c r="AG379" s="129">
        <v>3</v>
      </c>
      <c r="AH379" s="128">
        <v>46668</v>
      </c>
      <c r="AI379" s="128">
        <v>1233</v>
      </c>
      <c r="AJ379" s="128">
        <v>1522</v>
      </c>
      <c r="AK379" s="129">
        <v>188</v>
      </c>
      <c r="AL379" s="129">
        <v>141</v>
      </c>
    </row>
    <row r="380">
      <c r="A380" s="108"/>
      <c r="B380" s="109" t="s">
        <v>133</v>
      </c>
      <c r="C380" s="110" t="s">
        <v>140</v>
      </c>
      <c r="D380" s="111">
        <f t="shared" si="349"/>
      </c>
      <c r="E380" s="110">
        <v>1254.87</v>
      </c>
      <c r="F380" s="140">
        <v>2717.65</v>
      </c>
      <c r="G380" s="113">
        <v>0</v>
      </c>
      <c r="H380" s="113">
        <v>0</v>
      </c>
      <c r="I380" s="113">
        <f t="shared" si="478"/>
      </c>
      <c r="J380" s="160">
        <f>4240.08+1946.16</f>
      </c>
      <c r="K380" s="115">
        <f t="shared" si="91"/>
      </c>
      <c r="L380" s="115">
        <f t="shared" si="220"/>
      </c>
      <c r="M380" s="116">
        <f t="shared" si="620"/>
      </c>
      <c r="N380" s="117">
        <f t="shared" si="650"/>
      </c>
      <c r="O380" s="118">
        <f t="shared" si="560"/>
      </c>
      <c r="P380" s="119">
        <f t="shared" si="590"/>
      </c>
      <c r="Q380" s="119">
        <f t="shared" si="770"/>
      </c>
      <c r="R380" s="119">
        <f t="shared" si="800"/>
      </c>
      <c r="S380" s="120">
        <f t="shared" si="680"/>
      </c>
      <c r="T380" s="121">
        <f t="shared" si="710"/>
      </c>
      <c r="U380" s="119">
        <f t="shared" si="989"/>
      </c>
      <c r="V380" s="122">
        <f t="shared" si="740"/>
      </c>
      <c r="W380" s="122">
        <f t="shared" si="1019"/>
      </c>
      <c r="X380" s="119">
        <f t="shared" si="830"/>
      </c>
      <c r="Y380" s="123">
        <f t="shared" si="907"/>
      </c>
      <c r="Z380" s="123">
        <v>4</v>
      </c>
      <c r="AA380" s="123">
        <v>4</v>
      </c>
      <c r="AB380" s="124">
        <v>7928.279999999999</v>
      </c>
      <c r="AC380" s="124">
        <v>0</v>
      </c>
      <c r="AD380" s="120">
        <f t="shared" si="14"/>
      </c>
      <c r="AE380" s="125" t="s">
        <v>121</v>
      </c>
      <c r="AF380" s="126" t="s">
        <v>154</v>
      </c>
      <c r="AG380" s="127">
        <v>4</v>
      </c>
      <c r="AH380" s="128">
        <v>44561</v>
      </c>
      <c r="AI380" s="128">
        <v>1172</v>
      </c>
      <c r="AJ380" s="128">
        <v>1498</v>
      </c>
      <c r="AK380" s="129">
        <v>191</v>
      </c>
      <c r="AL380" s="129">
        <v>145</v>
      </c>
    </row>
    <row r="381">
      <c r="A381" s="108"/>
      <c r="B381" s="109" t="s">
        <v>133</v>
      </c>
      <c r="C381" s="141" t="s">
        <v>141</v>
      </c>
      <c r="D381" s="111">
        <f t="shared" si="349"/>
      </c>
      <c r="E381" s="110">
        <v>1456.88</v>
      </c>
      <c r="F381" s="140">
        <v>3402.38</v>
      </c>
      <c r="G381" s="113">
        <v>0</v>
      </c>
      <c r="H381" s="113">
        <v>0</v>
      </c>
      <c r="I381" s="113">
        <f t="shared" si="478"/>
      </c>
      <c r="J381" s="114">
        <v>0</v>
      </c>
      <c r="K381" s="115">
        <f t="shared" si="91"/>
      </c>
      <c r="L381" s="115">
        <f t="shared" si="220"/>
      </c>
      <c r="M381" s="116">
        <f t="shared" si="620"/>
      </c>
      <c r="N381" s="117">
        <f t="shared" si="650"/>
      </c>
      <c r="O381" s="118">
        <f t="shared" si="560"/>
      </c>
      <c r="P381" s="119">
        <f t="shared" si="590"/>
      </c>
      <c r="Q381" s="119">
        <f t="shared" si="770"/>
      </c>
      <c r="R381" s="119">
        <f t="shared" si="800"/>
      </c>
      <c r="S381" s="120">
        <f t="shared" si="680"/>
      </c>
      <c r="T381" s="121">
        <f t="shared" si="710"/>
      </c>
      <c r="U381" s="119">
        <f t="shared" si="989"/>
      </c>
      <c r="V381" s="122">
        <f t="shared" si="740"/>
      </c>
      <c r="W381" s="122">
        <f t="shared" si="1019"/>
      </c>
      <c r="X381" s="119">
        <f t="shared" si="830"/>
      </c>
      <c r="Y381" s="123">
        <f t="shared" si="907"/>
      </c>
      <c r="Z381" s="123">
        <v>3</v>
      </c>
      <c r="AA381" s="123">
        <v>6</v>
      </c>
      <c r="AB381" s="124">
        <v>5908.679999999993</v>
      </c>
      <c r="AC381" s="124">
        <v>0</v>
      </c>
      <c r="AD381" s="120">
        <f t="shared" si="14"/>
      </c>
      <c r="AE381" s="125" t="s">
        <v>121</v>
      </c>
      <c r="AF381" s="126" t="s">
        <v>154</v>
      </c>
      <c r="AG381" s="127">
        <v>5</v>
      </c>
      <c r="AH381" s="128">
        <v>52967</v>
      </c>
      <c r="AI381" s="128">
        <v>1215</v>
      </c>
      <c r="AJ381" s="128">
        <v>1424</v>
      </c>
      <c r="AK381" s="129">
        <v>157</v>
      </c>
      <c r="AL381" s="129">
        <v>171</v>
      </c>
    </row>
    <row r="382">
      <c r="A382" s="108"/>
      <c r="B382" s="109" t="s">
        <v>133</v>
      </c>
      <c r="C382" s="141" t="s">
        <v>142</v>
      </c>
      <c r="D382" s="111">
        <f t="shared" si="349"/>
      </c>
      <c r="E382" s="110">
        <v>1851.01</v>
      </c>
      <c r="F382" s="140">
        <v>3982.75</v>
      </c>
      <c r="G382" s="113">
        <v>0</v>
      </c>
      <c r="H382" s="113">
        <v>0</v>
      </c>
      <c r="I382" s="113">
        <f t="shared" si="478"/>
      </c>
      <c r="J382" s="114">
        <v>0</v>
      </c>
      <c r="K382" s="115">
        <f t="shared" si="91"/>
      </c>
      <c r="L382" s="115">
        <f t="shared" si="220"/>
      </c>
      <c r="M382" s="116">
        <f t="shared" si="620"/>
      </c>
      <c r="N382" s="117">
        <f t="shared" si="650"/>
      </c>
      <c r="O382" s="118">
        <f t="shared" si="560"/>
      </c>
      <c r="P382" s="119">
        <f t="shared" si="590"/>
      </c>
      <c r="Q382" s="119">
        <f t="shared" si="770"/>
      </c>
      <c r="R382" s="119">
        <f t="shared" si="800"/>
      </c>
      <c r="S382" s="120">
        <f t="shared" si="680"/>
      </c>
      <c r="T382" s="121">
        <f t="shared" si="710"/>
      </c>
      <c r="U382" s="119">
        <f t="shared" si="989"/>
      </c>
      <c r="V382" s="122">
        <f t="shared" si="740"/>
      </c>
      <c r="W382" s="122">
        <f t="shared" si="1019"/>
      </c>
      <c r="X382" s="119">
        <f t="shared" si="830"/>
      </c>
      <c r="Y382" s="123">
        <f t="shared" si="907"/>
      </c>
      <c r="Z382" s="123">
        <v>6</v>
      </c>
      <c r="AA382" s="123">
        <v>0</v>
      </c>
      <c r="AB382" s="124">
        <v>0</v>
      </c>
      <c r="AC382" s="124">
        <v>0</v>
      </c>
      <c r="AD382" s="120">
        <f t="shared" si="14"/>
      </c>
      <c r="AE382" s="125" t="s">
        <v>121</v>
      </c>
      <c r="AF382" s="126" t="s">
        <v>154</v>
      </c>
      <c r="AG382" s="127">
        <v>0</v>
      </c>
      <c r="AH382" s="128">
        <v>56468</v>
      </c>
      <c r="AI382" s="128">
        <v>1239</v>
      </c>
      <c r="AJ382" s="128">
        <v>1480</v>
      </c>
      <c r="AK382" s="129">
        <v>181</v>
      </c>
      <c r="AL382" s="129">
        <v>155</v>
      </c>
    </row>
    <row r="383">
      <c r="A383" s="108"/>
      <c r="B383" s="130" t="s">
        <v>127</v>
      </c>
      <c r="C383" s="131">
        <v>5</v>
      </c>
      <c r="D383" s="132">
        <f>SUM(D378:D382)</f>
      </c>
      <c r="E383" s="132">
        <f>SUM(E378:E382)</f>
      </c>
      <c r="F383" s="132">
        <f>SUM(F378:F382)</f>
      </c>
      <c r="G383" s="132">
        <f>SUM(G378:G382)</f>
      </c>
      <c r="H383" s="132">
        <f>SUM(H378:H382)</f>
      </c>
      <c r="I383" s="132">
        <f>SUM(I378:I382)</f>
      </c>
      <c r="J383" s="132">
        <f>SUM(J378:J382)</f>
      </c>
      <c r="K383" s="132">
        <f>SUM(K378:K382)</f>
      </c>
      <c r="L383" s="132">
        <f>SUM(L378:L382)</f>
      </c>
      <c r="M383" s="133">
        <f t="shared" si="620"/>
      </c>
      <c r="N383" s="134">
        <f t="shared" si="650"/>
      </c>
      <c r="O383" s="134">
        <f t="shared" si="560"/>
      </c>
      <c r="P383" s="135">
        <f t="shared" si="590"/>
      </c>
      <c r="Q383" s="135">
        <f t="shared" si="770"/>
      </c>
      <c r="R383" s="135">
        <f t="shared" si="800"/>
      </c>
      <c r="S383" s="136">
        <f t="shared" si="680"/>
      </c>
      <c r="T383" s="136">
        <f t="shared" si="710"/>
      </c>
      <c r="U383" s="135">
        <f t="shared" si="989"/>
      </c>
      <c r="V383" s="136">
        <f t="shared" si="740"/>
      </c>
      <c r="W383" s="136">
        <f t="shared" si="1019"/>
      </c>
      <c r="X383" s="135">
        <f t="shared" si="830"/>
      </c>
      <c r="Y383" s="132">
        <f>SUM(Y378:Y382)</f>
      </c>
      <c r="Z383" s="132">
        <f>SUM(Z378:Z382)</f>
      </c>
      <c r="AA383" s="132">
        <f>SUM(AA378:AA382)</f>
      </c>
      <c r="AB383" s="132">
        <f>SUM(AB378:AB382)</f>
      </c>
      <c r="AC383" s="132">
        <f>SUM(AC378:AC382)</f>
      </c>
      <c r="AD383" s="137">
        <f t="shared" si="14"/>
      </c>
      <c r="AE383" s="138"/>
      <c r="AF383" s="139"/>
      <c r="AG383" s="132">
        <f>SUM(AG378:AG382)</f>
      </c>
      <c r="AH383" s="132">
        <f>SUM(AH378:AH382)</f>
      </c>
      <c r="AI383" s="132">
        <f>SUM(AI378:AI382)</f>
      </c>
      <c r="AJ383" s="132">
        <f>SUM(AJ378:AJ382)</f>
      </c>
      <c r="AK383" s="132">
        <f>SUM(AK378:AK382)</f>
      </c>
      <c r="AL383" s="132">
        <f>SUM(AL378:AL382)</f>
      </c>
    </row>
    <row r="384">
      <c r="A384" s="108"/>
      <c r="B384" s="109" t="s">
        <v>128</v>
      </c>
      <c r="C384" s="141" t="s">
        <v>144</v>
      </c>
      <c r="D384" s="143">
        <f t="shared" ref="D384:D387" si="350">E384+F384+G384+H384</f>
      </c>
      <c r="E384" s="166">
        <v>1523.51</v>
      </c>
      <c r="F384" s="145">
        <v>3723.8</v>
      </c>
      <c r="G384" s="113">
        <v>0</v>
      </c>
      <c r="H384" s="113">
        <v>0</v>
      </c>
      <c r="I384" s="113">
        <f t="shared" ref="I384:I387" si="479">AB384+AC384</f>
      </c>
      <c r="J384" s="114">
        <v>0</v>
      </c>
      <c r="K384" s="115">
        <f t="shared" ref="K384:K387" si="92">I384-J384</f>
      </c>
      <c r="L384" s="115">
        <f t="shared" ref="L384:L387" si="221">(I384-AC384)/12+AC384</f>
      </c>
      <c r="M384" s="116">
        <f t="shared" si="620"/>
      </c>
      <c r="N384" s="117">
        <f t="shared" si="650"/>
      </c>
      <c r="O384" s="118">
        <f t="shared" si="560"/>
      </c>
      <c r="P384" s="119">
        <f t="shared" si="590"/>
      </c>
      <c r="Q384" s="119">
        <f t="shared" si="770"/>
      </c>
      <c r="R384" s="119">
        <f t="shared" si="800"/>
      </c>
      <c r="S384" s="120">
        <f t="shared" si="680"/>
      </c>
      <c r="T384" s="121">
        <f t="shared" si="710"/>
      </c>
      <c r="U384" s="119">
        <f t="shared" si="989"/>
      </c>
      <c r="V384" s="122">
        <f t="shared" si="740"/>
      </c>
      <c r="W384" s="122">
        <f t="shared" si="1019"/>
      </c>
      <c r="X384" s="119">
        <f t="shared" si="830"/>
      </c>
      <c r="Y384" s="123">
        <f t="shared" ref="Y384:Y387" si="908">Z384+AA384</f>
      </c>
      <c r="Z384" s="123">
        <v>5</v>
      </c>
      <c r="AA384" s="123">
        <v>4</v>
      </c>
      <c r="AB384" s="124">
        <v>4906.679999999993</v>
      </c>
      <c r="AC384" s="124">
        <v>1086</v>
      </c>
      <c r="AD384" s="120">
        <f t="shared" si="14"/>
      </c>
      <c r="AE384" s="125" t="s">
        <v>121</v>
      </c>
      <c r="AF384" s="126" t="s">
        <v>154</v>
      </c>
      <c r="AG384" s="127">
        <v>4</v>
      </c>
      <c r="AH384" s="127">
        <v>47826</v>
      </c>
      <c r="AI384" s="128">
        <v>1159</v>
      </c>
      <c r="AJ384" s="128">
        <v>1352</v>
      </c>
      <c r="AK384" s="127">
        <v>167</v>
      </c>
      <c r="AL384" s="129">
        <v>172</v>
      </c>
    </row>
    <row r="385">
      <c r="A385" s="108"/>
      <c r="B385" s="109" t="s">
        <v>128</v>
      </c>
      <c r="C385" s="110" t="s">
        <v>145</v>
      </c>
      <c r="D385" s="143">
        <f t="shared" si="350"/>
      </c>
      <c r="E385" s="147">
        <v>1987.96</v>
      </c>
      <c r="F385" s="145">
        <v>1837.13</v>
      </c>
      <c r="G385" s="113">
        <v>0</v>
      </c>
      <c r="H385" s="113">
        <v>0</v>
      </c>
      <c r="I385" s="113">
        <f t="shared" si="479"/>
      </c>
      <c r="J385" s="114">
        <v>0.000000000004092726157978177</v>
      </c>
      <c r="K385" s="115">
        <f t="shared" si="92"/>
      </c>
      <c r="L385" s="115">
        <f t="shared" si="221"/>
      </c>
      <c r="M385" s="116">
        <f t="shared" si="620"/>
      </c>
      <c r="N385" s="117">
        <f t="shared" si="650"/>
      </c>
      <c r="O385" s="118">
        <f t="shared" si="560"/>
      </c>
      <c r="P385" s="119">
        <f t="shared" si="590"/>
      </c>
      <c r="Q385" s="119">
        <f t="shared" si="770"/>
      </c>
      <c r="R385" s="119">
        <f t="shared" si="800"/>
      </c>
      <c r="S385" s="120">
        <f t="shared" si="680"/>
      </c>
      <c r="T385" s="121">
        <f t="shared" si="710"/>
      </c>
      <c r="U385" s="119">
        <f t="shared" si="989"/>
      </c>
      <c r="V385" s="122">
        <f t="shared" si="740"/>
      </c>
      <c r="W385" s="122">
        <f t="shared" si="1019"/>
      </c>
      <c r="X385" s="119">
        <f t="shared" si="830"/>
      </c>
      <c r="Y385" s="123">
        <f t="shared" si="908"/>
      </c>
      <c r="Z385" s="123">
        <v>8</v>
      </c>
      <c r="AA385" s="123">
        <v>4</v>
      </c>
      <c r="AB385" s="124">
        <v>5395.679999999993</v>
      </c>
      <c r="AC385" s="124">
        <v>4970</v>
      </c>
      <c r="AD385" s="120">
        <f t="shared" si="14"/>
      </c>
      <c r="AE385" s="125" t="s">
        <v>121</v>
      </c>
      <c r="AF385" s="126" t="s">
        <v>154</v>
      </c>
      <c r="AG385" s="127">
        <v>3</v>
      </c>
      <c r="AH385" s="128">
        <v>33118</v>
      </c>
      <c r="AI385" s="128">
        <v>1120</v>
      </c>
      <c r="AJ385" s="128">
        <v>1355</v>
      </c>
      <c r="AK385" s="129">
        <v>132</v>
      </c>
      <c r="AL385" s="129">
        <v>110</v>
      </c>
    </row>
    <row r="386">
      <c r="A386" s="108"/>
      <c r="B386" s="168" t="s">
        <v>128</v>
      </c>
      <c r="C386" s="141" t="s">
        <v>146</v>
      </c>
      <c r="D386" s="143">
        <f t="shared" si="350"/>
      </c>
      <c r="E386" s="169">
        <v>1110</v>
      </c>
      <c r="F386" s="170">
        <v>1921.6</v>
      </c>
      <c r="G386" s="171">
        <v>0</v>
      </c>
      <c r="H386" s="171">
        <v>0</v>
      </c>
      <c r="I386" s="171">
        <f t="shared" si="479"/>
      </c>
      <c r="J386" s="115">
        <v>0.000000000004092726157978177</v>
      </c>
      <c r="K386" s="115">
        <f t="shared" si="92"/>
      </c>
      <c r="L386" s="115">
        <f t="shared" si="221"/>
      </c>
      <c r="M386" s="116">
        <f t="shared" si="620"/>
      </c>
      <c r="N386" s="117">
        <f t="shared" si="650"/>
      </c>
      <c r="O386" s="118">
        <f t="shared" si="560"/>
      </c>
      <c r="P386" s="119">
        <f t="shared" si="590"/>
      </c>
      <c r="Q386" s="119">
        <f t="shared" si="770"/>
      </c>
      <c r="R386" s="119">
        <f t="shared" si="800"/>
      </c>
      <c r="S386" s="120">
        <f t="shared" si="680"/>
      </c>
      <c r="T386" s="121">
        <f t="shared" si="710"/>
      </c>
      <c r="U386" s="119">
        <f t="shared" si="989"/>
      </c>
      <c r="V386" s="122">
        <f t="shared" si="740"/>
      </c>
      <c r="W386" s="122">
        <f t="shared" si="1019"/>
      </c>
      <c r="X386" s="119">
        <f t="shared" si="830"/>
      </c>
      <c r="Y386" s="172">
        <f t="shared" si="908"/>
      </c>
      <c r="Z386" s="172">
        <v>4</v>
      </c>
      <c r="AA386" s="172">
        <v>4</v>
      </c>
      <c r="AB386" s="173">
        <v>7744.920000000013</v>
      </c>
      <c r="AC386" s="173">
        <v>0</v>
      </c>
      <c r="AD386" s="120">
        <f t="shared" si="14"/>
      </c>
      <c r="AE386" s="125" t="s">
        <v>121</v>
      </c>
      <c r="AF386" s="125" t="s">
        <v>154</v>
      </c>
      <c r="AG386" s="129">
        <v>2</v>
      </c>
      <c r="AH386" s="128">
        <v>28766</v>
      </c>
      <c r="AI386" s="128">
        <v>1038</v>
      </c>
      <c r="AJ386" s="128">
        <v>1208</v>
      </c>
      <c r="AK386" s="129">
        <v>133</v>
      </c>
      <c r="AL386" s="129">
        <v>120</v>
      </c>
    </row>
    <row r="387">
      <c r="A387" s="108"/>
      <c r="B387" s="109" t="s">
        <v>128</v>
      </c>
      <c r="C387" s="110" t="s">
        <v>147</v>
      </c>
      <c r="D387" s="143">
        <f t="shared" si="350"/>
      </c>
      <c r="E387" s="147">
        <v>440.26</v>
      </c>
      <c r="F387" s="145">
        <v>4689.69</v>
      </c>
      <c r="G387" s="113">
        <v>0</v>
      </c>
      <c r="H387" s="113">
        <v>0</v>
      </c>
      <c r="I387" s="113">
        <f t="shared" si="479"/>
      </c>
      <c r="J387" s="115">
        <v>0.000000000004092726157978177</v>
      </c>
      <c r="K387" s="115">
        <f t="shared" si="92"/>
      </c>
      <c r="L387" s="115">
        <f t="shared" si="221"/>
      </c>
      <c r="M387" s="116">
        <f t="shared" si="620"/>
      </c>
      <c r="N387" s="117">
        <f t="shared" si="650"/>
      </c>
      <c r="O387" s="118">
        <f t="shared" si="560"/>
      </c>
      <c r="P387" s="119">
        <f t="shared" si="590"/>
      </c>
      <c r="Q387" s="119">
        <f t="shared" si="770"/>
      </c>
      <c r="R387" s="119">
        <f t="shared" si="800"/>
      </c>
      <c r="S387" s="120">
        <f t="shared" si="680"/>
      </c>
      <c r="T387" s="121">
        <f t="shared" si="710"/>
      </c>
      <c r="U387" s="119">
        <f t="shared" si="989"/>
      </c>
      <c r="V387" s="122">
        <f t="shared" si="740"/>
      </c>
      <c r="W387" s="122">
        <f t="shared" si="1019"/>
      </c>
      <c r="X387" s="119">
        <f t="shared" si="830"/>
      </c>
      <c r="Y387" s="123">
        <f t="shared" si="908"/>
      </c>
      <c r="Z387" s="123">
        <v>4</v>
      </c>
      <c r="AA387" s="123">
        <v>4</v>
      </c>
      <c r="AB387" s="124">
        <v>4386.96</v>
      </c>
      <c r="AC387" s="124">
        <v>0</v>
      </c>
      <c r="AD387" s="120">
        <f t="shared" si="14"/>
      </c>
      <c r="AE387" s="125" t="s">
        <v>121</v>
      </c>
      <c r="AF387" s="126" t="s">
        <v>154</v>
      </c>
      <c r="AG387" s="127">
        <v>3</v>
      </c>
      <c r="AH387" s="128">
        <v>52736</v>
      </c>
      <c r="AI387" s="128">
        <v>1198</v>
      </c>
      <c r="AJ387" s="128">
        <v>1416</v>
      </c>
      <c r="AK387" s="129">
        <v>148</v>
      </c>
      <c r="AL387" s="129">
        <v>159</v>
      </c>
    </row>
    <row r="388">
      <c r="A388" s="108"/>
      <c r="B388" s="130" t="s">
        <v>127</v>
      </c>
      <c r="C388" s="131">
        <v>4</v>
      </c>
      <c r="D388" s="132">
        <f>SUM(D384:D387)</f>
      </c>
      <c r="E388" s="132">
        <f>SUM(E384:E387)</f>
      </c>
      <c r="F388" s="132">
        <f>SUM(F384:F387)</f>
      </c>
      <c r="G388" s="132">
        <f>SUM(G384:G387)</f>
      </c>
      <c r="H388" s="132">
        <f>SUM(H384:H387)</f>
      </c>
      <c r="I388" s="132">
        <f>SUM(I384:I387)</f>
      </c>
      <c r="J388" s="132">
        <f>SUM(J384:J387)</f>
      </c>
      <c r="K388" s="132">
        <f>SUM(K384:K387)</f>
      </c>
      <c r="L388" s="132">
        <f>SUM(L384:L387)</f>
      </c>
      <c r="M388" s="133">
        <f t="shared" si="620"/>
      </c>
      <c r="N388" s="134">
        <f t="shared" si="650"/>
      </c>
      <c r="O388" s="134">
        <f t="shared" si="560"/>
      </c>
      <c r="P388" s="135">
        <f t="shared" si="590"/>
      </c>
      <c r="Q388" s="135">
        <f t="shared" si="770"/>
      </c>
      <c r="R388" s="135">
        <f t="shared" si="800"/>
      </c>
      <c r="S388" s="136">
        <f t="shared" si="680"/>
      </c>
      <c r="T388" s="136">
        <f t="shared" si="710"/>
      </c>
      <c r="U388" s="135">
        <f t="shared" si="989"/>
      </c>
      <c r="V388" s="136">
        <f t="shared" si="740"/>
      </c>
      <c r="W388" s="136">
        <f t="shared" si="1019"/>
      </c>
      <c r="X388" s="135">
        <f t="shared" si="830"/>
      </c>
      <c r="Y388" s="132">
        <f>SUM(Y384:Y387)</f>
      </c>
      <c r="Z388" s="132">
        <f>SUM(Z384:Z387)</f>
      </c>
      <c r="AA388" s="132">
        <f>SUM(AA384:AA387)</f>
      </c>
      <c r="AB388" s="132">
        <f>SUM(AB384:AB387)</f>
      </c>
      <c r="AC388" s="132">
        <f>SUM(AC384:AC387)</f>
      </c>
      <c r="AD388" s="150">
        <f t="shared" si="14"/>
      </c>
      <c r="AE388" s="151"/>
      <c r="AF388" s="139"/>
      <c r="AG388" s="132">
        <f>SUM(AG384:AG387)</f>
      </c>
      <c r="AH388" s="132">
        <f>SUM(AH384:AH387)</f>
      </c>
      <c r="AI388" s="132">
        <f>SUM(AI384:AI387)</f>
      </c>
      <c r="AJ388" s="132">
        <f>SUM(AJ384:AJ387)</f>
      </c>
      <c r="AK388" s="132">
        <f>SUM(AK384:AK387)</f>
      </c>
      <c r="AL388" s="132">
        <f>SUM(AL384:AL387)</f>
      </c>
    </row>
    <row r="389">
      <c r="A389" s="108"/>
      <c r="B389" s="152" t="s">
        <v>127</v>
      </c>
      <c r="C389" s="153">
        <f>C371+C377+C383+C388</f>
      </c>
      <c r="D389" s="167">
        <f>D371+D377+D383+D388</f>
      </c>
      <c r="E389" s="153">
        <f>E371+E377+E383+E388</f>
      </c>
      <c r="F389" s="153">
        <f>F371+F377+F383+F388</f>
      </c>
      <c r="G389" s="153">
        <f>G371+G377+G383+G388</f>
      </c>
      <c r="H389" s="153">
        <f>H371+H377+H383+H388</f>
      </c>
      <c r="I389" s="167">
        <f>I371+I377+I383+I388</f>
      </c>
      <c r="J389" s="153">
        <f>J371+J377+J383+J388</f>
      </c>
      <c r="K389" s="153">
        <f>K371+K377+K383+K388</f>
      </c>
      <c r="L389" s="153">
        <f>L371+L377+L383+L388</f>
      </c>
      <c r="M389" s="154">
        <f t="shared" si="620"/>
      </c>
      <c r="N389" s="154">
        <f t="shared" si="650"/>
      </c>
      <c r="O389" s="154">
        <f t="shared" si="560"/>
      </c>
      <c r="P389" s="154">
        <f t="shared" si="590"/>
      </c>
      <c r="Q389" s="154">
        <f t="shared" si="770"/>
      </c>
      <c r="R389" s="154">
        <f t="shared" si="800"/>
      </c>
      <c r="S389" s="155">
        <f t="shared" si="680"/>
      </c>
      <c r="T389" s="155">
        <f t="shared" si="710"/>
      </c>
      <c r="U389" s="154">
        <f t="shared" si="989"/>
      </c>
      <c r="V389" s="155">
        <f t="shared" si="740"/>
      </c>
      <c r="W389" s="155">
        <f t="shared" si="1019"/>
      </c>
      <c r="X389" s="154">
        <f t="shared" si="830"/>
      </c>
      <c r="Y389" s="156">
        <f>Y371+Y377+Y383+Y388</f>
      </c>
      <c r="Z389" s="156">
        <f>Z371+Z377+Z383+Z388</f>
      </c>
      <c r="AA389" s="156">
        <f>AA371+AA377+AA383+AA388</f>
      </c>
      <c r="AB389" s="156">
        <f>AB371+AB377+AB383+AB388</f>
      </c>
      <c r="AC389" s="156">
        <f>AC371+AC377+AC383+AC388</f>
      </c>
      <c r="AD389" s="157">
        <f>AD371+AD377+AD383+AD388</f>
      </c>
      <c r="AE389" s="158"/>
      <c r="AF389" s="159"/>
      <c r="AG389" s="153">
        <f>AG371+AG377+AG383+AG388</f>
      </c>
      <c r="AH389" s="153">
        <f>AH371+AH377+AH383+AH388</f>
      </c>
      <c r="AI389" s="153">
        <f>AI371+AI377+AI383+AI388</f>
      </c>
      <c r="AJ389" s="153">
        <f>AJ371+AJ377+AJ383+AJ388</f>
      </c>
      <c r="AK389" s="153">
        <f>AK371+AK377+AK383+AK388</f>
      </c>
      <c r="AL389" s="153">
        <f>AL371+AL377+AL383+AL388</f>
      </c>
    </row>
    <row r="390">
      <c r="A390" s="94" t="s">
        <v>81</v>
      </c>
      <c r="B390" s="95" t="s">
        <v>82</v>
      </c>
      <c r="C390" s="95" t="s">
        <v>83</v>
      </c>
      <c r="D390" s="96" t="s">
        <v>84</v>
      </c>
      <c r="E390" s="164" t="s">
        <v>85</v>
      </c>
      <c r="F390" s="95" t="s">
        <v>86</v>
      </c>
      <c r="G390" s="97" t="s">
        <v>87</v>
      </c>
      <c r="H390" s="97" t="s">
        <v>88</v>
      </c>
      <c r="I390" s="96" t="s">
        <v>89</v>
      </c>
      <c r="J390" s="98" t="s">
        <v>90</v>
      </c>
      <c r="K390" s="99" t="s">
        <v>91</v>
      </c>
      <c r="L390" s="99" t="s">
        <v>92</v>
      </c>
      <c r="M390" s="100" t="s">
        <v>93</v>
      </c>
      <c r="N390" s="99" t="s">
        <v>94</v>
      </c>
      <c r="O390" s="95" t="s">
        <v>95</v>
      </c>
      <c r="P390" s="100" t="s">
        <v>96</v>
      </c>
      <c r="Q390" s="101" t="s">
        <v>97</v>
      </c>
      <c r="R390" s="101" t="s">
        <v>98</v>
      </c>
      <c r="S390" s="96" t="s">
        <v>99</v>
      </c>
      <c r="T390" s="102" t="s">
        <v>100</v>
      </c>
      <c r="U390" s="100" t="s">
        <v>101</v>
      </c>
      <c r="V390" s="103" t="s">
        <v>102</v>
      </c>
      <c r="W390" s="104" t="s">
        <v>103</v>
      </c>
      <c r="X390" s="100" t="s">
        <v>104</v>
      </c>
      <c r="Y390" s="105" t="s">
        <v>105</v>
      </c>
      <c r="Z390" s="106" t="s">
        <v>106</v>
      </c>
      <c r="AA390" s="105" t="s">
        <v>107</v>
      </c>
      <c r="AB390" s="107" t="s">
        <v>108</v>
      </c>
      <c r="AC390" s="107" t="s">
        <v>109</v>
      </c>
      <c r="AD390" s="99" t="s">
        <v>110</v>
      </c>
      <c r="AE390" s="98" t="s">
        <v>111</v>
      </c>
      <c r="AF390" s="99" t="s">
        <v>112</v>
      </c>
      <c r="AG390" s="98" t="s">
        <v>113</v>
      </c>
      <c r="AH390" s="98" t="s">
        <v>114</v>
      </c>
      <c r="AI390" s="99" t="s">
        <v>115</v>
      </c>
      <c r="AJ390" s="98" t="s">
        <v>116</v>
      </c>
      <c r="AK390" s="99" t="s">
        <v>117</v>
      </c>
      <c r="AL390" s="98" t="s">
        <v>118</v>
      </c>
    </row>
    <row r="391">
      <c r="A391" s="108">
        <v>46281</v>
      </c>
      <c r="B391" s="109" t="s">
        <v>143</v>
      </c>
      <c r="C391" s="110" t="s">
        <v>120</v>
      </c>
      <c r="D391" s="143">
        <f t="shared" ref="D391:D395" si="351">E391+F391+G391+H391</f>
      </c>
      <c r="E391" s="144">
        <v>1106.33</v>
      </c>
      <c r="F391" s="146">
        <v>5469.62</v>
      </c>
      <c r="G391" s="113">
        <v>0</v>
      </c>
      <c r="H391" s="113">
        <v>0</v>
      </c>
      <c r="I391" s="113">
        <f t="shared" ref="I391:I395" si="480">AB391+AC391</f>
      </c>
      <c r="J391" s="114">
        <v>0</v>
      </c>
      <c r="K391" s="115">
        <f t="shared" ref="K391:K395" si="93">I391-J391</f>
      </c>
      <c r="L391" s="115">
        <f t="shared" ref="L391:L395" si="222">(I391-AC391)/12+AC391</f>
      </c>
      <c r="M391" s="116">
        <f t="shared" ref="M391:M415" si="621">I391/D391</f>
      </c>
      <c r="N391" s="117">
        <f t="shared" ref="N391:N415" si="651">(I391-J391)/D391</f>
      </c>
      <c r="O391" s="118">
        <f t="shared" ref="O391:O415" si="561">(AC391+AB391/12)/D391</f>
      </c>
      <c r="P391" s="119">
        <f t="shared" ref="P391:P415" si="591">I391/AA391</f>
      </c>
      <c r="Q391" s="119">
        <f t="shared" ref="Q391:Q415" si="771">D391/AA391</f>
      </c>
      <c r="R391" s="119">
        <f t="shared" ref="R391:R415" si="801">D391/AG391</f>
      </c>
      <c r="S391" s="120">
        <f t="shared" ref="S391:S415" si="681">AA391/Y391</f>
      </c>
      <c r="T391" s="121">
        <f t="shared" ref="T391:T415" si="711">AI391/AH391</f>
      </c>
      <c r="U391" s="119">
        <f t="shared" ref="U391:U415" si="990">D391/AJ391</f>
      </c>
      <c r="V391" s="122">
        <f t="shared" ref="V391:V415" si="741">AK391/AJ391</f>
      </c>
      <c r="W391" s="122">
        <f t="shared" ref="W391:W415" si="1020">AL391/AJ391</f>
      </c>
      <c r="X391" s="119">
        <f t="shared" ref="X391:X415" si="831">D391/AL391</f>
      </c>
      <c r="Y391" s="123">
        <f t="shared" ref="Y391:Y395" si="909">Z391+AA391</f>
      </c>
      <c r="Z391" s="123">
        <v>1</v>
      </c>
      <c r="AA391" s="123">
        <v>3</v>
      </c>
      <c r="AB391" s="124">
        <v>8727.36</v>
      </c>
      <c r="AC391" s="124">
        <v>0</v>
      </c>
      <c r="AD391" s="120">
        <f t="shared" ref="AD391:AD414" si="15">AC391/I391</f>
      </c>
      <c r="AE391" s="125" t="s">
        <v>121</v>
      </c>
      <c r="AF391" s="126" t="s">
        <v>122</v>
      </c>
      <c r="AG391" s="127">
        <v>2</v>
      </c>
      <c r="AH391" s="127">
        <v>72737</v>
      </c>
      <c r="AI391" s="128">
        <v>2062</v>
      </c>
      <c r="AJ391" s="128">
        <v>2400</v>
      </c>
      <c r="AK391" s="127">
        <v>270</v>
      </c>
      <c r="AL391" s="129">
        <v>236</v>
      </c>
    </row>
    <row r="392">
      <c r="A392" s="108"/>
      <c r="B392" s="109" t="s">
        <v>143</v>
      </c>
      <c r="C392" s="110" t="s">
        <v>123</v>
      </c>
      <c r="D392" s="143">
        <f t="shared" si="351"/>
      </c>
      <c r="E392" s="147">
        <v>660.09</v>
      </c>
      <c r="F392" s="146">
        <v>5612.56</v>
      </c>
      <c r="G392" s="113">
        <v>0</v>
      </c>
      <c r="H392" s="113">
        <v>0</v>
      </c>
      <c r="I392" s="113">
        <f t="shared" si="480"/>
      </c>
      <c r="J392" s="114">
        <v>697</v>
      </c>
      <c r="K392" s="115">
        <f t="shared" si="93"/>
      </c>
      <c r="L392" s="115">
        <f t="shared" si="222"/>
      </c>
      <c r="M392" s="116">
        <f t="shared" si="621"/>
      </c>
      <c r="N392" s="117">
        <f t="shared" si="651"/>
      </c>
      <c r="O392" s="118">
        <f t="shared" si="561"/>
      </c>
      <c r="P392" s="119">
        <f t="shared" si="591"/>
      </c>
      <c r="Q392" s="119">
        <f t="shared" si="771"/>
      </c>
      <c r="R392" s="119">
        <f t="shared" si="801"/>
      </c>
      <c r="S392" s="120">
        <f t="shared" si="681"/>
      </c>
      <c r="T392" s="121">
        <f t="shared" si="711"/>
      </c>
      <c r="U392" s="119">
        <f t="shared" si="990"/>
      </c>
      <c r="V392" s="122">
        <f t="shared" si="741"/>
      </c>
      <c r="W392" s="122">
        <f t="shared" si="1020"/>
      </c>
      <c r="X392" s="119">
        <f t="shared" si="831"/>
      </c>
      <c r="Y392" s="123">
        <f t="shared" si="909"/>
      </c>
      <c r="Z392" s="123">
        <v>4</v>
      </c>
      <c r="AA392" s="123">
        <v>8</v>
      </c>
      <c r="AB392" s="124">
        <v>12035.52</v>
      </c>
      <c r="AC392" s="124">
        <v>697</v>
      </c>
      <c r="AD392" s="120">
        <f t="shared" si="15"/>
      </c>
      <c r="AE392" s="125" t="s">
        <v>121</v>
      </c>
      <c r="AF392" s="126" t="s">
        <v>122</v>
      </c>
      <c r="AG392" s="127">
        <v>6</v>
      </c>
      <c r="AH392" s="128">
        <v>63964</v>
      </c>
      <c r="AI392" s="128">
        <v>1528</v>
      </c>
      <c r="AJ392" s="128">
        <v>1818</v>
      </c>
      <c r="AK392" s="129">
        <v>209</v>
      </c>
      <c r="AL392" s="129">
        <v>249</v>
      </c>
    </row>
    <row r="393">
      <c r="A393" s="108"/>
      <c r="B393" s="109" t="s">
        <v>143</v>
      </c>
      <c r="C393" s="110" t="s">
        <v>124</v>
      </c>
      <c r="D393" s="111">
        <f t="shared" si="351"/>
      </c>
      <c r="E393" s="165">
        <v>608.86</v>
      </c>
      <c r="F393" s="110">
        <v>4922.03</v>
      </c>
      <c r="G393" s="113">
        <v>0</v>
      </c>
      <c r="H393" s="113">
        <v>0</v>
      </c>
      <c r="I393" s="113">
        <f t="shared" si="480"/>
      </c>
      <c r="J393" s="114">
        <f>1608+1400.76</f>
      </c>
      <c r="K393" s="115">
        <f t="shared" si="93"/>
      </c>
      <c r="L393" s="115">
        <f t="shared" si="222"/>
      </c>
      <c r="M393" s="116">
        <f t="shared" si="621"/>
      </c>
      <c r="N393" s="117">
        <f t="shared" si="651"/>
      </c>
      <c r="O393" s="118">
        <f t="shared" si="561"/>
      </c>
      <c r="P393" s="119">
        <f t="shared" si="591"/>
      </c>
      <c r="Q393" s="119">
        <f t="shared" si="771"/>
      </c>
      <c r="R393" s="119">
        <f t="shared" si="801"/>
      </c>
      <c r="S393" s="120">
        <f t="shared" si="681"/>
      </c>
      <c r="T393" s="121">
        <f t="shared" si="711"/>
      </c>
      <c r="U393" s="119">
        <f t="shared" si="990"/>
      </c>
      <c r="V393" s="122">
        <f t="shared" si="741"/>
      </c>
      <c r="W393" s="122">
        <f t="shared" si="1020"/>
      </c>
      <c r="X393" s="119">
        <f t="shared" si="831"/>
      </c>
      <c r="Y393" s="123">
        <f t="shared" si="909"/>
      </c>
      <c r="Z393" s="123">
        <v>2</v>
      </c>
      <c r="AA393" s="123">
        <v>4</v>
      </c>
      <c r="AB393" s="124">
        <v>5517.720000000001</v>
      </c>
      <c r="AC393" s="124">
        <v>3264</v>
      </c>
      <c r="AD393" s="120">
        <f t="shared" si="15"/>
      </c>
      <c r="AE393" s="125" t="s">
        <v>121</v>
      </c>
      <c r="AF393" s="126" t="s">
        <v>122</v>
      </c>
      <c r="AG393" s="127">
        <v>4</v>
      </c>
      <c r="AH393" s="128">
        <v>57784</v>
      </c>
      <c r="AI393" s="128">
        <v>905</v>
      </c>
      <c r="AJ393" s="128">
        <v>1070</v>
      </c>
      <c r="AK393" s="129">
        <v>195</v>
      </c>
      <c r="AL393" s="129">
        <v>190</v>
      </c>
    </row>
    <row r="394">
      <c r="A394" s="108"/>
      <c r="B394" s="109" t="s">
        <v>143</v>
      </c>
      <c r="C394" s="110" t="s">
        <v>125</v>
      </c>
      <c r="D394" s="111">
        <f t="shared" si="351"/>
      </c>
      <c r="E394" s="110">
        <v>648.47</v>
      </c>
      <c r="F394" s="113">
        <v>4897.54</v>
      </c>
      <c r="G394" s="113">
        <v>0</v>
      </c>
      <c r="H394" s="113">
        <v>0</v>
      </c>
      <c r="I394" s="113">
        <f t="shared" si="480"/>
      </c>
      <c r="J394" s="114">
        <v>2005.56</v>
      </c>
      <c r="K394" s="115">
        <f t="shared" si="93"/>
      </c>
      <c r="L394" s="115">
        <f t="shared" si="222"/>
      </c>
      <c r="M394" s="116">
        <f t="shared" si="621"/>
      </c>
      <c r="N394" s="117">
        <f t="shared" si="651"/>
      </c>
      <c r="O394" s="118">
        <f t="shared" si="561"/>
      </c>
      <c r="P394" s="119">
        <f t="shared" si="591"/>
      </c>
      <c r="Q394" s="119">
        <f t="shared" si="771"/>
      </c>
      <c r="R394" s="119">
        <f t="shared" si="801"/>
      </c>
      <c r="S394" s="120">
        <f t="shared" si="681"/>
      </c>
      <c r="T394" s="121">
        <f t="shared" si="711"/>
      </c>
      <c r="U394" s="119">
        <f t="shared" si="990"/>
      </c>
      <c r="V394" s="122">
        <f t="shared" si="741"/>
      </c>
      <c r="W394" s="122">
        <f t="shared" si="1020"/>
      </c>
      <c r="X394" s="119">
        <f t="shared" si="831"/>
      </c>
      <c r="Y394" s="123">
        <f t="shared" si="909"/>
      </c>
      <c r="Z394" s="123">
        <v>5</v>
      </c>
      <c r="AA394" s="123">
        <v>3</v>
      </c>
      <c r="AB394" s="124">
        <v>7179.84</v>
      </c>
      <c r="AC394" s="124">
        <v>0</v>
      </c>
      <c r="AD394" s="120">
        <f t="shared" si="15"/>
      </c>
      <c r="AE394" s="125" t="s">
        <v>121</v>
      </c>
      <c r="AF394" s="126" t="s">
        <v>122</v>
      </c>
      <c r="AG394" s="127">
        <v>3</v>
      </c>
      <c r="AH394" s="128">
        <v>58015</v>
      </c>
      <c r="AI394" s="128">
        <v>728</v>
      </c>
      <c r="AJ394" s="128">
        <v>830</v>
      </c>
      <c r="AK394" s="129">
        <v>143</v>
      </c>
      <c r="AL394" s="129">
        <v>183</v>
      </c>
    </row>
    <row r="395">
      <c r="A395" s="108"/>
      <c r="B395" s="109" t="s">
        <v>143</v>
      </c>
      <c r="C395" s="110" t="s">
        <v>126</v>
      </c>
      <c r="D395" s="111">
        <f t="shared" si="351"/>
      </c>
      <c r="E395" s="112">
        <v>585.92</v>
      </c>
      <c r="F395" s="113">
        <v>11300.19</v>
      </c>
      <c r="G395" s="113">
        <v>0</v>
      </c>
      <c r="H395" s="113">
        <v>0</v>
      </c>
      <c r="I395" s="113">
        <f t="shared" si="480"/>
      </c>
      <c r="J395" s="114">
        <f>1591.92+733.32</f>
      </c>
      <c r="K395" s="115">
        <f t="shared" si="93"/>
      </c>
      <c r="L395" s="115">
        <f t="shared" si="222"/>
      </c>
      <c r="M395" s="116">
        <f t="shared" si="621"/>
      </c>
      <c r="N395" s="117">
        <f t="shared" si="651"/>
      </c>
      <c r="O395" s="118">
        <f t="shared" si="561"/>
      </c>
      <c r="P395" s="119">
        <f t="shared" si="591"/>
      </c>
      <c r="Q395" s="119">
        <f t="shared" si="771"/>
      </c>
      <c r="R395" s="119">
        <f t="shared" si="801"/>
      </c>
      <c r="S395" s="120">
        <f t="shared" si="681"/>
      </c>
      <c r="T395" s="121">
        <f t="shared" si="711"/>
      </c>
      <c r="U395" s="119">
        <f t="shared" si="990"/>
      </c>
      <c r="V395" s="122">
        <f t="shared" si="741"/>
      </c>
      <c r="W395" s="122">
        <f t="shared" si="1020"/>
      </c>
      <c r="X395" s="119">
        <f t="shared" si="831"/>
      </c>
      <c r="Y395" s="123">
        <f t="shared" si="909"/>
      </c>
      <c r="Z395" s="123">
        <v>4</v>
      </c>
      <c r="AA395" s="123">
        <v>16</v>
      </c>
      <c r="AB395" s="124">
        <f>25198.8+733.32</f>
      </c>
      <c r="AC395" s="124">
        <v>0</v>
      </c>
      <c r="AD395" s="120">
        <f t="shared" si="15"/>
      </c>
      <c r="AE395" s="125" t="s">
        <v>121</v>
      </c>
      <c r="AF395" s="126" t="s">
        <v>122</v>
      </c>
      <c r="AG395" s="127">
        <v>14</v>
      </c>
      <c r="AH395" s="128">
        <v>113309</v>
      </c>
      <c r="AI395" s="128">
        <v>1312</v>
      </c>
      <c r="AJ395" s="128">
        <v>1453</v>
      </c>
      <c r="AK395" s="127">
        <v>229</v>
      </c>
      <c r="AL395" s="127">
        <v>329</v>
      </c>
    </row>
    <row r="396">
      <c r="A396" s="108"/>
      <c r="B396" s="130" t="s">
        <v>127</v>
      </c>
      <c r="C396" s="131">
        <v>5</v>
      </c>
      <c r="D396" s="132">
        <f>SUM(D391:D395)</f>
      </c>
      <c r="E396" s="132">
        <f>SUM(E391:E395)</f>
      </c>
      <c r="F396" s="132">
        <f>SUM(F391:F395)</f>
      </c>
      <c r="G396" s="132">
        <f>SUM(G391:G395)</f>
      </c>
      <c r="H396" s="132">
        <f>SUM(H391:H395)</f>
      </c>
      <c r="I396" s="132">
        <f>SUM(I391:I395)</f>
      </c>
      <c r="J396" s="132">
        <f>SUM(J391:J395)</f>
      </c>
      <c r="K396" s="132">
        <f>SUM(K391:K395)</f>
      </c>
      <c r="L396" s="132">
        <f>SUM(L391:L395)</f>
      </c>
      <c r="M396" s="133">
        <f t="shared" si="621"/>
      </c>
      <c r="N396" s="134">
        <f t="shared" si="651"/>
      </c>
      <c r="O396" s="134">
        <f t="shared" si="561"/>
      </c>
      <c r="P396" s="135">
        <f t="shared" si="591"/>
      </c>
      <c r="Q396" s="135">
        <f t="shared" si="771"/>
      </c>
      <c r="R396" s="135">
        <f t="shared" si="801"/>
      </c>
      <c r="S396" s="136">
        <f t="shared" si="681"/>
      </c>
      <c r="T396" s="136">
        <f t="shared" si="711"/>
      </c>
      <c r="U396" s="135">
        <f t="shared" si="990"/>
      </c>
      <c r="V396" s="136">
        <f t="shared" si="741"/>
      </c>
      <c r="W396" s="136">
        <f t="shared" si="1020"/>
      </c>
      <c r="X396" s="135">
        <f t="shared" si="831"/>
      </c>
      <c r="Y396" s="132">
        <f>SUM(Y391:Y395)</f>
      </c>
      <c r="Z396" s="132">
        <f>SUM(Z391:Z395)</f>
      </c>
      <c r="AA396" s="132">
        <f>SUM(AA391:AA395)</f>
      </c>
      <c r="AB396" s="132">
        <f>SUM(AB391:AB395)</f>
      </c>
      <c r="AC396" s="132">
        <f>SUM(AC391:AC395)</f>
      </c>
      <c r="AD396" s="137">
        <f t="shared" si="15"/>
      </c>
      <c r="AE396" s="138"/>
      <c r="AF396" s="139"/>
      <c r="AG396" s="132">
        <f>SUM(AG391:AG395)</f>
      </c>
      <c r="AH396" s="132">
        <f>SUM(AH391:AH395)</f>
      </c>
      <c r="AI396" s="132">
        <f>SUM(AI391:AI395)</f>
      </c>
      <c r="AJ396" s="132">
        <f>SUM(AJ391:AJ395)</f>
      </c>
      <c r="AK396" s="132">
        <f>SUM(AK391:AK395)</f>
      </c>
      <c r="AL396" s="132">
        <f>SUM(AL391:AL395)</f>
      </c>
    </row>
    <row r="397">
      <c r="A397" s="108"/>
      <c r="B397" s="109" t="s">
        <v>128</v>
      </c>
      <c r="C397" s="110" t="s">
        <v>129</v>
      </c>
      <c r="D397" s="111">
        <f t="shared" ref="D397:D401" si="352">E397+F397+G397+H397</f>
      </c>
      <c r="E397" s="112">
        <v>896.97</v>
      </c>
      <c r="F397" s="113">
        <v>5780.25</v>
      </c>
      <c r="G397" s="113">
        <v>0</v>
      </c>
      <c r="H397" s="113">
        <v>0</v>
      </c>
      <c r="I397" s="113">
        <f t="shared" ref="I397:I401" si="481">AB397+AC397</f>
      </c>
      <c r="J397" s="114">
        <v>4691.52</v>
      </c>
      <c r="K397" s="115">
        <f t="shared" ref="K397:K401" si="94">I397-J397</f>
      </c>
      <c r="L397" s="115">
        <f t="shared" ref="L397:L401" si="223">(I397-AC397)/12+AC397</f>
      </c>
      <c r="M397" s="116">
        <f t="shared" si="621"/>
      </c>
      <c r="N397" s="117">
        <f t="shared" si="651"/>
      </c>
      <c r="O397" s="118">
        <f t="shared" si="561"/>
      </c>
      <c r="P397" s="119">
        <f t="shared" si="591"/>
      </c>
      <c r="Q397" s="119">
        <f t="shared" si="771"/>
      </c>
      <c r="R397" s="119">
        <f t="shared" si="801"/>
      </c>
      <c r="S397" s="120">
        <f t="shared" si="681"/>
      </c>
      <c r="T397" s="121">
        <f t="shared" si="711"/>
      </c>
      <c r="U397" s="119">
        <f t="shared" si="990"/>
      </c>
      <c r="V397" s="122">
        <f t="shared" si="741"/>
      </c>
      <c r="W397" s="122">
        <f t="shared" si="1020"/>
      </c>
      <c r="X397" s="119">
        <f t="shared" si="831"/>
      </c>
      <c r="Y397" s="123">
        <f t="shared" ref="Y397:Y401" si="910">Z397+AA397</f>
      </c>
      <c r="Z397" s="123">
        <v>3</v>
      </c>
      <c r="AA397" s="123">
        <v>8</v>
      </c>
      <c r="AB397" s="124">
        <v>18002.399999999994</v>
      </c>
      <c r="AC397" s="124">
        <v>0</v>
      </c>
      <c r="AD397" s="120">
        <f t="shared" si="15"/>
      </c>
      <c r="AE397" s="125" t="s">
        <v>121</v>
      </c>
      <c r="AF397" s="126" t="s">
        <v>122</v>
      </c>
      <c r="AG397" s="127">
        <v>4</v>
      </c>
      <c r="AH397" s="128">
        <v>80029</v>
      </c>
      <c r="AI397" s="128">
        <v>1078</v>
      </c>
      <c r="AJ397" s="128">
        <v>1257</v>
      </c>
      <c r="AK397" s="127">
        <v>201</v>
      </c>
      <c r="AL397" s="127">
        <v>226</v>
      </c>
    </row>
    <row r="398">
      <c r="A398" s="108"/>
      <c r="B398" s="109" t="s">
        <v>128</v>
      </c>
      <c r="C398" s="110" t="s">
        <v>130</v>
      </c>
      <c r="D398" s="111">
        <f t="shared" si="352"/>
      </c>
      <c r="E398" s="110">
        <v>655.69</v>
      </c>
      <c r="F398" s="113">
        <v>5398.18</v>
      </c>
      <c r="G398" s="113">
        <v>0</v>
      </c>
      <c r="H398" s="113">
        <v>0</v>
      </c>
      <c r="I398" s="113">
        <f t="shared" si="481"/>
      </c>
      <c r="J398" s="162">
        <v>638.28</v>
      </c>
      <c r="K398" s="115">
        <f t="shared" si="94"/>
      </c>
      <c r="L398" s="115">
        <f t="shared" si="223"/>
      </c>
      <c r="M398" s="116">
        <f t="shared" si="621"/>
      </c>
      <c r="N398" s="117">
        <f t="shared" si="651"/>
      </c>
      <c r="O398" s="118">
        <f t="shared" si="561"/>
      </c>
      <c r="P398" s="119">
        <f t="shared" si="591"/>
      </c>
      <c r="Q398" s="119">
        <f t="shared" si="771"/>
      </c>
      <c r="R398" s="119">
        <f t="shared" si="801"/>
      </c>
      <c r="S398" s="120">
        <f t="shared" si="681"/>
      </c>
      <c r="T398" s="121">
        <f t="shared" si="711"/>
      </c>
      <c r="U398" s="119">
        <f t="shared" si="990"/>
      </c>
      <c r="V398" s="122">
        <f t="shared" si="741"/>
      </c>
      <c r="W398" s="122">
        <f t="shared" si="1020"/>
      </c>
      <c r="X398" s="119">
        <f t="shared" si="831"/>
      </c>
      <c r="Y398" s="123">
        <f t="shared" si="910"/>
      </c>
      <c r="Z398" s="123">
        <v>4</v>
      </c>
      <c r="AA398" s="123">
        <v>3</v>
      </c>
      <c r="AB398" s="124">
        <v>3652.5599999999977</v>
      </c>
      <c r="AC398" s="124">
        <v>0</v>
      </c>
      <c r="AD398" s="120">
        <f t="shared" si="15"/>
      </c>
      <c r="AE398" s="125" t="s">
        <v>121</v>
      </c>
      <c r="AF398" s="126" t="s">
        <v>122</v>
      </c>
      <c r="AG398" s="127">
        <v>3</v>
      </c>
      <c r="AH398" s="128">
        <v>72463</v>
      </c>
      <c r="AI398" s="128">
        <v>1000</v>
      </c>
      <c r="AJ398" s="128">
        <v>1107</v>
      </c>
      <c r="AK398" s="129">
        <v>155</v>
      </c>
      <c r="AL398" s="129">
        <v>170</v>
      </c>
    </row>
    <row r="399">
      <c r="A399" s="108"/>
      <c r="B399" s="109" t="s">
        <v>128</v>
      </c>
      <c r="C399" s="110" t="s">
        <v>131</v>
      </c>
      <c r="D399" s="111">
        <f t="shared" si="352"/>
      </c>
      <c r="E399" s="110">
        <v>427.84</v>
      </c>
      <c r="F399" s="110">
        <v>5485.95</v>
      </c>
      <c r="G399" s="113">
        <v>0</v>
      </c>
      <c r="H399" s="113">
        <v>0</v>
      </c>
      <c r="I399" s="113">
        <f t="shared" si="481"/>
      </c>
      <c r="J399" s="114">
        <v>4725</v>
      </c>
      <c r="K399" s="115">
        <f t="shared" si="94"/>
      </c>
      <c r="L399" s="115">
        <f t="shared" si="223"/>
      </c>
      <c r="M399" s="116">
        <f t="shared" si="621"/>
      </c>
      <c r="N399" s="117">
        <f t="shared" si="651"/>
      </c>
      <c r="O399" s="118">
        <f t="shared" si="561"/>
      </c>
      <c r="P399" s="119">
        <f t="shared" si="591"/>
      </c>
      <c r="Q399" s="119">
        <f t="shared" si="771"/>
      </c>
      <c r="R399" s="119">
        <f t="shared" si="801"/>
      </c>
      <c r="S399" s="120">
        <f t="shared" si="681"/>
      </c>
      <c r="T399" s="121">
        <f t="shared" si="711"/>
      </c>
      <c r="U399" s="119">
        <f t="shared" si="990"/>
      </c>
      <c r="V399" s="122">
        <f t="shared" si="741"/>
      </c>
      <c r="W399" s="122">
        <f t="shared" si="1020"/>
      </c>
      <c r="X399" s="119">
        <f t="shared" si="831"/>
      </c>
      <c r="Y399" s="123">
        <f t="shared" si="910"/>
      </c>
      <c r="Z399" s="123">
        <v>4</v>
      </c>
      <c r="AA399" s="123">
        <v>7</v>
      </c>
      <c r="AB399" s="124">
        <v>16232.400000000009</v>
      </c>
      <c r="AC399" s="124">
        <v>0</v>
      </c>
      <c r="AD399" s="120">
        <f t="shared" si="15"/>
      </c>
      <c r="AE399" s="125" t="s">
        <v>121</v>
      </c>
      <c r="AF399" s="126" t="s">
        <v>122</v>
      </c>
      <c r="AG399" s="129">
        <v>5</v>
      </c>
      <c r="AH399" s="128">
        <v>66245</v>
      </c>
      <c r="AI399" s="128">
        <v>1092</v>
      </c>
      <c r="AJ399" s="128">
        <v>1201</v>
      </c>
      <c r="AK399" s="129">
        <v>165</v>
      </c>
      <c r="AL399" s="129">
        <v>203</v>
      </c>
    </row>
    <row r="400">
      <c r="A400" s="108"/>
      <c r="B400" s="109" t="s">
        <v>128</v>
      </c>
      <c r="C400" s="110" t="s">
        <v>132</v>
      </c>
      <c r="D400" s="111">
        <f t="shared" si="352"/>
      </c>
      <c r="E400" s="110">
        <v>377.89</v>
      </c>
      <c r="F400" s="113">
        <v>5487.79</v>
      </c>
      <c r="G400" s="113">
        <v>0</v>
      </c>
      <c r="H400" s="113">
        <v>0</v>
      </c>
      <c r="I400" s="113">
        <f t="shared" si="481"/>
      </c>
      <c r="J400" s="114">
        <v>1622.16</v>
      </c>
      <c r="K400" s="115">
        <f t="shared" si="94"/>
      </c>
      <c r="L400" s="115">
        <f t="shared" si="223"/>
      </c>
      <c r="M400" s="116">
        <f t="shared" si="621"/>
      </c>
      <c r="N400" s="117">
        <f t="shared" si="651"/>
      </c>
      <c r="O400" s="118">
        <f t="shared" si="561"/>
      </c>
      <c r="P400" s="119">
        <f t="shared" si="591"/>
      </c>
      <c r="Q400" s="119">
        <f t="shared" si="771"/>
      </c>
      <c r="R400" s="119">
        <f t="shared" si="801"/>
      </c>
      <c r="S400" s="120">
        <f t="shared" si="681"/>
      </c>
      <c r="T400" s="121">
        <f t="shared" si="711"/>
      </c>
      <c r="U400" s="119">
        <f t="shared" si="990"/>
      </c>
      <c r="V400" s="122">
        <f t="shared" si="741"/>
      </c>
      <c r="W400" s="122">
        <f t="shared" si="1020"/>
      </c>
      <c r="X400" s="119">
        <f t="shared" si="831"/>
      </c>
      <c r="Y400" s="123">
        <f t="shared" si="910"/>
      </c>
      <c r="Z400" s="123">
        <v>2</v>
      </c>
      <c r="AA400" s="123">
        <v>7</v>
      </c>
      <c r="AB400" s="114">
        <v>9180</v>
      </c>
      <c r="AC400" s="124">
        <v>0</v>
      </c>
      <c r="AD400" s="120">
        <f t="shared" si="15"/>
      </c>
      <c r="AE400" s="125" t="s">
        <v>121</v>
      </c>
      <c r="AF400" s="126" t="s">
        <v>122</v>
      </c>
      <c r="AG400" s="127">
        <v>5</v>
      </c>
      <c r="AH400" s="128">
        <v>57613</v>
      </c>
      <c r="AI400" s="128">
        <v>939</v>
      </c>
      <c r="AJ400" s="128">
        <v>1069</v>
      </c>
      <c r="AK400" s="129">
        <v>168</v>
      </c>
      <c r="AL400" s="129">
        <v>198</v>
      </c>
    </row>
    <row r="401">
      <c r="A401" s="108"/>
      <c r="B401" s="109" t="s">
        <v>128</v>
      </c>
      <c r="C401" s="110" t="s">
        <v>134</v>
      </c>
      <c r="D401" s="111">
        <f t="shared" si="352"/>
      </c>
      <c r="E401" s="110">
        <v>585.38</v>
      </c>
      <c r="F401" s="140">
        <v>6239.37</v>
      </c>
      <c r="G401" s="113">
        <v>0</v>
      </c>
      <c r="H401" s="113">
        <v>0</v>
      </c>
      <c r="I401" s="113">
        <f t="shared" si="481"/>
      </c>
      <c r="J401" s="114">
        <v>1641.6</v>
      </c>
      <c r="K401" s="115">
        <f t="shared" si="94"/>
      </c>
      <c r="L401" s="115">
        <f t="shared" si="223"/>
      </c>
      <c r="M401" s="116">
        <f t="shared" si="621"/>
      </c>
      <c r="N401" s="117">
        <f t="shared" si="651"/>
      </c>
      <c r="O401" s="118">
        <f t="shared" si="561"/>
      </c>
      <c r="P401" s="119">
        <f t="shared" si="591"/>
      </c>
      <c r="Q401" s="119">
        <f t="shared" si="771"/>
      </c>
      <c r="R401" s="119">
        <f t="shared" si="801"/>
      </c>
      <c r="S401" s="120">
        <f t="shared" si="681"/>
      </c>
      <c r="T401" s="121">
        <f t="shared" si="711"/>
      </c>
      <c r="U401" s="119">
        <f t="shared" si="990"/>
      </c>
      <c r="V401" s="122">
        <f t="shared" si="741"/>
      </c>
      <c r="W401" s="122">
        <f t="shared" si="1020"/>
      </c>
      <c r="X401" s="119">
        <f t="shared" si="831"/>
      </c>
      <c r="Y401" s="123">
        <f t="shared" si="910"/>
      </c>
      <c r="Z401" s="123">
        <v>8</v>
      </c>
      <c r="AA401" s="123">
        <v>4</v>
      </c>
      <c r="AB401" s="124">
        <v>6360.119999999995</v>
      </c>
      <c r="AC401" s="124">
        <v>0</v>
      </c>
      <c r="AD401" s="120">
        <f t="shared" si="15"/>
      </c>
      <c r="AE401" s="125" t="s">
        <v>121</v>
      </c>
      <c r="AF401" s="126" t="s">
        <v>122</v>
      </c>
      <c r="AG401" s="127">
        <v>4</v>
      </c>
      <c r="AH401" s="127">
        <v>66714</v>
      </c>
      <c r="AI401" s="127">
        <v>912</v>
      </c>
      <c r="AJ401" s="127">
        <v>991</v>
      </c>
      <c r="AK401" s="127">
        <v>188</v>
      </c>
      <c r="AL401" s="127">
        <v>236</v>
      </c>
    </row>
    <row r="402">
      <c r="A402" s="108"/>
      <c r="B402" s="130" t="s">
        <v>127</v>
      </c>
      <c r="C402" s="131">
        <v>5</v>
      </c>
      <c r="D402" s="132">
        <f>SUM(D397:D401)</f>
      </c>
      <c r="E402" s="132">
        <f>SUM(E397:E401)</f>
      </c>
      <c r="F402" s="132">
        <f>SUM(F397:F401)</f>
      </c>
      <c r="G402" s="132">
        <f>SUM(G397:G401)</f>
      </c>
      <c r="H402" s="132">
        <f>SUM(H397:H401)</f>
      </c>
      <c r="I402" s="132">
        <f>SUM(I397:I401)</f>
      </c>
      <c r="J402" s="132">
        <f>SUM(J397:J401)</f>
      </c>
      <c r="K402" s="132">
        <f>SUM(K397:K401)</f>
      </c>
      <c r="L402" s="132">
        <f>SUM(L397:L401)</f>
      </c>
      <c r="M402" s="133">
        <f t="shared" si="621"/>
      </c>
      <c r="N402" s="134">
        <f t="shared" si="651"/>
      </c>
      <c r="O402" s="134">
        <f t="shared" si="561"/>
      </c>
      <c r="P402" s="135">
        <f t="shared" si="591"/>
      </c>
      <c r="Q402" s="135">
        <f t="shared" si="771"/>
      </c>
      <c r="R402" s="135">
        <f t="shared" si="801"/>
      </c>
      <c r="S402" s="136">
        <f t="shared" si="681"/>
      </c>
      <c r="T402" s="136">
        <f t="shared" si="711"/>
      </c>
      <c r="U402" s="135">
        <f t="shared" si="990"/>
      </c>
      <c r="V402" s="136">
        <f t="shared" si="741"/>
      </c>
      <c r="W402" s="136">
        <f t="shared" si="1020"/>
      </c>
      <c r="X402" s="135">
        <f t="shared" si="831"/>
      </c>
      <c r="Y402" s="132">
        <f>SUM(Y397:Y401)</f>
      </c>
      <c r="Z402" s="132">
        <f>SUM(Z397:Z401)</f>
      </c>
      <c r="AA402" s="132">
        <f>SUM(AA397:AA401)</f>
      </c>
      <c r="AB402" s="132">
        <f>SUM(AB397:AB401)</f>
      </c>
      <c r="AC402" s="132">
        <f>SUM(AC397:AC401)</f>
      </c>
      <c r="AD402" s="137">
        <f t="shared" si="15"/>
      </c>
      <c r="AE402" s="138"/>
      <c r="AF402" s="139"/>
      <c r="AG402" s="132">
        <f>SUM(AG397:AG401)</f>
      </c>
      <c r="AH402" s="132">
        <f>SUM(AH397:AH401)</f>
      </c>
      <c r="AI402" s="132">
        <f>SUM(AI397:AI401)</f>
      </c>
      <c r="AJ402" s="132">
        <f>SUM(AJ397:AJ401)</f>
      </c>
      <c r="AK402" s="132">
        <f>SUM(AK397:AK401)</f>
      </c>
      <c r="AL402" s="132">
        <f>SUM(AL397:AL401)</f>
      </c>
    </row>
    <row r="403">
      <c r="A403" s="108"/>
      <c r="B403" s="109" t="s">
        <v>133</v>
      </c>
      <c r="C403" s="110" t="s">
        <v>135</v>
      </c>
      <c r="D403" s="111">
        <f t="shared" ref="D403:D407" si="353">E403+F403+G403+H403</f>
      </c>
      <c r="E403" s="110">
        <v>492.12</v>
      </c>
      <c r="F403" s="140">
        <v>8327.46</v>
      </c>
      <c r="G403" s="113">
        <v>0</v>
      </c>
      <c r="H403" s="113">
        <v>0</v>
      </c>
      <c r="I403" s="113">
        <f t="shared" ref="I403:I407" si="482">AB403+AC403</f>
      </c>
      <c r="J403" s="160">
        <f>1128.6+757.08+1205.28+1735.56</f>
      </c>
      <c r="K403" s="115">
        <f t="shared" ref="K403:K407" si="95">I403-J403</f>
      </c>
      <c r="L403" s="115">
        <f t="shared" ref="L403:L407" si="224">(I403-AC403)/12+AC403</f>
      </c>
      <c r="M403" s="116">
        <f t="shared" si="621"/>
      </c>
      <c r="N403" s="117">
        <f t="shared" si="651"/>
      </c>
      <c r="O403" s="118">
        <f t="shared" si="561"/>
      </c>
      <c r="P403" s="119">
        <f t="shared" si="591"/>
      </c>
      <c r="Q403" s="119">
        <f t="shared" si="771"/>
      </c>
      <c r="R403" s="119">
        <f t="shared" si="801"/>
      </c>
      <c r="S403" s="120">
        <f t="shared" si="681"/>
      </c>
      <c r="T403" s="121">
        <f t="shared" si="711"/>
      </c>
      <c r="U403" s="119">
        <f t="shared" si="990"/>
      </c>
      <c r="V403" s="122">
        <f t="shared" si="741"/>
      </c>
      <c r="W403" s="122">
        <f t="shared" si="1020"/>
      </c>
      <c r="X403" s="119">
        <f t="shared" si="831"/>
      </c>
      <c r="Y403" s="123">
        <f t="shared" ref="Y403:Y407" si="911">Z403+AA403</f>
      </c>
      <c r="Z403" s="123">
        <v>11</v>
      </c>
      <c r="AA403" s="123">
        <v>11</v>
      </c>
      <c r="AB403" s="124">
        <v>20032.920000000027</v>
      </c>
      <c r="AC403" s="124">
        <v>0</v>
      </c>
      <c r="AD403" s="120">
        <f t="shared" si="15"/>
      </c>
      <c r="AE403" s="125" t="s">
        <v>121</v>
      </c>
      <c r="AF403" s="126" t="s">
        <v>154</v>
      </c>
      <c r="AG403" s="127">
        <v>9</v>
      </c>
      <c r="AH403" s="127">
        <v>94500</v>
      </c>
      <c r="AI403" s="127">
        <v>1036</v>
      </c>
      <c r="AJ403" s="127">
        <v>1143</v>
      </c>
      <c r="AK403" s="127">
        <v>219</v>
      </c>
      <c r="AL403" s="127">
        <v>242</v>
      </c>
    </row>
    <row r="404">
      <c r="A404" s="108"/>
      <c r="B404" s="109" t="s">
        <v>133</v>
      </c>
      <c r="C404" s="110" t="s">
        <v>138</v>
      </c>
      <c r="D404" s="111">
        <f t="shared" si="353"/>
      </c>
      <c r="E404" s="110">
        <v>356.02</v>
      </c>
      <c r="F404" s="140">
        <v>6978.61</v>
      </c>
      <c r="G404" s="113">
        <v>0</v>
      </c>
      <c r="H404" s="113">
        <v>0</v>
      </c>
      <c r="I404" s="113">
        <f t="shared" si="482"/>
      </c>
      <c r="J404" s="114">
        <v>657.72</v>
      </c>
      <c r="K404" s="115">
        <f t="shared" si="95"/>
      </c>
      <c r="L404" s="115">
        <f t="shared" si="224"/>
      </c>
      <c r="M404" s="116">
        <f t="shared" si="621"/>
      </c>
      <c r="N404" s="117">
        <f t="shared" si="651"/>
      </c>
      <c r="O404" s="118">
        <f t="shared" si="561"/>
      </c>
      <c r="P404" s="119">
        <f t="shared" si="591"/>
      </c>
      <c r="Q404" s="119">
        <f t="shared" si="771"/>
      </c>
      <c r="R404" s="119">
        <f t="shared" si="801"/>
      </c>
      <c r="S404" s="120">
        <f t="shared" si="681"/>
      </c>
      <c r="T404" s="121">
        <f t="shared" si="711"/>
      </c>
      <c r="U404" s="119">
        <f t="shared" si="990"/>
      </c>
      <c r="V404" s="122">
        <f t="shared" si="741"/>
      </c>
      <c r="W404" s="122">
        <f t="shared" si="1020"/>
      </c>
      <c r="X404" s="119">
        <f t="shared" si="831"/>
      </c>
      <c r="Y404" s="123">
        <f t="shared" si="911"/>
      </c>
      <c r="Z404" s="123">
        <v>4</v>
      </c>
      <c r="AA404" s="123">
        <v>8</v>
      </c>
      <c r="AB404" s="124">
        <v>8358.119999999995</v>
      </c>
      <c r="AC404" s="124">
        <v>0</v>
      </c>
      <c r="AD404" s="120">
        <f t="shared" si="15"/>
      </c>
      <c r="AE404" s="125" t="s">
        <v>121</v>
      </c>
      <c r="AF404" s="126" t="s">
        <v>154</v>
      </c>
      <c r="AG404" s="129">
        <v>6</v>
      </c>
      <c r="AH404" s="128">
        <v>82122</v>
      </c>
      <c r="AI404" s="128">
        <v>810</v>
      </c>
      <c r="AJ404" s="128">
        <v>904</v>
      </c>
      <c r="AK404" s="129">
        <v>172</v>
      </c>
      <c r="AL404" s="129">
        <v>190</v>
      </c>
    </row>
    <row r="405">
      <c r="A405" s="108"/>
      <c r="B405" s="109" t="s">
        <v>133</v>
      </c>
      <c r="C405" s="110" t="s">
        <v>140</v>
      </c>
      <c r="D405" s="111">
        <f t="shared" si="353"/>
      </c>
      <c r="E405" s="110">
        <v>391.57</v>
      </c>
      <c r="F405" s="140">
        <v>5212.59</v>
      </c>
      <c r="G405" s="113">
        <v>0</v>
      </c>
      <c r="H405" s="113">
        <v>0</v>
      </c>
      <c r="I405" s="113">
        <f t="shared" si="482"/>
      </c>
      <c r="J405" s="160">
        <v>2258.28</v>
      </c>
      <c r="K405" s="115">
        <f t="shared" si="95"/>
      </c>
      <c r="L405" s="115">
        <f t="shared" si="224"/>
      </c>
      <c r="M405" s="116">
        <f t="shared" si="621"/>
      </c>
      <c r="N405" s="117">
        <f t="shared" si="651"/>
      </c>
      <c r="O405" s="118">
        <f t="shared" si="561"/>
      </c>
      <c r="P405" s="119">
        <f t="shared" si="591"/>
      </c>
      <c r="Q405" s="119">
        <f t="shared" si="771"/>
      </c>
      <c r="R405" s="119">
        <f t="shared" si="801"/>
      </c>
      <c r="S405" s="120">
        <f t="shared" si="681"/>
      </c>
      <c r="T405" s="121">
        <f t="shared" si="711"/>
      </c>
      <c r="U405" s="119">
        <f t="shared" si="990"/>
      </c>
      <c r="V405" s="122">
        <f t="shared" si="741"/>
      </c>
      <c r="W405" s="122">
        <f t="shared" si="1020"/>
      </c>
      <c r="X405" s="119">
        <f t="shared" si="831"/>
      </c>
      <c r="Y405" s="123">
        <f t="shared" si="911"/>
      </c>
      <c r="Z405" s="123">
        <v>5</v>
      </c>
      <c r="AA405" s="123">
        <v>3</v>
      </c>
      <c r="AB405" s="124">
        <v>9855.119999999995</v>
      </c>
      <c r="AC405" s="124">
        <v>0</v>
      </c>
      <c r="AD405" s="120">
        <f t="shared" si="15"/>
      </c>
      <c r="AE405" s="125" t="s">
        <v>121</v>
      </c>
      <c r="AF405" s="126" t="s">
        <v>154</v>
      </c>
      <c r="AG405" s="127">
        <v>3</v>
      </c>
      <c r="AH405" s="128">
        <v>70780</v>
      </c>
      <c r="AI405" s="128">
        <v>653</v>
      </c>
      <c r="AJ405" s="128">
        <v>720</v>
      </c>
      <c r="AK405" s="129">
        <v>139</v>
      </c>
      <c r="AL405" s="129">
        <v>156</v>
      </c>
    </row>
    <row r="406">
      <c r="A406" s="108"/>
      <c r="B406" s="109" t="s">
        <v>133</v>
      </c>
      <c r="C406" s="141" t="s">
        <v>141</v>
      </c>
      <c r="D406" s="111">
        <f t="shared" si="353"/>
      </c>
      <c r="E406" s="110">
        <v>460.07</v>
      </c>
      <c r="F406" s="140">
        <v>5556.81</v>
      </c>
      <c r="G406" s="113">
        <v>0</v>
      </c>
      <c r="H406" s="113">
        <v>0</v>
      </c>
      <c r="I406" s="113">
        <f t="shared" si="482"/>
      </c>
      <c r="J406" s="114">
        <v>0</v>
      </c>
      <c r="K406" s="115">
        <f t="shared" si="95"/>
      </c>
      <c r="L406" s="115">
        <f t="shared" si="224"/>
      </c>
      <c r="M406" s="116">
        <f t="shared" si="621"/>
      </c>
      <c r="N406" s="117">
        <f t="shared" si="651"/>
      </c>
      <c r="O406" s="118">
        <f t="shared" si="561"/>
      </c>
      <c r="P406" s="119">
        <f t="shared" si="591"/>
      </c>
      <c r="Q406" s="119">
        <f t="shared" si="771"/>
      </c>
      <c r="R406" s="119">
        <f t="shared" si="801"/>
      </c>
      <c r="S406" s="120">
        <f t="shared" si="681"/>
      </c>
      <c r="T406" s="121">
        <f t="shared" si="711"/>
      </c>
      <c r="U406" s="119">
        <f t="shared" si="990"/>
      </c>
      <c r="V406" s="122">
        <f t="shared" si="741"/>
      </c>
      <c r="W406" s="122">
        <f t="shared" si="1020"/>
      </c>
      <c r="X406" s="119">
        <f t="shared" si="831"/>
      </c>
      <c r="Y406" s="123">
        <f t="shared" si="911"/>
      </c>
      <c r="Z406" s="123">
        <v>5</v>
      </c>
      <c r="AA406" s="123">
        <v>4</v>
      </c>
      <c r="AB406" s="124">
        <v>4368.600000000006</v>
      </c>
      <c r="AC406" s="124">
        <v>0</v>
      </c>
      <c r="AD406" s="120">
        <f t="shared" si="15"/>
      </c>
      <c r="AE406" s="125" t="s">
        <v>121</v>
      </c>
      <c r="AF406" s="126" t="s">
        <v>154</v>
      </c>
      <c r="AG406" s="127">
        <v>2</v>
      </c>
      <c r="AH406" s="128">
        <v>63240</v>
      </c>
      <c r="AI406" s="128">
        <v>685</v>
      </c>
      <c r="AJ406" s="128">
        <v>708</v>
      </c>
      <c r="AK406" s="129">
        <v>142</v>
      </c>
      <c r="AL406" s="129">
        <v>181</v>
      </c>
    </row>
    <row r="407">
      <c r="A407" s="108"/>
      <c r="B407" s="109" t="s">
        <v>133</v>
      </c>
      <c r="C407" s="141" t="s">
        <v>142</v>
      </c>
      <c r="D407" s="111">
        <f t="shared" si="353"/>
      </c>
      <c r="E407" s="110">
        <v>420.47</v>
      </c>
      <c r="F407" s="140">
        <v>7487.95</v>
      </c>
      <c r="G407" s="113">
        <v>0</v>
      </c>
      <c r="H407" s="113">
        <v>0</v>
      </c>
      <c r="I407" s="113">
        <f t="shared" si="482"/>
      </c>
      <c r="J407" s="114">
        <v>0</v>
      </c>
      <c r="K407" s="115">
        <f t="shared" si="95"/>
      </c>
      <c r="L407" s="115">
        <f t="shared" si="224"/>
      </c>
      <c r="M407" s="116">
        <f t="shared" si="621"/>
      </c>
      <c r="N407" s="117">
        <f t="shared" si="651"/>
      </c>
      <c r="O407" s="118">
        <f t="shared" si="561"/>
      </c>
      <c r="P407" s="119">
        <f t="shared" si="591"/>
      </c>
      <c r="Q407" s="119">
        <f t="shared" si="771"/>
      </c>
      <c r="R407" s="119">
        <f t="shared" si="801"/>
      </c>
      <c r="S407" s="120">
        <f t="shared" si="681"/>
      </c>
      <c r="T407" s="121">
        <f t="shared" si="711"/>
      </c>
      <c r="U407" s="119">
        <f t="shared" si="990"/>
      </c>
      <c r="V407" s="122">
        <f t="shared" si="741"/>
      </c>
      <c r="W407" s="122">
        <f t="shared" si="1020"/>
      </c>
      <c r="X407" s="119">
        <f t="shared" si="831"/>
      </c>
      <c r="Y407" s="123">
        <f t="shared" si="911"/>
      </c>
      <c r="Z407" s="123">
        <v>7</v>
      </c>
      <c r="AA407" s="123">
        <v>8</v>
      </c>
      <c r="AB407" s="124">
        <v>23735.159999999974</v>
      </c>
      <c r="AC407" s="124">
        <v>0</v>
      </c>
      <c r="AD407" s="120">
        <f t="shared" si="15"/>
      </c>
      <c r="AE407" s="125" t="s">
        <v>121</v>
      </c>
      <c r="AF407" s="126" t="s">
        <v>154</v>
      </c>
      <c r="AG407" s="127">
        <v>6</v>
      </c>
      <c r="AH407" s="128">
        <v>86363</v>
      </c>
      <c r="AI407" s="128">
        <v>946</v>
      </c>
      <c r="AJ407" s="128">
        <v>962</v>
      </c>
      <c r="AK407" s="129">
        <v>184</v>
      </c>
      <c r="AL407" s="129">
        <v>238</v>
      </c>
    </row>
    <row r="408">
      <c r="A408" s="108"/>
      <c r="B408" s="130" t="s">
        <v>127</v>
      </c>
      <c r="C408" s="131">
        <v>5</v>
      </c>
      <c r="D408" s="132">
        <f>SUM(D403:D407)</f>
      </c>
      <c r="E408" s="132">
        <f>SUM(E403:E407)</f>
      </c>
      <c r="F408" s="132">
        <f>SUM(F403:F407)</f>
      </c>
      <c r="G408" s="132">
        <f>SUM(G403:G407)</f>
      </c>
      <c r="H408" s="132">
        <f>SUM(H403:H407)</f>
      </c>
      <c r="I408" s="132">
        <f>SUM(I403:I407)</f>
      </c>
      <c r="J408" s="132">
        <f>SUM(J403:J407)</f>
      </c>
      <c r="K408" s="132">
        <f>SUM(K403:K407)</f>
      </c>
      <c r="L408" s="132">
        <f>SUM(L403:L407)</f>
      </c>
      <c r="M408" s="133">
        <f t="shared" si="621"/>
      </c>
      <c r="N408" s="134">
        <f t="shared" si="651"/>
      </c>
      <c r="O408" s="134">
        <f t="shared" si="561"/>
      </c>
      <c r="P408" s="135">
        <f t="shared" si="591"/>
      </c>
      <c r="Q408" s="135">
        <f t="shared" si="771"/>
      </c>
      <c r="R408" s="135">
        <f t="shared" si="801"/>
      </c>
      <c r="S408" s="136">
        <f t="shared" si="681"/>
      </c>
      <c r="T408" s="136">
        <f t="shared" si="711"/>
      </c>
      <c r="U408" s="135">
        <f t="shared" si="990"/>
      </c>
      <c r="V408" s="136">
        <f t="shared" si="741"/>
      </c>
      <c r="W408" s="136">
        <f t="shared" si="1020"/>
      </c>
      <c r="X408" s="135">
        <f t="shared" si="831"/>
      </c>
      <c r="Y408" s="132">
        <f>SUM(Y403:Y407)</f>
      </c>
      <c r="Z408" s="132">
        <f>SUM(Z403:Z407)</f>
      </c>
      <c r="AA408" s="132">
        <f>SUM(AA403:AA407)</f>
      </c>
      <c r="AB408" s="132">
        <f>SUM(AB403:AB407)</f>
      </c>
      <c r="AC408" s="132">
        <f>SUM(AC403:AC407)</f>
      </c>
      <c r="AD408" s="137">
        <f t="shared" si="15"/>
      </c>
      <c r="AE408" s="138"/>
      <c r="AF408" s="139"/>
      <c r="AG408" s="132">
        <f>SUM(AG403:AG407)</f>
      </c>
      <c r="AH408" s="132">
        <f>SUM(AH403:AH407)</f>
      </c>
      <c r="AI408" s="132">
        <f>SUM(AI403:AI407)</f>
      </c>
      <c r="AJ408" s="132">
        <f>SUM(AJ403:AJ407)</f>
      </c>
      <c r="AK408" s="132">
        <f>SUM(AK403:AK407)</f>
      </c>
      <c r="AL408" s="132">
        <f>SUM(AL403:AL407)</f>
      </c>
    </row>
    <row r="409">
      <c r="A409" s="108"/>
      <c r="B409" s="109" t="s">
        <v>139</v>
      </c>
      <c r="C409" s="141" t="s">
        <v>144</v>
      </c>
      <c r="D409" s="143">
        <f t="shared" ref="D409:D413" si="354">E409+F409+G409+H409</f>
      </c>
      <c r="E409" s="166">
        <v>398.31</v>
      </c>
      <c r="F409" s="145">
        <v>6508.54</v>
      </c>
      <c r="G409" s="113">
        <v>0</v>
      </c>
      <c r="H409" s="113">
        <v>0</v>
      </c>
      <c r="I409" s="113">
        <f t="shared" ref="I409:I413" si="483">AB409+AC409</f>
      </c>
      <c r="J409" s="114">
        <v>4394.52</v>
      </c>
      <c r="K409" s="115">
        <f t="shared" ref="K409:K413" si="96">I409-J409</f>
      </c>
      <c r="L409" s="115">
        <f t="shared" ref="L409:L413" si="225">(I409-AC409)/12+AC409</f>
      </c>
      <c r="M409" s="116">
        <f t="shared" si="621"/>
      </c>
      <c r="N409" s="117">
        <f t="shared" si="651"/>
      </c>
      <c r="O409" s="118">
        <f t="shared" si="561"/>
      </c>
      <c r="P409" s="119">
        <f t="shared" si="591"/>
      </c>
      <c r="Q409" s="119">
        <f t="shared" si="771"/>
      </c>
      <c r="R409" s="119">
        <f t="shared" si="801"/>
      </c>
      <c r="S409" s="120">
        <f t="shared" si="681"/>
      </c>
      <c r="T409" s="121">
        <f t="shared" si="711"/>
      </c>
      <c r="U409" s="119">
        <f t="shared" si="990"/>
      </c>
      <c r="V409" s="122">
        <f t="shared" si="741"/>
      </c>
      <c r="W409" s="122">
        <f t="shared" si="1020"/>
      </c>
      <c r="X409" s="119">
        <f t="shared" si="831"/>
      </c>
      <c r="Y409" s="123">
        <f t="shared" ref="Y409:Y413" si="912">Z409+AA409</f>
      </c>
      <c r="Z409" s="123">
        <v>10</v>
      </c>
      <c r="AA409" s="123">
        <v>7</v>
      </c>
      <c r="AB409" s="124">
        <v>14590.080000000016</v>
      </c>
      <c r="AC409" s="124">
        <v>1474</v>
      </c>
      <c r="AD409" s="120">
        <f t="shared" si="15"/>
      </c>
      <c r="AE409" s="125" t="s">
        <v>121</v>
      </c>
      <c r="AF409" s="126" t="s">
        <v>154</v>
      </c>
      <c r="AG409" s="127">
        <v>7</v>
      </c>
      <c r="AH409" s="127">
        <v>73052</v>
      </c>
      <c r="AI409" s="128">
        <v>940</v>
      </c>
      <c r="AJ409" s="128">
        <v>1004</v>
      </c>
      <c r="AK409" s="127">
        <v>155</v>
      </c>
      <c r="AL409" s="129">
        <v>230</v>
      </c>
    </row>
    <row r="410">
      <c r="A410" s="108"/>
      <c r="B410" s="109" t="s">
        <v>139</v>
      </c>
      <c r="C410" s="110" t="s">
        <v>145</v>
      </c>
      <c r="D410" s="143">
        <f t="shared" si="354"/>
      </c>
      <c r="E410" s="174">
        <v>1088.96</v>
      </c>
      <c r="F410" s="145">
        <v>6270.99</v>
      </c>
      <c r="G410" s="113">
        <v>0</v>
      </c>
      <c r="H410" s="113">
        <v>0</v>
      </c>
      <c r="I410" s="113">
        <f t="shared" si="483"/>
      </c>
      <c r="J410" s="114">
        <v>3110.4</v>
      </c>
      <c r="K410" s="115">
        <f t="shared" si="96"/>
      </c>
      <c r="L410" s="115">
        <f t="shared" si="225"/>
      </c>
      <c r="M410" s="116">
        <f t="shared" si="621"/>
      </c>
      <c r="N410" s="117">
        <f t="shared" si="651"/>
      </c>
      <c r="O410" s="118">
        <f t="shared" si="561"/>
      </c>
      <c r="P410" s="119">
        <f t="shared" si="591"/>
      </c>
      <c r="Q410" s="119">
        <f t="shared" si="771"/>
      </c>
      <c r="R410" s="119">
        <f t="shared" si="801"/>
      </c>
      <c r="S410" s="120">
        <f t="shared" si="681"/>
      </c>
      <c r="T410" s="121">
        <f t="shared" si="711"/>
      </c>
      <c r="U410" s="119">
        <f t="shared" si="990"/>
      </c>
      <c r="V410" s="122">
        <f t="shared" si="741"/>
      </c>
      <c r="W410" s="122">
        <f t="shared" si="1020"/>
      </c>
      <c r="X410" s="119">
        <f t="shared" si="831"/>
      </c>
      <c r="Y410" s="123">
        <f t="shared" si="912"/>
      </c>
      <c r="Z410" s="123">
        <v>7</v>
      </c>
      <c r="AA410" s="123">
        <v>10</v>
      </c>
      <c r="AB410" s="124">
        <v>10937.160000000003</v>
      </c>
      <c r="AC410" s="124">
        <v>5619.700000000001</v>
      </c>
      <c r="AD410" s="120">
        <f t="shared" si="15"/>
      </c>
      <c r="AE410" s="125" t="s">
        <v>121</v>
      </c>
      <c r="AF410" s="126" t="s">
        <v>154</v>
      </c>
      <c r="AG410" s="127">
        <v>9</v>
      </c>
      <c r="AH410" s="128">
        <v>68691</v>
      </c>
      <c r="AI410" s="128">
        <v>1173</v>
      </c>
      <c r="AJ410" s="128">
        <v>1276</v>
      </c>
      <c r="AK410" s="129">
        <v>185</v>
      </c>
      <c r="AL410" s="129">
        <v>221</v>
      </c>
    </row>
    <row r="411">
      <c r="A411" s="108"/>
      <c r="B411" s="109" t="s">
        <v>139</v>
      </c>
      <c r="C411" s="141" t="s">
        <v>146</v>
      </c>
      <c r="D411" s="143">
        <f t="shared" si="354"/>
      </c>
      <c r="E411" s="169">
        <v>1100.93</v>
      </c>
      <c r="F411" s="170">
        <v>12470</v>
      </c>
      <c r="G411" s="113">
        <v>0</v>
      </c>
      <c r="H411" s="113">
        <v>0</v>
      </c>
      <c r="I411" s="171">
        <f t="shared" si="483"/>
      </c>
      <c r="J411" s="115">
        <v>0</v>
      </c>
      <c r="K411" s="115">
        <f t="shared" si="96"/>
      </c>
      <c r="L411" s="115">
        <f t="shared" si="225"/>
      </c>
      <c r="M411" s="116">
        <f t="shared" si="621"/>
      </c>
      <c r="N411" s="117">
        <f t="shared" si="651"/>
      </c>
      <c r="O411" s="118">
        <f t="shared" si="561"/>
      </c>
      <c r="P411" s="119">
        <f t="shared" si="591"/>
      </c>
      <c r="Q411" s="119">
        <f t="shared" si="771"/>
      </c>
      <c r="R411" s="119">
        <f t="shared" si="801"/>
      </c>
      <c r="S411" s="120">
        <f t="shared" si="681"/>
      </c>
      <c r="T411" s="121">
        <f t="shared" si="711"/>
      </c>
      <c r="U411" s="119">
        <f t="shared" si="990"/>
      </c>
      <c r="V411" s="122">
        <f t="shared" si="741"/>
      </c>
      <c r="W411" s="122">
        <f t="shared" si="1020"/>
      </c>
      <c r="X411" s="119">
        <f t="shared" si="831"/>
      </c>
      <c r="Y411" s="172">
        <f t="shared" si="912"/>
      </c>
      <c r="Z411" s="172">
        <v>8</v>
      </c>
      <c r="AA411" s="172">
        <v>12</v>
      </c>
      <c r="AB411" s="173">
        <v>25873.919999999984</v>
      </c>
      <c r="AC411" s="173">
        <v>0</v>
      </c>
      <c r="AD411" s="120">
        <f t="shared" si="15"/>
      </c>
      <c r="AE411" s="125" t="s">
        <v>121</v>
      </c>
      <c r="AF411" s="125" t="s">
        <v>154</v>
      </c>
      <c r="AG411" s="129">
        <v>11</v>
      </c>
      <c r="AH411" s="128">
        <v>159126</v>
      </c>
      <c r="AI411" s="128">
        <v>1939</v>
      </c>
      <c r="AJ411" s="128">
        <v>2056</v>
      </c>
      <c r="AK411" s="129">
        <v>260</v>
      </c>
      <c r="AL411" s="129">
        <v>368</v>
      </c>
    </row>
    <row r="412">
      <c r="A412" s="108"/>
      <c r="B412" s="109" t="s">
        <v>139</v>
      </c>
      <c r="C412" s="110" t="s">
        <v>147</v>
      </c>
      <c r="D412" s="143">
        <f t="shared" si="354"/>
      </c>
      <c r="E412" s="147">
        <v>453.98</v>
      </c>
      <c r="F412" s="145">
        <v>6362.8</v>
      </c>
      <c r="G412" s="113">
        <v>0</v>
      </c>
      <c r="H412" s="113">
        <v>0</v>
      </c>
      <c r="I412" s="113">
        <f t="shared" si="483"/>
      </c>
      <c r="J412" s="115">
        <v>0</v>
      </c>
      <c r="K412" s="115">
        <f t="shared" si="96"/>
      </c>
      <c r="L412" s="115">
        <f t="shared" si="225"/>
      </c>
      <c r="M412" s="116">
        <f t="shared" si="621"/>
      </c>
      <c r="N412" s="117">
        <f t="shared" si="651"/>
      </c>
      <c r="O412" s="118">
        <f t="shared" si="561"/>
      </c>
      <c r="P412" s="119">
        <f t="shared" si="591"/>
      </c>
      <c r="Q412" s="119">
        <f t="shared" si="771"/>
      </c>
      <c r="R412" s="119">
        <f t="shared" si="801"/>
      </c>
      <c r="S412" s="120">
        <f t="shared" si="681"/>
      </c>
      <c r="T412" s="121">
        <f t="shared" si="711"/>
      </c>
      <c r="U412" s="119">
        <f t="shared" si="990"/>
      </c>
      <c r="V412" s="122">
        <f t="shared" si="741"/>
      </c>
      <c r="W412" s="122">
        <f t="shared" si="1020"/>
      </c>
      <c r="X412" s="119">
        <f t="shared" si="831"/>
      </c>
      <c r="Y412" s="123">
        <f t="shared" si="912"/>
      </c>
      <c r="Z412" s="123">
        <v>4</v>
      </c>
      <c r="AA412" s="123">
        <v>6</v>
      </c>
      <c r="AB412" s="124">
        <v>8452.08</v>
      </c>
      <c r="AC412" s="124">
        <v>0</v>
      </c>
      <c r="AD412" s="120">
        <f t="shared" si="15"/>
      </c>
      <c r="AE412" s="125" t="s">
        <v>121</v>
      </c>
      <c r="AF412" s="126" t="s">
        <v>154</v>
      </c>
      <c r="AG412" s="127">
        <v>4</v>
      </c>
      <c r="AH412" s="128">
        <v>79107</v>
      </c>
      <c r="AI412" s="128">
        <v>1673</v>
      </c>
      <c r="AJ412" s="128">
        <v>1815</v>
      </c>
      <c r="AK412" s="129">
        <v>184</v>
      </c>
      <c r="AL412" s="129">
        <v>215</v>
      </c>
    </row>
    <row customHeight="true" ht="16.666666666666668" r="413">
      <c r="A413" s="108"/>
      <c r="B413" s="109" t="s">
        <v>139</v>
      </c>
      <c r="C413" s="110" t="s">
        <v>148</v>
      </c>
      <c r="D413" s="143">
        <f t="shared" si="354"/>
      </c>
      <c r="E413" s="147">
        <v>162.98</v>
      </c>
      <c r="F413" s="145">
        <v>2931.21</v>
      </c>
      <c r="G413" s="113">
        <v>0</v>
      </c>
      <c r="H413" s="113">
        <v>0</v>
      </c>
      <c r="I413" s="113">
        <f t="shared" si="483"/>
      </c>
      <c r="J413" s="115">
        <v>0</v>
      </c>
      <c r="K413" s="115">
        <f t="shared" si="96"/>
      </c>
      <c r="L413" s="115">
        <f t="shared" si="225"/>
      </c>
      <c r="M413" s="116">
        <f t="shared" si="621"/>
      </c>
      <c r="N413" s="117">
        <f t="shared" si="651"/>
      </c>
      <c r="O413" s="118">
        <f t="shared" si="561"/>
      </c>
      <c r="P413" s="119">
        <f t="shared" si="591"/>
      </c>
      <c r="Q413" s="119">
        <f t="shared" si="771"/>
      </c>
      <c r="R413" s="119">
        <f t="shared" si="801"/>
      </c>
      <c r="S413" s="120">
        <f t="shared" si="681"/>
      </c>
      <c r="T413" s="121">
        <f t="shared" si="711"/>
      </c>
      <c r="U413" s="119">
        <f t="shared" si="990"/>
      </c>
      <c r="V413" s="122">
        <f t="shared" si="741"/>
      </c>
      <c r="W413" s="122">
        <f t="shared" si="1020"/>
      </c>
      <c r="X413" s="119">
        <f t="shared" si="831"/>
      </c>
      <c r="Y413" s="123">
        <f t="shared" si="912"/>
      </c>
      <c r="Z413" s="123">
        <v>3</v>
      </c>
      <c r="AA413" s="123">
        <v>2</v>
      </c>
      <c r="AB413" s="124">
        <v>2484</v>
      </c>
      <c r="AC413" s="124">
        <v>0</v>
      </c>
      <c r="AD413" s="120">
        <f t="shared" si="15"/>
      </c>
      <c r="AE413" s="125" t="s">
        <v>121</v>
      </c>
      <c r="AF413" s="126" t="s">
        <v>154</v>
      </c>
      <c r="AG413" s="127">
        <v>2</v>
      </c>
      <c r="AH413" s="128">
        <v>36795</v>
      </c>
      <c r="AI413" s="128">
        <v>670</v>
      </c>
      <c r="AJ413" s="128">
        <v>835</v>
      </c>
      <c r="AK413" s="129">
        <v>70</v>
      </c>
      <c r="AL413" s="129">
        <v>88</v>
      </c>
    </row>
    <row r="414">
      <c r="A414" s="108"/>
      <c r="B414" s="130" t="s">
        <v>127</v>
      </c>
      <c r="C414" s="131">
        <v>5</v>
      </c>
      <c r="D414" s="132">
        <f>SUM(D409:D413)</f>
      </c>
      <c r="E414" s="132">
        <f>SUM(E409:E413)</f>
      </c>
      <c r="F414" s="132">
        <f>SUM(F409:F413)</f>
      </c>
      <c r="G414" s="132">
        <f>SUM(G409:G413)</f>
      </c>
      <c r="H414" s="132">
        <f>SUM(H409:H413)</f>
      </c>
      <c r="I414" s="132">
        <f>SUM(I409:I413)</f>
      </c>
      <c r="J414" s="132">
        <f>SUM(J409:J413)</f>
      </c>
      <c r="K414" s="132">
        <f>SUM(K409:K413)</f>
      </c>
      <c r="L414" s="132">
        <f>SUM(L409:L413)</f>
      </c>
      <c r="M414" s="133">
        <f t="shared" si="621"/>
      </c>
      <c r="N414" s="134">
        <f t="shared" si="651"/>
      </c>
      <c r="O414" s="134">
        <f t="shared" si="561"/>
      </c>
      <c r="P414" s="135">
        <f t="shared" si="591"/>
      </c>
      <c r="Q414" s="135">
        <f t="shared" si="771"/>
      </c>
      <c r="R414" s="135">
        <f t="shared" si="801"/>
      </c>
      <c r="S414" s="136">
        <f t="shared" si="681"/>
      </c>
      <c r="T414" s="136">
        <f t="shared" si="711"/>
      </c>
      <c r="U414" s="135">
        <f t="shared" si="990"/>
      </c>
      <c r="V414" s="136">
        <f t="shared" si="741"/>
      </c>
      <c r="W414" s="136">
        <f t="shared" si="1020"/>
      </c>
      <c r="X414" s="135">
        <f t="shared" si="831"/>
      </c>
      <c r="Y414" s="132">
        <f>SUM(Y409:Y413)</f>
      </c>
      <c r="Z414" s="132">
        <f>SUM(Z409:Z413)</f>
      </c>
      <c r="AA414" s="132">
        <f>SUM(AA409:AA413)</f>
      </c>
      <c r="AB414" s="132">
        <f>SUM(AB409:AB413)</f>
      </c>
      <c r="AC414" s="132">
        <f>SUM(AC409:AC413)</f>
      </c>
      <c r="AD414" s="150">
        <f t="shared" si="15"/>
      </c>
      <c r="AE414" s="151"/>
      <c r="AF414" s="139"/>
      <c r="AG414" s="132">
        <f>SUM(AG409:AG413)</f>
      </c>
      <c r="AH414" s="132">
        <f>SUM(AH409:AH413)</f>
      </c>
      <c r="AI414" s="132">
        <f>SUM(AI409:AI413)</f>
      </c>
      <c r="AJ414" s="132">
        <f>SUM(AJ409:AJ413)</f>
      </c>
      <c r="AK414" s="132">
        <f>SUM(AK409:AK413)</f>
      </c>
      <c r="AL414" s="132">
        <f>SUM(AL409:AL413)</f>
      </c>
    </row>
    <row r="415">
      <c r="A415" s="108"/>
      <c r="B415" s="152" t="s">
        <v>127</v>
      </c>
      <c r="C415" s="153">
        <f>C396+C402+C408+C414</f>
      </c>
      <c r="D415" s="167">
        <f>D396+D402+D408+D414</f>
      </c>
      <c r="E415" s="153">
        <f>E396+E402+E408+E414</f>
      </c>
      <c r="F415" s="153">
        <f>F396+F402+F408+F414</f>
      </c>
      <c r="G415" s="153">
        <f>G396+G402+G408+G414</f>
      </c>
      <c r="H415" s="153">
        <f>H396+H402+H408+H414</f>
      </c>
      <c r="I415" s="167">
        <f>I396+I402+I408+I414</f>
      </c>
      <c r="J415" s="153">
        <f>J396+J402+J408+J414</f>
      </c>
      <c r="K415" s="153">
        <f>K396+K402+K408+K414</f>
      </c>
      <c r="L415" s="153">
        <f>L396+L402+L408+L414</f>
      </c>
      <c r="M415" s="154">
        <f t="shared" si="621"/>
      </c>
      <c r="N415" s="154">
        <f t="shared" si="651"/>
      </c>
      <c r="O415" s="154">
        <f t="shared" si="561"/>
      </c>
      <c r="P415" s="154">
        <f t="shared" si="591"/>
      </c>
      <c r="Q415" s="154">
        <f t="shared" si="771"/>
      </c>
      <c r="R415" s="154">
        <f t="shared" si="801"/>
      </c>
      <c r="S415" s="155">
        <f t="shared" si="681"/>
      </c>
      <c r="T415" s="155">
        <f t="shared" si="711"/>
      </c>
      <c r="U415" s="154">
        <f t="shared" si="990"/>
      </c>
      <c r="V415" s="155">
        <f t="shared" si="741"/>
      </c>
      <c r="W415" s="155">
        <f t="shared" si="1020"/>
      </c>
      <c r="X415" s="154">
        <f t="shared" si="831"/>
      </c>
      <c r="Y415" s="156">
        <f>Y396+Y402+Y408+Y414</f>
      </c>
      <c r="Z415" s="156">
        <f>Z396+Z402+Z408+Z414</f>
      </c>
      <c r="AA415" s="156">
        <f>AA396+AA402+AA408+AA414</f>
      </c>
      <c r="AB415" s="156">
        <f>AB396+AB402+AB408+AB414</f>
      </c>
      <c r="AC415" s="156">
        <f>AC396+AC402+AC408+AC414</f>
      </c>
      <c r="AD415" s="157">
        <f>AD396+AD402+AD408+AD414</f>
      </c>
      <c r="AE415" s="158"/>
      <c r="AF415" s="159"/>
      <c r="AG415" s="153">
        <f>AG396+AG402+AG408+AG414</f>
      </c>
      <c r="AH415" s="153">
        <f>AH396+AH402+AH408+AH414</f>
      </c>
      <c r="AI415" s="153">
        <f>AI396+AI402+AI408+AI414</f>
      </c>
      <c r="AJ415" s="153">
        <f>AJ396+AJ402+AJ408+AJ414</f>
      </c>
      <c r="AK415" s="153">
        <f>AK396+AK402+AK408+AK414</f>
      </c>
      <c r="AL415" s="153">
        <f>AL396+AL402+AL408+AL414</f>
      </c>
    </row>
    <row r="416">
      <c r="A416" s="94" t="s">
        <v>81</v>
      </c>
      <c r="B416" s="95" t="s">
        <v>82</v>
      </c>
      <c r="C416" s="95" t="s">
        <v>83</v>
      </c>
      <c r="D416" s="96" t="s">
        <v>84</v>
      </c>
      <c r="E416" s="164" t="s">
        <v>85</v>
      </c>
      <c r="F416" s="95" t="s">
        <v>86</v>
      </c>
      <c r="G416" s="97" t="s">
        <v>87</v>
      </c>
      <c r="H416" s="97" t="s">
        <v>88</v>
      </c>
      <c r="I416" s="96" t="s">
        <v>89</v>
      </c>
      <c r="J416" s="98" t="s">
        <v>90</v>
      </c>
      <c r="K416" s="99" t="s">
        <v>91</v>
      </c>
      <c r="L416" s="99" t="s">
        <v>92</v>
      </c>
      <c r="M416" s="100" t="s">
        <v>93</v>
      </c>
      <c r="N416" s="99" t="s">
        <v>94</v>
      </c>
      <c r="O416" s="95" t="s">
        <v>95</v>
      </c>
      <c r="P416" s="100" t="s">
        <v>96</v>
      </c>
      <c r="Q416" s="101" t="s">
        <v>97</v>
      </c>
      <c r="R416" s="101" t="s">
        <v>98</v>
      </c>
      <c r="S416" s="96" t="s">
        <v>99</v>
      </c>
      <c r="T416" s="102" t="s">
        <v>100</v>
      </c>
      <c r="U416" s="100" t="s">
        <v>101</v>
      </c>
      <c r="V416" s="103" t="s">
        <v>102</v>
      </c>
      <c r="W416" s="104" t="s">
        <v>103</v>
      </c>
      <c r="X416" s="100" t="s">
        <v>104</v>
      </c>
      <c r="Y416" s="105" t="s">
        <v>105</v>
      </c>
      <c r="Z416" s="106" t="s">
        <v>106</v>
      </c>
      <c r="AA416" s="105" t="s">
        <v>107</v>
      </c>
      <c r="AB416" s="107" t="s">
        <v>108</v>
      </c>
      <c r="AC416" s="107" t="s">
        <v>109</v>
      </c>
      <c r="AD416" s="99" t="s">
        <v>110</v>
      </c>
      <c r="AE416" s="98" t="s">
        <v>111</v>
      </c>
      <c r="AF416" s="99" t="s">
        <v>112</v>
      </c>
      <c r="AG416" s="98" t="s">
        <v>113</v>
      </c>
      <c r="AH416" s="98" t="s">
        <v>114</v>
      </c>
      <c r="AI416" s="99" t="s">
        <v>115</v>
      </c>
      <c r="AJ416" s="98" t="s">
        <v>116</v>
      </c>
      <c r="AK416" s="99" t="s">
        <v>117</v>
      </c>
      <c r="AL416" s="98" t="s">
        <v>118</v>
      </c>
    </row>
    <row r="417">
      <c r="A417" s="108">
        <v>46282</v>
      </c>
      <c r="B417" s="109" t="s">
        <v>143</v>
      </c>
      <c r="C417" s="110" t="s">
        <v>120</v>
      </c>
      <c r="D417" s="143">
        <f t="shared" ref="D417:D421" si="355">E417+F417+G417+H417</f>
      </c>
      <c r="E417" s="144">
        <v>1295.49</v>
      </c>
      <c r="F417" s="146">
        <v>6433.07</v>
      </c>
      <c r="G417" s="113">
        <v>0</v>
      </c>
      <c r="H417" s="113">
        <v>0</v>
      </c>
      <c r="I417" s="113">
        <f t="shared" ref="I417:I421" si="484">AB417+AC417</f>
      </c>
      <c r="J417" s="114">
        <v>0</v>
      </c>
      <c r="K417" s="115">
        <f t="shared" ref="K417:K421" si="97">I417-J417</f>
      </c>
      <c r="L417" s="115">
        <f t="shared" ref="L417:L421" si="226">(I417-AC417)/12+AC417</f>
      </c>
      <c r="M417" s="116">
        <f t="shared" ref="M417:M441" si="622">I417/D417</f>
      </c>
      <c r="N417" s="117">
        <f t="shared" ref="N417:N441" si="652">(I417-J417)/D417</f>
      </c>
      <c r="O417" s="118">
        <f t="shared" ref="O417:O441" si="562">(AC417+AB417/12)/D417</f>
      </c>
      <c r="P417" s="119">
        <f t="shared" ref="P417:P441" si="592">I417/AA417</f>
      </c>
      <c r="Q417" s="119">
        <f t="shared" ref="Q417:Q441" si="772">D417/AA417</f>
      </c>
      <c r="R417" s="119">
        <f t="shared" ref="R417:R441" si="802">D417/AG417</f>
      </c>
      <c r="S417" s="120">
        <f t="shared" ref="S417:S441" si="682">AA417/Y417</f>
      </c>
      <c r="T417" s="121">
        <f t="shared" ref="T417:T441" si="712">AI417/AH417</f>
      </c>
      <c r="U417" s="119">
        <f t="shared" ref="U417:U441" si="991">D417/AJ417</f>
      </c>
      <c r="V417" s="122">
        <f t="shared" ref="V417:V441" si="742">AK417/AJ417</f>
      </c>
      <c r="W417" s="122">
        <f t="shared" ref="W417:W441" si="1021">AL417/AJ417</f>
      </c>
      <c r="X417" s="119">
        <f t="shared" ref="X417:X441" si="832">D417/AL417</f>
      </c>
      <c r="Y417" s="123">
        <f t="shared" ref="Y417:Y421" si="913">Z417+AA417</f>
      </c>
      <c r="Z417" s="123">
        <v>6</v>
      </c>
      <c r="AA417" s="123">
        <v>4</v>
      </c>
      <c r="AB417" s="124">
        <v>7859.160000000002</v>
      </c>
      <c r="AC417" s="124">
        <v>2299</v>
      </c>
      <c r="AD417" s="120">
        <f t="shared" ref="AD417:AD440" si="16">AC417/I417</f>
      </c>
      <c r="AE417" s="125" t="s">
        <v>121</v>
      </c>
      <c r="AF417" s="126" t="s">
        <v>122</v>
      </c>
      <c r="AG417" s="127">
        <v>4</v>
      </c>
      <c r="AH417" s="127">
        <v>73461</v>
      </c>
      <c r="AI417" s="128">
        <v>2137</v>
      </c>
      <c r="AJ417" s="128">
        <v>2514</v>
      </c>
      <c r="AK417" s="127">
        <v>247</v>
      </c>
      <c r="AL417" s="129">
        <v>271</v>
      </c>
    </row>
    <row r="418">
      <c r="A418" s="108"/>
      <c r="B418" s="109" t="s">
        <v>143</v>
      </c>
      <c r="C418" s="110" t="s">
        <v>123</v>
      </c>
      <c r="D418" s="143">
        <f t="shared" si="355"/>
      </c>
      <c r="E418" s="147">
        <v>1166.32</v>
      </c>
      <c r="F418" s="146">
        <v>6689.28</v>
      </c>
      <c r="G418" s="113">
        <v>0</v>
      </c>
      <c r="H418" s="113">
        <v>0</v>
      </c>
      <c r="I418" s="113">
        <f t="shared" si="484"/>
      </c>
      <c r="J418" s="114">
        <v>3008.88</v>
      </c>
      <c r="K418" s="115">
        <f t="shared" si="97"/>
      </c>
      <c r="L418" s="115">
        <f t="shared" si="226"/>
      </c>
      <c r="M418" s="116">
        <f t="shared" si="622"/>
      </c>
      <c r="N418" s="117">
        <f t="shared" si="652"/>
      </c>
      <c r="O418" s="118">
        <f t="shared" si="562"/>
      </c>
      <c r="P418" s="119">
        <f t="shared" si="592"/>
      </c>
      <c r="Q418" s="119">
        <f t="shared" si="772"/>
      </c>
      <c r="R418" s="119">
        <f t="shared" si="802"/>
      </c>
      <c r="S418" s="120">
        <f t="shared" si="682"/>
      </c>
      <c r="T418" s="121">
        <f t="shared" si="712"/>
      </c>
      <c r="U418" s="119">
        <f t="shared" si="991"/>
      </c>
      <c r="V418" s="122">
        <f t="shared" si="742"/>
      </c>
      <c r="W418" s="122">
        <f t="shared" si="1021"/>
      </c>
      <c r="X418" s="119">
        <f t="shared" si="832"/>
      </c>
      <c r="Y418" s="123">
        <f t="shared" si="913"/>
      </c>
      <c r="Z418" s="123">
        <v>7</v>
      </c>
      <c r="AA418" s="123">
        <v>10</v>
      </c>
      <c r="AB418" s="124">
        <v>21103.319999999992</v>
      </c>
      <c r="AC418" s="124">
        <v>0</v>
      </c>
      <c r="AD418" s="120">
        <f t="shared" si="16"/>
      </c>
      <c r="AE418" s="125" t="s">
        <v>121</v>
      </c>
      <c r="AF418" s="126" t="s">
        <v>122</v>
      </c>
      <c r="AG418" s="127">
        <v>7</v>
      </c>
      <c r="AH418" s="128">
        <v>71848</v>
      </c>
      <c r="AI418" s="128">
        <v>1529</v>
      </c>
      <c r="AJ418" s="128">
        <v>1804</v>
      </c>
      <c r="AK418" s="129">
        <v>277</v>
      </c>
      <c r="AL418" s="129">
        <v>268</v>
      </c>
    </row>
    <row r="419">
      <c r="A419" s="108"/>
      <c r="B419" s="109" t="s">
        <v>143</v>
      </c>
      <c r="C419" s="110" t="s">
        <v>124</v>
      </c>
      <c r="D419" s="111">
        <f t="shared" si="355"/>
      </c>
      <c r="E419" s="165">
        <v>702.3</v>
      </c>
      <c r="F419" s="110">
        <v>5166.93</v>
      </c>
      <c r="G419" s="113">
        <v>0</v>
      </c>
      <c r="H419" s="113">
        <v>0</v>
      </c>
      <c r="I419" s="113">
        <f t="shared" si="484"/>
      </c>
      <c r="J419" s="114">
        <v>0</v>
      </c>
      <c r="K419" s="115">
        <f t="shared" si="97"/>
      </c>
      <c r="L419" s="115">
        <f t="shared" si="226"/>
      </c>
      <c r="M419" s="116">
        <f t="shared" si="622"/>
      </c>
      <c r="N419" s="117">
        <f t="shared" si="652"/>
      </c>
      <c r="O419" s="118">
        <f t="shared" si="562"/>
      </c>
      <c r="P419" s="119">
        <f t="shared" si="592"/>
      </c>
      <c r="Q419" s="119">
        <f t="shared" si="772"/>
      </c>
      <c r="R419" s="119">
        <f t="shared" si="802"/>
      </c>
      <c r="S419" s="120">
        <f t="shared" si="682"/>
      </c>
      <c r="T419" s="121">
        <f t="shared" si="712"/>
      </c>
      <c r="U419" s="119">
        <f t="shared" si="991"/>
      </c>
      <c r="V419" s="122">
        <f t="shared" si="742"/>
      </c>
      <c r="W419" s="122">
        <f t="shared" si="1021"/>
      </c>
      <c r="X419" s="119">
        <f t="shared" si="832"/>
      </c>
      <c r="Y419" s="123">
        <f t="shared" si="913"/>
      </c>
      <c r="Z419" s="123">
        <v>2</v>
      </c>
      <c r="AA419" s="123">
        <v>3</v>
      </c>
      <c r="AB419" s="124">
        <v>7139.880000000005</v>
      </c>
      <c r="AC419" s="124">
        <v>0</v>
      </c>
      <c r="AD419" s="120">
        <f t="shared" si="16"/>
      </c>
      <c r="AE419" s="125" t="s">
        <v>121</v>
      </c>
      <c r="AF419" s="126" t="s">
        <v>122</v>
      </c>
      <c r="AG419" s="127">
        <v>3</v>
      </c>
      <c r="AH419" s="128">
        <v>44137</v>
      </c>
      <c r="AI419" s="128">
        <v>1023</v>
      </c>
      <c r="AJ419" s="128">
        <v>1112</v>
      </c>
      <c r="AK419" s="129">
        <v>181</v>
      </c>
      <c r="AL419" s="129">
        <v>190</v>
      </c>
    </row>
    <row r="420">
      <c r="A420" s="108"/>
      <c r="B420" s="109" t="s">
        <v>143</v>
      </c>
      <c r="C420" s="110" t="s">
        <v>125</v>
      </c>
      <c r="D420" s="111">
        <f t="shared" si="355"/>
      </c>
      <c r="E420" s="175">
        <v>381.03</v>
      </c>
      <c r="F420" s="113">
        <v>5444.7</v>
      </c>
      <c r="G420" s="113">
        <v>0</v>
      </c>
      <c r="H420" s="113">
        <v>0</v>
      </c>
      <c r="I420" s="113">
        <f t="shared" si="484"/>
      </c>
      <c r="J420" s="114">
        <v>0</v>
      </c>
      <c r="K420" s="115">
        <f t="shared" si="97"/>
      </c>
      <c r="L420" s="115">
        <f t="shared" si="226"/>
      </c>
      <c r="M420" s="116">
        <f t="shared" si="622"/>
      </c>
      <c r="N420" s="117">
        <f t="shared" si="652"/>
      </c>
      <c r="O420" s="118">
        <f t="shared" si="562"/>
      </c>
      <c r="P420" s="119">
        <f t="shared" si="592"/>
      </c>
      <c r="Q420" s="119">
        <f t="shared" si="772"/>
      </c>
      <c r="R420" s="119">
        <f t="shared" si="802"/>
      </c>
      <c r="S420" s="120">
        <f t="shared" si="682"/>
      </c>
      <c r="T420" s="121">
        <f t="shared" si="712"/>
      </c>
      <c r="U420" s="119">
        <f t="shared" si="991"/>
      </c>
      <c r="V420" s="122">
        <f t="shared" si="742"/>
      </c>
      <c r="W420" s="122">
        <f t="shared" si="1021"/>
      </c>
      <c r="X420" s="119">
        <f t="shared" si="832"/>
      </c>
      <c r="Y420" s="123">
        <f t="shared" si="913"/>
      </c>
      <c r="Z420" s="123">
        <v>6</v>
      </c>
      <c r="AA420" s="123">
        <v>10</v>
      </c>
      <c r="AB420" s="124">
        <v>12693.239999999998</v>
      </c>
      <c r="AC420" s="124">
        <v>0</v>
      </c>
      <c r="AD420" s="120">
        <f t="shared" si="16"/>
      </c>
      <c r="AE420" s="125" t="s">
        <v>121</v>
      </c>
      <c r="AF420" s="126" t="s">
        <v>122</v>
      </c>
      <c r="AG420" s="127">
        <v>8</v>
      </c>
      <c r="AH420" s="128">
        <v>40903</v>
      </c>
      <c r="AI420" s="128">
        <v>942</v>
      </c>
      <c r="AJ420" s="128">
        <v>1045</v>
      </c>
      <c r="AK420" s="129">
        <v>155</v>
      </c>
      <c r="AL420" s="129">
        <v>177</v>
      </c>
    </row>
    <row r="421">
      <c r="A421" s="108"/>
      <c r="B421" s="109" t="s">
        <v>143</v>
      </c>
      <c r="C421" s="110" t="s">
        <v>126</v>
      </c>
      <c r="D421" s="143">
        <f t="shared" si="355"/>
      </c>
      <c r="E421" s="144">
        <v>406.71</v>
      </c>
      <c r="F421" s="146">
        <v>5260.6</v>
      </c>
      <c r="G421" s="113">
        <v>0</v>
      </c>
      <c r="H421" s="113">
        <v>0</v>
      </c>
      <c r="I421" s="113">
        <f t="shared" si="484"/>
      </c>
      <c r="J421" s="114">
        <v>2819.88</v>
      </c>
      <c r="K421" s="115">
        <f t="shared" si="97"/>
      </c>
      <c r="L421" s="115">
        <f t="shared" si="226"/>
      </c>
      <c r="M421" s="116">
        <f t="shared" si="622"/>
      </c>
      <c r="N421" s="117">
        <f t="shared" si="652"/>
      </c>
      <c r="O421" s="118">
        <f t="shared" si="562"/>
      </c>
      <c r="P421" s="119">
        <f t="shared" si="592"/>
      </c>
      <c r="Q421" s="119">
        <f t="shared" si="772"/>
      </c>
      <c r="R421" s="119">
        <f t="shared" si="802"/>
      </c>
      <c r="S421" s="120">
        <f t="shared" si="682"/>
      </c>
      <c r="T421" s="121">
        <f t="shared" si="712"/>
      </c>
      <c r="U421" s="119">
        <f t="shared" si="991"/>
      </c>
      <c r="V421" s="122">
        <f t="shared" si="742"/>
      </c>
      <c r="W421" s="122">
        <f t="shared" si="1021"/>
      </c>
      <c r="X421" s="119">
        <f t="shared" si="832"/>
      </c>
      <c r="Y421" s="123">
        <f t="shared" si="913"/>
      </c>
      <c r="Z421" s="123">
        <v>4</v>
      </c>
      <c r="AA421" s="123">
        <v>6</v>
      </c>
      <c r="AB421" s="124">
        <v>10217.879999999997</v>
      </c>
      <c r="AC421" s="124">
        <v>1437</v>
      </c>
      <c r="AD421" s="120">
        <f t="shared" si="16"/>
      </c>
      <c r="AE421" s="125" t="s">
        <v>121</v>
      </c>
      <c r="AF421" s="126" t="s">
        <v>122</v>
      </c>
      <c r="AG421" s="127">
        <v>5</v>
      </c>
      <c r="AH421" s="128">
        <v>46834</v>
      </c>
      <c r="AI421" s="128">
        <v>995</v>
      </c>
      <c r="AJ421" s="128">
        <v>1096</v>
      </c>
      <c r="AK421" s="127">
        <v>153</v>
      </c>
      <c r="AL421" s="127">
        <v>167</v>
      </c>
    </row>
    <row r="422">
      <c r="A422" s="108"/>
      <c r="B422" s="130" t="s">
        <v>127</v>
      </c>
      <c r="C422" s="131">
        <v>5</v>
      </c>
      <c r="D422" s="132">
        <f>SUM(D417:D421)</f>
      </c>
      <c r="E422" s="148">
        <f>SUM(E417:E421)</f>
      </c>
      <c r="F422" s="132">
        <f>SUM(F417:F421)</f>
      </c>
      <c r="G422" s="132">
        <f>SUM(G417:G421)</f>
      </c>
      <c r="H422" s="132">
        <f>SUM(H417:H421)</f>
      </c>
      <c r="I422" s="132">
        <f>SUM(I417:I421)</f>
      </c>
      <c r="J422" s="132">
        <f>SUM(J417:J421)</f>
      </c>
      <c r="K422" s="132">
        <f>SUM(K417:K421)</f>
      </c>
      <c r="L422" s="132">
        <f>SUM(L417:L421)</f>
      </c>
      <c r="M422" s="133">
        <f t="shared" si="622"/>
      </c>
      <c r="N422" s="134">
        <f t="shared" si="652"/>
      </c>
      <c r="O422" s="134">
        <f t="shared" si="562"/>
      </c>
      <c r="P422" s="135">
        <f t="shared" si="592"/>
      </c>
      <c r="Q422" s="135">
        <f t="shared" si="772"/>
      </c>
      <c r="R422" s="135">
        <f t="shared" si="802"/>
      </c>
      <c r="S422" s="136">
        <f t="shared" si="682"/>
      </c>
      <c r="T422" s="136">
        <f t="shared" si="712"/>
      </c>
      <c r="U422" s="135">
        <f t="shared" si="991"/>
      </c>
      <c r="V422" s="136">
        <f t="shared" si="742"/>
      </c>
      <c r="W422" s="136">
        <f t="shared" si="1021"/>
      </c>
      <c r="X422" s="135">
        <f t="shared" si="832"/>
      </c>
      <c r="Y422" s="132">
        <f>SUM(Y417:Y421)</f>
      </c>
      <c r="Z422" s="132">
        <f>SUM(Z417:Z421)</f>
      </c>
      <c r="AA422" s="132">
        <f>SUM(AA417:AA421)</f>
      </c>
      <c r="AB422" s="132">
        <f>SUM(AB417:AB421)</f>
      </c>
      <c r="AC422" s="132">
        <f>SUM(AC417:AC421)</f>
      </c>
      <c r="AD422" s="137">
        <f t="shared" si="16"/>
      </c>
      <c r="AE422" s="138"/>
      <c r="AF422" s="139"/>
      <c r="AG422" s="132">
        <f>SUM(AG417:AG421)</f>
      </c>
      <c r="AH422" s="132">
        <f>SUM(AH417:AH421)</f>
      </c>
      <c r="AI422" s="132">
        <f>SUM(AI417:AI421)</f>
      </c>
      <c r="AJ422" s="132">
        <f>SUM(AJ417:AJ421)</f>
      </c>
      <c r="AK422" s="132">
        <f>SUM(AK417:AK421)</f>
      </c>
      <c r="AL422" s="132">
        <f>SUM(AL417:AL421)</f>
      </c>
    </row>
    <row r="423">
      <c r="A423" s="108"/>
      <c r="B423" s="109" t="s">
        <v>128</v>
      </c>
      <c r="C423" s="110" t="s">
        <v>129</v>
      </c>
      <c r="D423" s="111">
        <f t="shared" ref="D423:D427" si="356">E423+F423+G423+H423</f>
      </c>
      <c r="E423" s="112">
        <v>498.03</v>
      </c>
      <c r="F423" s="113">
        <v>6022.59</v>
      </c>
      <c r="G423" s="113">
        <v>0</v>
      </c>
      <c r="H423" s="113">
        <v>0</v>
      </c>
      <c r="I423" s="113">
        <f t="shared" ref="I423:I427" si="485">AB423+AC423</f>
      </c>
      <c r="J423" s="114">
        <v>0</v>
      </c>
      <c r="K423" s="115">
        <f t="shared" ref="K423:K427" si="98">I423-J423</f>
      </c>
      <c r="L423" s="115">
        <f t="shared" ref="L423:L427" si="227">(I423-AC423)/12+AC423</f>
      </c>
      <c r="M423" s="116">
        <f t="shared" si="622"/>
      </c>
      <c r="N423" s="117">
        <f t="shared" si="652"/>
      </c>
      <c r="O423" s="118">
        <f t="shared" si="562"/>
      </c>
      <c r="P423" s="119">
        <f t="shared" si="592"/>
      </c>
      <c r="Q423" s="119">
        <f t="shared" si="772"/>
      </c>
      <c r="R423" s="119">
        <f t="shared" si="802"/>
      </c>
      <c r="S423" s="120">
        <f t="shared" si="682"/>
      </c>
      <c r="T423" s="121">
        <f t="shared" si="712"/>
      </c>
      <c r="U423" s="119">
        <f t="shared" si="991"/>
      </c>
      <c r="V423" s="122">
        <f t="shared" si="742"/>
      </c>
      <c r="W423" s="122">
        <f t="shared" si="1021"/>
      </c>
      <c r="X423" s="119">
        <f t="shared" si="832"/>
      </c>
      <c r="Y423" s="123">
        <f t="shared" ref="Y423:Y427" si="914">Z423+AA423</f>
      </c>
      <c r="Z423" s="123">
        <v>3</v>
      </c>
      <c r="AA423" s="123">
        <v>5</v>
      </c>
      <c r="AB423" s="124">
        <v>10267.680000000008</v>
      </c>
      <c r="AC423" s="124">
        <v>0</v>
      </c>
      <c r="AD423" s="120">
        <f t="shared" si="16"/>
      </c>
      <c r="AE423" s="125" t="s">
        <v>121</v>
      </c>
      <c r="AF423" s="126" t="s">
        <v>122</v>
      </c>
      <c r="AG423" s="127">
        <v>4</v>
      </c>
      <c r="AH423" s="128">
        <v>56878</v>
      </c>
      <c r="AI423" s="128">
        <v>1001</v>
      </c>
      <c r="AJ423" s="128">
        <v>1071</v>
      </c>
      <c r="AK423" s="127">
        <v>174</v>
      </c>
      <c r="AL423" s="127">
        <v>229</v>
      </c>
    </row>
    <row r="424">
      <c r="A424" s="108"/>
      <c r="B424" s="109" t="s">
        <v>128</v>
      </c>
      <c r="C424" s="110" t="s">
        <v>130</v>
      </c>
      <c r="D424" s="111">
        <f t="shared" si="356"/>
      </c>
      <c r="E424" s="110">
        <v>435.11</v>
      </c>
      <c r="F424" s="113">
        <v>9065.8</v>
      </c>
      <c r="G424" s="113">
        <v>0</v>
      </c>
      <c r="H424" s="113">
        <v>0</v>
      </c>
      <c r="I424" s="113">
        <f t="shared" si="485"/>
      </c>
      <c r="J424" s="162">
        <f>1660.56+2217+2137.08+1731.24+602.16</f>
      </c>
      <c r="K424" s="115">
        <f t="shared" si="98"/>
      </c>
      <c r="L424" s="115">
        <f t="shared" si="227"/>
      </c>
      <c r="M424" s="116">
        <f t="shared" si="622"/>
      </c>
      <c r="N424" s="117">
        <f t="shared" si="652"/>
      </c>
      <c r="O424" s="118">
        <f t="shared" si="562"/>
      </c>
      <c r="P424" s="119">
        <f t="shared" si="592"/>
      </c>
      <c r="Q424" s="119">
        <f t="shared" si="772"/>
      </c>
      <c r="R424" s="119">
        <f t="shared" si="802"/>
      </c>
      <c r="S424" s="120">
        <f t="shared" si="682"/>
      </c>
      <c r="T424" s="121">
        <f t="shared" si="712"/>
      </c>
      <c r="U424" s="119">
        <f t="shared" si="991"/>
      </c>
      <c r="V424" s="122">
        <f t="shared" si="742"/>
      </c>
      <c r="W424" s="122">
        <f t="shared" si="1021"/>
      </c>
      <c r="X424" s="119">
        <f t="shared" si="832"/>
      </c>
      <c r="Y424" s="123">
        <f t="shared" si="914"/>
      </c>
      <c r="Z424" s="123">
        <v>7</v>
      </c>
      <c r="AA424" s="123">
        <v>7</v>
      </c>
      <c r="AB424" s="124">
        <v>17067.72</v>
      </c>
      <c r="AC424" s="124">
        <v>439</v>
      </c>
      <c r="AD424" s="120">
        <f t="shared" si="16"/>
      </c>
      <c r="AE424" s="125" t="s">
        <v>121</v>
      </c>
      <c r="AF424" s="126" t="s">
        <v>122</v>
      </c>
      <c r="AG424" s="127">
        <v>5</v>
      </c>
      <c r="AH424" s="128">
        <v>85215</v>
      </c>
      <c r="AI424" s="128">
        <v>1298</v>
      </c>
      <c r="AJ424" s="128">
        <v>1375</v>
      </c>
      <c r="AK424" s="129">
        <v>191</v>
      </c>
      <c r="AL424" s="129">
        <v>279</v>
      </c>
    </row>
    <row r="425">
      <c r="A425" s="108"/>
      <c r="B425" s="109" t="s">
        <v>128</v>
      </c>
      <c r="C425" s="110" t="s">
        <v>131</v>
      </c>
      <c r="D425" s="111">
        <f t="shared" si="356"/>
      </c>
      <c r="E425" s="110">
        <v>336.54</v>
      </c>
      <c r="F425" s="110">
        <v>10279.23</v>
      </c>
      <c r="G425" s="113">
        <v>0</v>
      </c>
      <c r="H425" s="113">
        <v>0</v>
      </c>
      <c r="I425" s="113">
        <f t="shared" si="485"/>
      </c>
      <c r="J425" s="114">
        <f>1205.28+392.04+696.6+3008.88+2918.16</f>
      </c>
      <c r="K425" s="115">
        <f t="shared" si="98"/>
      </c>
      <c r="L425" s="115">
        <f t="shared" si="227"/>
      </c>
      <c r="M425" s="116">
        <f t="shared" si="622"/>
      </c>
      <c r="N425" s="117">
        <f t="shared" si="652"/>
      </c>
      <c r="O425" s="118">
        <f t="shared" si="562"/>
      </c>
      <c r="P425" s="119">
        <f t="shared" si="592"/>
      </c>
      <c r="Q425" s="119">
        <f t="shared" si="772"/>
      </c>
      <c r="R425" s="119">
        <f t="shared" si="802"/>
      </c>
      <c r="S425" s="120">
        <f t="shared" si="682"/>
      </c>
      <c r="T425" s="121">
        <f t="shared" si="712"/>
      </c>
      <c r="U425" s="119">
        <f t="shared" si="991"/>
      </c>
      <c r="V425" s="122">
        <f t="shared" si="742"/>
      </c>
      <c r="W425" s="122">
        <f t="shared" si="1021"/>
      </c>
      <c r="X425" s="119">
        <f t="shared" si="832"/>
      </c>
      <c r="Y425" s="123">
        <f t="shared" si="914"/>
      </c>
      <c r="Z425" s="123">
        <v>13</v>
      </c>
      <c r="AA425" s="123">
        <v>11</v>
      </c>
      <c r="AB425" s="124">
        <v>20385.719999999987</v>
      </c>
      <c r="AC425" s="124">
        <v>0</v>
      </c>
      <c r="AD425" s="120">
        <f t="shared" si="16"/>
      </c>
      <c r="AE425" s="125" t="s">
        <v>121</v>
      </c>
      <c r="AF425" s="126" t="s">
        <v>122</v>
      </c>
      <c r="AG425" s="129">
        <v>9</v>
      </c>
      <c r="AH425" s="128">
        <v>100534</v>
      </c>
      <c r="AI425" s="128">
        <v>1577</v>
      </c>
      <c r="AJ425" s="128">
        <v>1658</v>
      </c>
      <c r="AK425" s="129">
        <v>235</v>
      </c>
      <c r="AL425" s="129">
        <v>324</v>
      </c>
    </row>
    <row r="426">
      <c r="A426" s="108"/>
      <c r="B426" s="109" t="s">
        <v>128</v>
      </c>
      <c r="C426" s="110" t="s">
        <v>132</v>
      </c>
      <c r="D426" s="111">
        <f t="shared" si="356"/>
      </c>
      <c r="E426" s="110">
        <v>524.51</v>
      </c>
      <c r="F426" s="113">
        <v>5995.97</v>
      </c>
      <c r="G426" s="113">
        <v>0</v>
      </c>
      <c r="H426" s="113">
        <v>0</v>
      </c>
      <c r="I426" s="113">
        <f t="shared" si="485"/>
      </c>
      <c r="J426" s="114">
        <f>1551.96+2917.08+752.76</f>
      </c>
      <c r="K426" s="115">
        <f t="shared" si="98"/>
      </c>
      <c r="L426" s="115">
        <f t="shared" si="227"/>
      </c>
      <c r="M426" s="116">
        <f t="shared" si="622"/>
      </c>
      <c r="N426" s="117">
        <f t="shared" si="652"/>
      </c>
      <c r="O426" s="118">
        <f t="shared" si="562"/>
      </c>
      <c r="P426" s="119">
        <f t="shared" si="592"/>
      </c>
      <c r="Q426" s="119">
        <f t="shared" si="772"/>
      </c>
      <c r="R426" s="119">
        <f t="shared" si="802"/>
      </c>
      <c r="S426" s="120">
        <f t="shared" si="682"/>
      </c>
      <c r="T426" s="121">
        <f t="shared" si="712"/>
      </c>
      <c r="U426" s="119">
        <f t="shared" si="991"/>
      </c>
      <c r="V426" s="122">
        <f t="shared" si="742"/>
      </c>
      <c r="W426" s="122">
        <f t="shared" si="1021"/>
      </c>
      <c r="X426" s="119">
        <f t="shared" si="832"/>
      </c>
      <c r="Y426" s="123">
        <f t="shared" si="914"/>
      </c>
      <c r="Z426" s="123">
        <v>14</v>
      </c>
      <c r="AA426" s="123">
        <v>7</v>
      </c>
      <c r="AB426" s="114">
        <v>9902.520000000004</v>
      </c>
      <c r="AC426" s="124">
        <v>626</v>
      </c>
      <c r="AD426" s="120">
        <f t="shared" si="16"/>
      </c>
      <c r="AE426" s="125" t="s">
        <v>121</v>
      </c>
      <c r="AF426" s="126" t="s">
        <v>122</v>
      </c>
      <c r="AG426" s="127">
        <v>7</v>
      </c>
      <c r="AH426" s="128">
        <v>70568</v>
      </c>
      <c r="AI426" s="128">
        <v>1002</v>
      </c>
      <c r="AJ426" s="128">
        <v>1075</v>
      </c>
      <c r="AK426" s="129">
        <v>208</v>
      </c>
      <c r="AL426" s="129">
        <v>253</v>
      </c>
    </row>
    <row r="427">
      <c r="A427" s="108"/>
      <c r="B427" s="109" t="s">
        <v>128</v>
      </c>
      <c r="C427" s="110" t="s">
        <v>134</v>
      </c>
      <c r="D427" s="111">
        <f t="shared" si="356"/>
      </c>
      <c r="E427" s="110">
        <v>285.34</v>
      </c>
      <c r="F427" s="140">
        <v>5496.94</v>
      </c>
      <c r="G427" s="113">
        <v>0</v>
      </c>
      <c r="H427" s="113">
        <v>0</v>
      </c>
      <c r="I427" s="113">
        <f t="shared" si="485"/>
      </c>
      <c r="J427" s="114">
        <v>2918.16</v>
      </c>
      <c r="K427" s="115">
        <f t="shared" si="98"/>
      </c>
      <c r="L427" s="115">
        <f t="shared" si="227"/>
      </c>
      <c r="M427" s="116">
        <f t="shared" si="622"/>
      </c>
      <c r="N427" s="117">
        <f t="shared" si="652"/>
      </c>
      <c r="O427" s="118">
        <f t="shared" si="562"/>
      </c>
      <c r="P427" s="119">
        <f t="shared" si="592"/>
      </c>
      <c r="Q427" s="119">
        <f t="shared" si="772"/>
      </c>
      <c r="R427" s="119">
        <f t="shared" si="802"/>
      </c>
      <c r="S427" s="120">
        <f t="shared" si="682"/>
      </c>
      <c r="T427" s="121">
        <f t="shared" si="712"/>
      </c>
      <c r="U427" s="119">
        <f t="shared" si="991"/>
      </c>
      <c r="V427" s="122">
        <f t="shared" si="742"/>
      </c>
      <c r="W427" s="122">
        <f t="shared" si="1021"/>
      </c>
      <c r="X427" s="119">
        <f t="shared" si="832"/>
      </c>
      <c r="Y427" s="123">
        <f t="shared" si="914"/>
      </c>
      <c r="Z427" s="123">
        <v>9</v>
      </c>
      <c r="AA427" s="123">
        <v>3</v>
      </c>
      <c r="AB427" s="124">
        <v>5175.360000000001</v>
      </c>
      <c r="AC427" s="124">
        <v>0</v>
      </c>
      <c r="AD427" s="120">
        <f t="shared" si="16"/>
      </c>
      <c r="AE427" s="125" t="s">
        <v>121</v>
      </c>
      <c r="AF427" s="126" t="s">
        <v>122</v>
      </c>
      <c r="AG427" s="127">
        <v>2</v>
      </c>
      <c r="AH427" s="127">
        <v>51596</v>
      </c>
      <c r="AI427" s="127">
        <v>767</v>
      </c>
      <c r="AJ427" s="127">
        <v>828</v>
      </c>
      <c r="AK427" s="127">
        <v>160</v>
      </c>
      <c r="AL427" s="127">
        <v>197</v>
      </c>
    </row>
    <row r="428">
      <c r="A428" s="108"/>
      <c r="B428" s="130" t="s">
        <v>127</v>
      </c>
      <c r="C428" s="131">
        <v>5</v>
      </c>
      <c r="D428" s="132">
        <f>SUM(D423:D427)</f>
      </c>
      <c r="E428" s="132">
        <f>SUM(E423:E427)</f>
      </c>
      <c r="F428" s="132">
        <f>SUM(F423:F427)</f>
      </c>
      <c r="G428" s="132">
        <f>SUM(G423:G427)</f>
      </c>
      <c r="H428" s="132">
        <f>SUM(H423:H427)</f>
      </c>
      <c r="I428" s="132">
        <f>SUM(I423:I427)</f>
      </c>
      <c r="J428" s="132">
        <f>SUM(J423:J427)</f>
      </c>
      <c r="K428" s="132">
        <f>SUM(K423:K427)</f>
      </c>
      <c r="L428" s="132">
        <f>SUM(L423:L427)</f>
      </c>
      <c r="M428" s="133">
        <f t="shared" si="622"/>
      </c>
      <c r="N428" s="134">
        <f t="shared" si="652"/>
      </c>
      <c r="O428" s="134">
        <f t="shared" si="562"/>
      </c>
      <c r="P428" s="135">
        <f t="shared" si="592"/>
      </c>
      <c r="Q428" s="135">
        <f t="shared" si="772"/>
      </c>
      <c r="R428" s="135">
        <f t="shared" si="802"/>
      </c>
      <c r="S428" s="136">
        <f t="shared" si="682"/>
      </c>
      <c r="T428" s="136">
        <f t="shared" si="712"/>
      </c>
      <c r="U428" s="135">
        <f t="shared" si="991"/>
      </c>
      <c r="V428" s="136">
        <f t="shared" si="742"/>
      </c>
      <c r="W428" s="136">
        <f t="shared" si="1021"/>
      </c>
      <c r="X428" s="135">
        <f t="shared" si="832"/>
      </c>
      <c r="Y428" s="132">
        <f>SUM(Y423:Y427)</f>
      </c>
      <c r="Z428" s="132">
        <f>SUM(Z423:Z427)</f>
      </c>
      <c r="AA428" s="132">
        <f>SUM(AA423:AA427)</f>
      </c>
      <c r="AB428" s="132">
        <f>SUM(AB423:AB427)</f>
      </c>
      <c r="AC428" s="132">
        <f>SUM(AC423:AC427)</f>
      </c>
      <c r="AD428" s="137">
        <f t="shared" si="16"/>
      </c>
      <c r="AE428" s="138"/>
      <c r="AF428" s="139"/>
      <c r="AG428" s="132">
        <f>SUM(AG423:AG427)</f>
      </c>
      <c r="AH428" s="132">
        <f>SUM(AH423:AH427)</f>
      </c>
      <c r="AI428" s="132">
        <f>SUM(AI423:AI427)</f>
      </c>
      <c r="AJ428" s="132">
        <f>SUM(AJ423:AJ427)</f>
      </c>
      <c r="AK428" s="132">
        <f>SUM(AK423:AK427)</f>
      </c>
      <c r="AL428" s="132">
        <f>SUM(AL423:AL427)</f>
      </c>
    </row>
    <row r="429">
      <c r="A429" s="108"/>
      <c r="B429" s="109" t="s">
        <v>139</v>
      </c>
      <c r="C429" s="110" t="s">
        <v>135</v>
      </c>
      <c r="D429" s="111">
        <f t="shared" ref="D429:D433" si="357">E429+F429+G429+H429</f>
      </c>
      <c r="E429" s="110">
        <v>280.27</v>
      </c>
      <c r="F429" s="140">
        <v>7717.04</v>
      </c>
      <c r="G429" s="113">
        <v>0</v>
      </c>
      <c r="H429" s="113">
        <v>0</v>
      </c>
      <c r="I429" s="113">
        <f t="shared" ref="I429:I433" si="486">AB429+AC429</f>
      </c>
      <c r="J429" s="160">
        <f>411.48+5454+1797.12+568.08+716.04</f>
      </c>
      <c r="K429" s="115">
        <f t="shared" ref="K429:K433" si="99">I429-J429</f>
      </c>
      <c r="L429" s="115">
        <f t="shared" ref="L429:L433" si="228">(I429-AC429)/12+AC429</f>
      </c>
      <c r="M429" s="116">
        <f t="shared" si="622"/>
      </c>
      <c r="N429" s="117">
        <f t="shared" si="652"/>
      </c>
      <c r="O429" s="118">
        <f t="shared" si="562"/>
      </c>
      <c r="P429" s="119">
        <f t="shared" si="592"/>
      </c>
      <c r="Q429" s="119">
        <f t="shared" si="772"/>
      </c>
      <c r="R429" s="119">
        <f t="shared" si="802"/>
      </c>
      <c r="S429" s="120">
        <f t="shared" si="682"/>
      </c>
      <c r="T429" s="121">
        <f t="shared" si="712"/>
      </c>
      <c r="U429" s="119">
        <f t="shared" si="991"/>
      </c>
      <c r="V429" s="122">
        <f t="shared" si="742"/>
      </c>
      <c r="W429" s="122">
        <f t="shared" si="1021"/>
      </c>
      <c r="X429" s="119">
        <f t="shared" si="832"/>
      </c>
      <c r="Y429" s="123">
        <f t="shared" ref="Y429:Y433" si="915">Z429+AA429</f>
      </c>
      <c r="Z429" s="123">
        <v>2</v>
      </c>
      <c r="AA429" s="123">
        <v>10</v>
      </c>
      <c r="AB429" s="124">
        <v>15814.440000000017</v>
      </c>
      <c r="AC429" s="124">
        <v>1608</v>
      </c>
      <c r="AD429" s="120">
        <f t="shared" si="16"/>
      </c>
      <c r="AE429" s="125" t="s">
        <v>121</v>
      </c>
      <c r="AF429" s="126" t="s">
        <v>154</v>
      </c>
      <c r="AG429" s="127">
        <v>8</v>
      </c>
      <c r="AH429" s="127">
        <v>62603</v>
      </c>
      <c r="AI429" s="127">
        <v>914</v>
      </c>
      <c r="AJ429" s="127">
        <v>903</v>
      </c>
      <c r="AK429" s="127">
        <v>167</v>
      </c>
      <c r="AL429" s="127">
        <v>267</v>
      </c>
    </row>
    <row r="430">
      <c r="A430" s="108"/>
      <c r="B430" s="109" t="s">
        <v>139</v>
      </c>
      <c r="C430" s="110" t="s">
        <v>138</v>
      </c>
      <c r="D430" s="111">
        <f t="shared" si="357"/>
      </c>
      <c r="E430" s="110">
        <v>435.34</v>
      </c>
      <c r="F430" s="140">
        <v>11341.13</v>
      </c>
      <c r="G430" s="113">
        <v>0</v>
      </c>
      <c r="H430" s="113">
        <v>0</v>
      </c>
      <c r="I430" s="113">
        <f t="shared" si="486"/>
      </c>
      <c r="J430" s="114">
        <f>2819.88+733.32+2703.24+1437</f>
      </c>
      <c r="K430" s="115">
        <f t="shared" si="99"/>
      </c>
      <c r="L430" s="115">
        <f t="shared" si="228"/>
      </c>
      <c r="M430" s="116">
        <f t="shared" si="622"/>
      </c>
      <c r="N430" s="117">
        <f t="shared" si="652"/>
      </c>
      <c r="O430" s="118">
        <f t="shared" si="562"/>
      </c>
      <c r="P430" s="119">
        <f t="shared" si="592"/>
      </c>
      <c r="Q430" s="119">
        <f t="shared" si="772"/>
      </c>
      <c r="R430" s="119">
        <f t="shared" si="802"/>
      </c>
      <c r="S430" s="120">
        <f t="shared" si="682"/>
      </c>
      <c r="T430" s="121">
        <f t="shared" si="712"/>
      </c>
      <c r="U430" s="119">
        <f t="shared" si="991"/>
      </c>
      <c r="V430" s="122">
        <f t="shared" si="742"/>
      </c>
      <c r="W430" s="122">
        <f t="shared" si="1021"/>
      </c>
      <c r="X430" s="119">
        <f t="shared" si="832"/>
      </c>
      <c r="Y430" s="123">
        <f t="shared" si="915"/>
      </c>
      <c r="Z430" s="123">
        <v>10</v>
      </c>
      <c r="AA430" s="123">
        <v>13</v>
      </c>
      <c r="AB430" s="124">
        <v>13976.279999999999</v>
      </c>
      <c r="AC430" s="124">
        <v>1794</v>
      </c>
      <c r="AD430" s="120">
        <f t="shared" si="16"/>
      </c>
      <c r="AE430" s="125" t="s">
        <v>121</v>
      </c>
      <c r="AF430" s="126" t="s">
        <v>154</v>
      </c>
      <c r="AG430" s="129">
        <v>10</v>
      </c>
      <c r="AH430" s="128">
        <v>117329</v>
      </c>
      <c r="AI430" s="128">
        <v>1330</v>
      </c>
      <c r="AJ430" s="128">
        <v>1347</v>
      </c>
      <c r="AK430" s="129">
        <v>237</v>
      </c>
      <c r="AL430" s="129">
        <v>322</v>
      </c>
    </row>
    <row r="431">
      <c r="A431" s="108"/>
      <c r="B431" s="109" t="s">
        <v>139</v>
      </c>
      <c r="C431" s="110" t="s">
        <v>140</v>
      </c>
      <c r="D431" s="111">
        <f t="shared" si="357"/>
      </c>
      <c r="E431" s="110">
        <v>450.04</v>
      </c>
      <c r="F431" s="140">
        <v>6726.05</v>
      </c>
      <c r="G431" s="113">
        <v>0</v>
      </c>
      <c r="H431" s="113">
        <v>0</v>
      </c>
      <c r="I431" s="113">
        <f t="shared" si="486"/>
      </c>
      <c r="J431" s="160">
        <f>1871.64+1871.64</f>
      </c>
      <c r="K431" s="115">
        <f t="shared" si="99"/>
      </c>
      <c r="L431" s="115">
        <f t="shared" si="228"/>
      </c>
      <c r="M431" s="116">
        <f t="shared" si="622"/>
      </c>
      <c r="N431" s="117">
        <f t="shared" si="652"/>
      </c>
      <c r="O431" s="118">
        <f t="shared" si="562"/>
      </c>
      <c r="P431" s="119">
        <f t="shared" si="592"/>
      </c>
      <c r="Q431" s="119">
        <f t="shared" si="772"/>
      </c>
      <c r="R431" s="119">
        <f t="shared" si="802"/>
      </c>
      <c r="S431" s="120">
        <f t="shared" si="682"/>
      </c>
      <c r="T431" s="121">
        <f t="shared" si="712"/>
      </c>
      <c r="U431" s="119">
        <f t="shared" si="991"/>
      </c>
      <c r="V431" s="122">
        <f t="shared" si="742"/>
      </c>
      <c r="W431" s="122">
        <f t="shared" si="1021"/>
      </c>
      <c r="X431" s="119">
        <f t="shared" si="832"/>
      </c>
      <c r="Y431" s="123">
        <f t="shared" si="915"/>
      </c>
      <c r="Z431" s="123">
        <v>2</v>
      </c>
      <c r="AA431" s="123">
        <v>10</v>
      </c>
      <c r="AB431" s="124">
        <v>14165.279999999999</v>
      </c>
      <c r="AC431" s="124">
        <v>0</v>
      </c>
      <c r="AD431" s="120">
        <f t="shared" si="16"/>
      </c>
      <c r="AE431" s="125" t="s">
        <v>121</v>
      </c>
      <c r="AF431" s="126" t="s">
        <v>154</v>
      </c>
      <c r="AG431" s="127">
        <v>7</v>
      </c>
      <c r="AH431" s="128">
        <v>96658</v>
      </c>
      <c r="AI431" s="128">
        <v>1006</v>
      </c>
      <c r="AJ431" s="128">
        <v>1084</v>
      </c>
      <c r="AK431" s="129">
        <v>183</v>
      </c>
      <c r="AL431" s="129">
        <v>246</v>
      </c>
    </row>
    <row r="432">
      <c r="A432" s="108"/>
      <c r="B432" s="109" t="s">
        <v>139</v>
      </c>
      <c r="C432" s="141" t="s">
        <v>141</v>
      </c>
      <c r="D432" s="111">
        <f t="shared" si="357"/>
      </c>
      <c r="E432" s="110">
        <v>221.61</v>
      </c>
      <c r="F432" s="140">
        <v>8228.9</v>
      </c>
      <c r="G432" s="113">
        <v>0</v>
      </c>
      <c r="H432" s="113">
        <v>0</v>
      </c>
      <c r="I432" s="113">
        <f t="shared" si="486"/>
      </c>
      <c r="J432" s="114">
        <v>0</v>
      </c>
      <c r="K432" s="115">
        <f t="shared" si="99"/>
      </c>
      <c r="L432" s="115">
        <f t="shared" si="228"/>
      </c>
      <c r="M432" s="116">
        <f t="shared" si="622"/>
      </c>
      <c r="N432" s="117">
        <f t="shared" si="652"/>
      </c>
      <c r="O432" s="118">
        <f t="shared" si="562"/>
      </c>
      <c r="P432" s="119">
        <f t="shared" si="592"/>
      </c>
      <c r="Q432" s="119">
        <f t="shared" si="772"/>
      </c>
      <c r="R432" s="119">
        <f t="shared" si="802"/>
      </c>
      <c r="S432" s="120">
        <f t="shared" si="682"/>
      </c>
      <c r="T432" s="121">
        <f t="shared" si="712"/>
      </c>
      <c r="U432" s="119">
        <f t="shared" si="991"/>
      </c>
      <c r="V432" s="122">
        <f t="shared" si="742"/>
      </c>
      <c r="W432" s="122">
        <f t="shared" si="1021"/>
      </c>
      <c r="X432" s="119">
        <f t="shared" si="832"/>
      </c>
      <c r="Y432" s="123">
        <f t="shared" si="915"/>
      </c>
      <c r="Z432" s="123">
        <v>5</v>
      </c>
      <c r="AA432" s="123">
        <v>8</v>
      </c>
      <c r="AB432" s="124">
        <v>14900.76000000001</v>
      </c>
      <c r="AC432" s="124">
        <v>0</v>
      </c>
      <c r="AD432" s="120">
        <f t="shared" si="16"/>
      </c>
      <c r="AE432" s="125" t="s">
        <v>121</v>
      </c>
      <c r="AF432" s="126" t="s">
        <v>154</v>
      </c>
      <c r="AG432" s="127">
        <v>5</v>
      </c>
      <c r="AH432" s="128">
        <v>113484</v>
      </c>
      <c r="AI432" s="128">
        <v>945</v>
      </c>
      <c r="AJ432" s="128">
        <v>962</v>
      </c>
      <c r="AK432" s="129">
        <v>162</v>
      </c>
      <c r="AL432" s="129">
        <v>229</v>
      </c>
    </row>
    <row r="433">
      <c r="A433" s="108"/>
      <c r="B433" s="109" t="s">
        <v>139</v>
      </c>
      <c r="C433" s="141" t="s">
        <v>142</v>
      </c>
      <c r="D433" s="111">
        <f t="shared" si="357"/>
      </c>
      <c r="E433" s="110">
        <v>303.85</v>
      </c>
      <c r="F433" s="140">
        <v>6411.7</v>
      </c>
      <c r="G433" s="113">
        <v>0</v>
      </c>
      <c r="H433" s="113">
        <v>0</v>
      </c>
      <c r="I433" s="113">
        <f t="shared" si="486"/>
      </c>
      <c r="J433" s="114">
        <f>426.96+976.8+348.84</f>
      </c>
      <c r="K433" s="115">
        <f t="shared" si="99"/>
      </c>
      <c r="L433" s="115">
        <f t="shared" si="228"/>
      </c>
      <c r="M433" s="116">
        <f t="shared" si="622"/>
      </c>
      <c r="N433" s="117">
        <f t="shared" si="652"/>
      </c>
      <c r="O433" s="118">
        <f t="shared" si="562"/>
      </c>
      <c r="P433" s="119">
        <f t="shared" si="592"/>
      </c>
      <c r="Q433" s="119">
        <f t="shared" si="772"/>
      </c>
      <c r="R433" s="119">
        <f t="shared" si="802"/>
      </c>
      <c r="S433" s="120">
        <f t="shared" si="682"/>
      </c>
      <c r="T433" s="121">
        <f t="shared" si="712"/>
      </c>
      <c r="U433" s="119">
        <f t="shared" si="991"/>
      </c>
      <c r="V433" s="122">
        <f t="shared" si="742"/>
      </c>
      <c r="W433" s="122">
        <f t="shared" si="1021"/>
      </c>
      <c r="X433" s="119">
        <f t="shared" si="832"/>
      </c>
      <c r="Y433" s="123">
        <f t="shared" si="915"/>
      </c>
      <c r="Z433" s="123">
        <v>5</v>
      </c>
      <c r="AA433" s="123">
        <v>6</v>
      </c>
      <c r="AB433" s="124">
        <v>7959.600000000006</v>
      </c>
      <c r="AC433" s="124">
        <v>0</v>
      </c>
      <c r="AD433" s="120">
        <f t="shared" si="16"/>
      </c>
      <c r="AE433" s="125" t="s">
        <v>121</v>
      </c>
      <c r="AF433" s="126" t="s">
        <v>154</v>
      </c>
      <c r="AG433" s="127">
        <v>5</v>
      </c>
      <c r="AH433" s="128">
        <v>79906</v>
      </c>
      <c r="AI433" s="128">
        <v>778</v>
      </c>
      <c r="AJ433" s="128">
        <v>791</v>
      </c>
      <c r="AK433" s="129">
        <v>163</v>
      </c>
      <c r="AL433" s="129">
        <v>246</v>
      </c>
    </row>
    <row r="434">
      <c r="A434" s="108"/>
      <c r="B434" s="130" t="s">
        <v>127</v>
      </c>
      <c r="C434" s="131">
        <v>5</v>
      </c>
      <c r="D434" s="132">
        <f>SUM(D429:D433)</f>
      </c>
      <c r="E434" s="132">
        <f>SUM(E429:E433)</f>
      </c>
      <c r="F434" s="132">
        <f>SUM(F429:F433)</f>
      </c>
      <c r="G434" s="132">
        <f>SUM(G429:G433)</f>
      </c>
      <c r="H434" s="132">
        <f>SUM(H429:H433)</f>
      </c>
      <c r="I434" s="132">
        <f>SUM(I429:I433)</f>
      </c>
      <c r="J434" s="132">
        <f>SUM(J429:J433)</f>
      </c>
      <c r="K434" s="132">
        <f>SUM(K429:K433)</f>
      </c>
      <c r="L434" s="132">
        <f>SUM(L429:L433)</f>
      </c>
      <c r="M434" s="133">
        <f t="shared" si="622"/>
      </c>
      <c r="N434" s="134">
        <f t="shared" si="652"/>
      </c>
      <c r="O434" s="134">
        <f t="shared" si="562"/>
      </c>
      <c r="P434" s="135">
        <f t="shared" si="592"/>
      </c>
      <c r="Q434" s="135">
        <f t="shared" si="772"/>
      </c>
      <c r="R434" s="135">
        <f t="shared" si="802"/>
      </c>
      <c r="S434" s="136">
        <f t="shared" si="682"/>
      </c>
      <c r="T434" s="136">
        <f t="shared" si="712"/>
      </c>
      <c r="U434" s="135">
        <f t="shared" si="991"/>
      </c>
      <c r="V434" s="136">
        <f t="shared" si="742"/>
      </c>
      <c r="W434" s="136">
        <f t="shared" si="1021"/>
      </c>
      <c r="X434" s="135">
        <f t="shared" si="832"/>
      </c>
      <c r="Y434" s="132">
        <f>SUM(Y429:Y433)</f>
      </c>
      <c r="Z434" s="132">
        <f>SUM(Z429:Z433)</f>
      </c>
      <c r="AA434" s="132">
        <f>SUM(AA429:AA433)</f>
      </c>
      <c r="AB434" s="132">
        <f>SUM(AB429:AB433)</f>
      </c>
      <c r="AC434" s="132">
        <f>SUM(AC429:AC433)</f>
      </c>
      <c r="AD434" s="137">
        <f t="shared" si="16"/>
      </c>
      <c r="AE434" s="138"/>
      <c r="AF434" s="139"/>
      <c r="AG434" s="132">
        <f>SUM(AG429:AG433)</f>
      </c>
      <c r="AH434" s="132">
        <f>SUM(AH429:AH433)</f>
      </c>
      <c r="AI434" s="132">
        <f>SUM(AI429:AI433)</f>
      </c>
      <c r="AJ434" s="132">
        <f>SUM(AJ429:AJ433)</f>
      </c>
      <c r="AK434" s="132">
        <f>SUM(AK429:AK433)</f>
      </c>
      <c r="AL434" s="132">
        <f>SUM(AL429:AL433)</f>
      </c>
    </row>
    <row r="435">
      <c r="A435" s="108"/>
      <c r="B435" s="109" t="s">
        <v>119</v>
      </c>
      <c r="C435" s="141" t="s">
        <v>144</v>
      </c>
      <c r="D435" s="143">
        <f t="shared" ref="D435:D439" si="358">E435+F435+G435+H435</f>
      </c>
      <c r="E435" s="166">
        <v>832.26</v>
      </c>
      <c r="F435" s="145">
        <v>11984.99</v>
      </c>
      <c r="G435" s="113">
        <v>0</v>
      </c>
      <c r="H435" s="113">
        <v>0</v>
      </c>
      <c r="I435" s="113">
        <f t="shared" ref="I435:I439" si="487">AB435+AC435</f>
      </c>
      <c r="J435" s="114">
        <v>4977.72</v>
      </c>
      <c r="K435" s="115">
        <f t="shared" ref="K435:K439" si="100">I435-J435</f>
      </c>
      <c r="L435" s="115">
        <f t="shared" ref="L435:L439" si="229">(I435-AC435)/12+AC435</f>
      </c>
      <c r="M435" s="116">
        <f t="shared" si="622"/>
      </c>
      <c r="N435" s="117">
        <f t="shared" si="652"/>
      </c>
      <c r="O435" s="118">
        <f t="shared" si="562"/>
      </c>
      <c r="P435" s="119">
        <f t="shared" si="592"/>
      </c>
      <c r="Q435" s="119">
        <f t="shared" si="772"/>
      </c>
      <c r="R435" s="119">
        <f t="shared" si="802"/>
      </c>
      <c r="S435" s="120">
        <f t="shared" si="682"/>
      </c>
      <c r="T435" s="121">
        <f t="shared" si="712"/>
      </c>
      <c r="U435" s="119">
        <f t="shared" si="991"/>
      </c>
      <c r="V435" s="122">
        <f t="shared" si="742"/>
      </c>
      <c r="W435" s="122">
        <f t="shared" si="1021"/>
      </c>
      <c r="X435" s="119">
        <f t="shared" si="832"/>
      </c>
      <c r="Y435" s="123">
        <f t="shared" ref="Y435:Y439" si="916">Z435+AA435</f>
      </c>
      <c r="Z435" s="123">
        <v>4</v>
      </c>
      <c r="AA435" s="123">
        <v>14</v>
      </c>
      <c r="AB435" s="124">
        <v>38403.72</v>
      </c>
      <c r="AC435" s="124">
        <v>0</v>
      </c>
      <c r="AD435" s="120">
        <f t="shared" si="16"/>
      </c>
      <c r="AE435" s="125" t="s">
        <v>121</v>
      </c>
      <c r="AF435" s="126" t="s">
        <v>154</v>
      </c>
      <c r="AG435" s="127">
        <v>14</v>
      </c>
      <c r="AH435" s="127">
        <v>140670</v>
      </c>
      <c r="AI435" s="128">
        <v>1338</v>
      </c>
      <c r="AJ435" s="128">
        <v>1370</v>
      </c>
      <c r="AK435" s="127">
        <v>229</v>
      </c>
      <c r="AL435" s="129">
        <v>299</v>
      </c>
    </row>
    <row r="436">
      <c r="A436" s="108"/>
      <c r="B436" s="109" t="s">
        <v>119</v>
      </c>
      <c r="C436" s="110" t="s">
        <v>145</v>
      </c>
      <c r="D436" s="143">
        <f t="shared" si="358"/>
      </c>
      <c r="E436" s="147">
        <v>1342.83</v>
      </c>
      <c r="F436" s="145">
        <v>18691.67</v>
      </c>
      <c r="G436" s="113">
        <v>0</v>
      </c>
      <c r="H436" s="113">
        <v>0</v>
      </c>
      <c r="I436" s="113">
        <f t="shared" si="487"/>
      </c>
      <c r="J436" s="114">
        <v>792</v>
      </c>
      <c r="K436" s="115">
        <f t="shared" si="100"/>
      </c>
      <c r="L436" s="115">
        <f t="shared" si="229"/>
      </c>
      <c r="M436" s="116">
        <f t="shared" si="622"/>
      </c>
      <c r="N436" s="117">
        <f t="shared" si="652"/>
      </c>
      <c r="O436" s="118">
        <f t="shared" si="562"/>
      </c>
      <c r="P436" s="119">
        <f t="shared" si="592"/>
      </c>
      <c r="Q436" s="119">
        <f t="shared" si="772"/>
      </c>
      <c r="R436" s="119">
        <f t="shared" si="802"/>
      </c>
      <c r="S436" s="120">
        <f t="shared" si="682"/>
      </c>
      <c r="T436" s="121">
        <f t="shared" si="712"/>
      </c>
      <c r="U436" s="119">
        <f t="shared" si="991"/>
      </c>
      <c r="V436" s="122">
        <f t="shared" si="742"/>
      </c>
      <c r="W436" s="122">
        <f t="shared" si="1021"/>
      </c>
      <c r="X436" s="119">
        <f t="shared" si="832"/>
      </c>
      <c r="Y436" s="123">
        <f t="shared" si="916"/>
      </c>
      <c r="Z436" s="123">
        <v>13</v>
      </c>
      <c r="AA436" s="123">
        <v>15</v>
      </c>
      <c r="AB436" s="124">
        <v>17874</v>
      </c>
      <c r="AC436" s="124">
        <v>1856</v>
      </c>
      <c r="AD436" s="120">
        <f t="shared" si="16"/>
      </c>
      <c r="AE436" s="125" t="s">
        <v>121</v>
      </c>
      <c r="AF436" s="126" t="s">
        <v>154</v>
      </c>
      <c r="AG436" s="127">
        <v>14</v>
      </c>
      <c r="AH436" s="128">
        <v>278871</v>
      </c>
      <c r="AI436" s="128">
        <v>2474</v>
      </c>
      <c r="AJ436" s="128">
        <v>2550</v>
      </c>
      <c r="AK436" s="129">
        <v>435</v>
      </c>
      <c r="AL436" s="129">
        <v>594</v>
      </c>
    </row>
    <row r="437">
      <c r="A437" s="108"/>
      <c r="B437" s="109" t="s">
        <v>119</v>
      </c>
      <c r="C437" s="141" t="s">
        <v>146</v>
      </c>
      <c r="D437" s="143">
        <f t="shared" si="358"/>
      </c>
      <c r="E437" s="169">
        <v>1183.22</v>
      </c>
      <c r="F437" s="170">
        <v>8687.89</v>
      </c>
      <c r="G437" s="113">
        <v>0</v>
      </c>
      <c r="H437" s="113">
        <v>0</v>
      </c>
      <c r="I437" s="171">
        <f t="shared" si="487"/>
      </c>
      <c r="J437" s="115">
        <v>3048.84</v>
      </c>
      <c r="K437" s="115">
        <f t="shared" si="100"/>
      </c>
      <c r="L437" s="115">
        <f t="shared" si="229"/>
      </c>
      <c r="M437" s="116">
        <f t="shared" si="622"/>
      </c>
      <c r="N437" s="117">
        <f t="shared" si="652"/>
      </c>
      <c r="O437" s="118">
        <f t="shared" si="562"/>
      </c>
      <c r="P437" s="119">
        <f t="shared" si="592"/>
      </c>
      <c r="Q437" s="119">
        <f t="shared" si="772"/>
      </c>
      <c r="R437" s="119">
        <f t="shared" si="802"/>
      </c>
      <c r="S437" s="120">
        <f t="shared" si="682"/>
      </c>
      <c r="T437" s="121">
        <f t="shared" si="712"/>
      </c>
      <c r="U437" s="119">
        <f t="shared" si="991"/>
      </c>
      <c r="V437" s="122">
        <f t="shared" si="742"/>
      </c>
      <c r="W437" s="122">
        <f t="shared" si="1021"/>
      </c>
      <c r="X437" s="119">
        <f t="shared" si="832"/>
      </c>
      <c r="Y437" s="172">
        <f t="shared" si="916"/>
      </c>
      <c r="Z437" s="172">
        <v>6</v>
      </c>
      <c r="AA437" s="172">
        <v>11</v>
      </c>
      <c r="AB437" s="173">
        <v>21516.719999999943</v>
      </c>
      <c r="AC437" s="173">
        <v>598</v>
      </c>
      <c r="AD437" s="120">
        <f t="shared" si="16"/>
      </c>
      <c r="AE437" s="125" t="s">
        <v>121</v>
      </c>
      <c r="AF437" s="125" t="s">
        <v>154</v>
      </c>
      <c r="AG437" s="129">
        <v>9</v>
      </c>
      <c r="AH437" s="128">
        <v>107184</v>
      </c>
      <c r="AI437" s="128">
        <v>1347</v>
      </c>
      <c r="AJ437" s="128">
        <v>1425</v>
      </c>
      <c r="AK437" s="129">
        <v>218</v>
      </c>
      <c r="AL437" s="129">
        <v>323</v>
      </c>
    </row>
    <row r="438">
      <c r="A438" s="108"/>
      <c r="B438" s="109" t="s">
        <v>119</v>
      </c>
      <c r="C438" s="110" t="s">
        <v>147</v>
      </c>
      <c r="D438" s="143">
        <f t="shared" si="358"/>
      </c>
      <c r="E438" s="147">
        <v>1037.18</v>
      </c>
      <c r="F438" s="145">
        <v>6097.55</v>
      </c>
      <c r="G438" s="113">
        <v>0</v>
      </c>
      <c r="H438" s="113">
        <v>0</v>
      </c>
      <c r="I438" s="113">
        <f t="shared" si="487"/>
      </c>
      <c r="J438" s="115">
        <v>0</v>
      </c>
      <c r="K438" s="115">
        <f t="shared" si="100"/>
      </c>
      <c r="L438" s="115">
        <f t="shared" si="229"/>
      </c>
      <c r="M438" s="116">
        <f t="shared" si="622"/>
      </c>
      <c r="N438" s="117">
        <f t="shared" si="652"/>
      </c>
      <c r="O438" s="118">
        <f t="shared" si="562"/>
      </c>
      <c r="P438" s="119">
        <f t="shared" si="592"/>
      </c>
      <c r="Q438" s="119">
        <f t="shared" si="772"/>
      </c>
      <c r="R438" s="119">
        <f t="shared" si="802"/>
      </c>
      <c r="S438" s="120">
        <f t="shared" si="682"/>
      </c>
      <c r="T438" s="121">
        <f t="shared" si="712"/>
      </c>
      <c r="U438" s="119">
        <f t="shared" si="991"/>
      </c>
      <c r="V438" s="122">
        <f t="shared" si="742"/>
      </c>
      <c r="W438" s="122">
        <f t="shared" si="1021"/>
      </c>
      <c r="X438" s="119">
        <f t="shared" si="832"/>
      </c>
      <c r="Y438" s="123">
        <f t="shared" si="916"/>
      </c>
      <c r="Z438" s="123">
        <v>5</v>
      </c>
      <c r="AA438" s="123">
        <v>7</v>
      </c>
      <c r="AB438" s="124">
        <v>12356.28</v>
      </c>
      <c r="AC438" s="124">
        <v>1562</v>
      </c>
      <c r="AD438" s="120">
        <f t="shared" si="16"/>
      </c>
      <c r="AE438" s="125" t="s">
        <v>121</v>
      </c>
      <c r="AF438" s="126" t="s">
        <v>154</v>
      </c>
      <c r="AG438" s="127">
        <v>7</v>
      </c>
      <c r="AH438" s="128">
        <v>80788</v>
      </c>
      <c r="AI438" s="128">
        <v>1274</v>
      </c>
      <c r="AJ438" s="128">
        <v>1419</v>
      </c>
      <c r="AK438" s="129">
        <v>168</v>
      </c>
      <c r="AL438" s="129">
        <v>198</v>
      </c>
    </row>
    <row r="439">
      <c r="A439" s="108"/>
      <c r="B439" s="109" t="s">
        <v>119</v>
      </c>
      <c r="C439" s="110" t="s">
        <v>148</v>
      </c>
      <c r="D439" s="143">
        <f t="shared" si="358"/>
      </c>
      <c r="E439" s="147">
        <v>595.76</v>
      </c>
      <c r="F439" s="145">
        <v>3809.25</v>
      </c>
      <c r="G439" s="113">
        <v>0</v>
      </c>
      <c r="H439" s="113">
        <v>0</v>
      </c>
      <c r="I439" s="113">
        <f t="shared" si="487"/>
      </c>
      <c r="J439" s="114">
        <v>0</v>
      </c>
      <c r="K439" s="115">
        <f t="shared" si="100"/>
      </c>
      <c r="L439" s="115">
        <f t="shared" si="229"/>
      </c>
      <c r="M439" s="116">
        <f t="shared" si="622"/>
      </c>
      <c r="N439" s="117">
        <f t="shared" si="652"/>
      </c>
      <c r="O439" s="118">
        <f t="shared" si="562"/>
      </c>
      <c r="P439" s="119">
        <f t="shared" si="592"/>
      </c>
      <c r="Q439" s="119">
        <f t="shared" si="772"/>
      </c>
      <c r="R439" s="119">
        <f t="shared" si="802"/>
      </c>
      <c r="S439" s="120">
        <f t="shared" si="682"/>
      </c>
      <c r="T439" s="121">
        <f t="shared" si="712"/>
      </c>
      <c r="U439" s="119">
        <f t="shared" si="991"/>
      </c>
      <c r="V439" s="122">
        <f t="shared" si="742"/>
      </c>
      <c r="W439" s="122">
        <f t="shared" si="1021"/>
      </c>
      <c r="X439" s="119">
        <f t="shared" si="832"/>
      </c>
      <c r="Y439" s="123">
        <f t="shared" si="916"/>
      </c>
      <c r="Z439" s="123">
        <v>4</v>
      </c>
      <c r="AA439" s="123">
        <v>4</v>
      </c>
      <c r="AB439" s="124">
        <v>7678.800000000001</v>
      </c>
      <c r="AC439" s="124">
        <v>0</v>
      </c>
      <c r="AD439" s="120">
        <f t="shared" si="16"/>
      </c>
      <c r="AE439" s="125" t="s">
        <v>121</v>
      </c>
      <c r="AF439" s="126" t="s">
        <v>154</v>
      </c>
      <c r="AG439" s="127">
        <v>3</v>
      </c>
      <c r="AH439" s="128">
        <v>48085</v>
      </c>
      <c r="AI439" s="128">
        <v>829</v>
      </c>
      <c r="AJ439" s="128">
        <v>1001</v>
      </c>
      <c r="AK439" s="129">
        <v>115</v>
      </c>
      <c r="AL439" s="129">
        <v>137</v>
      </c>
    </row>
    <row r="440">
      <c r="A440" s="108"/>
      <c r="B440" s="130" t="s">
        <v>127</v>
      </c>
      <c r="C440" s="131">
        <v>5</v>
      </c>
      <c r="D440" s="132">
        <f>SUM(D435:D439)</f>
      </c>
      <c r="E440" s="132">
        <f>SUM(E435:E439)</f>
      </c>
      <c r="F440" s="132">
        <f>SUM(F435:F439)</f>
      </c>
      <c r="G440" s="132">
        <f>SUM(G435:G439)</f>
      </c>
      <c r="H440" s="132">
        <f>SUM(H435:H439)</f>
      </c>
      <c r="I440" s="132">
        <f>SUM(I435:I439)</f>
      </c>
      <c r="J440" s="132">
        <f>SUM(J435:J439)</f>
      </c>
      <c r="K440" s="132">
        <f>SUM(K435:K439)</f>
      </c>
      <c r="L440" s="132">
        <f>SUM(L435:L439)</f>
      </c>
      <c r="M440" s="133">
        <f t="shared" si="622"/>
      </c>
      <c r="N440" s="134">
        <f t="shared" si="652"/>
      </c>
      <c r="O440" s="134">
        <f t="shared" si="562"/>
      </c>
      <c r="P440" s="135">
        <f t="shared" si="592"/>
      </c>
      <c r="Q440" s="135">
        <f t="shared" si="772"/>
      </c>
      <c r="R440" s="135">
        <f t="shared" si="802"/>
      </c>
      <c r="S440" s="136">
        <f t="shared" si="682"/>
      </c>
      <c r="T440" s="136">
        <f t="shared" si="712"/>
      </c>
      <c r="U440" s="135">
        <f t="shared" si="991"/>
      </c>
      <c r="V440" s="136">
        <f t="shared" si="742"/>
      </c>
      <c r="W440" s="136">
        <f t="shared" si="1021"/>
      </c>
      <c r="X440" s="135">
        <f t="shared" si="832"/>
      </c>
      <c r="Y440" s="132">
        <f>SUM(Y435:Y439)</f>
      </c>
      <c r="Z440" s="132">
        <f>SUM(Z435:Z439)</f>
      </c>
      <c r="AA440" s="132">
        <f>SUM(AA435:AA439)</f>
      </c>
      <c r="AB440" s="132">
        <f>SUM(AB435:AB439)</f>
      </c>
      <c r="AC440" s="132">
        <f>SUM(AC435:AC439)</f>
      </c>
      <c r="AD440" s="150">
        <f t="shared" si="16"/>
      </c>
      <c r="AE440" s="151"/>
      <c r="AF440" s="139"/>
      <c r="AG440" s="132">
        <f>SUM(AG435:AG439)</f>
      </c>
      <c r="AH440" s="132">
        <f>SUM(AH435:AH439)</f>
      </c>
      <c r="AI440" s="132">
        <f>SUM(AI435:AI439)</f>
      </c>
      <c r="AJ440" s="132">
        <f>SUM(AJ435:AJ439)</f>
      </c>
      <c r="AK440" s="132">
        <f>SUM(AK435:AK439)</f>
      </c>
      <c r="AL440" s="132">
        <f>SUM(AL435:AL439)</f>
      </c>
    </row>
    <row r="441">
      <c r="A441" s="108"/>
      <c r="B441" s="152" t="s">
        <v>127</v>
      </c>
      <c r="C441" s="153">
        <f>C422+C428+C434+C440</f>
      </c>
      <c r="D441" s="167">
        <f>D422+D428+D434+D440</f>
      </c>
      <c r="E441" s="153">
        <f>E422+E428+E434+E440</f>
      </c>
      <c r="F441" s="153">
        <f>F422+F428+F434+F440</f>
      </c>
      <c r="G441" s="153">
        <f>G422+G428+G434+G440</f>
      </c>
      <c r="H441" s="153">
        <f>H422+H428+H434+H440</f>
      </c>
      <c r="I441" s="167">
        <f>I422+I428+I434+I440</f>
      </c>
      <c r="J441" s="153">
        <f>J422+J428+J434+J440</f>
      </c>
      <c r="K441" s="153">
        <f>K422+K428+K434+K440</f>
      </c>
      <c r="L441" s="153">
        <f>L422+L428+L434+L440</f>
      </c>
      <c r="M441" s="154">
        <f t="shared" si="622"/>
      </c>
      <c r="N441" s="154">
        <f t="shared" si="652"/>
      </c>
      <c r="O441" s="154">
        <f t="shared" si="562"/>
      </c>
      <c r="P441" s="154">
        <f t="shared" si="592"/>
      </c>
      <c r="Q441" s="154">
        <f t="shared" si="772"/>
      </c>
      <c r="R441" s="154">
        <f t="shared" si="802"/>
      </c>
      <c r="S441" s="155">
        <f t="shared" si="682"/>
      </c>
      <c r="T441" s="155">
        <f t="shared" si="712"/>
      </c>
      <c r="U441" s="154">
        <f t="shared" si="991"/>
      </c>
      <c r="V441" s="155">
        <f t="shared" si="742"/>
      </c>
      <c r="W441" s="155">
        <f t="shared" si="1021"/>
      </c>
      <c r="X441" s="154">
        <f t="shared" si="832"/>
      </c>
      <c r="Y441" s="156">
        <f>Y422+Y428+Y434+Y440</f>
      </c>
      <c r="Z441" s="156">
        <f>Z422+Z428+Z434+Z440</f>
      </c>
      <c r="AA441" s="156">
        <f>AA422+AA428+AA434+AA440</f>
      </c>
      <c r="AB441" s="156">
        <f>AB422+AB428+AB434+AB440</f>
      </c>
      <c r="AC441" s="156">
        <f>AC422+AC428+AC434+AC440</f>
      </c>
      <c r="AD441" s="157">
        <f>AD422+AD428+AD434+AD440</f>
      </c>
      <c r="AE441" s="158"/>
      <c r="AF441" s="159"/>
      <c r="AG441" s="153">
        <f>AG422+AG428+AG434+AG440</f>
      </c>
      <c r="AH441" s="153">
        <f>AH422+AH428+AH434+AH440</f>
      </c>
      <c r="AI441" s="153">
        <f>AI422+AI428+AI434+AI440</f>
      </c>
      <c r="AJ441" s="153">
        <f>AJ422+AJ428+AJ434+AJ440</f>
      </c>
      <c r="AK441" s="153">
        <f>AK422+AK428+AK434+AK440</f>
      </c>
      <c r="AL441" s="153">
        <f>AL422+AL428+AL434+AL440</f>
      </c>
    </row>
    <row r="442">
      <c r="A442" s="94" t="s">
        <v>81</v>
      </c>
      <c r="B442" s="95" t="s">
        <v>82</v>
      </c>
      <c r="C442" s="95" t="s">
        <v>83</v>
      </c>
      <c r="D442" s="96" t="s">
        <v>84</v>
      </c>
      <c r="E442" s="164" t="s">
        <v>85</v>
      </c>
      <c r="F442" s="95" t="s">
        <v>86</v>
      </c>
      <c r="G442" s="97" t="s">
        <v>87</v>
      </c>
      <c r="H442" s="97" t="s">
        <v>88</v>
      </c>
      <c r="I442" s="96" t="s">
        <v>89</v>
      </c>
      <c r="J442" s="98" t="s">
        <v>90</v>
      </c>
      <c r="K442" s="99" t="s">
        <v>91</v>
      </c>
      <c r="L442" s="99" t="s">
        <v>92</v>
      </c>
      <c r="M442" s="100" t="s">
        <v>93</v>
      </c>
      <c r="N442" s="99" t="s">
        <v>94</v>
      </c>
      <c r="O442" s="95" t="s">
        <v>95</v>
      </c>
      <c r="P442" s="100" t="s">
        <v>96</v>
      </c>
      <c r="Q442" s="101" t="s">
        <v>97</v>
      </c>
      <c r="R442" s="101" t="s">
        <v>98</v>
      </c>
      <c r="S442" s="96" t="s">
        <v>99</v>
      </c>
      <c r="T442" s="102" t="s">
        <v>100</v>
      </c>
      <c r="U442" s="100" t="s">
        <v>101</v>
      </c>
      <c r="V442" s="103" t="s">
        <v>102</v>
      </c>
      <c r="W442" s="104" t="s">
        <v>103</v>
      </c>
      <c r="X442" s="100" t="s">
        <v>104</v>
      </c>
      <c r="Y442" s="105" t="s">
        <v>105</v>
      </c>
      <c r="Z442" s="106" t="s">
        <v>106</v>
      </c>
      <c r="AA442" s="105" t="s">
        <v>107</v>
      </c>
      <c r="AB442" s="107" t="s">
        <v>108</v>
      </c>
      <c r="AC442" s="107" t="s">
        <v>109</v>
      </c>
      <c r="AD442" s="99" t="s">
        <v>110</v>
      </c>
      <c r="AE442" s="98" t="s">
        <v>111</v>
      </c>
      <c r="AF442" s="99" t="s">
        <v>112</v>
      </c>
      <c r="AG442" s="98" t="s">
        <v>113</v>
      </c>
      <c r="AH442" s="98" t="s">
        <v>114</v>
      </c>
      <c r="AI442" s="99" t="s">
        <v>115</v>
      </c>
      <c r="AJ442" s="98" t="s">
        <v>116</v>
      </c>
      <c r="AK442" s="99" t="s">
        <v>117</v>
      </c>
      <c r="AL442" s="98" t="s">
        <v>118</v>
      </c>
    </row>
    <row r="443">
      <c r="A443" s="108">
        <v>46283</v>
      </c>
      <c r="B443" s="109" t="s">
        <v>143</v>
      </c>
      <c r="C443" s="110" t="s">
        <v>120</v>
      </c>
      <c r="D443" s="143">
        <f t="shared" ref="D443:D447" si="359">E443+F443+G443+H443</f>
      </c>
      <c r="E443" s="144">
        <v>1321.81</v>
      </c>
      <c r="F443" s="146">
        <v>9186.31</v>
      </c>
      <c r="G443" s="113">
        <v>0</v>
      </c>
      <c r="H443" s="113">
        <v>0</v>
      </c>
      <c r="I443" s="113">
        <f t="shared" ref="I443:I447" si="488">AB443+AC443</f>
      </c>
      <c r="J443" s="114">
        <f>1670.76+2095.2+5157</f>
      </c>
      <c r="K443" s="115">
        <f t="shared" ref="K443:K447" si="101">I443-J443</f>
      </c>
      <c r="L443" s="115">
        <f t="shared" ref="L443:L447" si="230">(I443-AC443)/12+AC443</f>
      </c>
      <c r="M443" s="116">
        <f t="shared" ref="M443:M467" si="623">I443/D443</f>
      </c>
      <c r="N443" s="117">
        <f t="shared" ref="N443:N467" si="653">(I443-J443)/D443</f>
      </c>
      <c r="O443" s="118">
        <f t="shared" ref="O443:O467" si="563">(AC443+AB443/12)/D443</f>
      </c>
      <c r="P443" s="119">
        <f t="shared" ref="P443:P467" si="593">I443/AA443</f>
      </c>
      <c r="Q443" s="119">
        <f t="shared" ref="Q443:Q467" si="773">D443/AA443</f>
      </c>
      <c r="R443" s="119">
        <f t="shared" ref="R443:R467" si="803">D443/AG443</f>
      </c>
      <c r="S443" s="120">
        <f t="shared" ref="S443:S467" si="683">AA443/Y443</f>
      </c>
      <c r="T443" s="121">
        <f t="shared" ref="T443:T467" si="713">AI443/AH443</f>
      </c>
      <c r="U443" s="119">
        <f t="shared" ref="U443:U467" si="992">D443/AJ443</f>
      </c>
      <c r="V443" s="122">
        <f t="shared" ref="V443:V467" si="743">AK443/AJ443</f>
      </c>
      <c r="W443" s="122">
        <f t="shared" ref="W443:W467" si="1022">AL443/AJ443</f>
      </c>
      <c r="X443" s="119">
        <f t="shared" ref="X443:X467" si="833">D443/AL443</f>
      </c>
      <c r="Y443" s="123">
        <f t="shared" ref="Y443:Y447" si="917">Z443+AA443</f>
      </c>
      <c r="Z443" s="123">
        <v>4</v>
      </c>
      <c r="AA443" s="123">
        <v>7</v>
      </c>
      <c r="AB443" s="124">
        <v>12424.32</v>
      </c>
      <c r="AC443" s="124">
        <v>1371</v>
      </c>
      <c r="AD443" s="120">
        <f t="shared" ref="AD443:AD466" si="17">AC443/I443</f>
      </c>
      <c r="AE443" s="125" t="s">
        <v>121</v>
      </c>
      <c r="AF443" s="126" t="s">
        <v>122</v>
      </c>
      <c r="AG443" s="127">
        <v>7</v>
      </c>
      <c r="AH443" s="127">
        <v>96927</v>
      </c>
      <c r="AI443" s="128">
        <v>2409</v>
      </c>
      <c r="AJ443" s="128">
        <v>2655</v>
      </c>
      <c r="AK443" s="127">
        <v>256</v>
      </c>
      <c r="AL443" s="129">
        <v>297</v>
      </c>
    </row>
    <row r="444">
      <c r="A444" s="108"/>
      <c r="B444" s="109" t="s">
        <v>143</v>
      </c>
      <c r="C444" s="110" t="s">
        <v>123</v>
      </c>
      <c r="D444" s="143">
        <f t="shared" si="359"/>
      </c>
      <c r="E444" s="147">
        <v>1481.9</v>
      </c>
      <c r="F444" s="146">
        <v>12721.91</v>
      </c>
      <c r="G444" s="113">
        <v>0</v>
      </c>
      <c r="H444" s="113">
        <v>0</v>
      </c>
      <c r="I444" s="113">
        <f t="shared" si="488"/>
      </c>
      <c r="J444" s="114">
        <f>3922.56+1736.64+1699.2+474+1551.96+590.76</f>
      </c>
      <c r="K444" s="115">
        <f t="shared" si="101"/>
      </c>
      <c r="L444" s="115">
        <f t="shared" si="230"/>
      </c>
      <c r="M444" s="116">
        <f t="shared" si="623"/>
      </c>
      <c r="N444" s="117">
        <f t="shared" si="653"/>
      </c>
      <c r="O444" s="118">
        <f t="shared" si="563"/>
      </c>
      <c r="P444" s="119">
        <f t="shared" si="593"/>
      </c>
      <c r="Q444" s="119">
        <f t="shared" si="773"/>
      </c>
      <c r="R444" s="119">
        <f t="shared" si="803"/>
      </c>
      <c r="S444" s="120">
        <f t="shared" si="683"/>
      </c>
      <c r="T444" s="121">
        <f t="shared" si="713"/>
      </c>
      <c r="U444" s="119">
        <f t="shared" si="992"/>
      </c>
      <c r="V444" s="122">
        <f t="shared" si="743"/>
      </c>
      <c r="W444" s="122">
        <f t="shared" si="1022"/>
      </c>
      <c r="X444" s="119">
        <f t="shared" si="833"/>
      </c>
      <c r="Y444" s="123">
        <f t="shared" si="917"/>
      </c>
      <c r="Z444" s="123">
        <v>7</v>
      </c>
      <c r="AA444" s="123">
        <v>19</v>
      </c>
      <c r="AB444" s="124">
        <v>37952.52</v>
      </c>
      <c r="AC444" s="124">
        <v>0</v>
      </c>
      <c r="AD444" s="120">
        <f t="shared" si="17"/>
      </c>
      <c r="AE444" s="125" t="s">
        <v>121</v>
      </c>
      <c r="AF444" s="126" t="s">
        <v>122</v>
      </c>
      <c r="AG444" s="127">
        <v>17</v>
      </c>
      <c r="AH444" s="128">
        <v>150457</v>
      </c>
      <c r="AI444" s="128">
        <v>2402</v>
      </c>
      <c r="AJ444" s="128">
        <v>2630</v>
      </c>
      <c r="AK444" s="129">
        <v>379</v>
      </c>
      <c r="AL444" s="129">
        <v>429</v>
      </c>
    </row>
    <row r="445">
      <c r="A445" s="108"/>
      <c r="B445" s="109" t="s">
        <v>143</v>
      </c>
      <c r="C445" s="110" t="s">
        <v>124</v>
      </c>
      <c r="D445" s="111">
        <f t="shared" si="359"/>
      </c>
      <c r="E445" s="165">
        <v>1450.2</v>
      </c>
      <c r="F445" s="110">
        <v>11143.89</v>
      </c>
      <c r="G445" s="113">
        <v>0</v>
      </c>
      <c r="H445" s="113">
        <v>0</v>
      </c>
      <c r="I445" s="113">
        <f t="shared" si="488"/>
      </c>
      <c r="J445" s="114">
        <v>0</v>
      </c>
      <c r="K445" s="115">
        <f t="shared" si="101"/>
      </c>
      <c r="L445" s="115">
        <f t="shared" si="230"/>
      </c>
      <c r="M445" s="116">
        <f t="shared" si="623"/>
      </c>
      <c r="N445" s="117">
        <f t="shared" si="653"/>
      </c>
      <c r="O445" s="118">
        <f t="shared" si="563"/>
      </c>
      <c r="P445" s="119">
        <f t="shared" si="593"/>
      </c>
      <c r="Q445" s="119">
        <f t="shared" si="773"/>
      </c>
      <c r="R445" s="119">
        <f t="shared" si="803"/>
      </c>
      <c r="S445" s="120">
        <f t="shared" si="683"/>
      </c>
      <c r="T445" s="121">
        <f t="shared" si="713"/>
      </c>
      <c r="U445" s="119">
        <f t="shared" si="992"/>
      </c>
      <c r="V445" s="122">
        <f t="shared" si="743"/>
      </c>
      <c r="W445" s="122">
        <f t="shared" si="1022"/>
      </c>
      <c r="X445" s="119">
        <f t="shared" si="833"/>
      </c>
      <c r="Y445" s="123">
        <f t="shared" si="917"/>
      </c>
      <c r="Z445" s="123">
        <v>4</v>
      </c>
      <c r="AA445" s="123">
        <v>12</v>
      </c>
      <c r="AB445" s="124">
        <v>14284.320000000007</v>
      </c>
      <c r="AC445" s="124">
        <v>0</v>
      </c>
      <c r="AD445" s="120">
        <f t="shared" si="17"/>
      </c>
      <c r="AE445" s="125" t="s">
        <v>121</v>
      </c>
      <c r="AF445" s="126" t="s">
        <v>122</v>
      </c>
      <c r="AG445" s="127">
        <v>10</v>
      </c>
      <c r="AH445" s="128">
        <v>116037</v>
      </c>
      <c r="AI445" s="128">
        <v>1460</v>
      </c>
      <c r="AJ445" s="128">
        <v>1574</v>
      </c>
      <c r="AK445" s="129">
        <v>302</v>
      </c>
      <c r="AL445" s="129">
        <v>363</v>
      </c>
    </row>
    <row r="446">
      <c r="A446" s="108"/>
      <c r="B446" s="109" t="s">
        <v>143</v>
      </c>
      <c r="C446" s="110" t="s">
        <v>125</v>
      </c>
      <c r="D446" s="111">
        <f t="shared" si="359"/>
      </c>
      <c r="E446" s="175">
        <v>1613.76</v>
      </c>
      <c r="F446" s="113">
        <v>8969.15</v>
      </c>
      <c r="G446" s="113">
        <v>0</v>
      </c>
      <c r="H446" s="113">
        <v>0</v>
      </c>
      <c r="I446" s="113">
        <f t="shared" si="488"/>
      </c>
      <c r="J446" s="114">
        <f>4461.48+498.96+1788.48</f>
      </c>
      <c r="K446" s="115">
        <f t="shared" si="101"/>
      </c>
      <c r="L446" s="115">
        <f t="shared" si="230"/>
      </c>
      <c r="M446" s="116">
        <f t="shared" si="623"/>
      </c>
      <c r="N446" s="117">
        <f t="shared" si="653"/>
      </c>
      <c r="O446" s="118">
        <f t="shared" si="563"/>
      </c>
      <c r="P446" s="119">
        <f t="shared" si="593"/>
      </c>
      <c r="Q446" s="119">
        <f t="shared" si="773"/>
      </c>
      <c r="R446" s="119">
        <f t="shared" si="803"/>
      </c>
      <c r="S446" s="120">
        <f t="shared" si="683"/>
      </c>
      <c r="T446" s="121">
        <f t="shared" si="713"/>
      </c>
      <c r="U446" s="119">
        <f t="shared" si="992"/>
      </c>
      <c r="V446" s="122">
        <f t="shared" si="743"/>
      </c>
      <c r="W446" s="122">
        <f t="shared" si="1022"/>
      </c>
      <c r="X446" s="119">
        <f t="shared" si="833"/>
      </c>
      <c r="Y446" s="123">
        <f t="shared" si="917"/>
      </c>
      <c r="Z446" s="123">
        <v>5</v>
      </c>
      <c r="AA446" s="123">
        <v>12</v>
      </c>
      <c r="AB446" s="124">
        <v>16257.23999999999</v>
      </c>
      <c r="AC446" s="124">
        <v>1880.0500000000002</v>
      </c>
      <c r="AD446" s="120">
        <f t="shared" si="17"/>
      </c>
      <c r="AE446" s="125" t="s">
        <v>121</v>
      </c>
      <c r="AF446" s="126" t="s">
        <v>122</v>
      </c>
      <c r="AG446" s="127">
        <v>9</v>
      </c>
      <c r="AH446" s="128">
        <v>85546</v>
      </c>
      <c r="AI446" s="128">
        <v>1252</v>
      </c>
      <c r="AJ446" s="128">
        <v>1392</v>
      </c>
      <c r="AK446" s="129">
        <v>234</v>
      </c>
      <c r="AL446" s="129">
        <v>265</v>
      </c>
    </row>
    <row r="447">
      <c r="A447" s="108"/>
      <c r="B447" s="109" t="s">
        <v>143</v>
      </c>
      <c r="C447" s="110" t="s">
        <v>126</v>
      </c>
      <c r="D447" s="143">
        <f t="shared" si="359"/>
      </c>
      <c r="E447" s="144">
        <v>1668.5</v>
      </c>
      <c r="F447" s="146">
        <v>9187.76</v>
      </c>
      <c r="G447" s="113">
        <v>0</v>
      </c>
      <c r="H447" s="113">
        <v>0</v>
      </c>
      <c r="I447" s="113">
        <f t="shared" si="488"/>
      </c>
      <c r="J447" s="114">
        <f>1551.96+2917.08+3110.4</f>
      </c>
      <c r="K447" s="115">
        <f t="shared" si="101"/>
      </c>
      <c r="L447" s="115">
        <f t="shared" si="230"/>
      </c>
      <c r="M447" s="116">
        <f t="shared" si="623"/>
      </c>
      <c r="N447" s="117">
        <f t="shared" si="653"/>
      </c>
      <c r="O447" s="118">
        <f t="shared" si="563"/>
      </c>
      <c r="P447" s="119">
        <f t="shared" si="593"/>
      </c>
      <c r="Q447" s="119">
        <f t="shared" si="773"/>
      </c>
      <c r="R447" s="119">
        <f t="shared" si="803"/>
      </c>
      <c r="S447" s="120">
        <f t="shared" si="683"/>
      </c>
      <c r="T447" s="121">
        <f t="shared" si="713"/>
      </c>
      <c r="U447" s="119">
        <f t="shared" si="992"/>
      </c>
      <c r="V447" s="122">
        <f t="shared" si="743"/>
      </c>
      <c r="W447" s="122">
        <f t="shared" si="1022"/>
      </c>
      <c r="X447" s="119">
        <f t="shared" si="833"/>
      </c>
      <c r="Y447" s="123">
        <f t="shared" si="917"/>
      </c>
      <c r="Z447" s="123">
        <v>8</v>
      </c>
      <c r="AA447" s="123">
        <v>10</v>
      </c>
      <c r="AB447" s="124">
        <f>21017.88+676.08</f>
      </c>
      <c r="AC447" s="124">
        <v>663</v>
      </c>
      <c r="AD447" s="120">
        <f t="shared" si="17"/>
      </c>
      <c r="AE447" s="125" t="s">
        <v>121</v>
      </c>
      <c r="AF447" s="126" t="s">
        <v>122</v>
      </c>
      <c r="AG447" s="127">
        <v>8</v>
      </c>
      <c r="AH447" s="128">
        <v>83956</v>
      </c>
      <c r="AI447" s="128">
        <v>1177</v>
      </c>
      <c r="AJ447" s="128">
        <v>1306</v>
      </c>
      <c r="AK447" s="127">
        <v>220</v>
      </c>
      <c r="AL447" s="127">
        <v>295</v>
      </c>
    </row>
    <row r="448">
      <c r="A448" s="108"/>
      <c r="B448" s="130" t="s">
        <v>127</v>
      </c>
      <c r="C448" s="131">
        <v>5</v>
      </c>
      <c r="D448" s="132">
        <f>SUM(D443:D447)</f>
      </c>
      <c r="E448" s="148">
        <f>SUM(E443:E447)</f>
      </c>
      <c r="F448" s="132">
        <f>SUM(F443:F447)</f>
      </c>
      <c r="G448" s="132">
        <f>SUM(G443:G447)</f>
      </c>
      <c r="H448" s="132">
        <f>SUM(H443:H447)</f>
      </c>
      <c r="I448" s="132">
        <f>SUM(I443:I447)</f>
      </c>
      <c r="J448" s="132">
        <f>SUM(J443:J447)</f>
      </c>
      <c r="K448" s="132">
        <f>SUM(K443:K447)</f>
      </c>
      <c r="L448" s="132">
        <f>SUM(L443:L447)</f>
      </c>
      <c r="M448" s="133">
        <f t="shared" si="623"/>
      </c>
      <c r="N448" s="134">
        <f t="shared" si="653"/>
      </c>
      <c r="O448" s="134">
        <f t="shared" si="563"/>
      </c>
      <c r="P448" s="135">
        <f t="shared" si="593"/>
      </c>
      <c r="Q448" s="135">
        <f t="shared" si="773"/>
      </c>
      <c r="R448" s="135">
        <f t="shared" si="803"/>
      </c>
      <c r="S448" s="136">
        <f t="shared" si="683"/>
      </c>
      <c r="T448" s="136">
        <f t="shared" si="713"/>
      </c>
      <c r="U448" s="135">
        <f t="shared" si="992"/>
      </c>
      <c r="V448" s="136">
        <f t="shared" si="743"/>
      </c>
      <c r="W448" s="136">
        <f t="shared" si="1022"/>
      </c>
      <c r="X448" s="135">
        <f t="shared" si="833"/>
      </c>
      <c r="Y448" s="132">
        <f>SUM(Y443:Y447)</f>
      </c>
      <c r="Z448" s="132">
        <f>SUM(Z443:Z447)</f>
      </c>
      <c r="AA448" s="132">
        <f>SUM(AA443:AA447)</f>
      </c>
      <c r="AB448" s="132">
        <f>SUM(AB443:AB447)</f>
      </c>
      <c r="AC448" s="132">
        <f>SUM(AC443:AC447)</f>
      </c>
      <c r="AD448" s="137">
        <f t="shared" si="17"/>
      </c>
      <c r="AE448" s="138"/>
      <c r="AF448" s="139"/>
      <c r="AG448" s="132">
        <f>SUM(AG443:AG447)</f>
      </c>
      <c r="AH448" s="132">
        <f>SUM(AH443:AH447)</f>
      </c>
      <c r="AI448" s="132">
        <f>SUM(AI443:AI447)</f>
      </c>
      <c r="AJ448" s="132">
        <f>SUM(AJ443:AJ447)</f>
      </c>
      <c r="AK448" s="132">
        <f>SUM(AK443:AK447)</f>
      </c>
      <c r="AL448" s="132">
        <f>SUM(AL443:AL447)</f>
      </c>
    </row>
    <row r="449">
      <c r="A449" s="108"/>
      <c r="B449" s="109" t="s">
        <v>119</v>
      </c>
      <c r="C449" s="110" t="s">
        <v>129</v>
      </c>
      <c r="D449" s="111">
        <f t="shared" ref="D449:D453" si="360">E449+F449+G449+H449</f>
      </c>
      <c r="E449" s="112">
        <v>1377.87</v>
      </c>
      <c r="F449" s="113">
        <v>10283.81</v>
      </c>
      <c r="G449" s="113">
        <v>0</v>
      </c>
      <c r="H449" s="113">
        <v>0</v>
      </c>
      <c r="I449" s="113">
        <f t="shared" ref="I449:I453" si="489">AB449+AC449</f>
      </c>
      <c r="J449" s="114">
        <f>1670.76+2059.56</f>
      </c>
      <c r="K449" s="115">
        <f t="shared" ref="K449:K453" si="102">I449-J449</f>
      </c>
      <c r="L449" s="115">
        <f t="shared" ref="L449:L453" si="231">(I449-AC449)/12+AC449</f>
      </c>
      <c r="M449" s="116">
        <f t="shared" si="623"/>
      </c>
      <c r="N449" s="117">
        <f t="shared" si="653"/>
      </c>
      <c r="O449" s="118">
        <f t="shared" si="563"/>
      </c>
      <c r="P449" s="119">
        <f t="shared" si="593"/>
      </c>
      <c r="Q449" s="119">
        <f t="shared" si="773"/>
      </c>
      <c r="R449" s="119">
        <f t="shared" si="803"/>
      </c>
      <c r="S449" s="120">
        <f t="shared" si="683"/>
      </c>
      <c r="T449" s="121">
        <f t="shared" si="713"/>
      </c>
      <c r="U449" s="119">
        <f t="shared" si="992"/>
      </c>
      <c r="V449" s="122">
        <f t="shared" si="743"/>
      </c>
      <c r="W449" s="122">
        <f t="shared" si="1022"/>
      </c>
      <c r="X449" s="119">
        <f t="shared" si="833"/>
      </c>
      <c r="Y449" s="123">
        <f t="shared" ref="Y449:Y453" si="918">Z449+AA449</f>
      </c>
      <c r="Z449" s="123">
        <v>4</v>
      </c>
      <c r="AA449" s="123">
        <v>11</v>
      </c>
      <c r="AB449" s="124">
        <v>20347.79999999999</v>
      </c>
      <c r="AC449" s="124">
        <v>1184</v>
      </c>
      <c r="AD449" s="120">
        <f t="shared" si="17"/>
      </c>
      <c r="AE449" s="125" t="s">
        <v>121</v>
      </c>
      <c r="AF449" s="126" t="s">
        <v>122</v>
      </c>
      <c r="AG449" s="127">
        <v>10</v>
      </c>
      <c r="AH449" s="128">
        <v>94656</v>
      </c>
      <c r="AI449" s="128">
        <v>1152</v>
      </c>
      <c r="AJ449" s="128">
        <v>1280</v>
      </c>
      <c r="AK449" s="127">
        <v>248</v>
      </c>
      <c r="AL449" s="127">
        <v>291</v>
      </c>
    </row>
    <row r="450">
      <c r="A450" s="108"/>
      <c r="B450" s="109" t="s">
        <v>119</v>
      </c>
      <c r="C450" s="110" t="s">
        <v>130</v>
      </c>
      <c r="D450" s="111">
        <f t="shared" si="360"/>
      </c>
      <c r="E450" s="110">
        <v>1106.97</v>
      </c>
      <c r="F450" s="113">
        <v>18115.69</v>
      </c>
      <c r="G450" s="113">
        <v>0</v>
      </c>
      <c r="H450" s="113">
        <v>0</v>
      </c>
      <c r="I450" s="113">
        <f t="shared" si="489"/>
      </c>
      <c r="J450" s="162">
        <v>0</v>
      </c>
      <c r="K450" s="115">
        <f t="shared" si="102"/>
      </c>
      <c r="L450" s="115">
        <f t="shared" si="231"/>
      </c>
      <c r="M450" s="116">
        <f t="shared" si="623"/>
      </c>
      <c r="N450" s="117">
        <f t="shared" si="653"/>
      </c>
      <c r="O450" s="118">
        <f t="shared" si="563"/>
      </c>
      <c r="P450" s="119">
        <f t="shared" si="593"/>
      </c>
      <c r="Q450" s="119">
        <f t="shared" si="773"/>
      </c>
      <c r="R450" s="119">
        <f t="shared" si="803"/>
      </c>
      <c r="S450" s="120">
        <f t="shared" si="683"/>
      </c>
      <c r="T450" s="121">
        <f t="shared" si="713"/>
      </c>
      <c r="U450" s="119">
        <f t="shared" si="992"/>
      </c>
      <c r="V450" s="122">
        <f t="shared" si="743"/>
      </c>
      <c r="W450" s="122">
        <f t="shared" si="1022"/>
      </c>
      <c r="X450" s="119">
        <f t="shared" si="833"/>
      </c>
      <c r="Y450" s="123">
        <f t="shared" si="918"/>
      </c>
      <c r="Z450" s="123">
        <v>7</v>
      </c>
      <c r="AA450" s="123">
        <v>12</v>
      </c>
      <c r="AB450" s="124">
        <v>14781.960000000006</v>
      </c>
      <c r="AC450" s="124">
        <v>0</v>
      </c>
      <c r="AD450" s="120">
        <f t="shared" si="17"/>
      </c>
      <c r="AE450" s="125" t="s">
        <v>121</v>
      </c>
      <c r="AF450" s="126" t="s">
        <v>122</v>
      </c>
      <c r="AG450" s="127">
        <v>10</v>
      </c>
      <c r="AH450" s="128">
        <v>195870</v>
      </c>
      <c r="AI450" s="128">
        <v>1982</v>
      </c>
      <c r="AJ450" s="128">
        <v>2067</v>
      </c>
      <c r="AK450" s="129">
        <v>384</v>
      </c>
      <c r="AL450" s="129">
        <v>496</v>
      </c>
    </row>
    <row r="451">
      <c r="A451" s="108"/>
      <c r="B451" s="109" t="s">
        <v>119</v>
      </c>
      <c r="C451" s="110" t="s">
        <v>131</v>
      </c>
      <c r="D451" s="111">
        <f t="shared" si="360"/>
      </c>
      <c r="E451" s="110">
        <v>1565.92</v>
      </c>
      <c r="F451" s="110">
        <v>9849.91</v>
      </c>
      <c r="G451" s="113">
        <v>0</v>
      </c>
      <c r="H451" s="113">
        <v>0</v>
      </c>
      <c r="I451" s="113">
        <f t="shared" si="489"/>
      </c>
      <c r="J451" s="114">
        <v>4461.48</v>
      </c>
      <c r="K451" s="115">
        <f t="shared" si="102"/>
      </c>
      <c r="L451" s="115">
        <f t="shared" si="231"/>
      </c>
      <c r="M451" s="116">
        <f t="shared" si="623"/>
      </c>
      <c r="N451" s="117">
        <f t="shared" si="653"/>
      </c>
      <c r="O451" s="118">
        <f t="shared" si="563"/>
      </c>
      <c r="P451" s="119">
        <f t="shared" si="593"/>
      </c>
      <c r="Q451" s="119">
        <f t="shared" si="773"/>
      </c>
      <c r="R451" s="119">
        <f t="shared" si="803"/>
      </c>
      <c r="S451" s="120">
        <f t="shared" si="683"/>
      </c>
      <c r="T451" s="121">
        <f t="shared" si="713"/>
      </c>
      <c r="U451" s="119">
        <f t="shared" si="992"/>
      </c>
      <c r="V451" s="122">
        <f t="shared" si="743"/>
      </c>
      <c r="W451" s="122">
        <f t="shared" si="1022"/>
      </c>
      <c r="X451" s="119">
        <f t="shared" si="833"/>
      </c>
      <c r="Y451" s="123">
        <f t="shared" si="918"/>
      </c>
      <c r="Z451" s="123">
        <v>15</v>
      </c>
      <c r="AA451" s="123">
        <v>11</v>
      </c>
      <c r="AB451" s="124">
        <v>25454.880000000005</v>
      </c>
      <c r="AC451" s="124">
        <v>5512.849999999999</v>
      </c>
      <c r="AD451" s="120">
        <f t="shared" si="17"/>
      </c>
      <c r="AE451" s="125" t="s">
        <v>121</v>
      </c>
      <c r="AF451" s="126" t="s">
        <v>122</v>
      </c>
      <c r="AG451" s="129">
        <v>9</v>
      </c>
      <c r="AH451" s="128">
        <v>109516</v>
      </c>
      <c r="AI451" s="128">
        <v>1568</v>
      </c>
      <c r="AJ451" s="128">
        <v>1636</v>
      </c>
      <c r="AK451" s="129">
        <v>275</v>
      </c>
      <c r="AL451" s="129">
        <v>361</v>
      </c>
    </row>
    <row r="452">
      <c r="A452" s="108"/>
      <c r="B452" s="109" t="s">
        <v>119</v>
      </c>
      <c r="C452" s="110" t="s">
        <v>132</v>
      </c>
      <c r="D452" s="111">
        <f t="shared" si="360"/>
      </c>
      <c r="E452" s="110">
        <v>1103.41</v>
      </c>
      <c r="F452" s="113">
        <v>7884.43</v>
      </c>
      <c r="G452" s="113">
        <v>0</v>
      </c>
      <c r="H452" s="113">
        <v>0</v>
      </c>
      <c r="I452" s="113">
        <f t="shared" si="489"/>
      </c>
      <c r="J452" s="114">
        <v>0</v>
      </c>
      <c r="K452" s="115">
        <f t="shared" si="102"/>
      </c>
      <c r="L452" s="115">
        <f t="shared" si="231"/>
      </c>
      <c r="M452" s="116">
        <f t="shared" si="623"/>
      </c>
      <c r="N452" s="117">
        <f t="shared" si="653"/>
      </c>
      <c r="O452" s="118">
        <f t="shared" si="563"/>
      </c>
      <c r="P452" s="119">
        <f t="shared" si="593"/>
      </c>
      <c r="Q452" s="119">
        <f t="shared" si="773"/>
      </c>
      <c r="R452" s="119">
        <f t="shared" si="803"/>
      </c>
      <c r="S452" s="120">
        <f t="shared" si="683"/>
      </c>
      <c r="T452" s="121">
        <f t="shared" si="713"/>
      </c>
      <c r="U452" s="119">
        <f t="shared" si="992"/>
      </c>
      <c r="V452" s="122">
        <f t="shared" si="743"/>
      </c>
      <c r="W452" s="122">
        <f t="shared" si="1022"/>
      </c>
      <c r="X452" s="119">
        <f t="shared" si="833"/>
      </c>
      <c r="Y452" s="123">
        <f t="shared" si="918"/>
      </c>
      <c r="Z452" s="123">
        <v>1</v>
      </c>
      <c r="AA452" s="123">
        <v>2</v>
      </c>
      <c r="AB452" s="114">
        <v>3290.7600000000093</v>
      </c>
      <c r="AC452" s="124">
        <v>0</v>
      </c>
      <c r="AD452" s="120">
        <f t="shared" si="17"/>
      </c>
      <c r="AE452" s="125" t="s">
        <v>121</v>
      </c>
      <c r="AF452" s="126" t="s">
        <v>122</v>
      </c>
      <c r="AG452" s="127">
        <v>3</v>
      </c>
      <c r="AH452" s="128">
        <v>81924</v>
      </c>
      <c r="AI452" s="128">
        <v>1075</v>
      </c>
      <c r="AJ452" s="128">
        <v>1096</v>
      </c>
      <c r="AK452" s="129">
        <v>175</v>
      </c>
      <c r="AL452" s="129">
        <v>246</v>
      </c>
    </row>
    <row r="453">
      <c r="A453" s="108"/>
      <c r="B453" s="109" t="s">
        <v>119</v>
      </c>
      <c r="C453" s="110" t="s">
        <v>134</v>
      </c>
      <c r="D453" s="111">
        <f t="shared" si="360"/>
      </c>
      <c r="E453" s="110">
        <v>1501.5</v>
      </c>
      <c r="F453" s="140">
        <v>5883.05</v>
      </c>
      <c r="G453" s="113">
        <v>0</v>
      </c>
      <c r="H453" s="113">
        <v>0</v>
      </c>
      <c r="I453" s="113">
        <f t="shared" si="489"/>
      </c>
      <c r="J453" s="114">
        <v>0</v>
      </c>
      <c r="K453" s="115">
        <f t="shared" si="102"/>
      </c>
      <c r="L453" s="115">
        <f t="shared" si="231"/>
      </c>
      <c r="M453" s="116">
        <f t="shared" si="623"/>
      </c>
      <c r="N453" s="117">
        <f t="shared" si="653"/>
      </c>
      <c r="O453" s="118">
        <f t="shared" si="563"/>
      </c>
      <c r="P453" s="119">
        <f t="shared" si="593"/>
      </c>
      <c r="Q453" s="119">
        <f t="shared" si="773"/>
      </c>
      <c r="R453" s="119">
        <f t="shared" si="803"/>
      </c>
      <c r="S453" s="120">
        <f t="shared" si="683"/>
      </c>
      <c r="T453" s="121">
        <f t="shared" si="713"/>
      </c>
      <c r="U453" s="119">
        <f t="shared" si="992"/>
      </c>
      <c r="V453" s="122">
        <f t="shared" si="743"/>
      </c>
      <c r="W453" s="122">
        <f t="shared" si="1022"/>
      </c>
      <c r="X453" s="119">
        <f t="shared" si="833"/>
      </c>
      <c r="Y453" s="123">
        <f t="shared" si="918"/>
      </c>
      <c r="Z453" s="123">
        <v>3</v>
      </c>
      <c r="AA453" s="123">
        <v>5</v>
      </c>
      <c r="AB453" s="124">
        <v>5901.119999999995</v>
      </c>
      <c r="AC453" s="124">
        <v>0</v>
      </c>
      <c r="AD453" s="120">
        <f t="shared" si="17"/>
      </c>
      <c r="AE453" s="125" t="s">
        <v>121</v>
      </c>
      <c r="AF453" s="126" t="s">
        <v>122</v>
      </c>
      <c r="AG453" s="127">
        <v>4</v>
      </c>
      <c r="AH453" s="127">
        <v>59506</v>
      </c>
      <c r="AI453" s="127">
        <v>962</v>
      </c>
      <c r="AJ453" s="127">
        <v>1022</v>
      </c>
      <c r="AK453" s="127">
        <v>162</v>
      </c>
      <c r="AL453" s="127">
        <v>210</v>
      </c>
    </row>
    <row r="454">
      <c r="A454" s="108"/>
      <c r="B454" s="130" t="s">
        <v>127</v>
      </c>
      <c r="C454" s="131">
        <v>5</v>
      </c>
      <c r="D454" s="132">
        <f>SUM(D449:D453)</f>
      </c>
      <c r="E454" s="132">
        <f>SUM(E449:E453)</f>
      </c>
      <c r="F454" s="132">
        <f>SUM(F449:F453)</f>
      </c>
      <c r="G454" s="132">
        <f>SUM(G449:G453)</f>
      </c>
      <c r="H454" s="132">
        <f>SUM(H449:H453)</f>
      </c>
      <c r="I454" s="132">
        <f>SUM(I449:I453)</f>
      </c>
      <c r="J454" s="132">
        <f>SUM(J449:J453)</f>
      </c>
      <c r="K454" s="132">
        <f>SUM(K449:K453)</f>
      </c>
      <c r="L454" s="132">
        <f>SUM(L449:L453)</f>
      </c>
      <c r="M454" s="133">
        <f t="shared" si="623"/>
      </c>
      <c r="N454" s="134">
        <f t="shared" si="653"/>
      </c>
      <c r="O454" s="134">
        <f t="shared" si="563"/>
      </c>
      <c r="P454" s="135">
        <f t="shared" si="593"/>
      </c>
      <c r="Q454" s="135">
        <f t="shared" si="773"/>
      </c>
      <c r="R454" s="135">
        <f t="shared" si="803"/>
      </c>
      <c r="S454" s="136">
        <f t="shared" si="683"/>
      </c>
      <c r="T454" s="136">
        <f t="shared" si="713"/>
      </c>
      <c r="U454" s="135">
        <f t="shared" si="992"/>
      </c>
      <c r="V454" s="136">
        <f t="shared" si="743"/>
      </c>
      <c r="W454" s="136">
        <f t="shared" si="1022"/>
      </c>
      <c r="X454" s="135">
        <f t="shared" si="833"/>
      </c>
      <c r="Y454" s="132">
        <f>SUM(Y449:Y453)</f>
      </c>
      <c r="Z454" s="132">
        <f>SUM(Z449:Z453)</f>
      </c>
      <c r="AA454" s="132">
        <f>SUM(AA449:AA453)</f>
      </c>
      <c r="AB454" s="132">
        <f>SUM(AB449:AB453)</f>
      </c>
      <c r="AC454" s="132">
        <f>SUM(AC449:AC453)</f>
      </c>
      <c r="AD454" s="137">
        <f t="shared" si="17"/>
      </c>
      <c r="AE454" s="138"/>
      <c r="AF454" s="139"/>
      <c r="AG454" s="132">
        <f>SUM(AG449:AG453)</f>
      </c>
      <c r="AH454" s="132">
        <f>SUM(AH449:AH453)</f>
      </c>
      <c r="AI454" s="132">
        <f>SUM(AI449:AI453)</f>
      </c>
      <c r="AJ454" s="132">
        <f>SUM(AJ449:AJ453)</f>
      </c>
      <c r="AK454" s="132">
        <f>SUM(AK449:AK453)</f>
      </c>
      <c r="AL454" s="132">
        <f>SUM(AL449:AL453)</f>
      </c>
    </row>
    <row r="455">
      <c r="A455" s="108"/>
      <c r="B455" s="109" t="s">
        <v>133</v>
      </c>
      <c r="C455" s="110" t="s">
        <v>135</v>
      </c>
      <c r="D455" s="111">
        <f t="shared" ref="D455:D459" si="361">E455+F455+G455+H455</f>
      </c>
      <c r="E455" s="110">
        <v>1421.45</v>
      </c>
      <c r="F455" s="140">
        <v>5815.96</v>
      </c>
      <c r="G455" s="113">
        <v>0</v>
      </c>
      <c r="H455" s="113">
        <v>0</v>
      </c>
      <c r="I455" s="113">
        <f t="shared" ref="I455:I459" si="490">AB455+AC455</f>
      </c>
      <c r="J455" s="160">
        <v>0</v>
      </c>
      <c r="K455" s="115">
        <f t="shared" ref="K455:K459" si="103">I455-J455</f>
      </c>
      <c r="L455" s="115">
        <f t="shared" ref="L455:L459" si="232">(I455-AC455)/12+AC455</f>
      </c>
      <c r="M455" s="116">
        <f t="shared" si="623"/>
      </c>
      <c r="N455" s="117">
        <f t="shared" si="653"/>
      </c>
      <c r="O455" s="118">
        <f t="shared" si="563"/>
      </c>
      <c r="P455" s="119">
        <f t="shared" si="593"/>
      </c>
      <c r="Q455" s="119">
        <f t="shared" si="773"/>
      </c>
      <c r="R455" s="119">
        <f t="shared" si="803"/>
      </c>
      <c r="S455" s="120">
        <f t="shared" si="683"/>
      </c>
      <c r="T455" s="121">
        <f t="shared" si="713"/>
      </c>
      <c r="U455" s="119">
        <f t="shared" si="992"/>
      </c>
      <c r="V455" s="122">
        <f t="shared" si="743"/>
      </c>
      <c r="W455" s="122">
        <f t="shared" si="1022"/>
      </c>
      <c r="X455" s="119">
        <f t="shared" si="833"/>
      </c>
      <c r="Y455" s="123">
        <f t="shared" ref="Y455:Y459" si="919">Z455+AA455</f>
      </c>
      <c r="Z455" s="123">
        <v>5</v>
      </c>
      <c r="AA455" s="123">
        <v>4</v>
      </c>
      <c r="AB455" s="124">
        <v>7747.919999999984</v>
      </c>
      <c r="AC455" s="124">
        <v>0</v>
      </c>
      <c r="AD455" s="120">
        <f t="shared" si="17"/>
      </c>
      <c r="AE455" s="125" t="s">
        <v>121</v>
      </c>
      <c r="AF455" s="126" t="s">
        <v>154</v>
      </c>
      <c r="AG455" s="127">
        <v>4</v>
      </c>
      <c r="AH455" s="127">
        <v>66278</v>
      </c>
      <c r="AI455" s="127">
        <v>1149</v>
      </c>
      <c r="AJ455" s="127">
        <v>1221</v>
      </c>
      <c r="AK455" s="127">
        <v>187</v>
      </c>
      <c r="AL455" s="127">
        <v>196</v>
      </c>
    </row>
    <row r="456">
      <c r="A456" s="108"/>
      <c r="B456" s="109" t="s">
        <v>133</v>
      </c>
      <c r="C456" s="110" t="s">
        <v>138</v>
      </c>
      <c r="D456" s="111">
        <f t="shared" si="361"/>
      </c>
      <c r="E456" s="110">
        <v>605.73</v>
      </c>
      <c r="F456" s="140">
        <v>6441.41</v>
      </c>
      <c r="G456" s="113">
        <v>0</v>
      </c>
      <c r="H456" s="113">
        <v>0</v>
      </c>
      <c r="I456" s="113">
        <f t="shared" si="490"/>
      </c>
      <c r="J456" s="114">
        <v>1128.6</v>
      </c>
      <c r="K456" s="115">
        <f t="shared" si="103"/>
      </c>
      <c r="L456" s="115">
        <f t="shared" si="232"/>
      </c>
      <c r="M456" s="116">
        <f t="shared" si="623"/>
      </c>
      <c r="N456" s="117">
        <f t="shared" si="653"/>
      </c>
      <c r="O456" s="118">
        <f t="shared" si="563"/>
      </c>
      <c r="P456" s="119">
        <f t="shared" si="593"/>
      </c>
      <c r="Q456" s="119">
        <f t="shared" si="773"/>
      </c>
      <c r="R456" s="119">
        <f t="shared" si="803"/>
      </c>
      <c r="S456" s="120">
        <f t="shared" si="683"/>
      </c>
      <c r="T456" s="121">
        <f t="shared" si="713"/>
      </c>
      <c r="U456" s="119">
        <f t="shared" si="992"/>
      </c>
      <c r="V456" s="122">
        <f t="shared" si="743"/>
      </c>
      <c r="W456" s="122">
        <f t="shared" si="1022"/>
      </c>
      <c r="X456" s="119">
        <f t="shared" si="833"/>
      </c>
      <c r="Y456" s="123">
        <f t="shared" si="919"/>
      </c>
      <c r="Z456" s="123">
        <v>10</v>
      </c>
      <c r="AA456" s="123">
        <v>8</v>
      </c>
      <c r="AB456" s="124">
        <v>12807.72000000003</v>
      </c>
      <c r="AC456" s="124">
        <v>0</v>
      </c>
      <c r="AD456" s="120">
        <f t="shared" si="17"/>
      </c>
      <c r="AE456" s="125" t="s">
        <v>121</v>
      </c>
      <c r="AF456" s="126" t="s">
        <v>154</v>
      </c>
      <c r="AG456" s="129">
        <v>7</v>
      </c>
      <c r="AH456" s="128">
        <v>67848</v>
      </c>
      <c r="AI456" s="128">
        <v>990</v>
      </c>
      <c r="AJ456" s="128">
        <v>1020</v>
      </c>
      <c r="AK456" s="129">
        <v>178</v>
      </c>
      <c r="AL456" s="129">
        <v>206</v>
      </c>
    </row>
    <row r="457">
      <c r="A457" s="108"/>
      <c r="B457" s="109" t="s">
        <v>133</v>
      </c>
      <c r="C457" s="110" t="s">
        <v>140</v>
      </c>
      <c r="D457" s="111">
        <f t="shared" si="361"/>
      </c>
      <c r="E457" s="110">
        <v>699.88</v>
      </c>
      <c r="F457" s="140">
        <v>6941.1</v>
      </c>
      <c r="G457" s="113">
        <v>0</v>
      </c>
      <c r="H457" s="113">
        <v>0</v>
      </c>
      <c r="I457" s="113">
        <f t="shared" si="490"/>
      </c>
      <c r="J457" s="160">
        <v>646.92</v>
      </c>
      <c r="K457" s="115">
        <f t="shared" si="103"/>
      </c>
      <c r="L457" s="115">
        <f t="shared" si="232"/>
      </c>
      <c r="M457" s="116">
        <f t="shared" si="623"/>
      </c>
      <c r="N457" s="117">
        <f t="shared" si="653"/>
      </c>
      <c r="O457" s="118">
        <f t="shared" si="563"/>
      </c>
      <c r="P457" s="119">
        <f t="shared" si="593"/>
      </c>
      <c r="Q457" s="119">
        <f t="shared" si="773"/>
      </c>
      <c r="R457" s="119">
        <f t="shared" si="803"/>
      </c>
      <c r="S457" s="120">
        <f t="shared" si="683"/>
      </c>
      <c r="T457" s="121">
        <f t="shared" si="713"/>
      </c>
      <c r="U457" s="119">
        <f t="shared" si="992"/>
      </c>
      <c r="V457" s="122">
        <f t="shared" si="743"/>
      </c>
      <c r="W457" s="122">
        <f t="shared" si="1022"/>
      </c>
      <c r="X457" s="119">
        <f t="shared" si="833"/>
      </c>
      <c r="Y457" s="123">
        <f t="shared" si="919"/>
      </c>
      <c r="Z457" s="123">
        <v>4</v>
      </c>
      <c r="AA457" s="123">
        <v>9</v>
      </c>
      <c r="AB457" s="124">
        <v>10713.599999999977</v>
      </c>
      <c r="AC457" s="124">
        <v>0</v>
      </c>
      <c r="AD457" s="120">
        <f t="shared" si="17"/>
      </c>
      <c r="AE457" s="125" t="s">
        <v>121</v>
      </c>
      <c r="AF457" s="126" t="s">
        <v>154</v>
      </c>
      <c r="AG457" s="127">
        <v>7</v>
      </c>
      <c r="AH457" s="128">
        <v>84107</v>
      </c>
      <c r="AI457" s="128">
        <v>783</v>
      </c>
      <c r="AJ457" s="128">
        <v>819</v>
      </c>
      <c r="AK457" s="129">
        <v>161</v>
      </c>
      <c r="AL457" s="129">
        <v>186</v>
      </c>
    </row>
    <row r="458">
      <c r="A458" s="108"/>
      <c r="B458" s="109" t="s">
        <v>133</v>
      </c>
      <c r="C458" s="141" t="s">
        <v>141</v>
      </c>
      <c r="D458" s="111">
        <f t="shared" si="361"/>
      </c>
      <c r="E458" s="110">
        <v>487.09</v>
      </c>
      <c r="F458" s="140">
        <v>6453.33</v>
      </c>
      <c r="G458" s="113">
        <v>0</v>
      </c>
      <c r="H458" s="113">
        <v>0</v>
      </c>
      <c r="I458" s="113">
        <f t="shared" si="490"/>
      </c>
      <c r="J458" s="160">
        <v>2299.32</v>
      </c>
      <c r="K458" s="115">
        <f t="shared" si="103"/>
      </c>
      <c r="L458" s="115">
        <f t="shared" si="232"/>
      </c>
      <c r="M458" s="116">
        <f t="shared" si="623"/>
      </c>
      <c r="N458" s="117">
        <f t="shared" si="653"/>
      </c>
      <c r="O458" s="118">
        <f t="shared" si="563"/>
      </c>
      <c r="P458" s="119">
        <f t="shared" si="593"/>
      </c>
      <c r="Q458" s="119">
        <f t="shared" si="773"/>
      </c>
      <c r="R458" s="119">
        <f t="shared" si="803"/>
      </c>
      <c r="S458" s="120">
        <f t="shared" si="683"/>
      </c>
      <c r="T458" s="121">
        <f t="shared" si="713"/>
      </c>
      <c r="U458" s="119">
        <f t="shared" si="992"/>
      </c>
      <c r="V458" s="122">
        <f t="shared" si="743"/>
      </c>
      <c r="W458" s="122">
        <f t="shared" si="1022"/>
      </c>
      <c r="X458" s="119">
        <f t="shared" si="833"/>
      </c>
      <c r="Y458" s="123">
        <f t="shared" si="919"/>
      </c>
      <c r="Z458" s="123">
        <v>6</v>
      </c>
      <c r="AA458" s="123">
        <v>8</v>
      </c>
      <c r="AB458" s="124">
        <v>12556.080000000016</v>
      </c>
      <c r="AC458" s="124">
        <v>341</v>
      </c>
      <c r="AD458" s="120">
        <f t="shared" si="17"/>
      </c>
      <c r="AE458" s="125" t="s">
        <v>121</v>
      </c>
      <c r="AF458" s="126" t="s">
        <v>154</v>
      </c>
      <c r="AG458" s="127">
        <v>7</v>
      </c>
      <c r="AH458" s="128">
        <v>83171</v>
      </c>
      <c r="AI458" s="128">
        <v>947</v>
      </c>
      <c r="AJ458" s="128">
        <v>985</v>
      </c>
      <c r="AK458" s="129">
        <v>168</v>
      </c>
      <c r="AL458" s="129">
        <v>202</v>
      </c>
    </row>
    <row r="459">
      <c r="A459" s="108"/>
      <c r="B459" s="109" t="s">
        <v>133</v>
      </c>
      <c r="C459" s="141" t="s">
        <v>142</v>
      </c>
      <c r="D459" s="111">
        <f t="shared" si="361"/>
      </c>
      <c r="E459" s="110">
        <v>867.19</v>
      </c>
      <c r="F459" s="140">
        <v>5872.8</v>
      </c>
      <c r="G459" s="113">
        <v>0</v>
      </c>
      <c r="H459" s="113">
        <v>0</v>
      </c>
      <c r="I459" s="113">
        <f t="shared" si="490"/>
      </c>
      <c r="J459" s="114">
        <v>0</v>
      </c>
      <c r="K459" s="115">
        <f t="shared" si="103"/>
      </c>
      <c r="L459" s="115">
        <f t="shared" si="232"/>
      </c>
      <c r="M459" s="116">
        <f t="shared" si="623"/>
      </c>
      <c r="N459" s="117">
        <f t="shared" si="653"/>
      </c>
      <c r="O459" s="118">
        <f t="shared" si="563"/>
      </c>
      <c r="P459" s="119">
        <f t="shared" si="593"/>
      </c>
      <c r="Q459" s="119">
        <f t="shared" si="773"/>
      </c>
      <c r="R459" s="119">
        <f t="shared" si="803"/>
      </c>
      <c r="S459" s="120">
        <f t="shared" si="683"/>
      </c>
      <c r="T459" s="121">
        <f t="shared" si="713"/>
      </c>
      <c r="U459" s="119">
        <f t="shared" si="992"/>
      </c>
      <c r="V459" s="122">
        <f t="shared" si="743"/>
      </c>
      <c r="W459" s="122">
        <f t="shared" si="1022"/>
      </c>
      <c r="X459" s="119">
        <f t="shared" si="833"/>
      </c>
      <c r="Y459" s="123">
        <f t="shared" si="919"/>
      </c>
      <c r="Z459" s="123">
        <v>10</v>
      </c>
      <c r="AA459" s="123">
        <v>4</v>
      </c>
      <c r="AB459" s="124">
        <v>13248.359999999986</v>
      </c>
      <c r="AC459" s="124">
        <v>0</v>
      </c>
      <c r="AD459" s="120">
        <f t="shared" si="17"/>
      </c>
      <c r="AE459" s="125" t="s">
        <v>121</v>
      </c>
      <c r="AF459" s="126" t="s">
        <v>154</v>
      </c>
      <c r="AG459" s="127">
        <v>4</v>
      </c>
      <c r="AH459" s="128">
        <v>75056</v>
      </c>
      <c r="AI459" s="128">
        <v>1075</v>
      </c>
      <c r="AJ459" s="128">
        <v>1167</v>
      </c>
      <c r="AK459" s="129">
        <v>162</v>
      </c>
      <c r="AL459" s="129">
        <v>174</v>
      </c>
    </row>
    <row r="460">
      <c r="A460" s="108"/>
      <c r="B460" s="130" t="s">
        <v>127</v>
      </c>
      <c r="C460" s="131">
        <v>5</v>
      </c>
      <c r="D460" s="132">
        <f>SUM(D455:D459)</f>
      </c>
      <c r="E460" s="132">
        <f>SUM(E455:E459)</f>
      </c>
      <c r="F460" s="132">
        <f>SUM(F455:F459)</f>
      </c>
      <c r="G460" s="132">
        <f>SUM(G455:G459)</f>
      </c>
      <c r="H460" s="132">
        <f>SUM(H455:H459)</f>
      </c>
      <c r="I460" s="132">
        <f>SUM(I455:I459)</f>
      </c>
      <c r="J460" s="132">
        <f>SUM(J455:J459)</f>
      </c>
      <c r="K460" s="132">
        <f>SUM(K455:K459)</f>
      </c>
      <c r="L460" s="132">
        <f>SUM(L455:L459)</f>
      </c>
      <c r="M460" s="133">
        <f t="shared" si="623"/>
      </c>
      <c r="N460" s="134">
        <f t="shared" si="653"/>
      </c>
      <c r="O460" s="134">
        <f t="shared" si="563"/>
      </c>
      <c r="P460" s="135">
        <f t="shared" si="593"/>
      </c>
      <c r="Q460" s="135">
        <f t="shared" si="773"/>
      </c>
      <c r="R460" s="135">
        <f t="shared" si="803"/>
      </c>
      <c r="S460" s="136">
        <f t="shared" si="683"/>
      </c>
      <c r="T460" s="136">
        <f t="shared" si="713"/>
      </c>
      <c r="U460" s="135">
        <f t="shared" si="992"/>
      </c>
      <c r="V460" s="136">
        <f t="shared" si="743"/>
      </c>
      <c r="W460" s="136">
        <f t="shared" si="1022"/>
      </c>
      <c r="X460" s="135">
        <f t="shared" si="833"/>
      </c>
      <c r="Y460" s="132">
        <f>SUM(Y455:Y459)</f>
      </c>
      <c r="Z460" s="132">
        <f>SUM(Z455:Z459)</f>
      </c>
      <c r="AA460" s="132">
        <f>SUM(AA455:AA459)</f>
      </c>
      <c r="AB460" s="132">
        <f>SUM(AB455:AB459)</f>
      </c>
      <c r="AC460" s="132">
        <f>SUM(AC455:AC459)</f>
      </c>
      <c r="AD460" s="137">
        <f t="shared" si="17"/>
      </c>
      <c r="AE460" s="138"/>
      <c r="AF460" s="139"/>
      <c r="AG460" s="132">
        <f>SUM(AG455:AG459)</f>
      </c>
      <c r="AH460" s="132">
        <f>SUM(AH455:AH459)</f>
      </c>
      <c r="AI460" s="132">
        <f>SUM(AI455:AI459)</f>
      </c>
      <c r="AJ460" s="132">
        <f>SUM(AJ455:AJ459)</f>
      </c>
      <c r="AK460" s="132">
        <f>SUM(AK455:AK459)</f>
      </c>
      <c r="AL460" s="132">
        <f>SUM(AL455:AL459)</f>
      </c>
    </row>
    <row r="461">
      <c r="A461" s="108"/>
      <c r="B461" s="109" t="s">
        <v>139</v>
      </c>
      <c r="C461" s="141" t="s">
        <v>144</v>
      </c>
      <c r="D461" s="143">
        <f t="shared" ref="D461:D465" si="362">E461+F461+G461+H461</f>
      </c>
      <c r="E461" s="166">
        <v>1324.29</v>
      </c>
      <c r="F461" s="145">
        <v>4815.63</v>
      </c>
      <c r="G461" s="113">
        <v>0</v>
      </c>
      <c r="H461" s="113">
        <v>0</v>
      </c>
      <c r="I461" s="113">
        <f t="shared" ref="I461:I465" si="491">AB461+AC461</f>
      </c>
      <c r="J461" s="114">
        <v>0</v>
      </c>
      <c r="K461" s="115">
        <f t="shared" ref="K461:K465" si="104">I461-J461</f>
      </c>
      <c r="L461" s="115">
        <f t="shared" ref="L461:L465" si="233">(I461-AC461)/12+AC461</f>
      </c>
      <c r="M461" s="116">
        <f t="shared" si="623"/>
      </c>
      <c r="N461" s="117">
        <f t="shared" si="653"/>
      </c>
      <c r="O461" s="118">
        <f t="shared" si="563"/>
      </c>
      <c r="P461" s="119">
        <f t="shared" si="593"/>
      </c>
      <c r="Q461" s="119">
        <f t="shared" si="773"/>
      </c>
      <c r="R461" s="119">
        <f t="shared" si="803"/>
      </c>
      <c r="S461" s="120">
        <f t="shared" si="683"/>
      </c>
      <c r="T461" s="121">
        <f t="shared" si="713"/>
      </c>
      <c r="U461" s="119">
        <f t="shared" si="992"/>
      </c>
      <c r="V461" s="122">
        <f t="shared" si="743"/>
      </c>
      <c r="W461" s="122">
        <f t="shared" si="1022"/>
      </c>
      <c r="X461" s="119">
        <f t="shared" si="833"/>
      </c>
      <c r="Y461" s="123">
        <f t="shared" ref="Y461:Y465" si="920">Z461+AA461</f>
      </c>
      <c r="Z461" s="123">
        <v>4</v>
      </c>
      <c r="AA461" s="123">
        <v>7</v>
      </c>
      <c r="AB461" s="124">
        <v>9230.76000000001</v>
      </c>
      <c r="AC461" s="124">
        <v>411</v>
      </c>
      <c r="AD461" s="120">
        <f t="shared" si="17"/>
      </c>
      <c r="AE461" s="125" t="s">
        <v>121</v>
      </c>
      <c r="AF461" s="126" t="s">
        <v>154</v>
      </c>
      <c r="AG461" s="127">
        <v>6</v>
      </c>
      <c r="AH461" s="127">
        <v>63273</v>
      </c>
      <c r="AI461" s="128">
        <v>1229</v>
      </c>
      <c r="AJ461" s="128">
        <v>1336</v>
      </c>
      <c r="AK461" s="127">
        <v>149</v>
      </c>
      <c r="AL461" s="129">
        <v>181</v>
      </c>
    </row>
    <row r="462">
      <c r="A462" s="108"/>
      <c r="B462" s="109" t="s">
        <v>139</v>
      </c>
      <c r="C462" s="110" t="s">
        <v>145</v>
      </c>
      <c r="D462" s="143">
        <f t="shared" si="362"/>
      </c>
      <c r="E462" s="147">
        <v>831.05</v>
      </c>
      <c r="F462" s="145">
        <v>6811.63</v>
      </c>
      <c r="G462" s="113">
        <v>0</v>
      </c>
      <c r="H462" s="113">
        <v>0</v>
      </c>
      <c r="I462" s="113">
        <f t="shared" si="491"/>
      </c>
      <c r="J462" s="114">
        <v>1105.92</v>
      </c>
      <c r="K462" s="115">
        <f t="shared" si="104"/>
      </c>
      <c r="L462" s="115">
        <f t="shared" si="233"/>
      </c>
      <c r="M462" s="116">
        <f t="shared" si="623"/>
      </c>
      <c r="N462" s="117">
        <f t="shared" si="653"/>
      </c>
      <c r="O462" s="118">
        <f t="shared" si="563"/>
      </c>
      <c r="P462" s="119">
        <f t="shared" si="593"/>
      </c>
      <c r="Q462" s="119">
        <f t="shared" si="773"/>
      </c>
      <c r="R462" s="119">
        <f t="shared" si="803"/>
      </c>
      <c r="S462" s="120">
        <f t="shared" si="683"/>
      </c>
      <c r="T462" s="121">
        <f t="shared" si="713"/>
      </c>
      <c r="U462" s="119">
        <f t="shared" si="992"/>
      </c>
      <c r="V462" s="122">
        <f t="shared" si="743"/>
      </c>
      <c r="W462" s="122">
        <f t="shared" si="1022"/>
      </c>
      <c r="X462" s="119">
        <f t="shared" si="833"/>
      </c>
      <c r="Y462" s="123">
        <f t="shared" si="920"/>
      </c>
      <c r="Z462" s="123">
        <v>5</v>
      </c>
      <c r="AA462" s="123">
        <v>6</v>
      </c>
      <c r="AB462" s="124">
        <v>12252.479999999981</v>
      </c>
      <c r="AC462" s="124">
        <v>2702</v>
      </c>
      <c r="AD462" s="120">
        <f t="shared" si="17"/>
      </c>
      <c r="AE462" s="125" t="s">
        <v>121</v>
      </c>
      <c r="AF462" s="126" t="s">
        <v>154</v>
      </c>
      <c r="AG462" s="127">
        <v>6</v>
      </c>
      <c r="AH462" s="128">
        <v>79774</v>
      </c>
      <c r="AI462" s="128">
        <v>1291</v>
      </c>
      <c r="AJ462" s="128">
        <v>1355</v>
      </c>
      <c r="AK462" s="129">
        <v>163</v>
      </c>
      <c r="AL462" s="129">
        <v>192</v>
      </c>
    </row>
    <row r="463">
      <c r="A463" s="108"/>
      <c r="B463" s="109" t="s">
        <v>139</v>
      </c>
      <c r="C463" s="141" t="s">
        <v>146</v>
      </c>
      <c r="D463" s="143">
        <f t="shared" si="362"/>
      </c>
      <c r="E463" s="169">
        <v>1087.89</v>
      </c>
      <c r="F463" s="170">
        <v>7732.13</v>
      </c>
      <c r="G463" s="113">
        <v>0</v>
      </c>
      <c r="H463" s="113">
        <v>0</v>
      </c>
      <c r="I463" s="171">
        <f t="shared" si="491"/>
      </c>
      <c r="J463" s="115">
        <v>0</v>
      </c>
      <c r="K463" s="115">
        <f t="shared" si="104"/>
      </c>
      <c r="L463" s="115">
        <f t="shared" si="233"/>
      </c>
      <c r="M463" s="116">
        <f t="shared" si="623"/>
      </c>
      <c r="N463" s="117">
        <f t="shared" si="653"/>
      </c>
      <c r="O463" s="118">
        <f t="shared" si="563"/>
      </c>
      <c r="P463" s="119">
        <f t="shared" si="593"/>
      </c>
      <c r="Q463" s="119">
        <f t="shared" si="773"/>
      </c>
      <c r="R463" s="119">
        <f t="shared" si="803"/>
      </c>
      <c r="S463" s="120">
        <f t="shared" si="683"/>
      </c>
      <c r="T463" s="121">
        <f t="shared" si="713"/>
      </c>
      <c r="U463" s="119">
        <f t="shared" si="992"/>
      </c>
      <c r="V463" s="122">
        <f t="shared" si="743"/>
      </c>
      <c r="W463" s="122">
        <f t="shared" si="1022"/>
      </c>
      <c r="X463" s="119">
        <f t="shared" si="833"/>
      </c>
      <c r="Y463" s="172">
        <f t="shared" si="920"/>
      </c>
      <c r="Z463" s="172">
        <v>4</v>
      </c>
      <c r="AA463" s="172">
        <v>9</v>
      </c>
      <c r="AB463" s="173">
        <v>13255.559999999998</v>
      </c>
      <c r="AC463" s="173">
        <v>335</v>
      </c>
      <c r="AD463" s="120">
        <f t="shared" si="17"/>
      </c>
      <c r="AE463" s="125" t="s">
        <v>121</v>
      </c>
      <c r="AF463" s="125" t="s">
        <v>154</v>
      </c>
      <c r="AG463" s="129">
        <v>8</v>
      </c>
      <c r="AH463" s="128">
        <v>91860</v>
      </c>
      <c r="AI463" s="128">
        <v>1595</v>
      </c>
      <c r="AJ463" s="128">
        <v>1681</v>
      </c>
      <c r="AK463" s="129">
        <v>155</v>
      </c>
      <c r="AL463" s="129">
        <v>181</v>
      </c>
    </row>
    <row r="464">
      <c r="A464" s="108"/>
      <c r="B464" s="109" t="s">
        <v>139</v>
      </c>
      <c r="C464" s="110" t="s">
        <v>147</v>
      </c>
      <c r="D464" s="143">
        <f t="shared" si="362"/>
      </c>
      <c r="E464" s="147">
        <v>1408.54</v>
      </c>
      <c r="F464" s="145">
        <v>5038.71</v>
      </c>
      <c r="G464" s="113">
        <v>0</v>
      </c>
      <c r="H464" s="113">
        <v>0</v>
      </c>
      <c r="I464" s="113">
        <f t="shared" si="491"/>
      </c>
      <c r="J464" s="115">
        <v>0</v>
      </c>
      <c r="K464" s="115">
        <f t="shared" si="104"/>
      </c>
      <c r="L464" s="115">
        <f t="shared" si="233"/>
      </c>
      <c r="M464" s="116">
        <f t="shared" si="623"/>
      </c>
      <c r="N464" s="117">
        <f t="shared" si="653"/>
      </c>
      <c r="O464" s="118">
        <f t="shared" si="563"/>
      </c>
      <c r="P464" s="119">
        <f t="shared" si="593"/>
      </c>
      <c r="Q464" s="119">
        <f t="shared" si="773"/>
      </c>
      <c r="R464" s="119">
        <f t="shared" si="803"/>
      </c>
      <c r="S464" s="120">
        <f t="shared" si="683"/>
      </c>
      <c r="T464" s="121">
        <f t="shared" si="713"/>
      </c>
      <c r="U464" s="119">
        <f t="shared" si="992"/>
      </c>
      <c r="V464" s="122">
        <f t="shared" si="743"/>
      </c>
      <c r="W464" s="122">
        <f t="shared" si="1022"/>
      </c>
      <c r="X464" s="119">
        <f t="shared" si="833"/>
      </c>
      <c r="Y464" s="123">
        <f t="shared" si="920"/>
      </c>
      <c r="Z464" s="123">
        <v>6</v>
      </c>
      <c r="AA464" s="123">
        <v>8</v>
      </c>
      <c r="AB464" s="124">
        <v>13022.64</v>
      </c>
      <c r="AC464" s="124">
        <v>0</v>
      </c>
      <c r="AD464" s="120">
        <f t="shared" si="17"/>
      </c>
      <c r="AE464" s="125" t="s">
        <v>121</v>
      </c>
      <c r="AF464" s="126" t="s">
        <v>154</v>
      </c>
      <c r="AG464" s="127">
        <v>7</v>
      </c>
      <c r="AH464" s="128">
        <v>70581</v>
      </c>
      <c r="AI464" s="128">
        <v>2002</v>
      </c>
      <c r="AJ464" s="128">
        <v>2151</v>
      </c>
      <c r="AK464" s="129">
        <v>166</v>
      </c>
      <c r="AL464" s="129">
        <v>193</v>
      </c>
    </row>
    <row r="465">
      <c r="A465" s="108"/>
      <c r="B465" s="109" t="s">
        <v>139</v>
      </c>
      <c r="C465" s="110" t="s">
        <v>148</v>
      </c>
      <c r="D465" s="143">
        <f t="shared" si="362"/>
      </c>
      <c r="E465" s="147">
        <v>600.8</v>
      </c>
      <c r="F465" s="145">
        <v>5004.2</v>
      </c>
      <c r="G465" s="113">
        <v>0</v>
      </c>
      <c r="H465" s="113">
        <v>0</v>
      </c>
      <c r="I465" s="113">
        <f t="shared" si="491"/>
      </c>
      <c r="J465" s="115">
        <v>0</v>
      </c>
      <c r="K465" s="115">
        <f t="shared" si="104"/>
      </c>
      <c r="L465" s="115">
        <f t="shared" si="233"/>
      </c>
      <c r="M465" s="116">
        <f t="shared" si="623"/>
      </c>
      <c r="N465" s="117">
        <f t="shared" si="653"/>
      </c>
      <c r="O465" s="118">
        <f t="shared" si="563"/>
      </c>
      <c r="P465" s="119">
        <f t="shared" si="593"/>
      </c>
      <c r="Q465" s="119">
        <f t="shared" si="773"/>
      </c>
      <c r="R465" s="119">
        <f t="shared" si="803"/>
      </c>
      <c r="S465" s="120">
        <f t="shared" si="683"/>
      </c>
      <c r="T465" s="121">
        <f t="shared" si="713"/>
      </c>
      <c r="U465" s="119">
        <f t="shared" si="992"/>
      </c>
      <c r="V465" s="122">
        <f t="shared" si="743"/>
      </c>
      <c r="W465" s="122">
        <f t="shared" si="1022"/>
      </c>
      <c r="X465" s="119">
        <f t="shared" si="833"/>
      </c>
      <c r="Y465" s="123">
        <f t="shared" si="920"/>
      </c>
      <c r="Z465" s="123">
        <v>1</v>
      </c>
      <c r="AA465" s="123">
        <v>3</v>
      </c>
      <c r="AB465" s="124">
        <v>1271.1599999999999</v>
      </c>
      <c r="AC465" s="124">
        <v>0</v>
      </c>
      <c r="AD465" s="120">
        <f t="shared" si="17"/>
      </c>
      <c r="AE465" s="125" t="s">
        <v>121</v>
      </c>
      <c r="AF465" s="126" t="s">
        <v>154</v>
      </c>
      <c r="AG465" s="127">
        <v>2</v>
      </c>
      <c r="AH465" s="128">
        <v>73594</v>
      </c>
      <c r="AI465" s="128">
        <v>1772</v>
      </c>
      <c r="AJ465" s="128">
        <v>1905</v>
      </c>
      <c r="AK465" s="129">
        <v>152</v>
      </c>
      <c r="AL465" s="129">
        <v>185</v>
      </c>
    </row>
    <row r="466">
      <c r="A466" s="108"/>
      <c r="B466" s="130" t="s">
        <v>127</v>
      </c>
      <c r="C466" s="131">
        <v>5</v>
      </c>
      <c r="D466" s="132">
        <f>SUM(D461:D465)</f>
      </c>
      <c r="E466" s="132">
        <f>SUM(E461:E465)</f>
      </c>
      <c r="F466" s="132">
        <f>SUM(F461:F465)</f>
      </c>
      <c r="G466" s="132">
        <f>SUM(G461:G465)</f>
      </c>
      <c r="H466" s="132">
        <f>SUM(H461:H465)</f>
      </c>
      <c r="I466" s="132">
        <f>SUM(I461:I465)</f>
      </c>
      <c r="J466" s="132">
        <f>SUM(J461:J465)</f>
      </c>
      <c r="K466" s="132">
        <f>SUM(K461:K465)</f>
      </c>
      <c r="L466" s="132">
        <f>SUM(L461:L465)</f>
      </c>
      <c r="M466" s="133">
        <f t="shared" si="623"/>
      </c>
      <c r="N466" s="134">
        <f t="shared" si="653"/>
      </c>
      <c r="O466" s="134">
        <f t="shared" si="563"/>
      </c>
      <c r="P466" s="135">
        <f t="shared" si="593"/>
      </c>
      <c r="Q466" s="135">
        <f t="shared" si="773"/>
      </c>
      <c r="R466" s="135">
        <f t="shared" si="803"/>
      </c>
      <c r="S466" s="136">
        <f t="shared" si="683"/>
      </c>
      <c r="T466" s="136">
        <f t="shared" si="713"/>
      </c>
      <c r="U466" s="135">
        <f t="shared" si="992"/>
      </c>
      <c r="V466" s="136">
        <f t="shared" si="743"/>
      </c>
      <c r="W466" s="136">
        <f t="shared" si="1022"/>
      </c>
      <c r="X466" s="135">
        <f t="shared" si="833"/>
      </c>
      <c r="Y466" s="132">
        <f>SUM(Y461:Y465)</f>
      </c>
      <c r="Z466" s="132">
        <f>SUM(Z461:Z465)</f>
      </c>
      <c r="AA466" s="132">
        <f>SUM(AA461:AA465)</f>
      </c>
      <c r="AB466" s="132">
        <f>SUM(AB461:AB465)</f>
      </c>
      <c r="AC466" s="132">
        <f>SUM(AC461:AC465)</f>
      </c>
      <c r="AD466" s="150">
        <f t="shared" si="17"/>
      </c>
      <c r="AE466" s="151"/>
      <c r="AF466" s="139"/>
      <c r="AG466" s="132">
        <f>SUM(AG461:AG465)</f>
      </c>
      <c r="AH466" s="132">
        <f>SUM(AH461:AH465)</f>
      </c>
      <c r="AI466" s="132">
        <f>SUM(AI461:AI465)</f>
      </c>
      <c r="AJ466" s="132">
        <f>SUM(AJ461:AJ465)</f>
      </c>
      <c r="AK466" s="132">
        <f>SUM(AK461:AK465)</f>
      </c>
      <c r="AL466" s="132">
        <f>SUM(AL461:AL465)</f>
      </c>
    </row>
    <row r="467">
      <c r="A467" s="108"/>
      <c r="B467" s="152" t="s">
        <v>127</v>
      </c>
      <c r="C467" s="153">
        <f>C448+C454+C460+C466</f>
      </c>
      <c r="D467" s="167">
        <f>D448+D454+D460+D466</f>
      </c>
      <c r="E467" s="153">
        <f>E448+E454+E460+E466</f>
      </c>
      <c r="F467" s="153">
        <f>F448+F454+F460+F466</f>
      </c>
      <c r="G467" s="153">
        <f>G448+G454+G460+G466</f>
      </c>
      <c r="H467" s="153">
        <f>H448+H454+H460+H466</f>
      </c>
      <c r="I467" s="167">
        <f>I448+I454+I460+I466</f>
      </c>
      <c r="J467" s="153">
        <f>J448+J454+J460+J466</f>
      </c>
      <c r="K467" s="153">
        <f>K448+K454+K460+K466</f>
      </c>
      <c r="L467" s="153">
        <f>L448+L454+L460+L466</f>
      </c>
      <c r="M467" s="154">
        <f t="shared" si="623"/>
      </c>
      <c r="N467" s="154">
        <f t="shared" si="653"/>
      </c>
      <c r="O467" s="154">
        <f t="shared" si="563"/>
      </c>
      <c r="P467" s="154">
        <f t="shared" si="593"/>
      </c>
      <c r="Q467" s="154">
        <f t="shared" si="773"/>
      </c>
      <c r="R467" s="154">
        <f t="shared" si="803"/>
      </c>
      <c r="S467" s="155">
        <f t="shared" si="683"/>
      </c>
      <c r="T467" s="155">
        <f t="shared" si="713"/>
      </c>
      <c r="U467" s="154">
        <f t="shared" si="992"/>
      </c>
      <c r="V467" s="155">
        <f t="shared" si="743"/>
      </c>
      <c r="W467" s="155">
        <f t="shared" si="1022"/>
      </c>
      <c r="X467" s="154">
        <f t="shared" si="833"/>
      </c>
      <c r="Y467" s="156">
        <f>Y448+Y454+Y460+Y466</f>
      </c>
      <c r="Z467" s="156">
        <f>Z448+Z454+Z460+Z466</f>
      </c>
      <c r="AA467" s="156">
        <f>AA448+AA454+AA460+AA466</f>
      </c>
      <c r="AB467" s="156">
        <f>AB448+AB454+AB460+AB466</f>
      </c>
      <c r="AC467" s="156">
        <f>AC448+AC454+AC460+AC466</f>
      </c>
      <c r="AD467" s="157">
        <f>AD448+AD454+AD460+AD466</f>
      </c>
      <c r="AE467" s="158"/>
      <c r="AF467" s="159"/>
      <c r="AG467" s="153">
        <f>AG448+AG454+AG460+AG466</f>
      </c>
      <c r="AH467" s="153">
        <f>AH448+AH454+AH460+AH466</f>
      </c>
      <c r="AI467" s="153">
        <f>AI448+AI454+AI460+AI466</f>
      </c>
      <c r="AJ467" s="153">
        <f>AJ448+AJ454+AJ460+AJ466</f>
      </c>
      <c r="AK467" s="153">
        <f>AK448+AK454+AK460+AK466</f>
      </c>
      <c r="AL467" s="153">
        <f>AL448+AL454+AL460+AL466</f>
      </c>
    </row>
    <row r="468">
      <c r="A468" s="94" t="s">
        <v>81</v>
      </c>
      <c r="B468" s="95" t="s">
        <v>82</v>
      </c>
      <c r="C468" s="95" t="s">
        <v>83</v>
      </c>
      <c r="D468" s="96" t="s">
        <v>84</v>
      </c>
      <c r="E468" s="164" t="s">
        <v>85</v>
      </c>
      <c r="F468" s="95" t="s">
        <v>86</v>
      </c>
      <c r="G468" s="97" t="s">
        <v>87</v>
      </c>
      <c r="H468" s="97" t="s">
        <v>88</v>
      </c>
      <c r="I468" s="96" t="s">
        <v>89</v>
      </c>
      <c r="J468" s="98" t="s">
        <v>90</v>
      </c>
      <c r="K468" s="99" t="s">
        <v>91</v>
      </c>
      <c r="L468" s="99" t="s">
        <v>92</v>
      </c>
      <c r="M468" s="100" t="s">
        <v>93</v>
      </c>
      <c r="N468" s="99" t="s">
        <v>94</v>
      </c>
      <c r="O468" s="95" t="s">
        <v>95</v>
      </c>
      <c r="P468" s="100" t="s">
        <v>96</v>
      </c>
      <c r="Q468" s="101" t="s">
        <v>97</v>
      </c>
      <c r="R468" s="101" t="s">
        <v>98</v>
      </c>
      <c r="S468" s="96" t="s">
        <v>99</v>
      </c>
      <c r="T468" s="102" t="s">
        <v>100</v>
      </c>
      <c r="U468" s="100" t="s">
        <v>101</v>
      </c>
      <c r="V468" s="103" t="s">
        <v>102</v>
      </c>
      <c r="W468" s="104" t="s">
        <v>103</v>
      </c>
      <c r="X468" s="100" t="s">
        <v>104</v>
      </c>
      <c r="Y468" s="105" t="s">
        <v>105</v>
      </c>
      <c r="Z468" s="106" t="s">
        <v>106</v>
      </c>
      <c r="AA468" s="105" t="s">
        <v>107</v>
      </c>
      <c r="AB468" s="107" t="s">
        <v>108</v>
      </c>
      <c r="AC468" s="107" t="s">
        <v>109</v>
      </c>
      <c r="AD468" s="99" t="s">
        <v>110</v>
      </c>
      <c r="AE468" s="98" t="s">
        <v>111</v>
      </c>
      <c r="AF468" s="99" t="s">
        <v>112</v>
      </c>
      <c r="AG468" s="98" t="s">
        <v>113</v>
      </c>
      <c r="AH468" s="98" t="s">
        <v>114</v>
      </c>
      <c r="AI468" s="99" t="s">
        <v>115</v>
      </c>
      <c r="AJ468" s="98" t="s">
        <v>116</v>
      </c>
      <c r="AK468" s="99" t="s">
        <v>117</v>
      </c>
      <c r="AL468" s="98" t="s">
        <v>118</v>
      </c>
    </row>
    <row r="469">
      <c r="A469" s="108">
        <v>46284</v>
      </c>
      <c r="B469" s="109" t="s">
        <v>119</v>
      </c>
      <c r="C469" s="110" t="s">
        <v>120</v>
      </c>
      <c r="D469" s="143">
        <f t="shared" ref="D469:D473" si="363">E469+F469+G469+H469</f>
      </c>
      <c r="E469" s="144">
        <v>1034.84</v>
      </c>
      <c r="F469" s="146">
        <v>15390.71</v>
      </c>
      <c r="G469" s="113">
        <v>0</v>
      </c>
      <c r="H469" s="113">
        <v>0</v>
      </c>
      <c r="I469" s="113">
        <f t="shared" ref="I469:I473" si="492">AB469+AC469</f>
      </c>
      <c r="J469" s="114">
        <v>473.04</v>
      </c>
      <c r="K469" s="115">
        <f t="shared" ref="K469:K473" si="105">I469-J469</f>
      </c>
      <c r="L469" s="115">
        <f t="shared" ref="L469:L473" si="234">(I469-AC469)/12+AC469</f>
      </c>
      <c r="M469" s="116">
        <f t="shared" ref="M469:M493" si="624">I469/D469</f>
      </c>
      <c r="N469" s="117">
        <f t="shared" ref="N469:N493" si="654">(I469-J469)/D469</f>
      </c>
      <c r="O469" s="118">
        <f t="shared" ref="O469:O493" si="564">(AC469+AB469/12)/D469</f>
      </c>
      <c r="P469" s="119">
        <f t="shared" ref="P469:P493" si="594">I469/AA469</f>
      </c>
      <c r="Q469" s="119">
        <f t="shared" ref="Q469:Q493" si="774">D469/AA469</f>
      </c>
      <c r="R469" s="119">
        <f t="shared" ref="R469:R493" si="804">D469/AG469</f>
      </c>
      <c r="S469" s="120">
        <f t="shared" ref="S469:S493" si="684">AA469/Y469</f>
      </c>
      <c r="T469" s="121">
        <f t="shared" ref="T469:T493" si="714">AI469/AH469</f>
      </c>
      <c r="U469" s="119">
        <f t="shared" ref="U469:U493" si="993">D469/AJ469</f>
      </c>
      <c r="V469" s="122">
        <f t="shared" ref="V469:V493" si="744">AK469/AJ469</f>
      </c>
      <c r="W469" s="122">
        <f t="shared" ref="W469:W493" si="1023">AL469/AJ469</f>
      </c>
      <c r="X469" s="119">
        <f t="shared" ref="X469:X493" si="834">D469/AL469</f>
      </c>
      <c r="Y469" s="123">
        <f t="shared" ref="Y469:Y473" si="921">Z469+AA469</f>
      </c>
      <c r="Z469" s="123">
        <v>8</v>
      </c>
      <c r="AA469" s="123">
        <v>12</v>
      </c>
      <c r="AB469" s="124">
        <v>17452.2</v>
      </c>
      <c r="AC469" s="124">
        <v>0</v>
      </c>
      <c r="AD469" s="120">
        <f t="shared" ref="AD469:AD492" si="18">AC469/I469</f>
      </c>
      <c r="AE469" s="125" t="s">
        <v>121</v>
      </c>
      <c r="AF469" s="126" t="s">
        <v>122</v>
      </c>
      <c r="AG469" s="127">
        <v>12</v>
      </c>
      <c r="AH469" s="127">
        <v>151517</v>
      </c>
      <c r="AI469" s="128">
        <v>4294</v>
      </c>
      <c r="AJ469" s="128">
        <v>4627</v>
      </c>
      <c r="AK469" s="127">
        <v>474</v>
      </c>
      <c r="AL469" s="129">
        <v>543</v>
      </c>
    </row>
    <row r="470">
      <c r="A470" s="108"/>
      <c r="B470" s="109" t="s">
        <v>119</v>
      </c>
      <c r="C470" s="110" t="s">
        <v>123</v>
      </c>
      <c r="D470" s="143">
        <f t="shared" si="363"/>
      </c>
      <c r="E470" s="147">
        <v>1154.94</v>
      </c>
      <c r="F470" s="146">
        <v>8359.47</v>
      </c>
      <c r="G470" s="113">
        <v>0</v>
      </c>
      <c r="H470" s="113">
        <v>0</v>
      </c>
      <c r="I470" s="113">
        <f t="shared" si="492"/>
      </c>
      <c r="J470" s="114">
        <v>1480.68</v>
      </c>
      <c r="K470" s="115">
        <f t="shared" si="105"/>
      </c>
      <c r="L470" s="115">
        <f t="shared" si="234"/>
      </c>
      <c r="M470" s="116">
        <f t="shared" si="624"/>
      </c>
      <c r="N470" s="117">
        <f t="shared" si="654"/>
      </c>
      <c r="O470" s="118">
        <f t="shared" si="564"/>
      </c>
      <c r="P470" s="119">
        <f t="shared" si="594"/>
      </c>
      <c r="Q470" s="119">
        <f t="shared" si="774"/>
      </c>
      <c r="R470" s="119">
        <f t="shared" si="804"/>
      </c>
      <c r="S470" s="120">
        <f t="shared" si="684"/>
      </c>
      <c r="T470" s="121">
        <f t="shared" si="714"/>
      </c>
      <c r="U470" s="119">
        <f t="shared" si="993"/>
      </c>
      <c r="V470" s="122">
        <f t="shared" si="744"/>
      </c>
      <c r="W470" s="122">
        <f t="shared" si="1023"/>
      </c>
      <c r="X470" s="119">
        <f t="shared" si="834"/>
      </c>
      <c r="Y470" s="123">
        <f t="shared" si="921"/>
      </c>
      <c r="Z470" s="123">
        <v>13</v>
      </c>
      <c r="AA470" s="123">
        <v>10</v>
      </c>
      <c r="AB470" s="124">
        <v>12593.879999999997</v>
      </c>
      <c r="AC470" s="124">
        <v>1664</v>
      </c>
      <c r="AD470" s="120">
        <f t="shared" si="18"/>
      </c>
      <c r="AE470" s="125" t="s">
        <v>121</v>
      </c>
      <c r="AF470" s="126" t="s">
        <v>122</v>
      </c>
      <c r="AG470" s="127">
        <v>9</v>
      </c>
      <c r="AH470" s="128">
        <v>89909</v>
      </c>
      <c r="AI470" s="128">
        <v>2358</v>
      </c>
      <c r="AJ470" s="128">
        <v>2605</v>
      </c>
      <c r="AK470" s="129">
        <v>394</v>
      </c>
      <c r="AL470" s="129">
        <v>396</v>
      </c>
    </row>
    <row r="471">
      <c r="A471" s="108"/>
      <c r="B471" s="109" t="s">
        <v>119</v>
      </c>
      <c r="C471" s="110" t="s">
        <v>124</v>
      </c>
      <c r="D471" s="111">
        <f t="shared" si="363"/>
      </c>
      <c r="E471" s="165">
        <v>967.47</v>
      </c>
      <c r="F471" s="110">
        <v>7664.26</v>
      </c>
      <c r="G471" s="113">
        <v>0</v>
      </c>
      <c r="H471" s="113">
        <v>0</v>
      </c>
      <c r="I471" s="113">
        <f t="shared" si="492"/>
      </c>
      <c r="J471" s="114">
        <f>820.92+597.12+657.72+1126.44</f>
      </c>
      <c r="K471" s="115">
        <f t="shared" si="105"/>
      </c>
      <c r="L471" s="115">
        <f t="shared" si="234"/>
      </c>
      <c r="M471" s="116">
        <f t="shared" si="624"/>
      </c>
      <c r="N471" s="117">
        <f t="shared" si="654"/>
      </c>
      <c r="O471" s="118">
        <f t="shared" si="564"/>
      </c>
      <c r="P471" s="119">
        <f t="shared" si="594"/>
      </c>
      <c r="Q471" s="119">
        <f t="shared" si="774"/>
      </c>
      <c r="R471" s="119">
        <f t="shared" si="804"/>
      </c>
      <c r="S471" s="120">
        <f t="shared" si="684"/>
      </c>
      <c r="T471" s="121">
        <f t="shared" si="714"/>
      </c>
      <c r="U471" s="119">
        <f t="shared" si="993"/>
      </c>
      <c r="V471" s="122">
        <f t="shared" si="744"/>
      </c>
      <c r="W471" s="122">
        <f t="shared" si="1023"/>
      </c>
      <c r="X471" s="119">
        <f t="shared" si="834"/>
      </c>
      <c r="Y471" s="123">
        <f t="shared" si="921"/>
      </c>
      <c r="Z471" s="123">
        <v>7</v>
      </c>
      <c r="AA471" s="123">
        <v>12</v>
      </c>
      <c r="AB471" s="124">
        <v>17873.88000000001</v>
      </c>
      <c r="AC471" s="124">
        <v>0</v>
      </c>
      <c r="AD471" s="120">
        <f t="shared" si="18"/>
      </c>
      <c r="AE471" s="125" t="s">
        <v>121</v>
      </c>
      <c r="AF471" s="126" t="s">
        <v>122</v>
      </c>
      <c r="AG471" s="127">
        <v>10</v>
      </c>
      <c r="AH471" s="128">
        <v>72742</v>
      </c>
      <c r="AI471" s="128">
        <v>1412</v>
      </c>
      <c r="AJ471" s="128">
        <v>1551</v>
      </c>
      <c r="AK471" s="129">
        <v>238</v>
      </c>
      <c r="AL471" s="129">
        <v>261</v>
      </c>
    </row>
    <row r="472">
      <c r="A472" s="108"/>
      <c r="B472" s="109" t="s">
        <v>119</v>
      </c>
      <c r="C472" s="110" t="s">
        <v>125</v>
      </c>
      <c r="D472" s="111">
        <f t="shared" si="363"/>
      </c>
      <c r="E472" s="175">
        <v>917.65</v>
      </c>
      <c r="F472" s="113">
        <v>7555.73</v>
      </c>
      <c r="G472" s="113">
        <v>0</v>
      </c>
      <c r="H472" s="113">
        <v>0</v>
      </c>
      <c r="I472" s="113">
        <f t="shared" si="492"/>
      </c>
      <c r="J472" s="114">
        <f>733.32+462+1509.84+443.88+1172.88+1622.16</f>
      </c>
      <c r="K472" s="115">
        <f t="shared" si="105"/>
      </c>
      <c r="L472" s="115">
        <f t="shared" si="234"/>
      </c>
      <c r="M472" s="116">
        <f t="shared" si="624"/>
      </c>
      <c r="N472" s="117">
        <f t="shared" si="654"/>
      </c>
      <c r="O472" s="118">
        <f t="shared" si="564"/>
      </c>
      <c r="P472" s="119">
        <f t="shared" si="594"/>
      </c>
      <c r="Q472" s="119">
        <f t="shared" si="774"/>
      </c>
      <c r="R472" s="119">
        <f t="shared" si="804"/>
      </c>
      <c r="S472" s="120">
        <f t="shared" si="684"/>
      </c>
      <c r="T472" s="121">
        <f t="shared" si="714"/>
      </c>
      <c r="U472" s="119">
        <f t="shared" si="993"/>
      </c>
      <c r="V472" s="122">
        <f t="shared" si="744"/>
      </c>
      <c r="W472" s="122">
        <f t="shared" si="1023"/>
      </c>
      <c r="X472" s="119">
        <f t="shared" si="834"/>
      </c>
      <c r="Y472" s="123">
        <f t="shared" si="921"/>
      </c>
      <c r="Z472" s="123">
        <v>7</v>
      </c>
      <c r="AA472" s="123">
        <v>11</v>
      </c>
      <c r="AB472" s="124">
        <v>12614.399999999994</v>
      </c>
      <c r="AC472" s="124">
        <v>2195</v>
      </c>
      <c r="AD472" s="120">
        <f t="shared" si="18"/>
      </c>
      <c r="AE472" s="125" t="s">
        <v>121</v>
      </c>
      <c r="AF472" s="126" t="s">
        <v>122</v>
      </c>
      <c r="AG472" s="127">
        <v>11</v>
      </c>
      <c r="AH472" s="128">
        <v>59189</v>
      </c>
      <c r="AI472" s="128">
        <v>1012</v>
      </c>
      <c r="AJ472" s="128">
        <v>1116</v>
      </c>
      <c r="AK472" s="129">
        <v>230</v>
      </c>
      <c r="AL472" s="129">
        <v>238</v>
      </c>
    </row>
    <row r="473">
      <c r="A473" s="108"/>
      <c r="B473" s="109" t="s">
        <v>119</v>
      </c>
      <c r="C473" s="110" t="s">
        <v>126</v>
      </c>
      <c r="D473" s="143">
        <f t="shared" si="363"/>
      </c>
      <c r="E473" s="144">
        <v>821.26</v>
      </c>
      <c r="F473" s="146">
        <v>7339.92</v>
      </c>
      <c r="G473" s="113">
        <v>0</v>
      </c>
      <c r="H473" s="113">
        <v>0</v>
      </c>
      <c r="I473" s="113">
        <f t="shared" si="492"/>
      </c>
      <c r="J473" s="114">
        <f>449.4+372.48</f>
      </c>
      <c r="K473" s="115">
        <f t="shared" si="105"/>
      </c>
      <c r="L473" s="115">
        <f t="shared" si="234"/>
      </c>
      <c r="M473" s="116">
        <f t="shared" si="624"/>
      </c>
      <c r="N473" s="117">
        <f t="shared" si="654"/>
      </c>
      <c r="O473" s="118">
        <f t="shared" si="564"/>
      </c>
      <c r="P473" s="119">
        <f t="shared" si="594"/>
      </c>
      <c r="Q473" s="119">
        <f t="shared" si="774"/>
      </c>
      <c r="R473" s="119">
        <f t="shared" si="804"/>
      </c>
      <c r="S473" s="120">
        <f t="shared" si="684"/>
      </c>
      <c r="T473" s="121">
        <f t="shared" si="714"/>
      </c>
      <c r="U473" s="119">
        <f t="shared" si="993"/>
      </c>
      <c r="V473" s="122">
        <f t="shared" si="744"/>
      </c>
      <c r="W473" s="122">
        <f t="shared" si="1023"/>
      </c>
      <c r="X473" s="119">
        <f t="shared" si="834"/>
      </c>
      <c r="Y473" s="123">
        <f t="shared" si="921"/>
      </c>
      <c r="Z473" s="123">
        <v>4</v>
      </c>
      <c r="AA473" s="123">
        <v>11</v>
      </c>
      <c r="AB473" s="124">
        <v>17888.160000000003</v>
      </c>
      <c r="AC473" s="124">
        <v>0</v>
      </c>
      <c r="AD473" s="120">
        <f t="shared" si="18"/>
      </c>
      <c r="AE473" s="125" t="s">
        <v>121</v>
      </c>
      <c r="AF473" s="126" t="s">
        <v>122</v>
      </c>
      <c r="AG473" s="127">
        <v>8</v>
      </c>
      <c r="AH473" s="128">
        <v>57201</v>
      </c>
      <c r="AI473" s="128">
        <v>854</v>
      </c>
      <c r="AJ473" s="128">
        <v>889</v>
      </c>
      <c r="AK473" s="127">
        <v>208</v>
      </c>
      <c r="AL473" s="127">
        <v>224</v>
      </c>
    </row>
    <row r="474">
      <c r="A474" s="108"/>
      <c r="B474" s="130" t="s">
        <v>127</v>
      </c>
      <c r="C474" s="131">
        <v>5</v>
      </c>
      <c r="D474" s="132">
        <f>SUM(D469:D473)</f>
      </c>
      <c r="E474" s="148">
        <f>SUM(E469:E473)</f>
      </c>
      <c r="F474" s="132">
        <f>SUM(F469:F473)</f>
      </c>
      <c r="G474" s="132">
        <f>SUM(G469:G473)</f>
      </c>
      <c r="H474" s="132">
        <f>SUM(H469:H473)</f>
      </c>
      <c r="I474" s="132">
        <f>SUM(I469:I473)</f>
      </c>
      <c r="J474" s="132">
        <f>SUM(J469:J473)</f>
      </c>
      <c r="K474" s="132">
        <f>SUM(K469:K473)</f>
      </c>
      <c r="L474" s="132">
        <f>SUM(L469:L473)</f>
      </c>
      <c r="M474" s="133">
        <f t="shared" si="624"/>
      </c>
      <c r="N474" s="134">
        <f t="shared" si="654"/>
      </c>
      <c r="O474" s="134">
        <f t="shared" si="564"/>
      </c>
      <c r="P474" s="135">
        <f t="shared" si="594"/>
      </c>
      <c r="Q474" s="135">
        <f t="shared" si="774"/>
      </c>
      <c r="R474" s="135">
        <f t="shared" si="804"/>
      </c>
      <c r="S474" s="136">
        <f t="shared" si="684"/>
      </c>
      <c r="T474" s="136">
        <f t="shared" si="714"/>
      </c>
      <c r="U474" s="135">
        <f t="shared" si="993"/>
      </c>
      <c r="V474" s="136">
        <f t="shared" si="744"/>
      </c>
      <c r="W474" s="136">
        <f t="shared" si="1023"/>
      </c>
      <c r="X474" s="135">
        <f t="shared" si="834"/>
      </c>
      <c r="Y474" s="132">
        <f>SUM(Y469:Y473)</f>
      </c>
      <c r="Z474" s="132">
        <f>SUM(Z469:Z473)</f>
      </c>
      <c r="AA474" s="132">
        <f>SUM(AA469:AA473)</f>
      </c>
      <c r="AB474" s="132">
        <f>SUM(AB469:AB473)</f>
      </c>
      <c r="AC474" s="132">
        <f>SUM(AC469:AC473)</f>
      </c>
      <c r="AD474" s="137">
        <f t="shared" si="18"/>
      </c>
      <c r="AE474" s="138"/>
      <c r="AF474" s="139"/>
      <c r="AG474" s="132">
        <f>SUM(AG469:AG473)</f>
      </c>
      <c r="AH474" s="132">
        <f>SUM(AH469:AH473)</f>
      </c>
      <c r="AI474" s="132">
        <f>SUM(AI469:AI473)</f>
      </c>
      <c r="AJ474" s="132">
        <f>SUM(AJ469:AJ473)</f>
      </c>
      <c r="AK474" s="132">
        <f>SUM(AK469:AK473)</f>
      </c>
      <c r="AL474" s="132">
        <f>SUM(AL469:AL473)</f>
      </c>
    </row>
    <row r="475">
      <c r="A475" s="108"/>
      <c r="B475" s="109" t="s">
        <v>128</v>
      </c>
      <c r="C475" s="110" t="s">
        <v>129</v>
      </c>
      <c r="D475" s="111">
        <f t="shared" ref="D475:D479" si="364">E475+F475+G475+H475</f>
      </c>
      <c r="E475" s="112">
        <v>737.73</v>
      </c>
      <c r="F475" s="113">
        <v>10729.57</v>
      </c>
      <c r="G475" s="113">
        <v>0</v>
      </c>
      <c r="H475" s="113">
        <v>0</v>
      </c>
      <c r="I475" s="113">
        <f t="shared" ref="I475:I479" si="493">AB475+AC475</f>
      </c>
      <c r="J475" s="114">
        <f>1509.84+1871.64+2918.16</f>
      </c>
      <c r="K475" s="115">
        <f t="shared" ref="K475:K479" si="106">I475-J475</f>
      </c>
      <c r="L475" s="115">
        <f t="shared" ref="L475:L479" si="235">(I475-AC475)/12+AC475</f>
      </c>
      <c r="M475" s="116">
        <f t="shared" si="624"/>
      </c>
      <c r="N475" s="117">
        <f t="shared" si="654"/>
      </c>
      <c r="O475" s="118">
        <f t="shared" si="564"/>
      </c>
      <c r="P475" s="119">
        <f t="shared" si="594"/>
      </c>
      <c r="Q475" s="119">
        <f t="shared" si="774"/>
      </c>
      <c r="R475" s="119">
        <f t="shared" si="804"/>
      </c>
      <c r="S475" s="120">
        <f t="shared" si="684"/>
      </c>
      <c r="T475" s="121">
        <f t="shared" si="714"/>
      </c>
      <c r="U475" s="119">
        <f t="shared" si="993"/>
      </c>
      <c r="V475" s="122">
        <f t="shared" si="744"/>
      </c>
      <c r="W475" s="122">
        <f t="shared" si="1023"/>
      </c>
      <c r="X475" s="119">
        <f t="shared" si="834"/>
      </c>
      <c r="Y475" s="123">
        <f t="shared" ref="Y475:Y479" si="922">Z475+AA475</f>
      </c>
      <c r="Z475" s="123">
        <v>8</v>
      </c>
      <c r="AA475" s="123">
        <v>9</v>
      </c>
      <c r="AB475" s="124">
        <v>18848.15999999999</v>
      </c>
      <c r="AC475" s="124">
        <v>0</v>
      </c>
      <c r="AD475" s="120">
        <f t="shared" si="18"/>
      </c>
      <c r="AE475" s="125" t="s">
        <v>121</v>
      </c>
      <c r="AF475" s="126" t="s">
        <v>122</v>
      </c>
      <c r="AG475" s="127">
        <v>9</v>
      </c>
      <c r="AH475" s="128">
        <v>80799</v>
      </c>
      <c r="AI475" s="128">
        <v>1137</v>
      </c>
      <c r="AJ475" s="128">
        <v>1216</v>
      </c>
      <c r="AK475" s="127">
        <v>216</v>
      </c>
      <c r="AL475" s="127">
        <v>271</v>
      </c>
    </row>
    <row r="476">
      <c r="A476" s="108"/>
      <c r="B476" s="109" t="s">
        <v>128</v>
      </c>
      <c r="C476" s="110" t="s">
        <v>130</v>
      </c>
      <c r="D476" s="111">
        <f t="shared" si="364"/>
      </c>
      <c r="E476" s="110">
        <v>910.31</v>
      </c>
      <c r="F476" s="113">
        <v>6773.82</v>
      </c>
      <c r="G476" s="113">
        <v>0</v>
      </c>
      <c r="H476" s="113">
        <v>0</v>
      </c>
      <c r="I476" s="113">
        <f t="shared" si="493"/>
      </c>
      <c r="J476" s="162">
        <v>0</v>
      </c>
      <c r="K476" s="115">
        <f t="shared" si="106"/>
      </c>
      <c r="L476" s="115">
        <f t="shared" si="235"/>
      </c>
      <c r="M476" s="116">
        <f t="shared" si="624"/>
      </c>
      <c r="N476" s="117">
        <f t="shared" si="654"/>
      </c>
      <c r="O476" s="118">
        <f t="shared" si="564"/>
      </c>
      <c r="P476" s="119">
        <f t="shared" si="594"/>
      </c>
      <c r="Q476" s="119">
        <f t="shared" si="774"/>
      </c>
      <c r="R476" s="119">
        <f t="shared" si="804"/>
      </c>
      <c r="S476" s="120">
        <f t="shared" si="684"/>
      </c>
      <c r="T476" s="121">
        <f t="shared" si="714"/>
      </c>
      <c r="U476" s="119">
        <f t="shared" si="993"/>
      </c>
      <c r="V476" s="122">
        <f t="shared" si="744"/>
      </c>
      <c r="W476" s="122">
        <f t="shared" si="1023"/>
      </c>
      <c r="X476" s="119">
        <f t="shared" si="834"/>
      </c>
      <c r="Y476" s="123">
        <f t="shared" si="922"/>
      </c>
      <c r="Z476" s="123">
        <v>2</v>
      </c>
      <c r="AA476" s="123">
        <v>7</v>
      </c>
      <c r="AB476" s="124">
        <v>10212.48000000001</v>
      </c>
      <c r="AC476" s="124">
        <v>0</v>
      </c>
      <c r="AD476" s="120">
        <f t="shared" si="18"/>
      </c>
      <c r="AE476" s="125" t="s">
        <v>121</v>
      </c>
      <c r="AF476" s="126" t="s">
        <v>122</v>
      </c>
      <c r="AG476" s="127">
        <v>7</v>
      </c>
      <c r="AH476" s="128">
        <v>57960</v>
      </c>
      <c r="AI476" s="128">
        <v>963</v>
      </c>
      <c r="AJ476" s="128">
        <v>1063</v>
      </c>
      <c r="AK476" s="129">
        <v>179</v>
      </c>
      <c r="AL476" s="129">
        <v>208</v>
      </c>
    </row>
    <row r="477">
      <c r="A477" s="108"/>
      <c r="B477" s="109" t="s">
        <v>128</v>
      </c>
      <c r="C477" s="110" t="s">
        <v>131</v>
      </c>
      <c r="D477" s="111">
        <f t="shared" si="364"/>
      </c>
      <c r="E477" s="110">
        <v>743.91</v>
      </c>
      <c r="F477" s="110">
        <v>7855.18</v>
      </c>
      <c r="G477" s="113">
        <v>0</v>
      </c>
      <c r="H477" s="113">
        <v>0</v>
      </c>
      <c r="I477" s="113">
        <f t="shared" si="493"/>
      </c>
      <c r="J477" s="114">
        <f>453.6+1320.84+1074+4988.28</f>
      </c>
      <c r="K477" s="115">
        <f t="shared" si="106"/>
      </c>
      <c r="L477" s="115">
        <f t="shared" si="235"/>
      </c>
      <c r="M477" s="116">
        <f t="shared" si="624"/>
      </c>
      <c r="N477" s="117">
        <f t="shared" si="654"/>
      </c>
      <c r="O477" s="118">
        <f t="shared" si="564"/>
      </c>
      <c r="P477" s="119">
        <f t="shared" si="594"/>
      </c>
      <c r="Q477" s="119">
        <f t="shared" si="774"/>
      </c>
      <c r="R477" s="119">
        <f t="shared" si="804"/>
      </c>
      <c r="S477" s="120">
        <f t="shared" si="684"/>
      </c>
      <c r="T477" s="121">
        <f t="shared" si="714"/>
      </c>
      <c r="U477" s="119">
        <f t="shared" si="993"/>
      </c>
      <c r="V477" s="122">
        <f t="shared" si="744"/>
      </c>
      <c r="W477" s="122">
        <f t="shared" si="1023"/>
      </c>
      <c r="X477" s="119">
        <f t="shared" si="834"/>
      </c>
      <c r="Y477" s="123">
        <f t="shared" si="922"/>
      </c>
      <c r="Z477" s="123">
        <v>8</v>
      </c>
      <c r="AA477" s="123">
        <v>8</v>
      </c>
      <c r="AB477" s="124">
        <v>10849.439999999988</v>
      </c>
      <c r="AC477" s="124">
        <v>1074</v>
      </c>
      <c r="AD477" s="120">
        <f t="shared" si="18"/>
      </c>
      <c r="AE477" s="125" t="s">
        <v>121</v>
      </c>
      <c r="AF477" s="126" t="s">
        <v>122</v>
      </c>
      <c r="AG477" s="129">
        <v>8</v>
      </c>
      <c r="AH477" s="128">
        <v>78268</v>
      </c>
      <c r="AI477" s="128">
        <v>1010</v>
      </c>
      <c r="AJ477" s="128">
        <v>1101</v>
      </c>
      <c r="AK477" s="129">
        <v>190</v>
      </c>
      <c r="AL477" s="129">
        <v>226</v>
      </c>
    </row>
    <row r="478">
      <c r="A478" s="108"/>
      <c r="B478" s="109" t="s">
        <v>128</v>
      </c>
      <c r="C478" s="110" t="s">
        <v>132</v>
      </c>
      <c r="D478" s="111">
        <f t="shared" si="364"/>
      </c>
      <c r="E478" s="110">
        <v>1727.14</v>
      </c>
      <c r="F478" s="113">
        <v>6162.21</v>
      </c>
      <c r="G478" s="113">
        <v>0</v>
      </c>
      <c r="H478" s="113">
        <v>0</v>
      </c>
      <c r="I478" s="113">
        <f t="shared" si="493"/>
      </c>
      <c r="J478" s="114">
        <f>2568+527.4</f>
      </c>
      <c r="K478" s="115">
        <f t="shared" si="106"/>
      </c>
      <c r="L478" s="115">
        <f t="shared" si="235"/>
      </c>
      <c r="M478" s="116">
        <f t="shared" si="624"/>
      </c>
      <c r="N478" s="117">
        <f t="shared" si="654"/>
      </c>
      <c r="O478" s="118">
        <f t="shared" si="564"/>
      </c>
      <c r="P478" s="119">
        <f t="shared" si="594"/>
      </c>
      <c r="Q478" s="119">
        <f t="shared" si="774"/>
      </c>
      <c r="R478" s="119">
        <f t="shared" si="804"/>
      </c>
      <c r="S478" s="120">
        <f t="shared" si="684"/>
      </c>
      <c r="T478" s="121">
        <f t="shared" si="714"/>
      </c>
      <c r="U478" s="119">
        <f t="shared" si="993"/>
      </c>
      <c r="V478" s="122">
        <f t="shared" si="744"/>
      </c>
      <c r="W478" s="122">
        <f t="shared" si="1023"/>
      </c>
      <c r="X478" s="119">
        <f t="shared" si="834"/>
      </c>
      <c r="Y478" s="123">
        <f t="shared" si="922"/>
      </c>
      <c r="Z478" s="123">
        <v>4</v>
      </c>
      <c r="AA478" s="123">
        <v>3</v>
      </c>
      <c r="AB478" s="114">
        <v>7442.399999999994</v>
      </c>
      <c r="AC478" s="124">
        <v>0</v>
      </c>
      <c r="AD478" s="120">
        <f t="shared" si="18"/>
      </c>
      <c r="AE478" s="125" t="s">
        <v>121</v>
      </c>
      <c r="AF478" s="126" t="s">
        <v>122</v>
      </c>
      <c r="AG478" s="127">
        <v>3</v>
      </c>
      <c r="AH478" s="128">
        <v>69224</v>
      </c>
      <c r="AI478" s="128">
        <v>1176</v>
      </c>
      <c r="AJ478" s="128">
        <v>1245</v>
      </c>
      <c r="AK478" s="129">
        <v>175</v>
      </c>
      <c r="AL478" s="129">
        <v>272</v>
      </c>
    </row>
    <row r="479">
      <c r="A479" s="108"/>
      <c r="B479" s="109" t="s">
        <v>128</v>
      </c>
      <c r="C479" s="110" t="s">
        <v>134</v>
      </c>
      <c r="D479" s="111">
        <f t="shared" si="364"/>
      </c>
      <c r="E479" s="110">
        <v>1476.13</v>
      </c>
      <c r="F479" s="140">
        <v>6925.81</v>
      </c>
      <c r="G479" s="113">
        <v>0</v>
      </c>
      <c r="H479" s="113">
        <v>0</v>
      </c>
      <c r="I479" s="113">
        <f t="shared" si="493"/>
      </c>
      <c r="J479" s="114">
        <f>421.2+676.08</f>
      </c>
      <c r="K479" s="115">
        <f t="shared" si="106"/>
      </c>
      <c r="L479" s="115">
        <f t="shared" si="235"/>
      </c>
      <c r="M479" s="116">
        <f t="shared" si="624"/>
      </c>
      <c r="N479" s="117">
        <f t="shared" si="654"/>
      </c>
      <c r="O479" s="118">
        <f t="shared" si="564"/>
      </c>
      <c r="P479" s="119">
        <f t="shared" si="594"/>
      </c>
      <c r="Q479" s="119">
        <f t="shared" si="774"/>
      </c>
      <c r="R479" s="119">
        <f t="shared" si="804"/>
      </c>
      <c r="S479" s="120">
        <f t="shared" si="684"/>
      </c>
      <c r="T479" s="121">
        <f t="shared" si="714"/>
      </c>
      <c r="U479" s="119">
        <f t="shared" si="993"/>
      </c>
      <c r="V479" s="122">
        <f t="shared" si="744"/>
      </c>
      <c r="W479" s="122">
        <f t="shared" si="1023"/>
      </c>
      <c r="X479" s="119">
        <f t="shared" si="834"/>
      </c>
      <c r="Y479" s="123">
        <f t="shared" si="922"/>
      </c>
      <c r="Z479" s="123">
        <v>1</v>
      </c>
      <c r="AA479" s="123">
        <v>7</v>
      </c>
      <c r="AB479" s="124">
        <v>13441.08000000003</v>
      </c>
      <c r="AC479" s="124">
        <v>0</v>
      </c>
      <c r="AD479" s="120">
        <f t="shared" si="18"/>
      </c>
      <c r="AE479" s="125" t="s">
        <v>121</v>
      </c>
      <c r="AF479" s="126" t="s">
        <v>122</v>
      </c>
      <c r="AG479" s="127">
        <v>6</v>
      </c>
      <c r="AH479" s="127">
        <v>74660</v>
      </c>
      <c r="AI479" s="127">
        <v>1156</v>
      </c>
      <c r="AJ479" s="127">
        <v>1255</v>
      </c>
      <c r="AK479" s="127">
        <v>206</v>
      </c>
      <c r="AL479" s="127">
        <v>240</v>
      </c>
    </row>
    <row r="480">
      <c r="A480" s="108"/>
      <c r="B480" s="130" t="s">
        <v>127</v>
      </c>
      <c r="C480" s="131">
        <v>5</v>
      </c>
      <c r="D480" s="132">
        <f>SUM(D475:D479)</f>
      </c>
      <c r="E480" s="132">
        <f>SUM(E475:E479)</f>
      </c>
      <c r="F480" s="132">
        <f>SUM(F475:F479)</f>
      </c>
      <c r="G480" s="132">
        <f>SUM(G475:G479)</f>
      </c>
      <c r="H480" s="132">
        <f>SUM(H475:H479)</f>
      </c>
      <c r="I480" s="132">
        <f>SUM(I475:I479)</f>
      </c>
      <c r="J480" s="132">
        <f>SUM(J475:J479)</f>
      </c>
      <c r="K480" s="132">
        <f>SUM(K475:K479)</f>
      </c>
      <c r="L480" s="132">
        <f>SUM(L475:L479)</f>
      </c>
      <c r="M480" s="133">
        <f t="shared" si="624"/>
      </c>
      <c r="N480" s="134">
        <f t="shared" si="654"/>
      </c>
      <c r="O480" s="134">
        <f t="shared" si="564"/>
      </c>
      <c r="P480" s="135">
        <f t="shared" si="594"/>
      </c>
      <c r="Q480" s="135">
        <f t="shared" si="774"/>
      </c>
      <c r="R480" s="135">
        <f t="shared" si="804"/>
      </c>
      <c r="S480" s="136">
        <f t="shared" si="684"/>
      </c>
      <c r="T480" s="136">
        <f t="shared" si="714"/>
      </c>
      <c r="U480" s="135">
        <f t="shared" si="993"/>
      </c>
      <c r="V480" s="136">
        <f t="shared" si="744"/>
      </c>
      <c r="W480" s="136">
        <f t="shared" si="1023"/>
      </c>
      <c r="X480" s="135">
        <f t="shared" si="834"/>
      </c>
      <c r="Y480" s="132">
        <f>SUM(Y475:Y479)</f>
      </c>
      <c r="Z480" s="132">
        <f>SUM(Z475:Z479)</f>
      </c>
      <c r="AA480" s="132">
        <f>SUM(AA475:AA479)</f>
      </c>
      <c r="AB480" s="132">
        <f>SUM(AB475:AB479)</f>
      </c>
      <c r="AC480" s="132">
        <f>SUM(AC475:AC479)</f>
      </c>
      <c r="AD480" s="137">
        <f t="shared" si="18"/>
      </c>
      <c r="AE480" s="138"/>
      <c r="AF480" s="139"/>
      <c r="AG480" s="132">
        <f>SUM(AG475:AG479)</f>
      </c>
      <c r="AH480" s="132">
        <f>SUM(AH475:AH479)</f>
      </c>
      <c r="AI480" s="132">
        <f>SUM(AI475:AI479)</f>
      </c>
      <c r="AJ480" s="132">
        <f>SUM(AJ475:AJ479)</f>
      </c>
      <c r="AK480" s="132">
        <f>SUM(AK475:AK479)</f>
      </c>
      <c r="AL480" s="132">
        <f>SUM(AL475:AL479)</f>
      </c>
    </row>
    <row r="481">
      <c r="A481" s="108"/>
      <c r="B481" s="109" t="s">
        <v>139</v>
      </c>
      <c r="C481" s="110" t="s">
        <v>135</v>
      </c>
      <c r="D481" s="111">
        <f t="shared" ref="D481:D485" si="365">E481+F481+G481+H481</f>
      </c>
      <c r="E481" s="110">
        <v>1280.52</v>
      </c>
      <c r="F481" s="140">
        <v>6277.64</v>
      </c>
      <c r="G481" s="113">
        <v>0</v>
      </c>
      <c r="H481" s="113">
        <v>0</v>
      </c>
      <c r="I481" s="113">
        <f t="shared" ref="I481:I485" si="494">AB481+AC481</f>
      </c>
      <c r="J481" s="160">
        <f>3048.84+1109.16</f>
      </c>
      <c r="K481" s="115">
        <f t="shared" ref="K481:K485" si="107">I481-J481</f>
      </c>
      <c r="L481" s="115">
        <f t="shared" ref="L481:L485" si="236">(I481-AC481)/12+AC481</f>
      </c>
      <c r="M481" s="116">
        <f t="shared" si="624"/>
      </c>
      <c r="N481" s="117">
        <f t="shared" si="654"/>
      </c>
      <c r="O481" s="118">
        <f t="shared" si="564"/>
      </c>
      <c r="P481" s="119">
        <f t="shared" si="594"/>
      </c>
      <c r="Q481" s="119">
        <f t="shared" si="774"/>
      </c>
      <c r="R481" s="119">
        <f t="shared" si="804"/>
      </c>
      <c r="S481" s="120">
        <f t="shared" si="684"/>
      </c>
      <c r="T481" s="121">
        <f t="shared" si="714"/>
      </c>
      <c r="U481" s="119">
        <f t="shared" si="993"/>
      </c>
      <c r="V481" s="122">
        <f t="shared" si="744"/>
      </c>
      <c r="W481" s="122">
        <f t="shared" si="1023"/>
      </c>
      <c r="X481" s="119">
        <f t="shared" si="834"/>
      </c>
      <c r="Y481" s="123">
        <f t="shared" ref="Y481:Y485" si="923">Z481+AA481</f>
      </c>
      <c r="Z481" s="123">
        <v>3</v>
      </c>
      <c r="AA481" s="123">
        <v>9</v>
      </c>
      <c r="AB481" s="124">
        <v>12188.880000000005</v>
      </c>
      <c r="AC481" s="124">
        <v>3580.6000000000004</v>
      </c>
      <c r="AD481" s="120">
        <f t="shared" si="18"/>
      </c>
      <c r="AE481" s="125" t="s">
        <v>121</v>
      </c>
      <c r="AF481" s="126" t="s">
        <v>137</v>
      </c>
      <c r="AG481" s="127">
        <v>9</v>
      </c>
      <c r="AH481" s="127">
        <v>72726</v>
      </c>
      <c r="AI481" s="127">
        <v>1027</v>
      </c>
      <c r="AJ481" s="127">
        <v>1109</v>
      </c>
      <c r="AK481" s="127">
        <v>180</v>
      </c>
      <c r="AL481" s="127">
        <v>229</v>
      </c>
    </row>
    <row r="482">
      <c r="A482" s="108"/>
      <c r="B482" s="109" t="s">
        <v>139</v>
      </c>
      <c r="C482" s="110" t="s">
        <v>138</v>
      </c>
      <c r="D482" s="111">
        <f t="shared" si="365"/>
      </c>
      <c r="E482" s="110">
        <v>1377.7</v>
      </c>
      <c r="F482" s="140">
        <v>7282.83</v>
      </c>
      <c r="G482" s="113">
        <v>0</v>
      </c>
      <c r="H482" s="113">
        <v>0</v>
      </c>
      <c r="I482" s="113">
        <f t="shared" si="494"/>
      </c>
      <c r="J482" s="114">
        <v>4540.32</v>
      </c>
      <c r="K482" s="115">
        <f t="shared" si="107"/>
      </c>
      <c r="L482" s="115">
        <f t="shared" si="236"/>
      </c>
      <c r="M482" s="116">
        <f t="shared" si="624"/>
      </c>
      <c r="N482" s="117">
        <f t="shared" si="654"/>
      </c>
      <c r="O482" s="118">
        <f t="shared" si="564"/>
      </c>
      <c r="P482" s="119">
        <f t="shared" si="594"/>
      </c>
      <c r="Q482" s="119">
        <f t="shared" si="774"/>
      </c>
      <c r="R482" s="119">
        <f t="shared" si="804"/>
      </c>
      <c r="S482" s="120">
        <f t="shared" si="684"/>
      </c>
      <c r="T482" s="121">
        <f t="shared" si="714"/>
      </c>
      <c r="U482" s="119">
        <f t="shared" si="993"/>
      </c>
      <c r="V482" s="122">
        <f t="shared" si="744"/>
      </c>
      <c r="W482" s="122">
        <f t="shared" si="1023"/>
      </c>
      <c r="X482" s="119">
        <f t="shared" si="834"/>
      </c>
      <c r="Y482" s="123">
        <f t="shared" si="923"/>
      </c>
      <c r="Z482" s="123">
        <v>5</v>
      </c>
      <c r="AA482" s="123">
        <v>10</v>
      </c>
      <c r="AB482" s="124">
        <v>12960</v>
      </c>
      <c r="AC482" s="124">
        <v>609</v>
      </c>
      <c r="AD482" s="120">
        <f t="shared" si="18"/>
      </c>
      <c r="AE482" s="125" t="s">
        <v>121</v>
      </c>
      <c r="AF482" s="126" t="s">
        <v>137</v>
      </c>
      <c r="AG482" s="129">
        <v>8</v>
      </c>
      <c r="AH482" s="128">
        <v>93535</v>
      </c>
      <c r="AI482" s="128">
        <v>1041</v>
      </c>
      <c r="AJ482" s="128">
        <v>1110</v>
      </c>
      <c r="AK482" s="129">
        <v>168</v>
      </c>
      <c r="AL482" s="129">
        <v>224</v>
      </c>
    </row>
    <row r="483">
      <c r="A483" s="108"/>
      <c r="B483" s="109" t="s">
        <v>139</v>
      </c>
      <c r="C483" s="110" t="s">
        <v>140</v>
      </c>
      <c r="D483" s="111">
        <f t="shared" si="365"/>
      </c>
      <c r="E483" s="110">
        <v>1554.13</v>
      </c>
      <c r="F483" s="140">
        <v>6483.05</v>
      </c>
      <c r="G483" s="113">
        <v>0</v>
      </c>
      <c r="H483" s="113">
        <v>0</v>
      </c>
      <c r="I483" s="113">
        <f t="shared" si="494"/>
      </c>
      <c r="J483" s="160">
        <f>584+1591.92+1102.95+426.55</f>
      </c>
      <c r="K483" s="115">
        <f t="shared" si="107"/>
      </c>
      <c r="L483" s="115">
        <f t="shared" si="236"/>
      </c>
      <c r="M483" s="116">
        <f t="shared" si="624"/>
      </c>
      <c r="N483" s="117">
        <f t="shared" si="654"/>
      </c>
      <c r="O483" s="118">
        <f t="shared" si="564"/>
      </c>
      <c r="P483" s="119">
        <f t="shared" si="594"/>
      </c>
      <c r="Q483" s="119">
        <f t="shared" si="774"/>
      </c>
      <c r="R483" s="119">
        <f t="shared" si="804"/>
      </c>
      <c r="S483" s="120">
        <f t="shared" si="684"/>
      </c>
      <c r="T483" s="121">
        <f t="shared" si="714"/>
      </c>
      <c r="U483" s="119">
        <f t="shared" si="993"/>
      </c>
      <c r="V483" s="122">
        <f t="shared" si="744"/>
      </c>
      <c r="W483" s="122">
        <f t="shared" si="1023"/>
      </c>
      <c r="X483" s="119">
        <f t="shared" si="834"/>
      </c>
      <c r="Y483" s="123">
        <f t="shared" si="923"/>
      </c>
      <c r="Z483" s="123">
        <v>2</v>
      </c>
      <c r="AA483" s="123">
        <v>10</v>
      </c>
      <c r="AB483" s="124">
        <v>13523.75999999998</v>
      </c>
      <c r="AC483" s="124">
        <v>3066.5</v>
      </c>
      <c r="AD483" s="120">
        <f t="shared" si="18"/>
      </c>
      <c r="AE483" s="125" t="s">
        <v>121</v>
      </c>
      <c r="AF483" s="126" t="s">
        <v>137</v>
      </c>
      <c r="AG483" s="127">
        <v>5</v>
      </c>
      <c r="AH483" s="128">
        <v>92204</v>
      </c>
      <c r="AI483" s="128">
        <v>1243</v>
      </c>
      <c r="AJ483" s="128">
        <v>1352</v>
      </c>
      <c r="AK483" s="129">
        <v>167</v>
      </c>
      <c r="AL483" s="129">
        <v>203</v>
      </c>
    </row>
    <row r="484">
      <c r="A484" s="108"/>
      <c r="B484" s="109" t="s">
        <v>139</v>
      </c>
      <c r="C484" s="141" t="s">
        <v>141</v>
      </c>
      <c r="D484" s="111">
        <f t="shared" si="365"/>
      </c>
      <c r="E484" s="110">
        <v>1471.36</v>
      </c>
      <c r="F484" s="140">
        <v>5761.53</v>
      </c>
      <c r="G484" s="113">
        <v>0</v>
      </c>
      <c r="H484" s="113">
        <v>0</v>
      </c>
      <c r="I484" s="113">
        <f t="shared" si="494"/>
      </c>
      <c r="J484" s="160">
        <v>0</v>
      </c>
      <c r="K484" s="115">
        <f t="shared" si="107"/>
      </c>
      <c r="L484" s="115">
        <f t="shared" si="236"/>
      </c>
      <c r="M484" s="116">
        <f t="shared" si="624"/>
      </c>
      <c r="N484" s="117">
        <f t="shared" si="654"/>
      </c>
      <c r="O484" s="118">
        <f t="shared" si="564"/>
      </c>
      <c r="P484" s="119">
        <f t="shared" si="594"/>
      </c>
      <c r="Q484" s="119">
        <f t="shared" si="774"/>
      </c>
      <c r="R484" s="119">
        <f t="shared" si="804"/>
      </c>
      <c r="S484" s="120">
        <f t="shared" si="684"/>
      </c>
      <c r="T484" s="121">
        <f t="shared" si="714"/>
      </c>
      <c r="U484" s="119">
        <f t="shared" si="993"/>
      </c>
      <c r="V484" s="122">
        <f t="shared" si="744"/>
      </c>
      <c r="W484" s="122">
        <f t="shared" si="1023"/>
      </c>
      <c r="X484" s="119">
        <f t="shared" si="834"/>
      </c>
      <c r="Y484" s="123">
        <f t="shared" si="923"/>
      </c>
      <c r="Z484" s="123">
        <v>9</v>
      </c>
      <c r="AA484" s="123">
        <v>2</v>
      </c>
      <c r="AB484" s="124">
        <v>5569.559999999998</v>
      </c>
      <c r="AC484" s="124">
        <v>0</v>
      </c>
      <c r="AD484" s="120">
        <f t="shared" si="18"/>
      </c>
      <c r="AE484" s="125" t="s">
        <v>121</v>
      </c>
      <c r="AF484" s="126" t="s">
        <v>137</v>
      </c>
      <c r="AG484" s="127">
        <v>1</v>
      </c>
      <c r="AH484" s="128">
        <v>85891</v>
      </c>
      <c r="AI484" s="128">
        <v>1301</v>
      </c>
      <c r="AJ484" s="128">
        <v>1401</v>
      </c>
      <c r="AK484" s="129">
        <v>188</v>
      </c>
      <c r="AL484" s="129">
        <v>210</v>
      </c>
    </row>
    <row r="485">
      <c r="A485" s="108"/>
      <c r="B485" s="109" t="s">
        <v>139</v>
      </c>
      <c r="C485" s="141" t="s">
        <v>142</v>
      </c>
      <c r="D485" s="111">
        <f t="shared" si="365"/>
      </c>
      <c r="E485" s="110">
        <v>680.67</v>
      </c>
      <c r="F485" s="140">
        <v>4802.12</v>
      </c>
      <c r="G485" s="113">
        <v>0</v>
      </c>
      <c r="H485" s="113">
        <v>0</v>
      </c>
      <c r="I485" s="113">
        <f t="shared" si="494"/>
      </c>
      <c r="J485" s="114">
        <v>0</v>
      </c>
      <c r="K485" s="115">
        <f t="shared" si="107"/>
      </c>
      <c r="L485" s="115">
        <f t="shared" si="236"/>
      </c>
      <c r="M485" s="116">
        <f t="shared" si="624"/>
      </c>
      <c r="N485" s="117">
        <f t="shared" si="654"/>
      </c>
      <c r="O485" s="118">
        <f t="shared" si="564"/>
      </c>
      <c r="P485" s="119">
        <f t="shared" si="594"/>
      </c>
      <c r="Q485" s="119">
        <f t="shared" si="774"/>
      </c>
      <c r="R485" s="119">
        <f t="shared" si="804"/>
      </c>
      <c r="S485" s="120">
        <f t="shared" si="684"/>
      </c>
      <c r="T485" s="121">
        <f t="shared" si="714"/>
      </c>
      <c r="U485" s="119">
        <f t="shared" si="993"/>
      </c>
      <c r="V485" s="122">
        <f t="shared" si="744"/>
      </c>
      <c r="W485" s="122">
        <f t="shared" si="1023"/>
      </c>
      <c r="X485" s="119">
        <f t="shared" si="834"/>
      </c>
      <c r="Y485" s="123">
        <f t="shared" si="923"/>
      </c>
      <c r="Z485" s="123">
        <v>4</v>
      </c>
      <c r="AA485" s="123">
        <v>5</v>
      </c>
      <c r="AB485" s="124">
        <v>9332.279999999999</v>
      </c>
      <c r="AC485" s="124">
        <v>0</v>
      </c>
      <c r="AD485" s="120">
        <f t="shared" si="18"/>
      </c>
      <c r="AE485" s="125" t="s">
        <v>121</v>
      </c>
      <c r="AF485" s="126" t="s">
        <v>137</v>
      </c>
      <c r="AG485" s="127">
        <v>5</v>
      </c>
      <c r="AH485" s="128">
        <v>57317</v>
      </c>
      <c r="AI485" s="128">
        <v>832</v>
      </c>
      <c r="AJ485" s="128">
        <v>892</v>
      </c>
      <c r="AK485" s="129">
        <v>165</v>
      </c>
      <c r="AL485" s="129">
        <v>175</v>
      </c>
    </row>
    <row r="486">
      <c r="A486" s="108"/>
      <c r="B486" s="130" t="s">
        <v>127</v>
      </c>
      <c r="C486" s="131">
        <v>5</v>
      </c>
      <c r="D486" s="132">
        <f>SUM(D481:D485)</f>
      </c>
      <c r="E486" s="132">
        <f>SUM(E481:E485)</f>
      </c>
      <c r="F486" s="132">
        <f>SUM(F481:F485)</f>
      </c>
      <c r="G486" s="132">
        <f>SUM(G481:G485)</f>
      </c>
      <c r="H486" s="132">
        <f>SUM(H481:H485)</f>
      </c>
      <c r="I486" s="132">
        <f>SUM(I481:I485)</f>
      </c>
      <c r="J486" s="132">
        <f>SUM(J481:J485)</f>
      </c>
      <c r="K486" s="132">
        <f>SUM(K481:K485)</f>
      </c>
      <c r="L486" s="132">
        <f>SUM(L481:L485)</f>
      </c>
      <c r="M486" s="133">
        <f t="shared" si="624"/>
      </c>
      <c r="N486" s="134">
        <f t="shared" si="654"/>
      </c>
      <c r="O486" s="134">
        <f t="shared" si="564"/>
      </c>
      <c r="P486" s="135">
        <f t="shared" si="594"/>
      </c>
      <c r="Q486" s="135">
        <f t="shared" si="774"/>
      </c>
      <c r="R486" s="135">
        <f t="shared" si="804"/>
      </c>
      <c r="S486" s="136">
        <f t="shared" si="684"/>
      </c>
      <c r="T486" s="136">
        <f t="shared" si="714"/>
      </c>
      <c r="U486" s="135">
        <f t="shared" si="993"/>
      </c>
      <c r="V486" s="136">
        <f t="shared" si="744"/>
      </c>
      <c r="W486" s="136">
        <f t="shared" si="1023"/>
      </c>
      <c r="X486" s="135">
        <f t="shared" si="834"/>
      </c>
      <c r="Y486" s="132">
        <f>SUM(Y481:Y485)</f>
      </c>
      <c r="Z486" s="132">
        <f>SUM(Z481:Z485)</f>
      </c>
      <c r="AA486" s="132">
        <f>SUM(AA481:AA485)</f>
      </c>
      <c r="AB486" s="132">
        <f>SUM(AB481:AB485)</f>
      </c>
      <c r="AC486" s="132">
        <f>SUM(AC481:AC485)</f>
      </c>
      <c r="AD486" s="137">
        <f t="shared" si="18"/>
      </c>
      <c r="AE486" s="138"/>
      <c r="AF486" s="139"/>
      <c r="AG486" s="132">
        <f>SUM(AG481:AG485)</f>
      </c>
      <c r="AH486" s="132">
        <f>SUM(AH481:AH485)</f>
      </c>
      <c r="AI486" s="132">
        <f>SUM(AI481:AI485)</f>
      </c>
      <c r="AJ486" s="132">
        <f>SUM(AJ481:AJ485)</f>
      </c>
      <c r="AK486" s="132">
        <f>SUM(AK481:AK485)</f>
      </c>
      <c r="AL486" s="132">
        <f>SUM(AL481:AL485)</f>
      </c>
    </row>
    <row r="487">
      <c r="A487" s="108"/>
      <c r="B487" s="109" t="s">
        <v>143</v>
      </c>
      <c r="C487" s="141" t="s">
        <v>144</v>
      </c>
      <c r="D487" s="143">
        <f t="shared" ref="D487:D491" si="366">E487+F487+G487+H487</f>
      </c>
      <c r="E487" s="166">
        <v>2943.84</v>
      </c>
      <c r="F487" s="145">
        <v>7558.18</v>
      </c>
      <c r="G487" s="113">
        <v>0</v>
      </c>
      <c r="H487" s="113">
        <v>0</v>
      </c>
      <c r="I487" s="113">
        <f t="shared" ref="I487:I491" si="495">AB487+AC487</f>
      </c>
      <c r="J487" s="114">
        <v>0</v>
      </c>
      <c r="K487" s="115">
        <f t="shared" ref="K487:K491" si="108">I487-J487</f>
      </c>
      <c r="L487" s="115">
        <f t="shared" ref="L487:L491" si="237">(I487-AC487)/12+AC487</f>
      </c>
      <c r="M487" s="116">
        <f t="shared" si="624"/>
      </c>
      <c r="N487" s="117">
        <f t="shared" si="654"/>
      </c>
      <c r="O487" s="118">
        <f t="shared" si="564"/>
      </c>
      <c r="P487" s="119">
        <f t="shared" si="594"/>
      </c>
      <c r="Q487" s="119">
        <f t="shared" si="774"/>
      </c>
      <c r="R487" s="119">
        <f t="shared" si="804"/>
      </c>
      <c r="S487" s="120">
        <f t="shared" si="684"/>
      </c>
      <c r="T487" s="121">
        <f t="shared" si="714"/>
      </c>
      <c r="U487" s="119">
        <f t="shared" si="993"/>
      </c>
      <c r="V487" s="122">
        <f t="shared" si="744"/>
      </c>
      <c r="W487" s="122">
        <f t="shared" si="1023"/>
      </c>
      <c r="X487" s="119">
        <f t="shared" si="834"/>
      </c>
      <c r="Y487" s="123">
        <f t="shared" ref="Y487:Y491" si="924">Z487+AA487</f>
      </c>
      <c r="Z487" s="123">
        <v>7</v>
      </c>
      <c r="AA487" s="123">
        <v>4</v>
      </c>
      <c r="AB487" s="124">
        <v>9523.080000000016</v>
      </c>
      <c r="AC487" s="124">
        <v>0</v>
      </c>
      <c r="AD487" s="120">
        <f t="shared" si="18"/>
      </c>
      <c r="AE487" s="125" t="s">
        <v>121</v>
      </c>
      <c r="AF487" s="126" t="s">
        <v>137</v>
      </c>
      <c r="AG487" s="127">
        <v>4</v>
      </c>
      <c r="AH487" s="127">
        <v>111668</v>
      </c>
      <c r="AI487" s="128">
        <v>2468</v>
      </c>
      <c r="AJ487" s="128">
        <v>2677</v>
      </c>
      <c r="AK487" s="127">
        <v>233</v>
      </c>
      <c r="AL487" s="129">
        <v>249</v>
      </c>
    </row>
    <row r="488">
      <c r="A488" s="108"/>
      <c r="B488" s="109" t="s">
        <v>143</v>
      </c>
      <c r="C488" s="110" t="s">
        <v>145</v>
      </c>
      <c r="D488" s="143">
        <f t="shared" si="366"/>
      </c>
      <c r="E488" s="147">
        <v>2340.2</v>
      </c>
      <c r="F488" s="145">
        <v>5868.61</v>
      </c>
      <c r="G488" s="113">
        <v>0</v>
      </c>
      <c r="H488" s="113">
        <v>0</v>
      </c>
      <c r="I488" s="113">
        <f t="shared" si="495"/>
      </c>
      <c r="J488" s="114">
        <f>2986.56+3218.4</f>
      </c>
      <c r="K488" s="115">
        <f t="shared" si="108"/>
      </c>
      <c r="L488" s="115">
        <f t="shared" si="237"/>
      </c>
      <c r="M488" s="116">
        <f t="shared" si="624"/>
      </c>
      <c r="N488" s="117">
        <f t="shared" si="654"/>
      </c>
      <c r="O488" s="118">
        <f t="shared" si="564"/>
      </c>
      <c r="P488" s="119">
        <f t="shared" si="594"/>
      </c>
      <c r="Q488" s="119">
        <f t="shared" si="774"/>
      </c>
      <c r="R488" s="119">
        <f t="shared" si="804"/>
      </c>
      <c r="S488" s="120">
        <f t="shared" si="684"/>
      </c>
      <c r="T488" s="121">
        <f t="shared" si="714"/>
      </c>
      <c r="U488" s="119">
        <f t="shared" si="993"/>
      </c>
      <c r="V488" s="122">
        <f t="shared" si="744"/>
      </c>
      <c r="W488" s="122">
        <f t="shared" si="1023"/>
      </c>
      <c r="X488" s="119">
        <f t="shared" si="834"/>
      </c>
      <c r="Y488" s="123">
        <f t="shared" si="924"/>
      </c>
      <c r="Z488" s="123">
        <v>7</v>
      </c>
      <c r="AA488" s="123">
        <v>7</v>
      </c>
      <c r="AB488" s="124">
        <v>14423.76000000001</v>
      </c>
      <c r="AC488" s="124">
        <v>1161</v>
      </c>
      <c r="AD488" s="120">
        <f t="shared" si="18"/>
      </c>
      <c r="AE488" s="125" t="s">
        <v>121</v>
      </c>
      <c r="AF488" s="126" t="s">
        <v>137</v>
      </c>
      <c r="AG488" s="127">
        <v>7</v>
      </c>
      <c r="AH488" s="128">
        <v>75623</v>
      </c>
      <c r="AI488" s="128">
        <v>1629</v>
      </c>
      <c r="AJ488" s="128">
        <v>1768</v>
      </c>
      <c r="AK488" s="129">
        <v>195</v>
      </c>
      <c r="AL488" s="129">
        <v>225</v>
      </c>
    </row>
    <row r="489">
      <c r="A489" s="108"/>
      <c r="B489" s="109" t="s">
        <v>143</v>
      </c>
      <c r="C489" s="141" t="s">
        <v>146</v>
      </c>
      <c r="D489" s="143">
        <f t="shared" si="366"/>
      </c>
      <c r="E489" s="169">
        <v>2504.24</v>
      </c>
      <c r="F489" s="170">
        <v>5446.98</v>
      </c>
      <c r="G489" s="113">
        <v>0</v>
      </c>
      <c r="H489" s="113">
        <v>0</v>
      </c>
      <c r="I489" s="171">
        <f t="shared" si="495"/>
      </c>
      <c r="J489" s="114">
        <v>0</v>
      </c>
      <c r="K489" s="115">
        <f t="shared" si="108"/>
      </c>
      <c r="L489" s="115">
        <f t="shared" si="237"/>
      </c>
      <c r="M489" s="116">
        <f t="shared" si="624"/>
      </c>
      <c r="N489" s="117">
        <f t="shared" si="654"/>
      </c>
      <c r="O489" s="118">
        <f t="shared" si="564"/>
      </c>
      <c r="P489" s="119">
        <f t="shared" si="594"/>
      </c>
      <c r="Q489" s="119">
        <f t="shared" si="774"/>
      </c>
      <c r="R489" s="119">
        <f t="shared" si="804"/>
      </c>
      <c r="S489" s="120">
        <f t="shared" si="684"/>
      </c>
      <c r="T489" s="121">
        <f t="shared" si="714"/>
      </c>
      <c r="U489" s="119">
        <f t="shared" si="993"/>
      </c>
      <c r="V489" s="122">
        <f t="shared" si="744"/>
      </c>
      <c r="W489" s="122">
        <f t="shared" si="1023"/>
      </c>
      <c r="X489" s="119">
        <f t="shared" si="834"/>
      </c>
      <c r="Y489" s="172">
        <f t="shared" si="924"/>
      </c>
      <c r="Z489" s="172">
        <v>1</v>
      </c>
      <c r="AA489" s="172">
        <v>3</v>
      </c>
      <c r="AB489" s="173">
        <v>21375.359999999986</v>
      </c>
      <c r="AC489" s="173">
        <v>0</v>
      </c>
      <c r="AD489" s="120">
        <f t="shared" si="18"/>
      </c>
      <c r="AE489" s="125" t="s">
        <v>121</v>
      </c>
      <c r="AF489" s="126" t="s">
        <v>137</v>
      </c>
      <c r="AG489" s="129">
        <v>3</v>
      </c>
      <c r="AH489" s="128">
        <v>62374</v>
      </c>
      <c r="AI489" s="128">
        <v>1640</v>
      </c>
      <c r="AJ489" s="128">
        <v>1799</v>
      </c>
      <c r="AK489" s="129">
        <v>197</v>
      </c>
      <c r="AL489" s="129">
        <v>189</v>
      </c>
    </row>
    <row r="490">
      <c r="A490" s="108"/>
      <c r="B490" s="109" t="s">
        <v>143</v>
      </c>
      <c r="C490" s="110" t="s">
        <v>147</v>
      </c>
      <c r="D490" s="143">
        <f t="shared" si="366"/>
      </c>
      <c r="E490" s="147">
        <v>1962.86</v>
      </c>
      <c r="F490" s="145">
        <v>5529.83</v>
      </c>
      <c r="G490" s="113">
        <v>0</v>
      </c>
      <c r="H490" s="113">
        <v>0</v>
      </c>
      <c r="I490" s="113">
        <f t="shared" si="495"/>
      </c>
      <c r="J490" s="114">
        <v>0</v>
      </c>
      <c r="K490" s="115">
        <f t="shared" si="108"/>
      </c>
      <c r="L490" s="115">
        <f t="shared" si="237"/>
      </c>
      <c r="M490" s="116">
        <f t="shared" si="624"/>
      </c>
      <c r="N490" s="117">
        <f t="shared" si="654"/>
      </c>
      <c r="O490" s="118">
        <f t="shared" si="564"/>
      </c>
      <c r="P490" s="119">
        <f t="shared" si="594"/>
      </c>
      <c r="Q490" s="119">
        <f t="shared" si="774"/>
      </c>
      <c r="R490" s="119">
        <f t="shared" si="804"/>
      </c>
      <c r="S490" s="120">
        <f t="shared" si="684"/>
      </c>
      <c r="T490" s="121">
        <f t="shared" si="714"/>
      </c>
      <c r="U490" s="119">
        <f t="shared" si="993"/>
      </c>
      <c r="V490" s="122">
        <f t="shared" si="744"/>
      </c>
      <c r="W490" s="122">
        <f t="shared" si="1023"/>
      </c>
      <c r="X490" s="119">
        <f t="shared" si="834"/>
      </c>
      <c r="Y490" s="123">
        <f t="shared" si="924"/>
      </c>
      <c r="Z490" s="123">
        <v>6</v>
      </c>
      <c r="AA490" s="123">
        <v>8</v>
      </c>
      <c r="AB490" s="124">
        <v>11239.56</v>
      </c>
      <c r="AC490" s="124">
        <v>2880</v>
      </c>
      <c r="AD490" s="120">
        <f t="shared" si="18"/>
      </c>
      <c r="AE490" s="125" t="s">
        <v>121</v>
      </c>
      <c r="AF490" s="126" t="s">
        <v>137</v>
      </c>
      <c r="AG490" s="127">
        <v>6</v>
      </c>
      <c r="AH490" s="128">
        <v>68933</v>
      </c>
      <c r="AI490" s="128">
        <v>1793</v>
      </c>
      <c r="AJ490" s="128">
        <v>2016</v>
      </c>
      <c r="AK490" s="129">
        <v>236</v>
      </c>
      <c r="AL490" s="129">
        <v>229</v>
      </c>
    </row>
    <row r="491">
      <c r="A491" s="108"/>
      <c r="B491" s="109" t="s">
        <v>143</v>
      </c>
      <c r="C491" s="110" t="s">
        <v>148</v>
      </c>
      <c r="D491" s="143">
        <f t="shared" si="366"/>
      </c>
      <c r="E491" s="147">
        <f>513.85+50.03</f>
      </c>
      <c r="F491" s="145">
        <v>3590.52</v>
      </c>
      <c r="G491" s="113">
        <v>0</v>
      </c>
      <c r="H491" s="113">
        <v>0</v>
      </c>
      <c r="I491" s="113">
        <f t="shared" si="495"/>
      </c>
      <c r="J491" s="115">
        <v>645.84</v>
      </c>
      <c r="K491" s="115">
        <f t="shared" si="108"/>
      </c>
      <c r="L491" s="115">
        <f t="shared" si="237"/>
      </c>
      <c r="M491" s="116">
        <f t="shared" si="624"/>
      </c>
      <c r="N491" s="117">
        <f t="shared" si="654"/>
      </c>
      <c r="O491" s="118">
        <f t="shared" si="564"/>
      </c>
      <c r="P491" s="119">
        <f t="shared" si="594"/>
      </c>
      <c r="Q491" s="119">
        <f t="shared" si="774"/>
      </c>
      <c r="R491" s="119">
        <f t="shared" si="804"/>
      </c>
      <c r="S491" s="120">
        <f t="shared" si="684"/>
      </c>
      <c r="T491" s="121">
        <f t="shared" si="714"/>
      </c>
      <c r="U491" s="119">
        <f t="shared" si="993"/>
      </c>
      <c r="V491" s="122">
        <f t="shared" si="744"/>
      </c>
      <c r="W491" s="122">
        <f t="shared" si="1023"/>
      </c>
      <c r="X491" s="119">
        <f t="shared" si="834"/>
      </c>
      <c r="Y491" s="123">
        <f t="shared" si="924"/>
      </c>
      <c r="Z491" s="123">
        <v>3</v>
      </c>
      <c r="AA491" s="123">
        <f>8+1</f>
      </c>
      <c r="AB491" s="124">
        <f>12384.12+864</f>
      </c>
      <c r="AC491" s="124">
        <v>3117.5</v>
      </c>
      <c r="AD491" s="120">
        <f t="shared" si="18"/>
      </c>
      <c r="AE491" s="125" t="s">
        <v>121</v>
      </c>
      <c r="AF491" s="126" t="s">
        <v>137</v>
      </c>
      <c r="AG491" s="127">
        <v>8</v>
      </c>
      <c r="AH491" s="128">
        <v>43839</v>
      </c>
      <c r="AI491" s="128">
        <v>949</v>
      </c>
      <c r="AJ491" s="128">
        <v>1137</v>
      </c>
      <c r="AK491" s="129">
        <v>139</v>
      </c>
      <c r="AL491" s="129">
        <v>146</v>
      </c>
    </row>
    <row r="492">
      <c r="A492" s="108"/>
      <c r="B492" s="130" t="s">
        <v>127</v>
      </c>
      <c r="C492" s="131">
        <v>5</v>
      </c>
      <c r="D492" s="132">
        <f>SUM(D487:D491)</f>
      </c>
      <c r="E492" s="132">
        <f>SUM(E487:E491)</f>
      </c>
      <c r="F492" s="132">
        <f>SUM(F487:F491)</f>
      </c>
      <c r="G492" s="132">
        <f>SUM(G487:G491)</f>
      </c>
      <c r="H492" s="132">
        <f>SUM(H487:H491)</f>
      </c>
      <c r="I492" s="132">
        <f>SUM(I487:I491)</f>
      </c>
      <c r="J492" s="132">
        <f>SUM(J487:J491)</f>
      </c>
      <c r="K492" s="132">
        <f>SUM(K487:K491)</f>
      </c>
      <c r="L492" s="132">
        <f>SUM(L487:L491)</f>
      </c>
      <c r="M492" s="133">
        <f t="shared" si="624"/>
      </c>
      <c r="N492" s="134">
        <f t="shared" si="654"/>
      </c>
      <c r="O492" s="134">
        <f t="shared" si="564"/>
      </c>
      <c r="P492" s="135">
        <f t="shared" si="594"/>
      </c>
      <c r="Q492" s="135">
        <f t="shared" si="774"/>
      </c>
      <c r="R492" s="135">
        <f t="shared" si="804"/>
      </c>
      <c r="S492" s="136">
        <f t="shared" si="684"/>
      </c>
      <c r="T492" s="136">
        <f t="shared" si="714"/>
      </c>
      <c r="U492" s="135">
        <f t="shared" si="993"/>
      </c>
      <c r="V492" s="136">
        <f t="shared" si="744"/>
      </c>
      <c r="W492" s="136">
        <f t="shared" si="1023"/>
      </c>
      <c r="X492" s="135">
        <f t="shared" si="834"/>
      </c>
      <c r="Y492" s="132">
        <f>SUM(Y487:Y491)</f>
      </c>
      <c r="Z492" s="132">
        <f>SUM(Z487:Z491)</f>
      </c>
      <c r="AA492" s="132">
        <f>SUM(AA487:AA491)</f>
      </c>
      <c r="AB492" s="132">
        <f>SUM(AB487:AB491)</f>
      </c>
      <c r="AC492" s="132">
        <f>SUM(AC487:AC491)</f>
      </c>
      <c r="AD492" s="150">
        <f t="shared" si="18"/>
      </c>
      <c r="AE492" s="151"/>
      <c r="AF492" s="139"/>
      <c r="AG492" s="132">
        <f>SUM(AG487:AG491)</f>
      </c>
      <c r="AH492" s="132">
        <f>SUM(AH487:AH491)</f>
      </c>
      <c r="AI492" s="132">
        <f>SUM(AI487:AI491)</f>
      </c>
      <c r="AJ492" s="132">
        <f>SUM(AJ487:AJ491)</f>
      </c>
      <c r="AK492" s="132">
        <f>SUM(AK487:AK491)</f>
      </c>
      <c r="AL492" s="132">
        <f>SUM(AL487:AL491)</f>
      </c>
    </row>
    <row r="493">
      <c r="A493" s="108"/>
      <c r="B493" s="152" t="s">
        <v>127</v>
      </c>
      <c r="C493" s="153">
        <f>C474+C480+C486+C492</f>
      </c>
      <c r="D493" s="167">
        <f>D474+D480+D486+D492</f>
      </c>
      <c r="E493" s="153">
        <f>E474+E480+E486+E492</f>
      </c>
      <c r="F493" s="153">
        <f>F474+F480+F486+F492</f>
      </c>
      <c r="G493" s="153">
        <f>G474+G480+G486+G492</f>
      </c>
      <c r="H493" s="153">
        <f>H474+H480+H486+H492</f>
      </c>
      <c r="I493" s="167">
        <f>I474+I480+I486+I492</f>
      </c>
      <c r="J493" s="153">
        <f>J474+J480+J486+J492</f>
      </c>
      <c r="K493" s="153">
        <f>K474+K480+K486+K492</f>
      </c>
      <c r="L493" s="153">
        <f>L474+L480+L486+L492</f>
      </c>
      <c r="M493" s="154">
        <f t="shared" si="624"/>
      </c>
      <c r="N493" s="154">
        <f t="shared" si="654"/>
      </c>
      <c r="O493" s="154">
        <f t="shared" si="564"/>
      </c>
      <c r="P493" s="154">
        <f t="shared" si="594"/>
      </c>
      <c r="Q493" s="154">
        <f t="shared" si="774"/>
      </c>
      <c r="R493" s="154">
        <f t="shared" si="804"/>
      </c>
      <c r="S493" s="155">
        <f t="shared" si="684"/>
      </c>
      <c r="T493" s="155">
        <f t="shared" si="714"/>
      </c>
      <c r="U493" s="154">
        <f t="shared" si="993"/>
      </c>
      <c r="V493" s="155">
        <f t="shared" si="744"/>
      </c>
      <c r="W493" s="155">
        <f t="shared" si="1023"/>
      </c>
      <c r="X493" s="154">
        <f t="shared" si="834"/>
      </c>
      <c r="Y493" s="156">
        <f>Y474+Y480+Y486+Y492</f>
      </c>
      <c r="Z493" s="156">
        <f>Z474+Z480+Z486+Z492</f>
      </c>
      <c r="AA493" s="156">
        <f>AA474+AA480+AA486+AA492</f>
      </c>
      <c r="AB493" s="156">
        <f>AB474+AB480+AB486+AB492</f>
      </c>
      <c r="AC493" s="156">
        <f>AC474+AC480+AC486+AC492</f>
      </c>
      <c r="AD493" s="157">
        <f>AD474+AD480+AD486+AD492</f>
      </c>
      <c r="AE493" s="158"/>
      <c r="AF493" s="159"/>
      <c r="AG493" s="153">
        <f>AG474+AG480+AG486+AG492</f>
      </c>
      <c r="AH493" s="153">
        <f>AH474+AH480+AH486+AH492</f>
      </c>
      <c r="AI493" s="153">
        <f>AI474+AI480+AI486+AI492</f>
      </c>
      <c r="AJ493" s="153">
        <f>AJ474+AJ480+AJ486+AJ492</f>
      </c>
      <c r="AK493" s="153">
        <f>AK474+AK480+AK486+AK492</f>
      </c>
      <c r="AL493" s="153">
        <f>AL474+AL480+AL486+AL492</f>
      </c>
    </row>
    <row r="494">
      <c r="A494" s="94" t="s">
        <v>81</v>
      </c>
      <c r="B494" s="95" t="s">
        <v>82</v>
      </c>
      <c r="C494" s="95" t="s">
        <v>83</v>
      </c>
      <c r="D494" s="96" t="s">
        <v>84</v>
      </c>
      <c r="E494" s="164" t="s">
        <v>85</v>
      </c>
      <c r="F494" s="95" t="s">
        <v>86</v>
      </c>
      <c r="G494" s="97" t="s">
        <v>87</v>
      </c>
      <c r="H494" s="97" t="s">
        <v>88</v>
      </c>
      <c r="I494" s="96" t="s">
        <v>89</v>
      </c>
      <c r="J494" s="98" t="s">
        <v>90</v>
      </c>
      <c r="K494" s="99" t="s">
        <v>91</v>
      </c>
      <c r="L494" s="99" t="s">
        <v>92</v>
      </c>
      <c r="M494" s="100" t="s">
        <v>93</v>
      </c>
      <c r="N494" s="99" t="s">
        <v>94</v>
      </c>
      <c r="O494" s="95" t="s">
        <v>95</v>
      </c>
      <c r="P494" s="100" t="s">
        <v>96</v>
      </c>
      <c r="Q494" s="101" t="s">
        <v>97</v>
      </c>
      <c r="R494" s="101" t="s">
        <v>98</v>
      </c>
      <c r="S494" s="96" t="s">
        <v>99</v>
      </c>
      <c r="T494" s="102" t="s">
        <v>100</v>
      </c>
      <c r="U494" s="100" t="s">
        <v>101</v>
      </c>
      <c r="V494" s="103" t="s">
        <v>102</v>
      </c>
      <c r="W494" s="104" t="s">
        <v>103</v>
      </c>
      <c r="X494" s="100" t="s">
        <v>104</v>
      </c>
      <c r="Y494" s="105" t="s">
        <v>105</v>
      </c>
      <c r="Z494" s="106" t="s">
        <v>106</v>
      </c>
      <c r="AA494" s="105" t="s">
        <v>107</v>
      </c>
      <c r="AB494" s="107" t="s">
        <v>108</v>
      </c>
      <c r="AC494" s="107" t="s">
        <v>109</v>
      </c>
      <c r="AD494" s="99" t="s">
        <v>110</v>
      </c>
      <c r="AE494" s="98" t="s">
        <v>111</v>
      </c>
      <c r="AF494" s="99" t="s">
        <v>112</v>
      </c>
      <c r="AG494" s="98" t="s">
        <v>113</v>
      </c>
      <c r="AH494" s="98" t="s">
        <v>114</v>
      </c>
      <c r="AI494" s="99" t="s">
        <v>115</v>
      </c>
      <c r="AJ494" s="98" t="s">
        <v>116</v>
      </c>
      <c r="AK494" s="99" t="s">
        <v>117</v>
      </c>
      <c r="AL494" s="98" t="s">
        <v>118</v>
      </c>
    </row>
    <row r="495">
      <c r="A495" s="108">
        <v>46285</v>
      </c>
      <c r="B495" s="109" t="s">
        <v>119</v>
      </c>
      <c r="C495" s="110" t="s">
        <v>120</v>
      </c>
      <c r="D495" s="143">
        <f t="shared" ref="D495:D499" si="367">E495+F495+G495+H495</f>
      </c>
      <c r="E495" s="144">
        <v>1576.97</v>
      </c>
      <c r="F495" s="146">
        <v>11116.48</v>
      </c>
      <c r="G495" s="113">
        <v>0</v>
      </c>
      <c r="H495" s="113">
        <v>0</v>
      </c>
      <c r="I495" s="113">
        <f t="shared" ref="I495:I499" si="496">AB495+AC495</f>
      </c>
      <c r="J495" s="114">
        <f>1149.12+2514.24</f>
      </c>
      <c r="K495" s="115">
        <f t="shared" ref="K495:K499" si="109">I495-J495</f>
      </c>
      <c r="L495" s="115">
        <f t="shared" ref="L495:L499" si="238">(I495-AC495)/12+AC495</f>
      </c>
      <c r="M495" s="116">
        <f t="shared" ref="M495:M519" si="625">I495/D495</f>
      </c>
      <c r="N495" s="117">
        <f t="shared" ref="N495:N519" si="655">(I495-J495)/D495</f>
      </c>
      <c r="O495" s="118">
        <f t="shared" ref="O495:O519" si="565">(AC495+AB495/12)/D495</f>
      </c>
      <c r="P495" s="119">
        <f t="shared" ref="P495:P519" si="595">I495/AA495</f>
      </c>
      <c r="Q495" s="119">
        <f t="shared" ref="Q495:Q519" si="775">D495/AA495</f>
      </c>
      <c r="R495" s="119">
        <f t="shared" ref="R495:R519" si="805">D495/AG495</f>
      </c>
      <c r="S495" s="120">
        <f t="shared" ref="S495:S519" si="685">AA495/Y495</f>
      </c>
      <c r="T495" s="121">
        <f t="shared" ref="T495:T519" si="715">AI495/AH495</f>
      </c>
      <c r="U495" s="119">
        <f t="shared" ref="U495:U519" si="994">D495/AJ495</f>
      </c>
      <c r="V495" s="122">
        <f t="shared" ref="V495:V519" si="745">AK495/AJ495</f>
      </c>
      <c r="W495" s="122">
        <f t="shared" ref="W495:W519" si="1024">AL495/AJ495</f>
      </c>
      <c r="X495" s="119">
        <f t="shared" ref="X495:X519" si="835">D495/AL495</f>
      </c>
      <c r="Y495" s="123">
        <f t="shared" ref="Y495:Y499" si="925">Z495+AA495</f>
      </c>
      <c r="Z495" s="123">
        <v>4</v>
      </c>
      <c r="AA495" s="123">
        <v>6</v>
      </c>
      <c r="AB495" s="124">
        <v>13913.04</v>
      </c>
      <c r="AC495" s="124">
        <v>645</v>
      </c>
      <c r="AD495" s="120">
        <f t="shared" ref="AD495:AD518" si="19">AC495/I495</f>
      </c>
      <c r="AE495" s="125" t="s">
        <v>121</v>
      </c>
      <c r="AF495" s="126" t="s">
        <v>122</v>
      </c>
      <c r="AG495" s="127">
        <v>4</v>
      </c>
      <c r="AH495" s="127">
        <v>121994</v>
      </c>
      <c r="AI495" s="128">
        <v>2630</v>
      </c>
      <c r="AJ495" s="128">
        <v>2790</v>
      </c>
      <c r="AK495" s="127">
        <v>357</v>
      </c>
      <c r="AL495" s="129">
        <v>401</v>
      </c>
    </row>
    <row r="496">
      <c r="A496" s="108"/>
      <c r="B496" s="109" t="s">
        <v>119</v>
      </c>
      <c r="C496" s="110" t="s">
        <v>123</v>
      </c>
      <c r="D496" s="143">
        <f t="shared" si="367"/>
      </c>
      <c r="E496" s="147">
        <v>911.78</v>
      </c>
      <c r="F496" s="146">
        <v>8265.59</v>
      </c>
      <c r="G496" s="113">
        <v>0</v>
      </c>
      <c r="H496" s="113">
        <v>0</v>
      </c>
      <c r="I496" s="113">
        <f t="shared" si="496"/>
      </c>
      <c r="J496" s="114">
        <f>922.32+2748.6+1101.96+1591.92+708.48</f>
      </c>
      <c r="K496" s="115">
        <f t="shared" si="109"/>
      </c>
      <c r="L496" s="115">
        <f t="shared" si="238"/>
      </c>
      <c r="M496" s="116">
        <f t="shared" si="625"/>
      </c>
      <c r="N496" s="117">
        <f t="shared" si="655"/>
      </c>
      <c r="O496" s="118">
        <f t="shared" si="565"/>
      </c>
      <c r="P496" s="119">
        <f t="shared" si="595"/>
      </c>
      <c r="Q496" s="119">
        <f t="shared" si="775"/>
      </c>
      <c r="R496" s="119">
        <f t="shared" si="805"/>
      </c>
      <c r="S496" s="120">
        <f t="shared" si="685"/>
      </c>
      <c r="T496" s="121">
        <f t="shared" si="715"/>
      </c>
      <c r="U496" s="119">
        <f t="shared" si="994"/>
      </c>
      <c r="V496" s="122">
        <f t="shared" si="745"/>
      </c>
      <c r="W496" s="122">
        <f t="shared" si="1024"/>
      </c>
      <c r="X496" s="119">
        <f t="shared" si="835"/>
      </c>
      <c r="Y496" s="123">
        <f t="shared" si="925"/>
      </c>
      <c r="Z496" s="123">
        <v>3</v>
      </c>
      <c r="AA496" s="123">
        <v>8</v>
      </c>
      <c r="AB496" s="124">
        <v>13270.32</v>
      </c>
      <c r="AC496" s="124">
        <v>0</v>
      </c>
      <c r="AD496" s="120">
        <f t="shared" si="19"/>
      </c>
      <c r="AE496" s="125" t="s">
        <v>121</v>
      </c>
      <c r="AF496" s="126" t="s">
        <v>122</v>
      </c>
      <c r="AG496" s="127">
        <v>6</v>
      </c>
      <c r="AH496" s="128">
        <v>80010</v>
      </c>
      <c r="AI496" s="128">
        <v>1647</v>
      </c>
      <c r="AJ496" s="128">
        <v>1831</v>
      </c>
      <c r="AK496" s="129">
        <v>261</v>
      </c>
      <c r="AL496" s="129">
        <v>263</v>
      </c>
    </row>
    <row r="497">
      <c r="A497" s="108"/>
      <c r="B497" s="109" t="s">
        <v>119</v>
      </c>
      <c r="C497" s="110" t="s">
        <v>124</v>
      </c>
      <c r="D497" s="111">
        <f t="shared" si="367"/>
      </c>
      <c r="E497" s="165">
        <v>362.72</v>
      </c>
      <c r="F497" s="110">
        <v>5454.74</v>
      </c>
      <c r="G497" s="113">
        <v>0</v>
      </c>
      <c r="H497" s="113">
        <v>0</v>
      </c>
      <c r="I497" s="113">
        <f t="shared" si="496"/>
      </c>
      <c r="J497" s="114">
        <f>814.32+630.72</f>
      </c>
      <c r="K497" s="115">
        <f t="shared" si="109"/>
      </c>
      <c r="L497" s="115">
        <f t="shared" si="238"/>
      </c>
      <c r="M497" s="116">
        <f t="shared" si="625"/>
      </c>
      <c r="N497" s="117">
        <f t="shared" si="655"/>
      </c>
      <c r="O497" s="118">
        <f t="shared" si="565"/>
      </c>
      <c r="P497" s="119">
        <f t="shared" si="595"/>
      </c>
      <c r="Q497" s="119">
        <f t="shared" si="775"/>
      </c>
      <c r="R497" s="119">
        <f t="shared" si="805"/>
      </c>
      <c r="S497" s="120">
        <f t="shared" si="685"/>
      </c>
      <c r="T497" s="121">
        <f t="shared" si="715"/>
      </c>
      <c r="U497" s="119">
        <f t="shared" si="994"/>
      </c>
      <c r="V497" s="122">
        <f t="shared" si="745"/>
      </c>
      <c r="W497" s="122">
        <f t="shared" si="1024"/>
      </c>
      <c r="X497" s="119">
        <f t="shared" si="835"/>
      </c>
      <c r="Y497" s="123">
        <f t="shared" si="925"/>
      </c>
      <c r="Z497" s="123">
        <v>4</v>
      </c>
      <c r="AA497" s="123">
        <v>6</v>
      </c>
      <c r="AB497" s="124">
        <v>4901.040000000001</v>
      </c>
      <c r="AC497" s="124">
        <v>0</v>
      </c>
      <c r="AD497" s="120">
        <f t="shared" si="19"/>
      </c>
      <c r="AE497" s="125" t="s">
        <v>121</v>
      </c>
      <c r="AF497" s="126" t="s">
        <v>122</v>
      </c>
      <c r="AG497" s="127">
        <v>3</v>
      </c>
      <c r="AH497" s="128">
        <v>48713</v>
      </c>
      <c r="AI497" s="128">
        <v>872</v>
      </c>
      <c r="AJ497" s="128">
        <v>962</v>
      </c>
      <c r="AK497" s="129">
        <v>172</v>
      </c>
      <c r="AL497" s="129">
        <v>179</v>
      </c>
    </row>
    <row r="498">
      <c r="A498" s="108"/>
      <c r="B498" s="109" t="s">
        <v>119</v>
      </c>
      <c r="C498" s="110" t="s">
        <v>125</v>
      </c>
      <c r="D498" s="111">
        <f t="shared" si="367"/>
      </c>
      <c r="E498" s="175">
        <v>671.03</v>
      </c>
      <c r="F498" s="113">
        <v>5884.89</v>
      </c>
      <c r="G498" s="113">
        <v>0</v>
      </c>
      <c r="H498" s="113">
        <v>0</v>
      </c>
      <c r="I498" s="113">
        <f t="shared" si="496"/>
      </c>
      <c r="J498" s="114">
        <f>680.28+680.28+1480.68</f>
      </c>
      <c r="K498" s="115">
        <f t="shared" si="109"/>
      </c>
      <c r="L498" s="115">
        <f t="shared" si="238"/>
      </c>
      <c r="M498" s="116">
        <f t="shared" si="625"/>
      </c>
      <c r="N498" s="117">
        <f t="shared" si="655"/>
      </c>
      <c r="O498" s="118">
        <f t="shared" si="565"/>
      </c>
      <c r="P498" s="119">
        <f t="shared" si="595"/>
      </c>
      <c r="Q498" s="119">
        <f t="shared" si="775"/>
      </c>
      <c r="R498" s="119">
        <f t="shared" si="805"/>
      </c>
      <c r="S498" s="120">
        <f t="shared" si="685"/>
      </c>
      <c r="T498" s="121">
        <f t="shared" si="715"/>
      </c>
      <c r="U498" s="119">
        <f t="shared" si="994"/>
      </c>
      <c r="V498" s="122">
        <f t="shared" si="745"/>
      </c>
      <c r="W498" s="122">
        <f t="shared" si="1024"/>
      </c>
      <c r="X498" s="119">
        <f t="shared" si="835"/>
      </c>
      <c r="Y498" s="123">
        <f t="shared" si="925"/>
      </c>
      <c r="Z498" s="123">
        <v>2</v>
      </c>
      <c r="AA498" s="123">
        <v>9</v>
      </c>
      <c r="AB498" s="124">
        <v>14509.319999999992</v>
      </c>
      <c r="AC498" s="124">
        <v>0</v>
      </c>
      <c r="AD498" s="120">
        <f t="shared" si="19"/>
      </c>
      <c r="AE498" s="125" t="s">
        <v>121</v>
      </c>
      <c r="AF498" s="126" t="s">
        <v>122</v>
      </c>
      <c r="AG498" s="127">
        <v>6</v>
      </c>
      <c r="AH498" s="128">
        <v>46191</v>
      </c>
      <c r="AI498" s="128">
        <v>846</v>
      </c>
      <c r="AJ498" s="128">
        <v>943</v>
      </c>
      <c r="AK498" s="129">
        <v>142</v>
      </c>
      <c r="AL498" s="129">
        <v>163</v>
      </c>
    </row>
    <row r="499">
      <c r="A499" s="108"/>
      <c r="B499" s="109" t="s">
        <v>119</v>
      </c>
      <c r="C499" s="110" t="s">
        <v>126</v>
      </c>
      <c r="D499" s="143">
        <f t="shared" si="367"/>
      </c>
      <c r="E499" s="144">
        <v>1224.51</v>
      </c>
      <c r="F499" s="146">
        <v>7793.58</v>
      </c>
      <c r="G499" s="113">
        <v>0</v>
      </c>
      <c r="H499" s="113">
        <v>0</v>
      </c>
      <c r="I499" s="113">
        <f t="shared" si="496"/>
      </c>
      <c r="J499" s="114">
        <f>2514.24+1221+1375.56+1587.6+2731.44+573.72+573.72+297.96+2473.68+1105.92+923.4</f>
      </c>
      <c r="K499" s="115">
        <f t="shared" si="109"/>
      </c>
      <c r="L499" s="115">
        <f t="shared" si="238"/>
      </c>
      <c r="M499" s="116">
        <f t="shared" si="625"/>
      </c>
      <c r="N499" s="117">
        <f t="shared" si="655"/>
      </c>
      <c r="O499" s="118">
        <f t="shared" si="565"/>
      </c>
      <c r="P499" s="119">
        <f t="shared" si="595"/>
      </c>
      <c r="Q499" s="119">
        <f t="shared" si="775"/>
      </c>
      <c r="R499" s="119">
        <f t="shared" si="805"/>
      </c>
      <c r="S499" s="120">
        <f t="shared" si="685"/>
      </c>
      <c r="T499" s="121">
        <f t="shared" si="715"/>
      </c>
      <c r="U499" s="119">
        <f t="shared" si="994"/>
      </c>
      <c r="V499" s="122">
        <f t="shared" si="745"/>
      </c>
      <c r="W499" s="122">
        <f t="shared" si="1024"/>
      </c>
      <c r="X499" s="119">
        <f t="shared" si="835"/>
      </c>
      <c r="Y499" s="123">
        <f t="shared" si="925"/>
      </c>
      <c r="Z499" s="123">
        <v>9</v>
      </c>
      <c r="AA499" s="123">
        <v>12</v>
      </c>
      <c r="AB499" s="124">
        <f>31757.28+1551.96</f>
      </c>
      <c r="AC499" s="124">
        <f>1221+3717.35</f>
      </c>
      <c r="AD499" s="120">
        <f t="shared" si="19"/>
      </c>
      <c r="AE499" s="125" t="s">
        <v>121</v>
      </c>
      <c r="AF499" s="126" t="s">
        <v>122</v>
      </c>
      <c r="AG499" s="127">
        <v>11</v>
      </c>
      <c r="AH499" s="128">
        <v>68336</v>
      </c>
      <c r="AI499" s="128">
        <v>1189</v>
      </c>
      <c r="AJ499" s="128">
        <v>1279</v>
      </c>
      <c r="AK499" s="127">
        <v>226</v>
      </c>
      <c r="AL499" s="127">
        <v>237</v>
      </c>
    </row>
    <row r="500">
      <c r="A500" s="108"/>
      <c r="B500" s="130" t="s">
        <v>127</v>
      </c>
      <c r="C500" s="131">
        <v>5</v>
      </c>
      <c r="D500" s="132">
        <f>SUM(D495:D499)</f>
      </c>
      <c r="E500" s="148">
        <f>SUM(E495:E499)</f>
      </c>
      <c r="F500" s="132">
        <f>SUM(F495:F499)</f>
      </c>
      <c r="G500" s="132">
        <f>SUM(G495:G499)</f>
      </c>
      <c r="H500" s="132">
        <f>SUM(H495:H499)</f>
      </c>
      <c r="I500" s="132">
        <f>SUM(I495:I499)</f>
      </c>
      <c r="J500" s="132">
        <f>SUM(J495:J499)</f>
      </c>
      <c r="K500" s="132">
        <f>SUM(K495:K499)</f>
      </c>
      <c r="L500" s="132">
        <f>SUM(L495:L499)</f>
      </c>
      <c r="M500" s="133">
        <f t="shared" si="625"/>
      </c>
      <c r="N500" s="134">
        <f t="shared" si="655"/>
      </c>
      <c r="O500" s="134">
        <f t="shared" si="565"/>
      </c>
      <c r="P500" s="135">
        <f t="shared" si="595"/>
      </c>
      <c r="Q500" s="135">
        <f t="shared" si="775"/>
      </c>
      <c r="R500" s="135">
        <f t="shared" si="805"/>
      </c>
      <c r="S500" s="136">
        <f t="shared" si="685"/>
      </c>
      <c r="T500" s="136">
        <f t="shared" si="715"/>
      </c>
      <c r="U500" s="135">
        <f t="shared" si="994"/>
      </c>
      <c r="V500" s="136">
        <f t="shared" si="745"/>
      </c>
      <c r="W500" s="136">
        <f t="shared" si="1024"/>
      </c>
      <c r="X500" s="135">
        <f t="shared" si="835"/>
      </c>
      <c r="Y500" s="132">
        <f>SUM(Y495:Y499)</f>
      </c>
      <c r="Z500" s="132">
        <f>SUM(Z495:Z499)</f>
      </c>
      <c r="AA500" s="132">
        <f>SUM(AA495:AA499)</f>
      </c>
      <c r="AB500" s="132">
        <f>SUM(AB495:AB499)</f>
      </c>
      <c r="AC500" s="132">
        <f>SUM(AC495:AC499)</f>
      </c>
      <c r="AD500" s="137">
        <f t="shared" si="19"/>
      </c>
      <c r="AE500" s="138"/>
      <c r="AF500" s="139"/>
      <c r="AG500" s="132">
        <f>SUM(AG495:AG499)</f>
      </c>
      <c r="AH500" s="132">
        <f>SUM(AH495:AH499)</f>
      </c>
      <c r="AI500" s="132">
        <f>SUM(AI495:AI499)</f>
      </c>
      <c r="AJ500" s="132">
        <f>SUM(AJ495:AJ499)</f>
      </c>
      <c r="AK500" s="132">
        <f>SUM(AK495:AK499)</f>
      </c>
      <c r="AL500" s="132">
        <f>SUM(AL495:AL499)</f>
      </c>
    </row>
    <row r="501">
      <c r="A501" s="108"/>
      <c r="B501" s="109" t="s">
        <v>128</v>
      </c>
      <c r="C501" s="110" t="s">
        <v>129</v>
      </c>
      <c r="D501" s="111">
        <f t="shared" ref="D501:D505" si="368">E501+F501+G501+H501</f>
      </c>
      <c r="E501" s="112">
        <v>2042.41</v>
      </c>
      <c r="F501" s="113">
        <v>5238.64</v>
      </c>
      <c r="G501" s="113">
        <v>0</v>
      </c>
      <c r="H501" s="113">
        <v>0</v>
      </c>
      <c r="I501" s="113">
        <f t="shared" ref="I501:I505" si="497">AB501+AC501</f>
      </c>
      <c r="J501" s="114">
        <v>1043</v>
      </c>
      <c r="K501" s="115">
        <f t="shared" ref="K501:K505" si="110">I501-J501</f>
      </c>
      <c r="L501" s="115">
        <f t="shared" ref="L501:L505" si="239">(I501-AC501)/12+AC501</f>
      </c>
      <c r="M501" s="116">
        <f t="shared" si="625"/>
      </c>
      <c r="N501" s="117">
        <f t="shared" si="655"/>
      </c>
      <c r="O501" s="118">
        <f t="shared" si="565"/>
      </c>
      <c r="P501" s="119">
        <f t="shared" si="595"/>
      </c>
      <c r="Q501" s="119">
        <f t="shared" si="775"/>
      </c>
      <c r="R501" s="119">
        <f t="shared" si="805"/>
      </c>
      <c r="S501" s="120">
        <f t="shared" si="685"/>
      </c>
      <c r="T501" s="121">
        <f t="shared" si="715"/>
      </c>
      <c r="U501" s="119">
        <f t="shared" si="994"/>
      </c>
      <c r="V501" s="122">
        <f t="shared" si="745"/>
      </c>
      <c r="W501" s="122">
        <f t="shared" si="1024"/>
      </c>
      <c r="X501" s="119">
        <f t="shared" si="835"/>
      </c>
      <c r="Y501" s="123">
        <f t="shared" ref="Y501:Y505" si="926">Z501+AA501</f>
      </c>
      <c r="Z501" s="123">
        <v>1</v>
      </c>
      <c r="AA501" s="123">
        <v>4</v>
      </c>
      <c r="AB501" s="124">
        <v>5540.279999999999</v>
      </c>
      <c r="AC501" s="124">
        <v>1043</v>
      </c>
      <c r="AD501" s="120">
        <f t="shared" si="19"/>
      </c>
      <c r="AE501" s="125" t="s">
        <v>121</v>
      </c>
      <c r="AF501" s="126" t="s">
        <v>122</v>
      </c>
      <c r="AG501" s="127">
        <v>4</v>
      </c>
      <c r="AH501" s="128">
        <v>65875</v>
      </c>
      <c r="AI501" s="128">
        <v>1326</v>
      </c>
      <c r="AJ501" s="128">
        <v>1502</v>
      </c>
      <c r="AK501" s="127">
        <v>189</v>
      </c>
      <c r="AL501" s="127">
        <v>193</v>
      </c>
    </row>
    <row r="502">
      <c r="A502" s="108"/>
      <c r="B502" s="109" t="s">
        <v>128</v>
      </c>
      <c r="C502" s="110" t="s">
        <v>130</v>
      </c>
      <c r="D502" s="111">
        <f t="shared" si="368"/>
      </c>
      <c r="E502" s="110">
        <v>1872.65</v>
      </c>
      <c r="F502" s="113">
        <v>6421.15</v>
      </c>
      <c r="G502" s="113">
        <v>0</v>
      </c>
      <c r="H502" s="113">
        <v>0</v>
      </c>
      <c r="I502" s="113">
        <f t="shared" si="497"/>
      </c>
      <c r="J502" s="162">
        <f>1193.4+1778.16+3110.4+1253.88</f>
      </c>
      <c r="K502" s="115">
        <f t="shared" si="110"/>
      </c>
      <c r="L502" s="115">
        <f t="shared" si="239"/>
      </c>
      <c r="M502" s="116">
        <f t="shared" si="625"/>
      </c>
      <c r="N502" s="117">
        <f t="shared" si="655"/>
      </c>
      <c r="O502" s="118">
        <f t="shared" si="565"/>
      </c>
      <c r="P502" s="119">
        <f t="shared" si="595"/>
      </c>
      <c r="Q502" s="119">
        <f t="shared" si="775"/>
      </c>
      <c r="R502" s="119">
        <f t="shared" si="805"/>
      </c>
      <c r="S502" s="120">
        <f t="shared" si="685"/>
      </c>
      <c r="T502" s="121">
        <f t="shared" si="715"/>
      </c>
      <c r="U502" s="119">
        <f t="shared" si="994"/>
      </c>
      <c r="V502" s="122">
        <f t="shared" si="745"/>
      </c>
      <c r="W502" s="122">
        <f t="shared" si="1024"/>
      </c>
      <c r="X502" s="119">
        <f t="shared" si="835"/>
      </c>
      <c r="Y502" s="123">
        <f t="shared" si="926"/>
      </c>
      <c r="Z502" s="123">
        <v>5</v>
      </c>
      <c r="AA502" s="123">
        <v>6</v>
      </c>
      <c r="AB502" s="124">
        <v>9226.440000000002</v>
      </c>
      <c r="AC502" s="124">
        <v>0</v>
      </c>
      <c r="AD502" s="120">
        <f t="shared" si="19"/>
      </c>
      <c r="AE502" s="125" t="s">
        <v>121</v>
      </c>
      <c r="AF502" s="126" t="s">
        <v>122</v>
      </c>
      <c r="AG502" s="127">
        <v>5</v>
      </c>
      <c r="AH502" s="128">
        <v>81451</v>
      </c>
      <c r="AI502" s="128">
        <v>1411</v>
      </c>
      <c r="AJ502" s="128">
        <v>1568</v>
      </c>
      <c r="AK502" s="129">
        <v>195</v>
      </c>
      <c r="AL502" s="129">
        <v>212</v>
      </c>
    </row>
    <row r="503">
      <c r="A503" s="108"/>
      <c r="B503" s="109" t="s">
        <v>128</v>
      </c>
      <c r="C503" s="110" t="s">
        <v>131</v>
      </c>
      <c r="D503" s="111">
        <f t="shared" si="368"/>
      </c>
      <c r="E503" s="110">
        <v>3273.66</v>
      </c>
      <c r="F503" s="110">
        <v>4274.77</v>
      </c>
      <c r="G503" s="113">
        <v>0</v>
      </c>
      <c r="H503" s="113">
        <v>0</v>
      </c>
      <c r="I503" s="113">
        <f t="shared" si="497"/>
      </c>
      <c r="J503" s="114">
        <v>2918.16</v>
      </c>
      <c r="K503" s="115">
        <f t="shared" si="110"/>
      </c>
      <c r="L503" s="115">
        <f t="shared" si="239"/>
      </c>
      <c r="M503" s="116">
        <f t="shared" si="625"/>
      </c>
      <c r="N503" s="117">
        <f t="shared" si="655"/>
      </c>
      <c r="O503" s="118">
        <f t="shared" si="565"/>
      </c>
      <c r="P503" s="119">
        <f t="shared" si="595"/>
      </c>
      <c r="Q503" s="119">
        <f t="shared" si="775"/>
      </c>
      <c r="R503" s="119">
        <f t="shared" si="805"/>
      </c>
      <c r="S503" s="120">
        <f t="shared" si="685"/>
      </c>
      <c r="T503" s="121">
        <f t="shared" si="715"/>
      </c>
      <c r="U503" s="119">
        <f t="shared" si="994"/>
      </c>
      <c r="V503" s="122">
        <f t="shared" si="745"/>
      </c>
      <c r="W503" s="122">
        <f t="shared" si="1024"/>
      </c>
      <c r="X503" s="119">
        <f t="shared" si="835"/>
      </c>
      <c r="Y503" s="123">
        <f t="shared" si="926"/>
      </c>
      <c r="Z503" s="123">
        <v>4</v>
      </c>
      <c r="AA503" s="123">
        <v>4</v>
      </c>
      <c r="AB503" s="124">
        <v>7103.1600000000035</v>
      </c>
      <c r="AC503" s="124">
        <v>0</v>
      </c>
      <c r="AD503" s="120">
        <f t="shared" si="19"/>
      </c>
      <c r="AE503" s="125" t="s">
        <v>121</v>
      </c>
      <c r="AF503" s="126" t="s">
        <v>122</v>
      </c>
      <c r="AG503" s="129">
        <v>3</v>
      </c>
      <c r="AH503" s="128">
        <v>54844</v>
      </c>
      <c r="AI503" s="128">
        <v>1725</v>
      </c>
      <c r="AJ503" s="128">
        <v>1854</v>
      </c>
      <c r="AK503" s="129">
        <v>193</v>
      </c>
      <c r="AL503" s="129">
        <v>200</v>
      </c>
    </row>
    <row r="504">
      <c r="A504" s="108"/>
      <c r="B504" s="109" t="s">
        <v>128</v>
      </c>
      <c r="C504" s="110" t="s">
        <v>132</v>
      </c>
      <c r="D504" s="111">
        <f t="shared" si="368"/>
      </c>
      <c r="E504" s="110">
        <v>2128.02</v>
      </c>
      <c r="F504" s="113">
        <v>3122.12</v>
      </c>
      <c r="G504" s="113">
        <v>0</v>
      </c>
      <c r="H504" s="113">
        <v>0</v>
      </c>
      <c r="I504" s="113">
        <f t="shared" si="497"/>
      </c>
      <c r="J504" s="114">
        <v>0</v>
      </c>
      <c r="K504" s="115">
        <f t="shared" si="110"/>
      </c>
      <c r="L504" s="115">
        <f t="shared" si="239"/>
      </c>
      <c r="M504" s="116">
        <f t="shared" si="625"/>
      </c>
      <c r="N504" s="117">
        <f t="shared" si="655"/>
      </c>
      <c r="O504" s="118">
        <f t="shared" si="565"/>
      </c>
      <c r="P504" s="119">
        <f t="shared" si="595"/>
      </c>
      <c r="Q504" s="119">
        <f t="shared" si="775"/>
      </c>
      <c r="R504" s="119">
        <f t="shared" si="805"/>
      </c>
      <c r="S504" s="120">
        <f t="shared" si="685"/>
      </c>
      <c r="T504" s="121">
        <f t="shared" si="715"/>
      </c>
      <c r="U504" s="119">
        <f t="shared" si="994"/>
      </c>
      <c r="V504" s="122">
        <f t="shared" si="745"/>
      </c>
      <c r="W504" s="122">
        <f t="shared" si="1024"/>
      </c>
      <c r="X504" s="119">
        <f t="shared" si="835"/>
      </c>
      <c r="Y504" s="123">
        <f t="shared" si="926"/>
      </c>
      <c r="Z504" s="123">
        <v>4</v>
      </c>
      <c r="AA504" s="123">
        <v>4</v>
      </c>
      <c r="AB504" s="114">
        <v>8382.960000000021</v>
      </c>
      <c r="AC504" s="124">
        <v>2166.949999999999</v>
      </c>
      <c r="AD504" s="120">
        <f t="shared" si="19"/>
      </c>
      <c r="AE504" s="125" t="s">
        <v>121</v>
      </c>
      <c r="AF504" s="126" t="s">
        <v>122</v>
      </c>
      <c r="AG504" s="127">
        <v>3</v>
      </c>
      <c r="AH504" s="128">
        <v>39642</v>
      </c>
      <c r="AI504" s="128">
        <v>1398</v>
      </c>
      <c r="AJ504" s="128">
        <v>1575</v>
      </c>
      <c r="AK504" s="129">
        <v>178</v>
      </c>
      <c r="AL504" s="129">
        <v>156</v>
      </c>
    </row>
    <row r="505">
      <c r="A505" s="108"/>
      <c r="B505" s="109" t="s">
        <v>128</v>
      </c>
      <c r="C505" s="110" t="s">
        <v>134</v>
      </c>
      <c r="D505" s="111">
        <f t="shared" si="368"/>
      </c>
      <c r="E505" s="110">
        <v>1640.52</v>
      </c>
      <c r="F505" s="140">
        <v>3115.05</v>
      </c>
      <c r="G505" s="113">
        <v>0</v>
      </c>
      <c r="H505" s="113">
        <v>0</v>
      </c>
      <c r="I505" s="113">
        <f t="shared" si="497"/>
      </c>
      <c r="J505" s="114">
        <f>2299.32+559.08+1353.12+559.08+1420.2</f>
      </c>
      <c r="K505" s="115">
        <f t="shared" si="110"/>
      </c>
      <c r="L505" s="115">
        <f t="shared" si="239"/>
      </c>
      <c r="M505" s="116">
        <f t="shared" si="625"/>
      </c>
      <c r="N505" s="117">
        <f t="shared" si="655"/>
      </c>
      <c r="O505" s="118">
        <f t="shared" si="565"/>
      </c>
      <c r="P505" s="119">
        <f t="shared" si="595"/>
      </c>
      <c r="Q505" s="119">
        <f t="shared" si="775"/>
      </c>
      <c r="R505" s="119">
        <f t="shared" si="805"/>
      </c>
      <c r="S505" s="120">
        <f t="shared" si="685"/>
      </c>
      <c r="T505" s="121">
        <f t="shared" si="715"/>
      </c>
      <c r="U505" s="119">
        <f t="shared" si="994"/>
      </c>
      <c r="V505" s="122">
        <f t="shared" si="745"/>
      </c>
      <c r="W505" s="122">
        <f t="shared" si="1024"/>
      </c>
      <c r="X505" s="119">
        <f t="shared" si="835"/>
      </c>
      <c r="Y505" s="123">
        <f t="shared" si="926"/>
      </c>
      <c r="Z505" s="123">
        <v>3</v>
      </c>
      <c r="AA505" s="123">
        <f>8+1</f>
      </c>
      <c r="AB505" s="124">
        <v>13205.399999999994</v>
      </c>
      <c r="AC505" s="124">
        <f>697+645</f>
      </c>
      <c r="AD505" s="120">
        <f t="shared" si="19"/>
      </c>
      <c r="AE505" s="125" t="s">
        <v>121</v>
      </c>
      <c r="AF505" s="126" t="s">
        <v>122</v>
      </c>
      <c r="AG505" s="127">
        <v>5</v>
      </c>
      <c r="AH505" s="127">
        <v>35978</v>
      </c>
      <c r="AI505" s="127">
        <v>1126</v>
      </c>
      <c r="AJ505" s="127">
        <v>1261</v>
      </c>
      <c r="AK505" s="127">
        <v>155</v>
      </c>
      <c r="AL505" s="127">
        <v>137</v>
      </c>
    </row>
    <row r="506">
      <c r="A506" s="108"/>
      <c r="B506" s="130" t="s">
        <v>127</v>
      </c>
      <c r="C506" s="131">
        <v>5</v>
      </c>
      <c r="D506" s="132">
        <f>SUM(D501:D505)</f>
      </c>
      <c r="E506" s="132">
        <f>SUM(E501:E505)</f>
      </c>
      <c r="F506" s="132">
        <f>SUM(F501:F505)</f>
      </c>
      <c r="G506" s="132">
        <f>SUM(G501:G505)</f>
      </c>
      <c r="H506" s="132">
        <f>SUM(H501:H505)</f>
      </c>
      <c r="I506" s="132">
        <f>SUM(I501:I505)</f>
      </c>
      <c r="J506" s="132">
        <f>SUM(J501:J505)</f>
      </c>
      <c r="K506" s="132">
        <f>SUM(K501:K505)</f>
      </c>
      <c r="L506" s="132">
        <f>SUM(L501:L505)</f>
      </c>
      <c r="M506" s="133">
        <f t="shared" si="625"/>
      </c>
      <c r="N506" s="134">
        <f t="shared" si="655"/>
      </c>
      <c r="O506" s="134">
        <f t="shared" si="565"/>
      </c>
      <c r="P506" s="135">
        <f t="shared" si="595"/>
      </c>
      <c r="Q506" s="135">
        <f t="shared" si="775"/>
      </c>
      <c r="R506" s="135">
        <f t="shared" si="805"/>
      </c>
      <c r="S506" s="136">
        <f t="shared" si="685"/>
      </c>
      <c r="T506" s="136">
        <f t="shared" si="715"/>
      </c>
      <c r="U506" s="135">
        <f t="shared" si="994"/>
      </c>
      <c r="V506" s="136">
        <f t="shared" si="745"/>
      </c>
      <c r="W506" s="136">
        <f t="shared" si="1024"/>
      </c>
      <c r="X506" s="135">
        <f t="shared" si="835"/>
      </c>
      <c r="Y506" s="132">
        <f>SUM(Y501:Y505)</f>
      </c>
      <c r="Z506" s="132">
        <f>SUM(Z501:Z505)</f>
      </c>
      <c r="AA506" s="132">
        <f>SUM(AA501:AA505)</f>
      </c>
      <c r="AB506" s="132">
        <f>SUM(AB501:AB505)</f>
      </c>
      <c r="AC506" s="132">
        <f>SUM(AC501:AC505)</f>
      </c>
      <c r="AD506" s="137">
        <f t="shared" si="19"/>
      </c>
      <c r="AE506" s="138"/>
      <c r="AF506" s="139"/>
      <c r="AG506" s="132">
        <f>SUM(AG501:AG505)</f>
      </c>
      <c r="AH506" s="132">
        <f>SUM(AH501:AH505)</f>
      </c>
      <c r="AI506" s="132">
        <f>SUM(AI501:AI505)</f>
      </c>
      <c r="AJ506" s="132">
        <f>SUM(AJ501:AJ505)</f>
      </c>
      <c r="AK506" s="132">
        <f>SUM(AK501:AK505)</f>
      </c>
      <c r="AL506" s="132">
        <f>SUM(AL501:AL505)</f>
      </c>
    </row>
    <row r="507">
      <c r="A507" s="108"/>
      <c r="B507" s="109" t="s">
        <v>133</v>
      </c>
      <c r="C507" s="110" t="s">
        <v>135</v>
      </c>
      <c r="D507" s="111">
        <f t="shared" ref="D507:D511" si="369">E507+F507+G507+H507</f>
      </c>
      <c r="E507" s="110">
        <v>2258.37</v>
      </c>
      <c r="F507" s="140">
        <v>3024.04</v>
      </c>
      <c r="G507" s="113">
        <v>0</v>
      </c>
      <c r="H507" s="113">
        <v>0</v>
      </c>
      <c r="I507" s="113">
        <f t="shared" ref="I507:I511" si="498">AB507+AC507</f>
      </c>
      <c r="J507" s="160">
        <v>6913.08</v>
      </c>
      <c r="K507" s="115">
        <f t="shared" ref="K507:K511" si="111">I507-J507</f>
      </c>
      <c r="L507" s="115">
        <f t="shared" ref="L507:L511" si="240">(I507-AC507)/12+AC507</f>
      </c>
      <c r="M507" s="116">
        <f t="shared" si="625"/>
      </c>
      <c r="N507" s="117">
        <f t="shared" si="655"/>
      </c>
      <c r="O507" s="118">
        <f t="shared" si="565"/>
      </c>
      <c r="P507" s="119">
        <f t="shared" si="595"/>
      </c>
      <c r="Q507" s="119">
        <f t="shared" si="775"/>
      </c>
      <c r="R507" s="119">
        <f t="shared" si="805"/>
      </c>
      <c r="S507" s="120">
        <f t="shared" si="685"/>
      </c>
      <c r="T507" s="121">
        <f t="shared" si="715"/>
      </c>
      <c r="U507" s="119">
        <f t="shared" si="994"/>
      </c>
      <c r="V507" s="122">
        <f t="shared" si="745"/>
      </c>
      <c r="W507" s="122">
        <f t="shared" si="1024"/>
      </c>
      <c r="X507" s="119">
        <f t="shared" si="835"/>
      </c>
      <c r="Y507" s="123">
        <f t="shared" ref="Y507:Y511" si="927">Z507+AA507</f>
      </c>
      <c r="Z507" s="123">
        <v>5</v>
      </c>
      <c r="AA507" s="123">
        <v>3</v>
      </c>
      <c r="AB507" s="124">
        <v>10953.839999999997</v>
      </c>
      <c r="AC507" s="124">
        <v>0</v>
      </c>
      <c r="AD507" s="120">
        <f t="shared" si="19"/>
      </c>
      <c r="AE507" s="125" t="s">
        <v>121</v>
      </c>
      <c r="AF507" s="126" t="s">
        <v>137</v>
      </c>
      <c r="AG507" s="127">
        <v>3</v>
      </c>
      <c r="AH507" s="127">
        <v>38809</v>
      </c>
      <c r="AI507" s="127">
        <v>1338</v>
      </c>
      <c r="AJ507" s="127">
        <v>1514</v>
      </c>
      <c r="AK507" s="127">
        <v>157</v>
      </c>
      <c r="AL507" s="127">
        <v>122</v>
      </c>
    </row>
    <row r="508">
      <c r="A508" s="108"/>
      <c r="B508" s="109" t="s">
        <v>133</v>
      </c>
      <c r="C508" s="110" t="s">
        <v>138</v>
      </c>
      <c r="D508" s="111">
        <f t="shared" si="369"/>
      </c>
      <c r="E508" s="110">
        <v>2199.53</v>
      </c>
      <c r="F508" s="140">
        <v>3344.77</v>
      </c>
      <c r="G508" s="113">
        <v>0</v>
      </c>
      <c r="H508" s="113">
        <v>0</v>
      </c>
      <c r="I508" s="113">
        <f t="shared" si="498"/>
      </c>
      <c r="J508" s="114">
        <v>0</v>
      </c>
      <c r="K508" s="115">
        <f t="shared" si="111"/>
      </c>
      <c r="L508" s="115">
        <f t="shared" si="240"/>
      </c>
      <c r="M508" s="116">
        <f t="shared" si="625"/>
      </c>
      <c r="N508" s="117">
        <f t="shared" si="655"/>
      </c>
      <c r="O508" s="118">
        <f t="shared" si="565"/>
      </c>
      <c r="P508" s="119">
        <f t="shared" si="595"/>
      </c>
      <c r="Q508" s="119">
        <f t="shared" si="775"/>
      </c>
      <c r="R508" s="119">
        <f t="shared" si="805"/>
      </c>
      <c r="S508" s="120">
        <f t="shared" si="685"/>
      </c>
      <c r="T508" s="121">
        <f t="shared" si="715"/>
      </c>
      <c r="U508" s="119">
        <f t="shared" si="994"/>
      </c>
      <c r="V508" s="122">
        <f t="shared" si="745"/>
      </c>
      <c r="W508" s="122">
        <f t="shared" si="1024"/>
      </c>
      <c r="X508" s="119">
        <f t="shared" si="835"/>
      </c>
      <c r="Y508" s="123">
        <f t="shared" si="927"/>
      </c>
      <c r="Z508" s="123">
        <v>2</v>
      </c>
      <c r="AA508" s="123">
        <v>6</v>
      </c>
      <c r="AB508" s="124">
        <v>3314.1600000000035</v>
      </c>
      <c r="AC508" s="124">
        <v>3334</v>
      </c>
      <c r="AD508" s="120">
        <f t="shared" si="19"/>
      </c>
      <c r="AE508" s="125" t="s">
        <v>121</v>
      </c>
      <c r="AF508" s="126" t="s">
        <v>137</v>
      </c>
      <c r="AG508" s="129">
        <v>5</v>
      </c>
      <c r="AH508" s="128">
        <v>39655</v>
      </c>
      <c r="AI508" s="128">
        <v>1444</v>
      </c>
      <c r="AJ508" s="128">
        <v>1605</v>
      </c>
      <c r="AK508" s="129">
        <v>190</v>
      </c>
      <c r="AL508" s="129">
        <v>131</v>
      </c>
    </row>
    <row r="509">
      <c r="A509" s="108"/>
      <c r="B509" s="109" t="s">
        <v>133</v>
      </c>
      <c r="C509" s="110" t="s">
        <v>140</v>
      </c>
      <c r="D509" s="111">
        <f t="shared" si="369"/>
      </c>
      <c r="E509" s="110">
        <v>1768.33</v>
      </c>
      <c r="F509" s="140">
        <v>3624.3</v>
      </c>
      <c r="G509" s="113">
        <v>0</v>
      </c>
      <c r="H509" s="113">
        <v>0</v>
      </c>
      <c r="I509" s="113">
        <f t="shared" si="498"/>
      </c>
      <c r="J509" s="160">
        <v>1337.04</v>
      </c>
      <c r="K509" s="115">
        <f t="shared" si="111"/>
      </c>
      <c r="L509" s="115">
        <f t="shared" si="240"/>
      </c>
      <c r="M509" s="116">
        <f t="shared" si="625"/>
      </c>
      <c r="N509" s="117">
        <f t="shared" si="655"/>
      </c>
      <c r="O509" s="118">
        <f t="shared" si="565"/>
      </c>
      <c r="P509" s="119">
        <f t="shared" si="595"/>
      </c>
      <c r="Q509" s="119">
        <f t="shared" si="775"/>
      </c>
      <c r="R509" s="119">
        <f t="shared" si="805"/>
      </c>
      <c r="S509" s="120">
        <f t="shared" si="685"/>
      </c>
      <c r="T509" s="121">
        <f t="shared" si="715"/>
      </c>
      <c r="U509" s="119">
        <f t="shared" si="994"/>
      </c>
      <c r="V509" s="122">
        <f t="shared" si="745"/>
      </c>
      <c r="W509" s="122">
        <f t="shared" si="1024"/>
      </c>
      <c r="X509" s="119">
        <f t="shared" si="835"/>
      </c>
      <c r="Y509" s="123">
        <f t="shared" si="927"/>
      </c>
      <c r="Z509" s="123">
        <v>5</v>
      </c>
      <c r="AA509" s="123">
        <v>4</v>
      </c>
      <c r="AB509" s="124">
        <v>4428</v>
      </c>
      <c r="AC509" s="124">
        <v>0</v>
      </c>
      <c r="AD509" s="120">
        <f t="shared" si="19"/>
      </c>
      <c r="AE509" s="125" t="s">
        <v>121</v>
      </c>
      <c r="AF509" s="126" t="s">
        <v>137</v>
      </c>
      <c r="AG509" s="127">
        <v>3</v>
      </c>
      <c r="AH509" s="128">
        <v>40168</v>
      </c>
      <c r="AI509" s="128">
        <v>1262</v>
      </c>
      <c r="AJ509" s="128">
        <v>1413</v>
      </c>
      <c r="AK509" s="129">
        <v>161</v>
      </c>
      <c r="AL509" s="129">
        <v>126</v>
      </c>
    </row>
    <row r="510">
      <c r="A510" s="108"/>
      <c r="B510" s="109" t="s">
        <v>133</v>
      </c>
      <c r="C510" s="141" t="s">
        <v>141</v>
      </c>
      <c r="D510" s="111">
        <f t="shared" si="369"/>
      </c>
      <c r="E510" s="110">
        <v>2236.26</v>
      </c>
      <c r="F510" s="140">
        <v>1740.65</v>
      </c>
      <c r="G510" s="113">
        <v>0</v>
      </c>
      <c r="H510" s="113">
        <v>0</v>
      </c>
      <c r="I510" s="113">
        <f t="shared" si="498"/>
      </c>
      <c r="J510" s="160">
        <v>0</v>
      </c>
      <c r="K510" s="115">
        <f t="shared" si="111"/>
      </c>
      <c r="L510" s="115">
        <f t="shared" si="240"/>
      </c>
      <c r="M510" s="116">
        <f t="shared" si="625"/>
      </c>
      <c r="N510" s="117">
        <f t="shared" si="655"/>
      </c>
      <c r="O510" s="118">
        <f t="shared" si="565"/>
      </c>
      <c r="P510" s="119">
        <f t="shared" si="595"/>
      </c>
      <c r="Q510" s="119">
        <f t="shared" si="775"/>
      </c>
      <c r="R510" s="119">
        <f t="shared" si="805"/>
      </c>
      <c r="S510" s="120">
        <f t="shared" si="685"/>
      </c>
      <c r="T510" s="121">
        <f t="shared" si="715"/>
      </c>
      <c r="U510" s="119">
        <f t="shared" si="994"/>
      </c>
      <c r="V510" s="122">
        <f t="shared" si="745"/>
      </c>
      <c r="W510" s="122">
        <f t="shared" si="1024"/>
      </c>
      <c r="X510" s="119">
        <f t="shared" si="835"/>
      </c>
      <c r="Y510" s="123">
        <f t="shared" si="927"/>
      </c>
      <c r="Z510" s="123">
        <v>0</v>
      </c>
      <c r="AA510" s="123">
        <v>3</v>
      </c>
      <c r="AB510" s="124">
        <v>1667.5199999999895</v>
      </c>
      <c r="AC510" s="124">
        <v>697</v>
      </c>
      <c r="AD510" s="120">
        <f t="shared" si="19"/>
      </c>
      <c r="AE510" s="125" t="s">
        <v>121</v>
      </c>
      <c r="AF510" s="126" t="s">
        <v>137</v>
      </c>
      <c r="AG510" s="127">
        <v>2</v>
      </c>
      <c r="AH510" s="128">
        <v>33889</v>
      </c>
      <c r="AI510" s="128">
        <v>1453</v>
      </c>
      <c r="AJ510" s="128">
        <v>1672</v>
      </c>
      <c r="AK510" s="129">
        <v>160</v>
      </c>
      <c r="AL510" s="129">
        <v>129</v>
      </c>
    </row>
    <row r="511">
      <c r="A511" s="108"/>
      <c r="B511" s="109" t="s">
        <v>133</v>
      </c>
      <c r="C511" s="141" t="s">
        <v>142</v>
      </c>
      <c r="D511" s="111">
        <f t="shared" si="369"/>
      </c>
      <c r="E511" s="110">
        <v>2022.97</v>
      </c>
      <c r="F511" s="140">
        <v>3329.29</v>
      </c>
      <c r="G511" s="113">
        <v>0</v>
      </c>
      <c r="H511" s="113">
        <v>0</v>
      </c>
      <c r="I511" s="113">
        <f t="shared" si="498"/>
      </c>
      <c r="J511" s="114">
        <f>3110.4+1871.64</f>
      </c>
      <c r="K511" s="115">
        <f t="shared" si="111"/>
      </c>
      <c r="L511" s="115">
        <f t="shared" si="240"/>
      </c>
      <c r="M511" s="116">
        <f t="shared" si="625"/>
      </c>
      <c r="N511" s="117">
        <f t="shared" si="655"/>
      </c>
      <c r="O511" s="118">
        <f t="shared" si="565"/>
      </c>
      <c r="P511" s="119">
        <f t="shared" si="595"/>
      </c>
      <c r="Q511" s="119">
        <f t="shared" si="775"/>
      </c>
      <c r="R511" s="119">
        <f t="shared" si="805"/>
      </c>
      <c r="S511" s="120">
        <f t="shared" si="685"/>
      </c>
      <c r="T511" s="121">
        <f t="shared" si="715"/>
      </c>
      <c r="U511" s="119">
        <f t="shared" si="994"/>
      </c>
      <c r="V511" s="122">
        <f t="shared" si="745"/>
      </c>
      <c r="W511" s="122">
        <f t="shared" si="1024"/>
      </c>
      <c r="X511" s="119">
        <f t="shared" si="835"/>
      </c>
      <c r="Y511" s="123">
        <f t="shared" si="927"/>
      </c>
      <c r="Z511" s="123">
        <v>6</v>
      </c>
      <c r="AA511" s="123">
        <v>5</v>
      </c>
      <c r="AB511" s="124">
        <v>11521.679999999993</v>
      </c>
      <c r="AC511" s="124">
        <v>0</v>
      </c>
      <c r="AD511" s="120">
        <f t="shared" si="19"/>
      </c>
      <c r="AE511" s="125" t="s">
        <v>121</v>
      </c>
      <c r="AF511" s="126" t="s">
        <v>137</v>
      </c>
      <c r="AG511" s="127">
        <v>2</v>
      </c>
      <c r="AH511" s="128">
        <v>41428</v>
      </c>
      <c r="AI511" s="128">
        <v>1496</v>
      </c>
      <c r="AJ511" s="128">
        <v>1721</v>
      </c>
      <c r="AK511" s="129">
        <v>169</v>
      </c>
      <c r="AL511" s="129">
        <v>128</v>
      </c>
    </row>
    <row r="512">
      <c r="A512" s="108"/>
      <c r="B512" s="130" t="s">
        <v>127</v>
      </c>
      <c r="C512" s="131">
        <v>5</v>
      </c>
      <c r="D512" s="132">
        <f>SUM(D507:D511)</f>
      </c>
      <c r="E512" s="132">
        <f>SUM(E507:E511)</f>
      </c>
      <c r="F512" s="132">
        <f>SUM(F507:F511)</f>
      </c>
      <c r="G512" s="132">
        <f>SUM(G507:G511)</f>
      </c>
      <c r="H512" s="132">
        <f>SUM(H507:H511)</f>
      </c>
      <c r="I512" s="132">
        <f>SUM(I507:I511)</f>
      </c>
      <c r="J512" s="132">
        <f>SUM(J507:J511)</f>
      </c>
      <c r="K512" s="132">
        <f>SUM(K507:K511)</f>
      </c>
      <c r="L512" s="132">
        <f>SUM(L507:L511)</f>
      </c>
      <c r="M512" s="133">
        <f t="shared" si="625"/>
      </c>
      <c r="N512" s="134">
        <f t="shared" si="655"/>
      </c>
      <c r="O512" s="134">
        <f t="shared" si="565"/>
      </c>
      <c r="P512" s="135">
        <f t="shared" si="595"/>
      </c>
      <c r="Q512" s="135">
        <f t="shared" si="775"/>
      </c>
      <c r="R512" s="135">
        <f t="shared" si="805"/>
      </c>
      <c r="S512" s="136">
        <f t="shared" si="685"/>
      </c>
      <c r="T512" s="136">
        <f t="shared" si="715"/>
      </c>
      <c r="U512" s="135">
        <f t="shared" si="994"/>
      </c>
      <c r="V512" s="136">
        <f t="shared" si="745"/>
      </c>
      <c r="W512" s="136">
        <f t="shared" si="1024"/>
      </c>
      <c r="X512" s="135">
        <f t="shared" si="835"/>
      </c>
      <c r="Y512" s="132">
        <f>SUM(Y507:Y511)</f>
      </c>
      <c r="Z512" s="132">
        <f>SUM(Z507:Z511)</f>
      </c>
      <c r="AA512" s="132">
        <f>SUM(AA507:AA511)</f>
      </c>
      <c r="AB512" s="132">
        <f>SUM(AB507:AB511)</f>
      </c>
      <c r="AC512" s="132">
        <f>SUM(AC507:AC511)</f>
      </c>
      <c r="AD512" s="137">
        <f t="shared" si="19"/>
      </c>
      <c r="AE512" s="138"/>
      <c r="AF512" s="139"/>
      <c r="AG512" s="132">
        <f>SUM(AG507:AG511)</f>
      </c>
      <c r="AH512" s="132">
        <f>SUM(AH507:AH511)</f>
      </c>
      <c r="AI512" s="132">
        <f>SUM(AI507:AI511)</f>
      </c>
      <c r="AJ512" s="132">
        <f>SUM(AJ507:AJ511)</f>
      </c>
      <c r="AK512" s="132">
        <f>SUM(AK507:AK511)</f>
      </c>
      <c r="AL512" s="132">
        <f>SUM(AL507:AL511)</f>
      </c>
    </row>
    <row r="513">
      <c r="A513" s="108"/>
      <c r="B513" s="109" t="s">
        <v>143</v>
      </c>
      <c r="C513" s="141" t="s">
        <v>144</v>
      </c>
      <c r="D513" s="143">
        <f t="shared" ref="D513:D517" si="370">E513+F513+G513+H513</f>
      </c>
      <c r="E513" s="166">
        <v>1157.15</v>
      </c>
      <c r="F513" s="145">
        <v>11015.26</v>
      </c>
      <c r="G513" s="113">
        <v>0</v>
      </c>
      <c r="H513" s="113">
        <v>0</v>
      </c>
      <c r="I513" s="113">
        <f t="shared" ref="I513:I517" si="499">AB513+AC513</f>
      </c>
      <c r="J513" s="114">
        <v>0</v>
      </c>
      <c r="K513" s="115">
        <f t="shared" ref="K513:K517" si="112">I513-J513</f>
      </c>
      <c r="L513" s="115">
        <f t="shared" ref="L513:L517" si="241">(I513-AC513)/12+AC513</f>
      </c>
      <c r="M513" s="116">
        <f t="shared" si="625"/>
      </c>
      <c r="N513" s="117">
        <f t="shared" si="655"/>
      </c>
      <c r="O513" s="118">
        <f t="shared" si="565"/>
      </c>
      <c r="P513" s="119">
        <f t="shared" si="595"/>
      </c>
      <c r="Q513" s="119">
        <f t="shared" si="775"/>
      </c>
      <c r="R513" s="119">
        <f t="shared" si="805"/>
      </c>
      <c r="S513" s="120">
        <f t="shared" si="685"/>
      </c>
      <c r="T513" s="121">
        <f t="shared" si="715"/>
      </c>
      <c r="U513" s="119">
        <f t="shared" si="994"/>
      </c>
      <c r="V513" s="122">
        <f t="shared" si="745"/>
      </c>
      <c r="W513" s="122">
        <f t="shared" si="1024"/>
      </c>
      <c r="X513" s="119">
        <f t="shared" si="835"/>
      </c>
      <c r="Y513" s="123">
        <f t="shared" ref="Y513:Y517" si="928">Z513+AA513</f>
      </c>
      <c r="Z513" s="123">
        <v>2</v>
      </c>
      <c r="AA513" s="123">
        <v>6</v>
      </c>
      <c r="AB513" s="124">
        <v>9474.840000000026</v>
      </c>
      <c r="AC513" s="124">
        <v>0</v>
      </c>
      <c r="AD513" s="120">
        <f t="shared" si="19"/>
      </c>
      <c r="AE513" s="125" t="s">
        <v>121</v>
      </c>
      <c r="AF513" s="126" t="s">
        <v>137</v>
      </c>
      <c r="AG513" s="127">
        <v>6</v>
      </c>
      <c r="AH513" s="127">
        <v>71013</v>
      </c>
      <c r="AI513" s="128">
        <v>1200</v>
      </c>
      <c r="AJ513" s="128">
        <v>1323</v>
      </c>
      <c r="AK513" s="127">
        <v>132</v>
      </c>
      <c r="AL513" s="129">
        <v>159</v>
      </c>
    </row>
    <row r="514">
      <c r="A514" s="108"/>
      <c r="B514" s="109" t="s">
        <v>143</v>
      </c>
      <c r="C514" s="110" t="s">
        <v>145</v>
      </c>
      <c r="D514" s="143">
        <f t="shared" si="370"/>
      </c>
      <c r="E514" s="147">
        <v>1110.02</v>
      </c>
      <c r="F514" s="145">
        <v>3195.22</v>
      </c>
      <c r="G514" s="113">
        <v>0</v>
      </c>
      <c r="H514" s="113">
        <v>0</v>
      </c>
      <c r="I514" s="113">
        <f t="shared" si="499"/>
      </c>
      <c r="J514" s="114">
        <v>0</v>
      </c>
      <c r="K514" s="115">
        <f t="shared" si="112"/>
      </c>
      <c r="L514" s="115">
        <f t="shared" si="241"/>
      </c>
      <c r="M514" s="116">
        <f t="shared" si="625"/>
      </c>
      <c r="N514" s="117">
        <f t="shared" si="655"/>
      </c>
      <c r="O514" s="118">
        <f t="shared" si="565"/>
      </c>
      <c r="P514" s="119">
        <f t="shared" si="595"/>
      </c>
      <c r="Q514" s="119">
        <f t="shared" si="775"/>
      </c>
      <c r="R514" s="119">
        <f t="shared" si="805"/>
      </c>
      <c r="S514" s="120">
        <f t="shared" si="685"/>
      </c>
      <c r="T514" s="121">
        <f t="shared" si="715"/>
      </c>
      <c r="U514" s="119">
        <f t="shared" si="994"/>
      </c>
      <c r="V514" s="122">
        <f t="shared" si="745"/>
      </c>
      <c r="W514" s="122">
        <f t="shared" si="1024"/>
      </c>
      <c r="X514" s="119">
        <f t="shared" si="835"/>
      </c>
      <c r="Y514" s="123">
        <f t="shared" si="928"/>
      </c>
      <c r="Z514" s="123">
        <v>3</v>
      </c>
      <c r="AA514" s="123">
        <v>4</v>
      </c>
      <c r="AB514" s="124">
        <v>6289.919999999984</v>
      </c>
      <c r="AC514" s="124">
        <v>0</v>
      </c>
      <c r="AD514" s="120">
        <f t="shared" si="19"/>
      </c>
      <c r="AE514" s="125" t="s">
        <v>121</v>
      </c>
      <c r="AF514" s="126" t="s">
        <v>137</v>
      </c>
      <c r="AG514" s="127">
        <v>3</v>
      </c>
      <c r="AH514" s="128">
        <v>37275</v>
      </c>
      <c r="AI514" s="128">
        <v>1143</v>
      </c>
      <c r="AJ514" s="128">
        <v>1260</v>
      </c>
      <c r="AK514" s="129">
        <v>144</v>
      </c>
      <c r="AL514" s="129">
        <v>142</v>
      </c>
    </row>
    <row r="515">
      <c r="A515" s="108"/>
      <c r="B515" s="109" t="s">
        <v>143</v>
      </c>
      <c r="C515" s="141" t="s">
        <v>146</v>
      </c>
      <c r="D515" s="143">
        <f t="shared" si="370"/>
      </c>
      <c r="E515" s="169">
        <v>1550.7</v>
      </c>
      <c r="F515" s="170">
        <v>4365.33</v>
      </c>
      <c r="G515" s="113">
        <v>0</v>
      </c>
      <c r="H515" s="113">
        <v>0</v>
      </c>
      <c r="I515" s="171">
        <f t="shared" si="499"/>
      </c>
      <c r="J515" s="114">
        <v>0</v>
      </c>
      <c r="K515" s="115">
        <f t="shared" si="112"/>
      </c>
      <c r="L515" s="115">
        <f t="shared" si="241"/>
      </c>
      <c r="M515" s="116">
        <f t="shared" si="625"/>
      </c>
      <c r="N515" s="117">
        <f t="shared" si="655"/>
      </c>
      <c r="O515" s="118">
        <f t="shared" si="565"/>
      </c>
      <c r="P515" s="119">
        <f t="shared" si="595"/>
      </c>
      <c r="Q515" s="119">
        <f t="shared" si="775"/>
      </c>
      <c r="R515" s="119">
        <f t="shared" si="805"/>
      </c>
      <c r="S515" s="120">
        <f t="shared" si="685"/>
      </c>
      <c r="T515" s="121">
        <f t="shared" si="715"/>
      </c>
      <c r="U515" s="119">
        <f t="shared" si="994"/>
      </c>
      <c r="V515" s="122">
        <f t="shared" si="745"/>
      </c>
      <c r="W515" s="122">
        <f t="shared" si="1024"/>
      </c>
      <c r="X515" s="119">
        <f t="shared" si="835"/>
      </c>
      <c r="Y515" s="172">
        <f t="shared" si="928"/>
      </c>
      <c r="Z515" s="172">
        <v>3</v>
      </c>
      <c r="AA515" s="172">
        <v>7</v>
      </c>
      <c r="AB515" s="173">
        <v>12937.320000000007</v>
      </c>
      <c r="AC515" s="173">
        <v>0</v>
      </c>
      <c r="AD515" s="120">
        <f t="shared" si="19"/>
      </c>
      <c r="AE515" s="125" t="s">
        <v>121</v>
      </c>
      <c r="AF515" s="126" t="s">
        <v>137</v>
      </c>
      <c r="AG515" s="129">
        <v>7</v>
      </c>
      <c r="AH515" s="128">
        <v>42703</v>
      </c>
      <c r="AI515" s="128">
        <v>1716</v>
      </c>
      <c r="AJ515" s="128">
        <v>1891</v>
      </c>
      <c r="AK515" s="129">
        <v>174</v>
      </c>
      <c r="AL515" s="129">
        <v>152</v>
      </c>
    </row>
    <row r="516">
      <c r="A516" s="108"/>
      <c r="B516" s="109" t="s">
        <v>143</v>
      </c>
      <c r="C516" s="110" t="s">
        <v>147</v>
      </c>
      <c r="D516" s="143">
        <f t="shared" si="370"/>
      </c>
      <c r="E516" s="147">
        <v>927.76</v>
      </c>
      <c r="F516" s="145">
        <v>3490.93</v>
      </c>
      <c r="G516" s="113">
        <v>0</v>
      </c>
      <c r="H516" s="113">
        <v>0</v>
      </c>
      <c r="I516" s="113">
        <f t="shared" si="499"/>
      </c>
      <c r="J516" s="114">
        <v>0</v>
      </c>
      <c r="K516" s="115">
        <f t="shared" si="112"/>
      </c>
      <c r="L516" s="115">
        <f t="shared" si="241"/>
      </c>
      <c r="M516" s="116">
        <f t="shared" si="625"/>
      </c>
      <c r="N516" s="117">
        <f t="shared" si="655"/>
      </c>
      <c r="O516" s="118">
        <f t="shared" si="565"/>
      </c>
      <c r="P516" s="119">
        <f t="shared" si="595"/>
      </c>
      <c r="Q516" s="119">
        <f t="shared" si="775"/>
      </c>
      <c r="R516" s="119">
        <f t="shared" si="805"/>
      </c>
      <c r="S516" s="120">
        <f t="shared" si="685"/>
      </c>
      <c r="T516" s="121">
        <f t="shared" si="715"/>
      </c>
      <c r="U516" s="119">
        <f t="shared" si="994"/>
      </c>
      <c r="V516" s="122">
        <f t="shared" si="745"/>
      </c>
      <c r="W516" s="122">
        <f t="shared" si="1024"/>
      </c>
      <c r="X516" s="119">
        <f t="shared" si="835"/>
      </c>
      <c r="Y516" s="123">
        <f t="shared" si="928"/>
      </c>
      <c r="Z516" s="123">
        <v>8</v>
      </c>
      <c r="AA516" s="123">
        <v>1</v>
      </c>
      <c r="AB516" s="124">
        <v>716.04</v>
      </c>
      <c r="AC516" s="124">
        <v>0</v>
      </c>
      <c r="AD516" s="120">
        <f t="shared" si="19"/>
      </c>
      <c r="AE516" s="125" t="s">
        <v>121</v>
      </c>
      <c r="AF516" s="126" t="s">
        <v>137</v>
      </c>
      <c r="AG516" s="127">
        <v>1</v>
      </c>
      <c r="AH516" s="128">
        <v>43015</v>
      </c>
      <c r="AI516" s="128">
        <v>1458</v>
      </c>
      <c r="AJ516" s="128">
        <v>1672</v>
      </c>
      <c r="AK516" s="129">
        <v>163</v>
      </c>
      <c r="AL516" s="129">
        <v>160</v>
      </c>
    </row>
    <row r="517">
      <c r="A517" s="108"/>
      <c r="B517" s="109" t="s">
        <v>143</v>
      </c>
      <c r="C517" s="110" t="s">
        <v>148</v>
      </c>
      <c r="D517" s="143">
        <f t="shared" si="370"/>
      </c>
      <c r="E517" s="147">
        <v>609.34</v>
      </c>
      <c r="F517" s="145">
        <v>3168.72</v>
      </c>
      <c r="G517" s="113">
        <v>0</v>
      </c>
      <c r="H517" s="113">
        <v>0</v>
      </c>
      <c r="I517" s="113">
        <f t="shared" si="499"/>
      </c>
      <c r="J517" s="114">
        <v>0</v>
      </c>
      <c r="K517" s="115">
        <f t="shared" si="112"/>
      </c>
      <c r="L517" s="115">
        <f t="shared" si="241"/>
      </c>
      <c r="M517" s="116">
        <f t="shared" si="625"/>
      </c>
      <c r="N517" s="117">
        <f t="shared" si="655"/>
      </c>
      <c r="O517" s="118">
        <f t="shared" si="565"/>
      </c>
      <c r="P517" s="119">
        <f t="shared" si="595"/>
      </c>
      <c r="Q517" s="119">
        <f t="shared" si="775"/>
      </c>
      <c r="R517" s="119">
        <f t="shared" si="805"/>
      </c>
      <c r="S517" s="120">
        <f t="shared" si="685"/>
      </c>
      <c r="T517" s="121">
        <f t="shared" si="715"/>
      </c>
      <c r="U517" s="119">
        <f t="shared" si="994"/>
      </c>
      <c r="V517" s="122">
        <f t="shared" si="745"/>
      </c>
      <c r="W517" s="122">
        <f t="shared" si="1024"/>
      </c>
      <c r="X517" s="119">
        <f t="shared" si="835"/>
      </c>
      <c r="Y517" s="123">
        <f t="shared" si="928"/>
      </c>
      <c r="Z517" s="123">
        <v>2</v>
      </c>
      <c r="AA517" s="123">
        <v>4</v>
      </c>
      <c r="AB517" s="124">
        <v>9092.52</v>
      </c>
      <c r="AC517" s="124">
        <v>0</v>
      </c>
      <c r="AD517" s="120">
        <f t="shared" si="19"/>
      </c>
      <c r="AE517" s="125" t="s">
        <v>121</v>
      </c>
      <c r="AF517" s="126" t="s">
        <v>137</v>
      </c>
      <c r="AG517" s="127">
        <v>3</v>
      </c>
      <c r="AH517" s="128">
        <v>40307</v>
      </c>
      <c r="AI517" s="128">
        <v>886</v>
      </c>
      <c r="AJ517" s="128">
        <v>1040</v>
      </c>
      <c r="AK517" s="129">
        <v>109</v>
      </c>
      <c r="AL517" s="129">
        <v>119</v>
      </c>
    </row>
    <row r="518">
      <c r="A518" s="108"/>
      <c r="B518" s="130" t="s">
        <v>127</v>
      </c>
      <c r="C518" s="131">
        <v>5</v>
      </c>
      <c r="D518" s="132">
        <f>SUM(D513:D517)</f>
      </c>
      <c r="E518" s="132">
        <f>SUM(E513:E517)</f>
      </c>
      <c r="F518" s="132">
        <f>SUM(F513:F517)</f>
      </c>
      <c r="G518" s="132">
        <f>SUM(G513:G517)</f>
      </c>
      <c r="H518" s="132">
        <f>SUM(H513:H517)</f>
      </c>
      <c r="I518" s="132">
        <f>SUM(I513:I517)</f>
      </c>
      <c r="J518" s="132">
        <f>SUM(J513:J517)</f>
      </c>
      <c r="K518" s="132">
        <f>SUM(K513:K517)</f>
      </c>
      <c r="L518" s="132">
        <f>SUM(L513:L517)</f>
      </c>
      <c r="M518" s="133">
        <f t="shared" si="625"/>
      </c>
      <c r="N518" s="134">
        <f t="shared" si="655"/>
      </c>
      <c r="O518" s="134">
        <f t="shared" si="565"/>
      </c>
      <c r="P518" s="135">
        <f t="shared" si="595"/>
      </c>
      <c r="Q518" s="135">
        <f t="shared" si="775"/>
      </c>
      <c r="R518" s="135">
        <f t="shared" si="805"/>
      </c>
      <c r="S518" s="136">
        <f t="shared" si="685"/>
      </c>
      <c r="T518" s="136">
        <f t="shared" si="715"/>
      </c>
      <c r="U518" s="135">
        <f t="shared" si="994"/>
      </c>
      <c r="V518" s="136">
        <f t="shared" si="745"/>
      </c>
      <c r="W518" s="136">
        <f t="shared" si="1024"/>
      </c>
      <c r="X518" s="135">
        <f t="shared" si="835"/>
      </c>
      <c r="Y518" s="132">
        <f>SUM(Y513:Y517)</f>
      </c>
      <c r="Z518" s="132">
        <f>SUM(Z513:Z517)</f>
      </c>
      <c r="AA518" s="132">
        <f>SUM(AA513:AA517)</f>
      </c>
      <c r="AB518" s="132">
        <f>SUM(AB513:AB517)</f>
      </c>
      <c r="AC518" s="132">
        <f>SUM(AC513:AC517)</f>
      </c>
      <c r="AD518" s="150">
        <f t="shared" si="19"/>
      </c>
      <c r="AE518" s="151"/>
      <c r="AF518" s="139"/>
      <c r="AG518" s="132">
        <f>SUM(AG513:AG517)</f>
      </c>
      <c r="AH518" s="132">
        <f>SUM(AH513:AH517)</f>
      </c>
      <c r="AI518" s="132">
        <f>SUM(AI513:AI517)</f>
      </c>
      <c r="AJ518" s="132">
        <f>SUM(AJ513:AJ517)</f>
      </c>
      <c r="AK518" s="132">
        <f>SUM(AK513:AK517)</f>
      </c>
      <c r="AL518" s="132">
        <f>SUM(AL513:AL517)</f>
      </c>
    </row>
    <row r="519">
      <c r="A519" s="108"/>
      <c r="B519" s="152" t="s">
        <v>127</v>
      </c>
      <c r="C519" s="153">
        <f>C500+C506+C512+C518</f>
      </c>
      <c r="D519" s="167">
        <f>D500+D506+D512+D518</f>
      </c>
      <c r="E519" s="153">
        <f>E500+E506+E512+E518</f>
      </c>
      <c r="F519" s="153">
        <f>F500+F506+F512+F518</f>
      </c>
      <c r="G519" s="153">
        <f>G500+G506+G512+G518</f>
      </c>
      <c r="H519" s="153">
        <f>H500+H506+H512+H518</f>
      </c>
      <c r="I519" s="167">
        <f>I500+I506+I512+I518</f>
      </c>
      <c r="J519" s="153">
        <f>J500+J506+J512+J518</f>
      </c>
      <c r="K519" s="153">
        <f>K500+K506+K512+K518</f>
      </c>
      <c r="L519" s="153">
        <f>L500+L506+L512+L518</f>
      </c>
      <c r="M519" s="154">
        <f t="shared" si="625"/>
      </c>
      <c r="N519" s="154">
        <f t="shared" si="655"/>
      </c>
      <c r="O519" s="154">
        <f t="shared" si="565"/>
      </c>
      <c r="P519" s="154">
        <f t="shared" si="595"/>
      </c>
      <c r="Q519" s="154">
        <f t="shared" si="775"/>
      </c>
      <c r="R519" s="154">
        <f t="shared" si="805"/>
      </c>
      <c r="S519" s="155">
        <f t="shared" si="685"/>
      </c>
      <c r="T519" s="155">
        <f t="shared" si="715"/>
      </c>
      <c r="U519" s="154">
        <f t="shared" si="994"/>
      </c>
      <c r="V519" s="155">
        <f t="shared" si="745"/>
      </c>
      <c r="W519" s="155">
        <f t="shared" si="1024"/>
      </c>
      <c r="X519" s="154">
        <f t="shared" si="835"/>
      </c>
      <c r="Y519" s="156">
        <f>Y500+Y506+Y512+Y518</f>
      </c>
      <c r="Z519" s="156">
        <f>Z500+Z506+Z512+Z518</f>
      </c>
      <c r="AA519" s="156">
        <f>AA500+AA506+AA512+AA518</f>
      </c>
      <c r="AB519" s="156">
        <f>AB500+AB506+AB512+AB518</f>
      </c>
      <c r="AC519" s="156">
        <f>AC500+AC506+AC512+AC518</f>
      </c>
      <c r="AD519" s="157">
        <f>AD500+AD506+AD512+AD518</f>
      </c>
      <c r="AE519" s="158"/>
      <c r="AF519" s="159"/>
      <c r="AG519" s="153">
        <f>AG500+AG506+AG512+AG518</f>
      </c>
      <c r="AH519" s="153">
        <f>AH500+AH506+AH512+AH518</f>
      </c>
      <c r="AI519" s="153">
        <f>AI500+AI506+AI512+AI518</f>
      </c>
      <c r="AJ519" s="153">
        <f>AJ500+AJ506+AJ512+AJ518</f>
      </c>
      <c r="AK519" s="153">
        <f>AK500+AK506+AK512+AK518</f>
      </c>
      <c r="AL519" s="153">
        <f>AL500+AL506+AL512+AL518</f>
      </c>
    </row>
    <row r="520">
      <c r="A520" s="94" t="s">
        <v>81</v>
      </c>
      <c r="B520" s="95" t="s">
        <v>82</v>
      </c>
      <c r="C520" s="95" t="s">
        <v>83</v>
      </c>
      <c r="D520" s="96" t="s">
        <v>84</v>
      </c>
      <c r="E520" s="164" t="s">
        <v>85</v>
      </c>
      <c r="F520" s="95" t="s">
        <v>86</v>
      </c>
      <c r="G520" s="97" t="s">
        <v>87</v>
      </c>
      <c r="H520" s="97" t="s">
        <v>88</v>
      </c>
      <c r="I520" s="96" t="s">
        <v>89</v>
      </c>
      <c r="J520" s="98" t="s">
        <v>90</v>
      </c>
      <c r="K520" s="99" t="s">
        <v>91</v>
      </c>
      <c r="L520" s="99" t="s">
        <v>92</v>
      </c>
      <c r="M520" s="100" t="s">
        <v>93</v>
      </c>
      <c r="N520" s="99" t="s">
        <v>94</v>
      </c>
      <c r="O520" s="95" t="s">
        <v>95</v>
      </c>
      <c r="P520" s="100" t="s">
        <v>96</v>
      </c>
      <c r="Q520" s="101" t="s">
        <v>97</v>
      </c>
      <c r="R520" s="101" t="s">
        <v>98</v>
      </c>
      <c r="S520" s="96" t="s">
        <v>99</v>
      </c>
      <c r="T520" s="102" t="s">
        <v>100</v>
      </c>
      <c r="U520" s="100" t="s">
        <v>101</v>
      </c>
      <c r="V520" s="103" t="s">
        <v>102</v>
      </c>
      <c r="W520" s="104" t="s">
        <v>103</v>
      </c>
      <c r="X520" s="100" t="s">
        <v>104</v>
      </c>
      <c r="Y520" s="105" t="s">
        <v>105</v>
      </c>
      <c r="Z520" s="106" t="s">
        <v>106</v>
      </c>
      <c r="AA520" s="105" t="s">
        <v>107</v>
      </c>
      <c r="AB520" s="107" t="s">
        <v>108</v>
      </c>
      <c r="AC520" s="107" t="s">
        <v>109</v>
      </c>
      <c r="AD520" s="99" t="s">
        <v>110</v>
      </c>
      <c r="AE520" s="98" t="s">
        <v>111</v>
      </c>
      <c r="AF520" s="99" t="s">
        <v>112</v>
      </c>
      <c r="AG520" s="98" t="s">
        <v>113</v>
      </c>
      <c r="AH520" s="98" t="s">
        <v>114</v>
      </c>
      <c r="AI520" s="99" t="s">
        <v>115</v>
      </c>
      <c r="AJ520" s="98" t="s">
        <v>116</v>
      </c>
      <c r="AK520" s="99" t="s">
        <v>117</v>
      </c>
      <c r="AL520" s="98" t="s">
        <v>118</v>
      </c>
    </row>
    <row r="521">
      <c r="A521" s="108">
        <v>46286</v>
      </c>
      <c r="B521" s="109" t="s">
        <v>119</v>
      </c>
      <c r="C521" s="110" t="s">
        <v>120</v>
      </c>
      <c r="D521" s="143">
        <f t="shared" ref="D521:D525" si="371">E521+F521+G521+H521</f>
      </c>
      <c r="E521" s="144">
        <v>1818.13</v>
      </c>
      <c r="F521" s="146">
        <v>5771.23</v>
      </c>
      <c r="G521" s="113">
        <v>0</v>
      </c>
      <c r="H521" s="113">
        <v>0</v>
      </c>
      <c r="I521" s="113">
        <f t="shared" ref="I521:I525" si="500">AB521+AC521</f>
      </c>
      <c r="J521" s="114">
        <v>3048.84</v>
      </c>
      <c r="K521" s="115">
        <f t="shared" ref="K521:K525" si="113">I521-J521</f>
      </c>
      <c r="L521" s="115">
        <f t="shared" ref="L521:L525" si="242">(I521-AC521)/12+AC521</f>
      </c>
      <c r="M521" s="116">
        <f t="shared" ref="M521:M545" si="626">I521/D521</f>
      </c>
      <c r="N521" s="117">
        <f t="shared" ref="N521:N545" si="656">(I521-J521)/D521</f>
      </c>
      <c r="O521" s="118">
        <f t="shared" ref="O521:O545" si="566">(AC521+AB521/12)/D521</f>
      </c>
      <c r="P521" s="119">
        <f t="shared" ref="P521:P545" si="596">I521/AA521</f>
      </c>
      <c r="Q521" s="119">
        <f t="shared" ref="Q521:Q545" si="776">D521/AA521</f>
      </c>
      <c r="R521" s="119">
        <f t="shared" ref="R521:R545" si="806">D521/AG521</f>
      </c>
      <c r="S521" s="120">
        <f t="shared" ref="S521:S545" si="686">AA521/Y521</f>
      </c>
      <c r="T521" s="121">
        <f t="shared" ref="T521:T545" si="716">AI521/AH521</f>
      </c>
      <c r="U521" s="119">
        <f t="shared" ref="U521:U545" si="995">D521/AJ521</f>
      </c>
      <c r="V521" s="122">
        <f t="shared" ref="V521:V545" si="746">AK521/AJ521</f>
      </c>
      <c r="W521" s="122">
        <f t="shared" ref="W521:W545" si="1025">AL521/AJ521</f>
      </c>
      <c r="X521" s="119">
        <f t="shared" ref="X521:X545" si="836">D521/AL521</f>
      </c>
      <c r="Y521" s="123">
        <f t="shared" ref="Y521:Y525" si="929">Z521+AA521</f>
      </c>
      <c r="Z521" s="123">
        <v>3</v>
      </c>
      <c r="AA521" s="123">
        <v>8</v>
      </c>
      <c r="AB521" s="124">
        <v>13140.000000000002</v>
      </c>
      <c r="AC521" s="124">
        <v>0</v>
      </c>
      <c r="AD521" s="120">
        <f t="shared" ref="AD521:AD544" si="20">AC521/I521</f>
      </c>
      <c r="AE521" s="125" t="s">
        <v>121</v>
      </c>
      <c r="AF521" s="126" t="s">
        <v>122</v>
      </c>
      <c r="AG521" s="127">
        <v>8</v>
      </c>
      <c r="AH521" s="127">
        <v>72168</v>
      </c>
      <c r="AI521" s="128">
        <v>2338</v>
      </c>
      <c r="AJ521" s="128">
        <v>2619</v>
      </c>
      <c r="AK521" s="127">
        <v>267</v>
      </c>
      <c r="AL521" s="129">
        <v>294</v>
      </c>
    </row>
    <row r="522">
      <c r="A522" s="108"/>
      <c r="B522" s="109" t="s">
        <v>119</v>
      </c>
      <c r="C522" s="110" t="s">
        <v>123</v>
      </c>
      <c r="D522" s="143">
        <f t="shared" si="371"/>
      </c>
      <c r="E522" s="147">
        <v>1456.2</v>
      </c>
      <c r="F522" s="146">
        <v>9076.69</v>
      </c>
      <c r="G522" s="113">
        <v>0</v>
      </c>
      <c r="H522" s="113">
        <v>0</v>
      </c>
      <c r="I522" s="113">
        <f t="shared" si="500"/>
      </c>
      <c r="J522" s="114">
        <v>0</v>
      </c>
      <c r="K522" s="115">
        <f t="shared" si="113"/>
      </c>
      <c r="L522" s="115">
        <f t="shared" si="242"/>
      </c>
      <c r="M522" s="116">
        <f t="shared" si="626"/>
      </c>
      <c r="N522" s="117">
        <f t="shared" si="656"/>
      </c>
      <c r="O522" s="118">
        <f t="shared" si="566"/>
      </c>
      <c r="P522" s="119">
        <f t="shared" si="596"/>
      </c>
      <c r="Q522" s="119">
        <f t="shared" si="776"/>
      </c>
      <c r="R522" s="119">
        <f t="shared" si="806"/>
      </c>
      <c r="S522" s="120">
        <f t="shared" si="686"/>
      </c>
      <c r="T522" s="121">
        <f t="shared" si="716"/>
      </c>
      <c r="U522" s="119">
        <f t="shared" si="995"/>
      </c>
      <c r="V522" s="122">
        <f t="shared" si="746"/>
      </c>
      <c r="W522" s="122">
        <f t="shared" si="1025"/>
      </c>
      <c r="X522" s="119">
        <f t="shared" si="836"/>
      </c>
      <c r="Y522" s="123">
        <f t="shared" si="929"/>
      </c>
      <c r="Z522" s="123">
        <v>5</v>
      </c>
      <c r="AA522" s="123">
        <v>7</v>
      </c>
      <c r="AB522" s="124">
        <v>7514.639999999998</v>
      </c>
      <c r="AC522" s="124">
        <v>0</v>
      </c>
      <c r="AD522" s="120">
        <f t="shared" si="20"/>
      </c>
      <c r="AE522" s="125" t="s">
        <v>121</v>
      </c>
      <c r="AF522" s="126" t="s">
        <v>122</v>
      </c>
      <c r="AG522" s="127">
        <v>4</v>
      </c>
      <c r="AH522" s="128">
        <v>104310</v>
      </c>
      <c r="AI522" s="128">
        <v>1845</v>
      </c>
      <c r="AJ522" s="128">
        <v>2071</v>
      </c>
      <c r="AK522" s="129">
        <v>274</v>
      </c>
      <c r="AL522" s="129">
        <v>290</v>
      </c>
    </row>
    <row r="523">
      <c r="A523" s="108"/>
      <c r="B523" s="109" t="s">
        <v>119</v>
      </c>
      <c r="C523" s="110" t="s">
        <v>124</v>
      </c>
      <c r="D523" s="111">
        <f t="shared" si="371"/>
      </c>
      <c r="E523" s="165">
        <v>1122.85</v>
      </c>
      <c r="F523" s="110">
        <v>5609.06</v>
      </c>
      <c r="G523" s="113">
        <v>0</v>
      </c>
      <c r="H523" s="113">
        <v>0</v>
      </c>
      <c r="I523" s="113">
        <f t="shared" si="500"/>
      </c>
      <c r="J523" s="114">
        <f>3218.4+4683.96</f>
      </c>
      <c r="K523" s="115">
        <f t="shared" si="113"/>
      </c>
      <c r="L523" s="115">
        <f t="shared" si="242"/>
      </c>
      <c r="M523" s="116">
        <f t="shared" si="626"/>
      </c>
      <c r="N523" s="117">
        <f t="shared" si="656"/>
      </c>
      <c r="O523" s="118">
        <f t="shared" si="566"/>
      </c>
      <c r="P523" s="119">
        <f t="shared" si="596"/>
      </c>
      <c r="Q523" s="119">
        <f t="shared" si="776"/>
      </c>
      <c r="R523" s="119">
        <f t="shared" si="806"/>
      </c>
      <c r="S523" s="120">
        <f t="shared" si="686"/>
      </c>
      <c r="T523" s="121">
        <f t="shared" si="716"/>
      </c>
      <c r="U523" s="119">
        <f t="shared" si="995"/>
      </c>
      <c r="V523" s="122">
        <f t="shared" si="746"/>
      </c>
      <c r="W523" s="122">
        <f t="shared" si="1025"/>
      </c>
      <c r="X523" s="119">
        <f t="shared" si="836"/>
      </c>
      <c r="Y523" s="123">
        <f t="shared" si="929"/>
      </c>
      <c r="Z523" s="123">
        <v>0</v>
      </c>
      <c r="AA523" s="123">
        <v>7</v>
      </c>
      <c r="AB523" s="124">
        <v>16464.600000000006</v>
      </c>
      <c r="AC523" s="124">
        <v>0</v>
      </c>
      <c r="AD523" s="120">
        <f t="shared" si="20"/>
      </c>
      <c r="AE523" s="125" t="s">
        <v>121</v>
      </c>
      <c r="AF523" s="126" t="s">
        <v>122</v>
      </c>
      <c r="AG523" s="127">
        <v>6</v>
      </c>
      <c r="AH523" s="128">
        <v>59972</v>
      </c>
      <c r="AI523" s="128">
        <v>1050</v>
      </c>
      <c r="AJ523" s="128">
        <v>1170</v>
      </c>
      <c r="AK523" s="129">
        <v>181</v>
      </c>
      <c r="AL523" s="129">
        <v>179</v>
      </c>
    </row>
    <row r="524">
      <c r="A524" s="108"/>
      <c r="B524" s="109" t="s">
        <v>119</v>
      </c>
      <c r="C524" s="110" t="s">
        <v>125</v>
      </c>
      <c r="D524" s="111">
        <f t="shared" si="371"/>
      </c>
      <c r="E524" s="175">
        <v>1708.32</v>
      </c>
      <c r="F524" s="113">
        <v>5810.92</v>
      </c>
      <c r="G524" s="113">
        <v>0</v>
      </c>
      <c r="H524" s="113">
        <v>0</v>
      </c>
      <c r="I524" s="113">
        <f t="shared" si="500"/>
      </c>
      <c r="J524" s="114">
        <f>3048.84+638.28+1195</f>
      </c>
      <c r="K524" s="115">
        <f t="shared" si="113"/>
      </c>
      <c r="L524" s="115">
        <f t="shared" si="242"/>
      </c>
      <c r="M524" s="116">
        <f t="shared" si="626"/>
      </c>
      <c r="N524" s="117">
        <f t="shared" si="656"/>
      </c>
      <c r="O524" s="118">
        <f t="shared" si="566"/>
      </c>
      <c r="P524" s="119">
        <f t="shared" si="596"/>
      </c>
      <c r="Q524" s="119">
        <f t="shared" si="776"/>
      </c>
      <c r="R524" s="119">
        <f t="shared" si="806"/>
      </c>
      <c r="S524" s="120">
        <f t="shared" si="686"/>
      </c>
      <c r="T524" s="121">
        <f t="shared" si="716"/>
      </c>
      <c r="U524" s="119">
        <f t="shared" si="995"/>
      </c>
      <c r="V524" s="122">
        <f t="shared" si="746"/>
      </c>
      <c r="W524" s="122">
        <f t="shared" si="1025"/>
      </c>
      <c r="X524" s="119">
        <f t="shared" si="836"/>
      </c>
      <c r="Y524" s="123">
        <f t="shared" si="929"/>
      </c>
      <c r="Z524" s="123">
        <v>4</v>
      </c>
      <c r="AA524" s="123">
        <v>8</v>
      </c>
      <c r="AB524" s="124">
        <v>10713.599999999999</v>
      </c>
      <c r="AC524" s="124">
        <v>1195</v>
      </c>
      <c r="AD524" s="120">
        <f t="shared" si="20"/>
      </c>
      <c r="AE524" s="125" t="s">
        <v>121</v>
      </c>
      <c r="AF524" s="126" t="s">
        <v>122</v>
      </c>
      <c r="AG524" s="127">
        <v>8</v>
      </c>
      <c r="AH524" s="128">
        <v>55524</v>
      </c>
      <c r="AI524" s="128">
        <v>759</v>
      </c>
      <c r="AJ524" s="128">
        <v>820</v>
      </c>
      <c r="AK524" s="129">
        <v>156</v>
      </c>
      <c r="AL524" s="129">
        <v>202</v>
      </c>
    </row>
    <row r="525">
      <c r="A525" s="108"/>
      <c r="B525" s="109" t="s">
        <v>119</v>
      </c>
      <c r="C525" s="110" t="s">
        <v>126</v>
      </c>
      <c r="D525" s="143">
        <f t="shared" si="371"/>
      </c>
      <c r="E525" s="144">
        <v>1846.75</v>
      </c>
      <c r="F525" s="146">
        <v>6705.09</v>
      </c>
      <c r="G525" s="113">
        <v>0</v>
      </c>
      <c r="H525" s="113">
        <v>0</v>
      </c>
      <c r="I525" s="113">
        <f t="shared" si="500"/>
      </c>
      <c r="J525" s="114">
        <f>1320.84+757.08+2819.88+2520.72+1622.16</f>
      </c>
      <c r="K525" s="115">
        <f t="shared" si="113"/>
      </c>
      <c r="L525" s="115">
        <f t="shared" si="242"/>
      </c>
      <c r="M525" s="116">
        <f t="shared" si="626"/>
      </c>
      <c r="N525" s="117">
        <f t="shared" si="656"/>
      </c>
      <c r="O525" s="118">
        <f t="shared" si="566"/>
      </c>
      <c r="P525" s="119">
        <f t="shared" si="596"/>
      </c>
      <c r="Q525" s="119">
        <f t="shared" si="776"/>
      </c>
      <c r="R525" s="119">
        <f t="shared" si="806"/>
      </c>
      <c r="S525" s="120">
        <f t="shared" si="686"/>
      </c>
      <c r="T525" s="121">
        <f t="shared" si="716"/>
      </c>
      <c r="U525" s="119">
        <f t="shared" si="995"/>
      </c>
      <c r="V525" s="122">
        <f t="shared" si="746"/>
      </c>
      <c r="W525" s="122">
        <f t="shared" si="1025"/>
      </c>
      <c r="X525" s="119">
        <f t="shared" si="836"/>
      </c>
      <c r="Y525" s="123">
        <f t="shared" si="929"/>
      </c>
      <c r="Z525" s="123">
        <v>8</v>
      </c>
      <c r="AA525" s="123">
        <v>12</v>
      </c>
      <c r="AB525" s="124">
        <v>23603.159999999996</v>
      </c>
      <c r="AC525" s="124">
        <v>0</v>
      </c>
      <c r="AD525" s="120">
        <f t="shared" si="20"/>
      </c>
      <c r="AE525" s="125" t="s">
        <v>121</v>
      </c>
      <c r="AF525" s="126" t="s">
        <v>122</v>
      </c>
      <c r="AG525" s="127">
        <v>10</v>
      </c>
      <c r="AH525" s="128">
        <v>63760</v>
      </c>
      <c r="AI525" s="128">
        <v>753</v>
      </c>
      <c r="AJ525" s="128">
        <v>812</v>
      </c>
      <c r="AK525" s="127">
        <v>181</v>
      </c>
      <c r="AL525" s="127">
        <v>214</v>
      </c>
    </row>
    <row r="526">
      <c r="A526" s="108"/>
      <c r="B526" s="130" t="s">
        <v>127</v>
      </c>
      <c r="C526" s="131">
        <v>5</v>
      </c>
      <c r="D526" s="132">
        <f>SUM(D521:D525)</f>
      </c>
      <c r="E526" s="148">
        <f>SUM(E521:E525)</f>
      </c>
      <c r="F526" s="132">
        <f>SUM(F521:F525)</f>
      </c>
      <c r="G526" s="132">
        <f>SUM(G521:G525)</f>
      </c>
      <c r="H526" s="132">
        <f>SUM(H521:H525)</f>
      </c>
      <c r="I526" s="132">
        <f>SUM(I521:I525)</f>
      </c>
      <c r="J526" s="132">
        <f>SUM(J521:J525)</f>
      </c>
      <c r="K526" s="132">
        <f>SUM(K521:K525)</f>
      </c>
      <c r="L526" s="132">
        <f>SUM(L521:L525)</f>
      </c>
      <c r="M526" s="133">
        <f t="shared" si="626"/>
      </c>
      <c r="N526" s="134">
        <f t="shared" si="656"/>
      </c>
      <c r="O526" s="134">
        <f t="shared" si="566"/>
      </c>
      <c r="P526" s="135">
        <f t="shared" si="596"/>
      </c>
      <c r="Q526" s="135">
        <f t="shared" si="776"/>
      </c>
      <c r="R526" s="135">
        <f t="shared" si="806"/>
      </c>
      <c r="S526" s="136">
        <f t="shared" si="686"/>
      </c>
      <c r="T526" s="136">
        <f t="shared" si="716"/>
      </c>
      <c r="U526" s="135">
        <f t="shared" si="995"/>
      </c>
      <c r="V526" s="136">
        <f t="shared" si="746"/>
      </c>
      <c r="W526" s="136">
        <f t="shared" si="1025"/>
      </c>
      <c r="X526" s="135">
        <f t="shared" si="836"/>
      </c>
      <c r="Y526" s="132">
        <f>SUM(Y521:Y525)</f>
      </c>
      <c r="Z526" s="132">
        <f>SUM(Z521:Z525)</f>
      </c>
      <c r="AA526" s="132">
        <f>SUM(AA521:AA525)</f>
      </c>
      <c r="AB526" s="132">
        <f>SUM(AB521:AB525)</f>
      </c>
      <c r="AC526" s="132">
        <f>SUM(AC521:AC525)</f>
      </c>
      <c r="AD526" s="137">
        <f t="shared" si="20"/>
      </c>
      <c r="AE526" s="138"/>
      <c r="AF526" s="139"/>
      <c r="AG526" s="132">
        <f>SUM(AG521:AG525)</f>
      </c>
      <c r="AH526" s="132">
        <f>SUM(AH521:AH525)</f>
      </c>
      <c r="AI526" s="132">
        <f>SUM(AI521:AI525)</f>
      </c>
      <c r="AJ526" s="132">
        <f>SUM(AJ521:AJ525)</f>
      </c>
      <c r="AK526" s="132">
        <f>SUM(AK521:AK525)</f>
      </c>
      <c r="AL526" s="132">
        <f>SUM(AL521:AL525)</f>
      </c>
    </row>
    <row r="527">
      <c r="A527" s="108"/>
      <c r="B527" s="109" t="s">
        <v>139</v>
      </c>
      <c r="C527" s="110" t="s">
        <v>129</v>
      </c>
      <c r="D527" s="111">
        <f t="shared" ref="D527:D531" si="372">E527+F527+G527+H527</f>
      </c>
      <c r="E527" s="112">
        <v>1594.58</v>
      </c>
      <c r="F527" s="113">
        <v>7664.16</v>
      </c>
      <c r="G527" s="113">
        <v>0</v>
      </c>
      <c r="H527" s="113">
        <v>0</v>
      </c>
      <c r="I527" s="113">
        <f t="shared" ref="I527:I531" si="501">AB527+AC527</f>
      </c>
      <c r="J527" s="114">
        <f>1374.84+676.08+1337.04+1278.72+1320.84+1126.44</f>
      </c>
      <c r="K527" s="115">
        <f t="shared" ref="K527:K531" si="114">I527-J527</f>
      </c>
      <c r="L527" s="115">
        <f t="shared" ref="L527:L531" si="243">(I527-AC527)/12+AC527</f>
      </c>
      <c r="M527" s="116">
        <f t="shared" si="626"/>
      </c>
      <c r="N527" s="117">
        <f t="shared" si="656"/>
      </c>
      <c r="O527" s="118">
        <f t="shared" si="566"/>
      </c>
      <c r="P527" s="119">
        <f t="shared" si="596"/>
      </c>
      <c r="Q527" s="119">
        <f t="shared" si="776"/>
      </c>
      <c r="R527" s="119">
        <f t="shared" si="806"/>
      </c>
      <c r="S527" s="120">
        <f t="shared" si="686"/>
      </c>
      <c r="T527" s="121">
        <f t="shared" si="716"/>
      </c>
      <c r="U527" s="119">
        <f t="shared" si="995"/>
      </c>
      <c r="V527" s="122">
        <f t="shared" si="746"/>
      </c>
      <c r="W527" s="122">
        <f t="shared" si="1025"/>
      </c>
      <c r="X527" s="119">
        <f t="shared" si="836"/>
      </c>
      <c r="Y527" s="123">
        <f t="shared" ref="Y527:Y531" si="930">Z527+AA527</f>
      </c>
      <c r="Z527" s="123">
        <v>4</v>
      </c>
      <c r="AA527" s="123">
        <v>10</v>
      </c>
      <c r="AB527" s="124">
        <v>14187.839999999997</v>
      </c>
      <c r="AC527" s="124">
        <v>0</v>
      </c>
      <c r="AD527" s="120">
        <f t="shared" si="20"/>
      </c>
      <c r="AE527" s="125" t="s">
        <v>121</v>
      </c>
      <c r="AF527" s="126" t="s">
        <v>122</v>
      </c>
      <c r="AG527" s="127">
        <v>9</v>
      </c>
      <c r="AH527" s="128">
        <v>89456</v>
      </c>
      <c r="AI527" s="128">
        <v>752</v>
      </c>
      <c r="AJ527" s="128">
        <v>815</v>
      </c>
      <c r="AK527" s="127">
        <v>161</v>
      </c>
      <c r="AL527" s="127">
        <v>217</v>
      </c>
    </row>
    <row r="528">
      <c r="A528" s="108"/>
      <c r="B528" s="109" t="s">
        <v>139</v>
      </c>
      <c r="C528" s="110" t="s">
        <v>130</v>
      </c>
      <c r="D528" s="111">
        <f t="shared" si="372"/>
      </c>
      <c r="E528" s="110">
        <v>1709.61</v>
      </c>
      <c r="F528" s="113">
        <v>7444.96</v>
      </c>
      <c r="G528" s="113">
        <v>0</v>
      </c>
      <c r="H528" s="113">
        <v>0</v>
      </c>
      <c r="I528" s="113">
        <f t="shared" si="501"/>
      </c>
      <c r="J528" s="162">
        <v>0</v>
      </c>
      <c r="K528" s="115">
        <f t="shared" si="114"/>
      </c>
      <c r="L528" s="115">
        <f t="shared" si="243"/>
      </c>
      <c r="M528" s="116">
        <f t="shared" si="626"/>
      </c>
      <c r="N528" s="117">
        <f t="shared" si="656"/>
      </c>
      <c r="O528" s="118">
        <f t="shared" si="566"/>
      </c>
      <c r="P528" s="119">
        <f t="shared" si="596"/>
      </c>
      <c r="Q528" s="119">
        <f t="shared" si="776"/>
      </c>
      <c r="R528" s="119">
        <f t="shared" si="806"/>
      </c>
      <c r="S528" s="120">
        <f t="shared" si="686"/>
      </c>
      <c r="T528" s="121">
        <f t="shared" si="716"/>
      </c>
      <c r="U528" s="119">
        <f t="shared" si="995"/>
      </c>
      <c r="V528" s="122">
        <f t="shared" si="746"/>
      </c>
      <c r="W528" s="122">
        <f t="shared" si="1025"/>
      </c>
      <c r="X528" s="119">
        <f t="shared" si="836"/>
      </c>
      <c r="Y528" s="123">
        <f t="shared" si="930"/>
      </c>
      <c r="Z528" s="123">
        <v>11</v>
      </c>
      <c r="AA528" s="123">
        <v>8</v>
      </c>
      <c r="AB528" s="124">
        <v>8937</v>
      </c>
      <c r="AC528" s="124">
        <v>1398</v>
      </c>
      <c r="AD528" s="120">
        <f t="shared" si="20"/>
      </c>
      <c r="AE528" s="125" t="s">
        <v>121</v>
      </c>
      <c r="AF528" s="126" t="s">
        <v>122</v>
      </c>
      <c r="AG528" s="127">
        <v>7</v>
      </c>
      <c r="AH528" s="128">
        <v>80854</v>
      </c>
      <c r="AI528" s="128">
        <v>794</v>
      </c>
      <c r="AJ528" s="128">
        <v>816</v>
      </c>
      <c r="AK528" s="129">
        <v>171</v>
      </c>
      <c r="AL528" s="129">
        <v>202</v>
      </c>
    </row>
    <row r="529">
      <c r="A529" s="108"/>
      <c r="B529" s="109" t="s">
        <v>139</v>
      </c>
      <c r="C529" s="110" t="s">
        <v>131</v>
      </c>
      <c r="D529" s="111">
        <f t="shared" si="372"/>
      </c>
      <c r="E529" s="110">
        <v>1540.74</v>
      </c>
      <c r="F529" s="110">
        <v>8078.49</v>
      </c>
      <c r="G529" s="113">
        <v>0</v>
      </c>
      <c r="H529" s="113">
        <v>0</v>
      </c>
      <c r="I529" s="113">
        <f t="shared" si="501"/>
      </c>
      <c r="J529" s="114">
        <f>2053.8+396+2053.8+1958+1551.96+1184</f>
      </c>
      <c r="K529" s="115">
        <f t="shared" si="114"/>
      </c>
      <c r="L529" s="115">
        <f t="shared" si="243"/>
      </c>
      <c r="M529" s="116">
        <f t="shared" si="626"/>
      </c>
      <c r="N529" s="117">
        <f t="shared" si="656"/>
      </c>
      <c r="O529" s="118">
        <f t="shared" si="566"/>
      </c>
      <c r="P529" s="119">
        <f t="shared" si="596"/>
      </c>
      <c r="Q529" s="119">
        <f t="shared" si="776"/>
      </c>
      <c r="R529" s="119">
        <f t="shared" si="806"/>
      </c>
      <c r="S529" s="120">
        <f t="shared" si="686"/>
      </c>
      <c r="T529" s="121">
        <f t="shared" si="716"/>
      </c>
      <c r="U529" s="119">
        <f t="shared" si="995"/>
      </c>
      <c r="V529" s="122">
        <f t="shared" si="746"/>
      </c>
      <c r="W529" s="122">
        <f t="shared" si="1025"/>
      </c>
      <c r="X529" s="119">
        <f t="shared" si="836"/>
      </c>
      <c r="Y529" s="123">
        <f t="shared" si="930"/>
      </c>
      <c r="Z529" s="123">
        <v>9</v>
      </c>
      <c r="AA529" s="123">
        <v>7</v>
      </c>
      <c r="AB529" s="124">
        <v>9204.840000000011</v>
      </c>
      <c r="AC529" s="124">
        <v>7645.6</v>
      </c>
      <c r="AD529" s="120">
        <f t="shared" si="20"/>
      </c>
      <c r="AE529" s="125" t="s">
        <v>121</v>
      </c>
      <c r="AF529" s="126" t="s">
        <v>122</v>
      </c>
      <c r="AG529" s="129">
        <v>7</v>
      </c>
      <c r="AH529" s="128">
        <v>101121</v>
      </c>
      <c r="AI529" s="128">
        <v>1047</v>
      </c>
      <c r="AJ529" s="128">
        <v>1096</v>
      </c>
      <c r="AK529" s="129">
        <v>227</v>
      </c>
      <c r="AL529" s="129">
        <v>238</v>
      </c>
    </row>
    <row r="530">
      <c r="A530" s="108"/>
      <c r="B530" s="109" t="s">
        <v>139</v>
      </c>
      <c r="C530" s="110" t="s">
        <v>132</v>
      </c>
      <c r="D530" s="111">
        <f t="shared" si="372"/>
      </c>
      <c r="E530" s="110">
        <v>1211.07</v>
      </c>
      <c r="F530" s="113">
        <v>6416.09</v>
      </c>
      <c r="G530" s="113">
        <v>0</v>
      </c>
      <c r="H530" s="113">
        <v>0</v>
      </c>
      <c r="I530" s="113">
        <f t="shared" si="501"/>
      </c>
      <c r="J530" s="114">
        <f>676.08+2625.48+2036.88</f>
      </c>
      <c r="K530" s="115">
        <f t="shared" si="114"/>
      </c>
      <c r="L530" s="115">
        <f t="shared" si="243"/>
      </c>
      <c r="M530" s="116">
        <f t="shared" si="626"/>
      </c>
      <c r="N530" s="117">
        <f t="shared" si="656"/>
      </c>
      <c r="O530" s="118">
        <f t="shared" si="566"/>
      </c>
      <c r="P530" s="119">
        <f t="shared" si="596"/>
      </c>
      <c r="Q530" s="119">
        <f t="shared" si="776"/>
      </c>
      <c r="R530" s="119">
        <f t="shared" si="806"/>
      </c>
      <c r="S530" s="120">
        <f t="shared" si="686"/>
      </c>
      <c r="T530" s="121">
        <f t="shared" si="716"/>
      </c>
      <c r="U530" s="119">
        <f t="shared" si="995"/>
      </c>
      <c r="V530" s="122">
        <f t="shared" si="746"/>
      </c>
      <c r="W530" s="122">
        <f t="shared" si="1025"/>
      </c>
      <c r="X530" s="119">
        <f t="shared" si="836"/>
      </c>
      <c r="Y530" s="123">
        <f t="shared" si="930"/>
      </c>
      <c r="Z530" s="123">
        <v>5</v>
      </c>
      <c r="AA530" s="123">
        <v>7</v>
      </c>
      <c r="AB530" s="114">
        <v>9694.799999999988</v>
      </c>
      <c r="AC530" s="124">
        <v>4938</v>
      </c>
      <c r="AD530" s="120">
        <f t="shared" si="20"/>
      </c>
      <c r="AE530" s="125" t="s">
        <v>121</v>
      </c>
      <c r="AF530" s="126" t="s">
        <v>122</v>
      </c>
      <c r="AG530" s="127">
        <v>7</v>
      </c>
      <c r="AH530" s="128">
        <v>80174</v>
      </c>
      <c r="AI530" s="128">
        <v>813</v>
      </c>
      <c r="AJ530" s="128">
        <v>876</v>
      </c>
      <c r="AK530" s="129">
        <v>156</v>
      </c>
      <c r="AL530" s="129">
        <v>186</v>
      </c>
    </row>
    <row r="531">
      <c r="A531" s="108"/>
      <c r="B531" s="109" t="s">
        <v>139</v>
      </c>
      <c r="C531" s="110" t="s">
        <v>134</v>
      </c>
      <c r="D531" s="111">
        <f t="shared" si="372"/>
      </c>
      <c r="E531" s="110">
        <v>1210.2</v>
      </c>
      <c r="F531" s="140">
        <v>8972.83</v>
      </c>
      <c r="G531" s="113">
        <v>0</v>
      </c>
      <c r="H531" s="113">
        <v>0</v>
      </c>
      <c r="I531" s="113">
        <f t="shared" si="501"/>
      </c>
      <c r="J531" s="114">
        <v>0</v>
      </c>
      <c r="K531" s="115">
        <f t="shared" si="114"/>
      </c>
      <c r="L531" s="115">
        <f t="shared" si="243"/>
      </c>
      <c r="M531" s="116">
        <f t="shared" si="626"/>
      </c>
      <c r="N531" s="117">
        <f t="shared" si="656"/>
      </c>
      <c r="O531" s="118">
        <f t="shared" si="566"/>
      </c>
      <c r="P531" s="119">
        <f t="shared" si="596"/>
      </c>
      <c r="Q531" s="119">
        <f t="shared" si="776"/>
      </c>
      <c r="R531" s="119">
        <f t="shared" si="806"/>
      </c>
      <c r="S531" s="120">
        <f t="shared" si="686"/>
      </c>
      <c r="T531" s="121">
        <f t="shared" si="716"/>
      </c>
      <c r="U531" s="119">
        <f t="shared" si="995"/>
      </c>
      <c r="V531" s="122">
        <f t="shared" si="746"/>
      </c>
      <c r="W531" s="122">
        <f t="shared" si="1025"/>
      </c>
      <c r="X531" s="119">
        <f t="shared" si="836"/>
      </c>
      <c r="Y531" s="123">
        <f t="shared" si="930"/>
      </c>
      <c r="Z531" s="123">
        <v>7</v>
      </c>
      <c r="AA531" s="123">
        <v>7</v>
      </c>
      <c r="AB531" s="124">
        <v>10790.280000000013</v>
      </c>
      <c r="AC531" s="124">
        <v>645</v>
      </c>
      <c r="AD531" s="120">
        <f t="shared" si="20"/>
      </c>
      <c r="AE531" s="125" t="s">
        <v>121</v>
      </c>
      <c r="AF531" s="126" t="s">
        <v>122</v>
      </c>
      <c r="AG531" s="127">
        <v>7</v>
      </c>
      <c r="AH531" s="127">
        <v>112927</v>
      </c>
      <c r="AI531" s="127">
        <v>1192</v>
      </c>
      <c r="AJ531" s="127">
        <v>1199</v>
      </c>
      <c r="AK531" s="127">
        <v>260</v>
      </c>
      <c r="AL531" s="127">
        <v>295</v>
      </c>
    </row>
    <row r="532">
      <c r="A532" s="108"/>
      <c r="B532" s="130" t="s">
        <v>127</v>
      </c>
      <c r="C532" s="131">
        <v>5</v>
      </c>
      <c r="D532" s="132">
        <f>SUM(D527:D531)</f>
      </c>
      <c r="E532" s="132">
        <f>SUM(E527:E531)</f>
      </c>
      <c r="F532" s="132">
        <f>SUM(F527:F531)</f>
      </c>
      <c r="G532" s="132">
        <f>SUM(G527:G531)</f>
      </c>
      <c r="H532" s="132">
        <f>SUM(H527:H531)</f>
      </c>
      <c r="I532" s="132">
        <f>SUM(I527:I531)</f>
      </c>
      <c r="J532" s="132">
        <f>SUM(J527:J531)</f>
      </c>
      <c r="K532" s="132">
        <f>SUM(K527:K531)</f>
      </c>
      <c r="L532" s="132">
        <f>SUM(L527:L531)</f>
      </c>
      <c r="M532" s="133">
        <f t="shared" si="626"/>
      </c>
      <c r="N532" s="134">
        <f t="shared" si="656"/>
      </c>
      <c r="O532" s="134">
        <f t="shared" si="566"/>
      </c>
      <c r="P532" s="135">
        <f t="shared" si="596"/>
      </c>
      <c r="Q532" s="135">
        <f t="shared" si="776"/>
      </c>
      <c r="R532" s="135">
        <f t="shared" si="806"/>
      </c>
      <c r="S532" s="136">
        <f t="shared" si="686"/>
      </c>
      <c r="T532" s="136">
        <f t="shared" si="716"/>
      </c>
      <c r="U532" s="135">
        <f t="shared" si="995"/>
      </c>
      <c r="V532" s="136">
        <f t="shared" si="746"/>
      </c>
      <c r="W532" s="136">
        <f t="shared" si="1025"/>
      </c>
      <c r="X532" s="135">
        <f t="shared" si="836"/>
      </c>
      <c r="Y532" s="132">
        <f>SUM(Y527:Y531)</f>
      </c>
      <c r="Z532" s="132">
        <f>SUM(Z527:Z531)</f>
      </c>
      <c r="AA532" s="132">
        <f>SUM(AA527:AA531)</f>
      </c>
      <c r="AB532" s="132">
        <f>SUM(AB527:AB531)</f>
      </c>
      <c r="AC532" s="132">
        <f>SUM(AC527:AC531)</f>
      </c>
      <c r="AD532" s="137">
        <f t="shared" si="20"/>
      </c>
      <c r="AE532" s="138"/>
      <c r="AF532" s="139"/>
      <c r="AG532" s="132">
        <f>SUM(AG527:AG531)</f>
      </c>
      <c r="AH532" s="132">
        <f>SUM(AH527:AH531)</f>
      </c>
      <c r="AI532" s="132">
        <f>SUM(AI527:AI531)</f>
      </c>
      <c r="AJ532" s="132">
        <f>SUM(AJ527:AJ531)</f>
      </c>
      <c r="AK532" s="132">
        <f>SUM(AK527:AK531)</f>
      </c>
      <c r="AL532" s="132">
        <f>SUM(AL527:AL531)</f>
      </c>
    </row>
    <row r="533">
      <c r="A533" s="108"/>
      <c r="B533" s="109" t="s">
        <v>133</v>
      </c>
      <c r="C533" s="110" t="s">
        <v>135</v>
      </c>
      <c r="D533" s="111">
        <f t="shared" ref="D533:D537" si="373">E533+F533+G533+H533</f>
      </c>
      <c r="E533" s="110">
        <v>657.49</v>
      </c>
      <c r="F533" s="140">
        <v>8054.6</v>
      </c>
      <c r="G533" s="113">
        <v>0</v>
      </c>
      <c r="H533" s="113">
        <v>0</v>
      </c>
      <c r="I533" s="113">
        <f t="shared" ref="I533:I537" si="502">AB533+AC533</f>
      </c>
      <c r="J533" s="160">
        <f>2081.16+2703.24+1871.64+6913.08</f>
      </c>
      <c r="K533" s="115">
        <f t="shared" ref="K533:K537" si="115">I533-J533</f>
      </c>
      <c r="L533" s="115">
        <f t="shared" ref="L533:L537" si="244">(I533-AC533)/12+AC533</f>
      </c>
      <c r="M533" s="116">
        <f t="shared" si="626"/>
      </c>
      <c r="N533" s="117">
        <f t="shared" si="656"/>
      </c>
      <c r="O533" s="118">
        <f t="shared" si="566"/>
      </c>
      <c r="P533" s="119">
        <f t="shared" si="596"/>
      </c>
      <c r="Q533" s="119">
        <f t="shared" si="776"/>
      </c>
      <c r="R533" s="119">
        <f t="shared" si="806"/>
      </c>
      <c r="S533" s="120">
        <f t="shared" si="686"/>
      </c>
      <c r="T533" s="121">
        <f t="shared" si="716"/>
      </c>
      <c r="U533" s="119">
        <f t="shared" si="995"/>
      </c>
      <c r="V533" s="122">
        <f t="shared" si="746"/>
      </c>
      <c r="W533" s="122">
        <f t="shared" si="1025"/>
      </c>
      <c r="X533" s="119">
        <f t="shared" si="836"/>
      </c>
      <c r="Y533" s="123">
        <f t="shared" ref="Y533:Y537" si="931">Z533+AA533</f>
      </c>
      <c r="Z533" s="123">
        <v>4</v>
      </c>
      <c r="AA533" s="123">
        <v>11</v>
      </c>
      <c r="AB533" s="124">
        <v>21731.75999999998</v>
      </c>
      <c r="AC533" s="124">
        <v>385</v>
      </c>
      <c r="AD533" s="120">
        <f t="shared" si="20"/>
      </c>
      <c r="AE533" s="125" t="s">
        <v>121</v>
      </c>
      <c r="AF533" s="126" t="s">
        <v>137</v>
      </c>
      <c r="AG533" s="127">
        <v>8</v>
      </c>
      <c r="AH533" s="127">
        <v>112733</v>
      </c>
      <c r="AI533" s="127">
        <v>955</v>
      </c>
      <c r="AJ533" s="127">
        <v>987</v>
      </c>
      <c r="AK533" s="127">
        <v>229</v>
      </c>
      <c r="AL533" s="127">
        <v>258</v>
      </c>
    </row>
    <row r="534">
      <c r="A534" s="108"/>
      <c r="B534" s="109" t="s">
        <v>133</v>
      </c>
      <c r="C534" s="110" t="s">
        <v>138</v>
      </c>
      <c r="D534" s="111">
        <f t="shared" si="373"/>
      </c>
      <c r="E534" s="110">
        <v>1753.37</v>
      </c>
      <c r="F534" s="140">
        <v>5958.23</v>
      </c>
      <c r="G534" s="113">
        <v>0</v>
      </c>
      <c r="H534" s="113">
        <v>0</v>
      </c>
      <c r="I534" s="113">
        <f t="shared" si="502"/>
      </c>
      <c r="J534" s="114">
        <f>2918.16+1109.16+1128.6</f>
      </c>
      <c r="K534" s="115">
        <f t="shared" si="115"/>
      </c>
      <c r="L534" s="115">
        <f t="shared" si="244"/>
      </c>
      <c r="M534" s="116">
        <f t="shared" si="626"/>
      </c>
      <c r="N534" s="117">
        <f t="shared" si="656"/>
      </c>
      <c r="O534" s="118">
        <f t="shared" si="566"/>
      </c>
      <c r="P534" s="119">
        <f t="shared" si="596"/>
      </c>
      <c r="Q534" s="119">
        <f t="shared" si="776"/>
      </c>
      <c r="R534" s="119">
        <f t="shared" si="806"/>
      </c>
      <c r="S534" s="120">
        <f t="shared" si="686"/>
      </c>
      <c r="T534" s="121">
        <f t="shared" si="716"/>
      </c>
      <c r="U534" s="119">
        <f t="shared" si="995"/>
      </c>
      <c r="V534" s="122">
        <f t="shared" si="746"/>
      </c>
      <c r="W534" s="122">
        <f t="shared" si="1025"/>
      </c>
      <c r="X534" s="119">
        <f t="shared" si="836"/>
      </c>
      <c r="Y534" s="123">
        <f t="shared" si="931"/>
      </c>
      <c r="Z534" s="123">
        <v>4</v>
      </c>
      <c r="AA534" s="123">
        <v>9</v>
      </c>
      <c r="AB534" s="124">
        <v>14195.400000000023</v>
      </c>
      <c r="AC534" s="124">
        <v>0</v>
      </c>
      <c r="AD534" s="120">
        <f t="shared" si="20"/>
      </c>
      <c r="AE534" s="125" t="s">
        <v>121</v>
      </c>
      <c r="AF534" s="126" t="s">
        <v>137</v>
      </c>
      <c r="AG534" s="129">
        <v>7</v>
      </c>
      <c r="AH534" s="128">
        <v>72363</v>
      </c>
      <c r="AI534" s="128">
        <v>604</v>
      </c>
      <c r="AJ534" s="128">
        <v>622</v>
      </c>
      <c r="AK534" s="129">
        <v>144</v>
      </c>
      <c r="AL534" s="129">
        <v>174</v>
      </c>
    </row>
    <row r="535">
      <c r="A535" s="108"/>
      <c r="B535" s="109" t="s">
        <v>133</v>
      </c>
      <c r="C535" s="110" t="s">
        <v>140</v>
      </c>
      <c r="D535" s="111">
        <f t="shared" si="373"/>
      </c>
      <c r="E535" s="110">
        <v>2570.77</v>
      </c>
      <c r="F535" s="140">
        <v>5696.34</v>
      </c>
      <c r="G535" s="113">
        <v>0</v>
      </c>
      <c r="H535" s="113">
        <v>0</v>
      </c>
      <c r="I535" s="113">
        <f t="shared" si="502"/>
      </c>
      <c r="J535" s="160">
        <v>630.72</v>
      </c>
      <c r="K535" s="115">
        <f t="shared" si="115"/>
      </c>
      <c r="L535" s="115">
        <f t="shared" si="244"/>
      </c>
      <c r="M535" s="116">
        <f t="shared" si="626"/>
      </c>
      <c r="N535" s="117">
        <f t="shared" si="656"/>
      </c>
      <c r="O535" s="118">
        <f t="shared" si="566"/>
      </c>
      <c r="P535" s="119">
        <f t="shared" si="596"/>
      </c>
      <c r="Q535" s="119">
        <f t="shared" si="776"/>
      </c>
      <c r="R535" s="119">
        <f t="shared" si="806"/>
      </c>
      <c r="S535" s="120">
        <f t="shared" si="686"/>
      </c>
      <c r="T535" s="121">
        <f t="shared" si="716"/>
      </c>
      <c r="U535" s="119">
        <f t="shared" si="995"/>
      </c>
      <c r="V535" s="122">
        <f t="shared" si="746"/>
      </c>
      <c r="W535" s="122">
        <f t="shared" si="1025"/>
      </c>
      <c r="X535" s="119">
        <f t="shared" si="836"/>
      </c>
      <c r="Y535" s="123">
        <f t="shared" si="931"/>
      </c>
      <c r="Z535" s="123">
        <v>6</v>
      </c>
      <c r="AA535" s="123">
        <v>8</v>
      </c>
      <c r="AB535" s="124">
        <v>22132.199999999983</v>
      </c>
      <c r="AC535" s="124">
        <v>0</v>
      </c>
      <c r="AD535" s="120">
        <f t="shared" si="20"/>
      </c>
      <c r="AE535" s="125" t="s">
        <v>121</v>
      </c>
      <c r="AF535" s="126" t="s">
        <v>137</v>
      </c>
      <c r="AG535" s="127">
        <v>5</v>
      </c>
      <c r="AH535" s="128">
        <v>67976</v>
      </c>
      <c r="AI535" s="128">
        <v>678</v>
      </c>
      <c r="AJ535" s="128">
        <v>691</v>
      </c>
      <c r="AK535" s="129">
        <v>168</v>
      </c>
      <c r="AL535" s="129">
        <v>182</v>
      </c>
    </row>
    <row r="536">
      <c r="A536" s="108"/>
      <c r="B536" s="109" t="s">
        <v>133</v>
      </c>
      <c r="C536" s="141" t="s">
        <v>141</v>
      </c>
      <c r="D536" s="111">
        <f t="shared" si="373"/>
      </c>
      <c r="E536" s="110">
        <v>2955.4</v>
      </c>
      <c r="F536" s="140">
        <v>4297.72</v>
      </c>
      <c r="G536" s="113">
        <v>0</v>
      </c>
      <c r="H536" s="113">
        <v>0</v>
      </c>
      <c r="I536" s="113">
        <f t="shared" si="502"/>
      </c>
      <c r="J536" s="160">
        <v>0</v>
      </c>
      <c r="K536" s="115">
        <f t="shared" si="115"/>
      </c>
      <c r="L536" s="115">
        <f t="shared" si="244"/>
      </c>
      <c r="M536" s="116">
        <f t="shared" si="626"/>
      </c>
      <c r="N536" s="117">
        <f t="shared" si="656"/>
      </c>
      <c r="O536" s="118">
        <f t="shared" si="566"/>
      </c>
      <c r="P536" s="119">
        <f t="shared" si="596"/>
      </c>
      <c r="Q536" s="119">
        <f t="shared" si="776"/>
      </c>
      <c r="R536" s="119">
        <f t="shared" si="806"/>
      </c>
      <c r="S536" s="120">
        <f t="shared" si="686"/>
      </c>
      <c r="T536" s="121">
        <f t="shared" si="716"/>
      </c>
      <c r="U536" s="119">
        <f t="shared" si="995"/>
      </c>
      <c r="V536" s="122">
        <f t="shared" si="746"/>
      </c>
      <c r="W536" s="122">
        <f t="shared" si="1025"/>
      </c>
      <c r="X536" s="119">
        <f t="shared" si="836"/>
      </c>
      <c r="Y536" s="123">
        <f t="shared" si="931"/>
      </c>
      <c r="Z536" s="123">
        <v>4</v>
      </c>
      <c r="AA536" s="123">
        <v>5</v>
      </c>
      <c r="AB536" s="124">
        <v>9820.320000000007</v>
      </c>
      <c r="AC536" s="124">
        <v>1724.9999999999982</v>
      </c>
      <c r="AD536" s="120">
        <f t="shared" si="20"/>
      </c>
      <c r="AE536" s="125" t="s">
        <v>121</v>
      </c>
      <c r="AF536" s="126" t="s">
        <v>137</v>
      </c>
      <c r="AG536" s="127">
        <v>5</v>
      </c>
      <c r="AH536" s="128">
        <v>77963</v>
      </c>
      <c r="AI536" s="128">
        <v>1002</v>
      </c>
      <c r="AJ536" s="128">
        <v>1085</v>
      </c>
      <c r="AK536" s="129">
        <v>190</v>
      </c>
      <c r="AL536" s="129">
        <v>162</v>
      </c>
    </row>
    <row r="537">
      <c r="A537" s="108"/>
      <c r="B537" s="109" t="s">
        <v>133</v>
      </c>
      <c r="C537" s="141" t="s">
        <v>142</v>
      </c>
      <c r="D537" s="111">
        <f t="shared" si="373"/>
      </c>
      <c r="E537" s="110">
        <v>4713.3</v>
      </c>
      <c r="F537" s="140">
        <v>5005.94</v>
      </c>
      <c r="G537" s="113">
        <v>0</v>
      </c>
      <c r="H537" s="113">
        <v>0</v>
      </c>
      <c r="I537" s="113">
        <f t="shared" si="502"/>
      </c>
      <c r="J537" s="114">
        <v>0</v>
      </c>
      <c r="K537" s="115">
        <f t="shared" si="115"/>
      </c>
      <c r="L537" s="115">
        <f t="shared" si="244"/>
      </c>
      <c r="M537" s="116">
        <f t="shared" si="626"/>
      </c>
      <c r="N537" s="117">
        <f t="shared" si="656"/>
      </c>
      <c r="O537" s="118">
        <f t="shared" si="566"/>
      </c>
      <c r="P537" s="119">
        <f t="shared" si="596"/>
      </c>
      <c r="Q537" s="119">
        <f t="shared" si="776"/>
      </c>
      <c r="R537" s="119">
        <f t="shared" si="806"/>
      </c>
      <c r="S537" s="120">
        <f t="shared" si="686"/>
      </c>
      <c r="T537" s="121">
        <f t="shared" si="716"/>
      </c>
      <c r="U537" s="119">
        <f t="shared" si="995"/>
      </c>
      <c r="V537" s="122">
        <f t="shared" si="746"/>
      </c>
      <c r="W537" s="122">
        <f t="shared" si="1025"/>
      </c>
      <c r="X537" s="119">
        <f t="shared" si="836"/>
      </c>
      <c r="Y537" s="123">
        <f t="shared" si="931"/>
      </c>
      <c r="Z537" s="123">
        <v>6</v>
      </c>
      <c r="AA537" s="123">
        <v>13</v>
      </c>
      <c r="AB537" s="124">
        <f>21566.4+3532.68</f>
      </c>
      <c r="AC537" s="124">
        <v>0</v>
      </c>
      <c r="AD537" s="120">
        <f t="shared" si="20"/>
      </c>
      <c r="AE537" s="125" t="s">
        <v>121</v>
      </c>
      <c r="AF537" s="126" t="s">
        <v>137</v>
      </c>
      <c r="AG537" s="127">
        <v>9</v>
      </c>
      <c r="AH537" s="128">
        <v>69991</v>
      </c>
      <c r="AI537" s="128">
        <v>1251</v>
      </c>
      <c r="AJ537" s="128">
        <v>1302</v>
      </c>
      <c r="AK537" s="129">
        <v>244</v>
      </c>
      <c r="AL537" s="129">
        <v>214</v>
      </c>
    </row>
    <row r="538">
      <c r="A538" s="108"/>
      <c r="B538" s="130" t="s">
        <v>127</v>
      </c>
      <c r="C538" s="131">
        <v>5</v>
      </c>
      <c r="D538" s="132">
        <f>SUM(D533:D537)</f>
      </c>
      <c r="E538" s="132">
        <f>SUM(E533:E537)</f>
      </c>
      <c r="F538" s="132">
        <f>SUM(F533:F537)</f>
      </c>
      <c r="G538" s="132">
        <f>SUM(G533:G537)</f>
      </c>
      <c r="H538" s="132">
        <f>SUM(H533:H537)</f>
      </c>
      <c r="I538" s="132">
        <f>SUM(I533:I537)</f>
      </c>
      <c r="J538" s="132">
        <f>SUM(J533:J537)</f>
      </c>
      <c r="K538" s="132">
        <f>SUM(K533:K537)</f>
      </c>
      <c r="L538" s="132">
        <f>SUM(L533:L537)</f>
      </c>
      <c r="M538" s="133">
        <f t="shared" si="626"/>
      </c>
      <c r="N538" s="134">
        <f t="shared" si="656"/>
      </c>
      <c r="O538" s="134">
        <f t="shared" si="566"/>
      </c>
      <c r="P538" s="135">
        <f t="shared" si="596"/>
      </c>
      <c r="Q538" s="135">
        <f t="shared" si="776"/>
      </c>
      <c r="R538" s="135">
        <f t="shared" si="806"/>
      </c>
      <c r="S538" s="136">
        <f t="shared" si="686"/>
      </c>
      <c r="T538" s="136">
        <f t="shared" si="716"/>
      </c>
      <c r="U538" s="135">
        <f t="shared" si="995"/>
      </c>
      <c r="V538" s="136">
        <f t="shared" si="746"/>
      </c>
      <c r="W538" s="136">
        <f t="shared" si="1025"/>
      </c>
      <c r="X538" s="135">
        <f t="shared" si="836"/>
      </c>
      <c r="Y538" s="132">
        <f>SUM(Y533:Y537)</f>
      </c>
      <c r="Z538" s="132">
        <f>SUM(Z533:Z537)</f>
      </c>
      <c r="AA538" s="132">
        <f>SUM(AA533:AA537)</f>
      </c>
      <c r="AB538" s="132">
        <f>SUM(AB533:AB537)</f>
      </c>
      <c r="AC538" s="132">
        <f>SUM(AC533:AC537)</f>
      </c>
      <c r="AD538" s="137">
        <f t="shared" si="20"/>
      </c>
      <c r="AE538" s="138"/>
      <c r="AF538" s="139"/>
      <c r="AG538" s="132">
        <f>SUM(AG533:AG537)</f>
      </c>
      <c r="AH538" s="132">
        <f>SUM(AH533:AH537)</f>
      </c>
      <c r="AI538" s="132">
        <f>SUM(AI533:AI537)</f>
      </c>
      <c r="AJ538" s="132">
        <f>SUM(AJ533:AJ537)</f>
      </c>
      <c r="AK538" s="132">
        <f>SUM(AK533:AK537)</f>
      </c>
      <c r="AL538" s="132">
        <f>SUM(AL533:AL537)</f>
      </c>
    </row>
    <row r="539">
      <c r="A539" s="108"/>
      <c r="B539" s="109" t="s">
        <v>143</v>
      </c>
      <c r="C539" s="141" t="s">
        <v>144</v>
      </c>
      <c r="D539" s="143">
        <f t="shared" ref="D539:D543" si="374">E539+F539+G539+H539</f>
      </c>
      <c r="E539" s="166">
        <v>6212.32</v>
      </c>
      <c r="F539" s="145">
        <v>6001.28</v>
      </c>
      <c r="G539" s="113">
        <v>0</v>
      </c>
      <c r="H539" s="113">
        <v>0</v>
      </c>
      <c r="I539" s="113">
        <f t="shared" ref="I539:I543" si="503">AB539+AC539</f>
      </c>
      <c r="J539" s="114">
        <f>1406.52+463.8+563</f>
      </c>
      <c r="K539" s="115">
        <f t="shared" ref="K539:K543" si="116">I539-J539</f>
      </c>
      <c r="L539" s="115">
        <f t="shared" ref="L539:L543" si="245">(I539-AC539)/12+AC539</f>
      </c>
      <c r="M539" s="116">
        <f t="shared" si="626"/>
      </c>
      <c r="N539" s="117">
        <f t="shared" si="656"/>
      </c>
      <c r="O539" s="118">
        <f t="shared" si="566"/>
      </c>
      <c r="P539" s="119">
        <f t="shared" si="596"/>
      </c>
      <c r="Q539" s="119">
        <f t="shared" si="776"/>
      </c>
      <c r="R539" s="119">
        <f t="shared" si="806"/>
      </c>
      <c r="S539" s="120">
        <f t="shared" si="686"/>
      </c>
      <c r="T539" s="121">
        <f t="shared" si="716"/>
      </c>
      <c r="U539" s="119">
        <f t="shared" si="995"/>
      </c>
      <c r="V539" s="122">
        <f t="shared" si="746"/>
      </c>
      <c r="W539" s="122">
        <f t="shared" si="1025"/>
      </c>
      <c r="X539" s="119">
        <f t="shared" si="836"/>
      </c>
      <c r="Y539" s="123">
        <f t="shared" ref="Y539:Y543" si="932">Z539+AA539</f>
      </c>
      <c r="Z539" s="123">
        <v>6</v>
      </c>
      <c r="AA539" s="123">
        <v>8</v>
      </c>
      <c r="AB539" s="124">
        <v>14134.799999999988</v>
      </c>
      <c r="AC539" s="124">
        <v>948</v>
      </c>
      <c r="AD539" s="120">
        <f t="shared" si="20"/>
      </c>
      <c r="AE539" s="125" t="s">
        <v>121</v>
      </c>
      <c r="AF539" s="126" t="s">
        <v>137</v>
      </c>
      <c r="AG539" s="127">
        <v>6</v>
      </c>
      <c r="AH539" s="127">
        <v>92109</v>
      </c>
      <c r="AI539" s="128">
        <v>2372</v>
      </c>
      <c r="AJ539" s="128">
        <v>2541</v>
      </c>
      <c r="AK539" s="127">
        <v>276</v>
      </c>
      <c r="AL539" s="129">
        <v>270</v>
      </c>
    </row>
    <row r="540">
      <c r="A540" s="108"/>
      <c r="B540" s="109" t="s">
        <v>143</v>
      </c>
      <c r="C540" s="110" t="s">
        <v>145</v>
      </c>
      <c r="D540" s="143">
        <f t="shared" si="374"/>
      </c>
      <c r="E540" s="147">
        <v>3498.93</v>
      </c>
      <c r="F540" s="145">
        <v>4976.16</v>
      </c>
      <c r="G540" s="113">
        <v>0</v>
      </c>
      <c r="H540" s="113">
        <v>0</v>
      </c>
      <c r="I540" s="113">
        <f t="shared" si="503"/>
      </c>
      <c r="J540" s="114">
        <v>0</v>
      </c>
      <c r="K540" s="115">
        <f t="shared" si="116"/>
      </c>
      <c r="L540" s="115">
        <f t="shared" si="245"/>
      </c>
      <c r="M540" s="116">
        <f t="shared" si="626"/>
      </c>
      <c r="N540" s="117">
        <f t="shared" si="656"/>
      </c>
      <c r="O540" s="118">
        <f t="shared" si="566"/>
      </c>
      <c r="P540" s="119">
        <f t="shared" si="596"/>
      </c>
      <c r="Q540" s="119">
        <f t="shared" si="776"/>
      </c>
      <c r="R540" s="119">
        <f t="shared" si="806"/>
      </c>
      <c r="S540" s="120">
        <f t="shared" si="686"/>
      </c>
      <c r="T540" s="121">
        <f t="shared" si="716"/>
      </c>
      <c r="U540" s="119">
        <f t="shared" si="995"/>
      </c>
      <c r="V540" s="122">
        <f t="shared" si="746"/>
      </c>
      <c r="W540" s="122">
        <f t="shared" si="1025"/>
      </c>
      <c r="X540" s="119">
        <f t="shared" si="836"/>
      </c>
      <c r="Y540" s="123">
        <f t="shared" si="932"/>
      </c>
      <c r="Z540" s="123">
        <v>2</v>
      </c>
      <c r="AA540" s="123">
        <v>6</v>
      </c>
      <c r="AB540" s="124">
        <v>11726.639999999985</v>
      </c>
      <c r="AC540" s="124">
        <v>0</v>
      </c>
      <c r="AD540" s="120">
        <f t="shared" si="20"/>
      </c>
      <c r="AE540" s="125" t="s">
        <v>121</v>
      </c>
      <c r="AF540" s="126" t="s">
        <v>137</v>
      </c>
      <c r="AG540" s="127">
        <v>4</v>
      </c>
      <c r="AH540" s="128">
        <v>76278</v>
      </c>
      <c r="AI540" s="128">
        <v>1603</v>
      </c>
      <c r="AJ540" s="128">
        <v>1741</v>
      </c>
      <c r="AK540" s="129">
        <v>232</v>
      </c>
      <c r="AL540" s="129">
        <v>228</v>
      </c>
    </row>
    <row r="541">
      <c r="A541" s="108"/>
      <c r="B541" s="109" t="s">
        <v>143</v>
      </c>
      <c r="C541" s="141" t="s">
        <v>146</v>
      </c>
      <c r="D541" s="143">
        <f t="shared" si="374"/>
      </c>
      <c r="E541" s="169">
        <v>2137.14</v>
      </c>
      <c r="F541" s="170">
        <v>4365.54</v>
      </c>
      <c r="G541" s="113">
        <v>0</v>
      </c>
      <c r="H541" s="113">
        <v>0</v>
      </c>
      <c r="I541" s="171">
        <f t="shared" si="503"/>
      </c>
      <c r="J541" s="114">
        <v>0</v>
      </c>
      <c r="K541" s="115">
        <f t="shared" si="116"/>
      </c>
      <c r="L541" s="115">
        <f t="shared" si="245"/>
      </c>
      <c r="M541" s="116">
        <f t="shared" si="626"/>
      </c>
      <c r="N541" s="117">
        <f t="shared" si="656"/>
      </c>
      <c r="O541" s="118">
        <f t="shared" si="566"/>
      </c>
      <c r="P541" s="119">
        <f t="shared" si="596"/>
      </c>
      <c r="Q541" s="119">
        <f t="shared" si="776"/>
      </c>
      <c r="R541" s="119">
        <f t="shared" si="806"/>
      </c>
      <c r="S541" s="120">
        <f t="shared" si="686"/>
      </c>
      <c r="T541" s="121">
        <f t="shared" si="716"/>
      </c>
      <c r="U541" s="119">
        <f t="shared" si="995"/>
      </c>
      <c r="V541" s="122">
        <f t="shared" si="746"/>
      </c>
      <c r="W541" s="122">
        <f t="shared" si="1025"/>
      </c>
      <c r="X541" s="119">
        <f t="shared" si="836"/>
      </c>
      <c r="Y541" s="172">
        <f t="shared" si="932"/>
      </c>
      <c r="Z541" s="172">
        <v>2</v>
      </c>
      <c r="AA541" s="172">
        <v>7</v>
      </c>
      <c r="AB541" s="173">
        <v>8533.080000000016</v>
      </c>
      <c r="AC541" s="173">
        <v>860.7000000000007</v>
      </c>
      <c r="AD541" s="120">
        <f t="shared" si="20"/>
      </c>
      <c r="AE541" s="125" t="s">
        <v>121</v>
      </c>
      <c r="AF541" s="126" t="s">
        <v>137</v>
      </c>
      <c r="AG541" s="129">
        <v>7</v>
      </c>
      <c r="AH541" s="128">
        <v>79757</v>
      </c>
      <c r="AI541" s="128">
        <v>1408</v>
      </c>
      <c r="AJ541" s="128">
        <v>1515</v>
      </c>
      <c r="AK541" s="129">
        <v>157</v>
      </c>
      <c r="AL541" s="129">
        <v>197</v>
      </c>
    </row>
    <row r="542">
      <c r="A542" s="108"/>
      <c r="B542" s="109" t="s">
        <v>143</v>
      </c>
      <c r="C542" s="110" t="s">
        <v>147</v>
      </c>
      <c r="D542" s="143">
        <f t="shared" si="374"/>
      </c>
      <c r="E542" s="147">
        <v>1546.46</v>
      </c>
      <c r="F542" s="145">
        <v>5796.85</v>
      </c>
      <c r="G542" s="113">
        <v>0</v>
      </c>
      <c r="H542" s="113">
        <v>0</v>
      </c>
      <c r="I542" s="113">
        <f t="shared" si="503"/>
      </c>
      <c r="J542" s="114">
        <v>1016.28</v>
      </c>
      <c r="K542" s="115">
        <f t="shared" si="116"/>
      </c>
      <c r="L542" s="115">
        <f t="shared" si="245"/>
      </c>
      <c r="M542" s="116">
        <f t="shared" si="626"/>
      </c>
      <c r="N542" s="117">
        <f t="shared" si="656"/>
      </c>
      <c r="O542" s="118">
        <f t="shared" si="566"/>
      </c>
      <c r="P542" s="119">
        <f t="shared" si="596"/>
      </c>
      <c r="Q542" s="119">
        <f t="shared" si="776"/>
      </c>
      <c r="R542" s="119">
        <f t="shared" si="806"/>
      </c>
      <c r="S542" s="120">
        <f t="shared" si="686"/>
      </c>
      <c r="T542" s="121">
        <f t="shared" si="716"/>
      </c>
      <c r="U542" s="119">
        <f t="shared" si="995"/>
      </c>
      <c r="V542" s="122">
        <f t="shared" si="746"/>
      </c>
      <c r="W542" s="122">
        <f t="shared" si="1025"/>
      </c>
      <c r="X542" s="119">
        <f t="shared" si="836"/>
      </c>
      <c r="Y542" s="123">
        <f t="shared" si="932"/>
      </c>
      <c r="Z542" s="123">
        <v>4</v>
      </c>
      <c r="AA542" s="123">
        <v>8</v>
      </c>
      <c r="AB542" s="124">
        <v>14247.36</v>
      </c>
      <c r="AC542" s="124">
        <v>0</v>
      </c>
      <c r="AD542" s="120">
        <f t="shared" si="20"/>
      </c>
      <c r="AE542" s="125" t="s">
        <v>121</v>
      </c>
      <c r="AF542" s="126" t="s">
        <v>137</v>
      </c>
      <c r="AG542" s="127">
        <v>6</v>
      </c>
      <c r="AH542" s="128">
        <v>83375</v>
      </c>
      <c r="AI542" s="128">
        <v>1342</v>
      </c>
      <c r="AJ542" s="128">
        <v>1437</v>
      </c>
      <c r="AK542" s="129">
        <v>184</v>
      </c>
      <c r="AL542" s="129">
        <v>200</v>
      </c>
    </row>
    <row r="543">
      <c r="A543" s="108"/>
      <c r="B543" s="109" t="s">
        <v>143</v>
      </c>
      <c r="C543" s="110" t="s">
        <v>148</v>
      </c>
      <c r="D543" s="143">
        <f t="shared" si="374"/>
      </c>
      <c r="E543" s="147">
        <v>674.77</v>
      </c>
      <c r="F543" s="145">
        <v>3935.47</v>
      </c>
      <c r="G543" s="113">
        <v>0</v>
      </c>
      <c r="H543" s="113">
        <v>0</v>
      </c>
      <c r="I543" s="113">
        <f t="shared" si="503"/>
      </c>
      <c r="J543" s="114">
        <v>0</v>
      </c>
      <c r="K543" s="115">
        <f t="shared" si="116"/>
      </c>
      <c r="L543" s="115">
        <f t="shared" si="245"/>
      </c>
      <c r="M543" s="116">
        <f t="shared" si="626"/>
      </c>
      <c r="N543" s="117">
        <f t="shared" si="656"/>
      </c>
      <c r="O543" s="118">
        <f t="shared" si="566"/>
      </c>
      <c r="P543" s="119">
        <f t="shared" si="596"/>
      </c>
      <c r="Q543" s="119">
        <f t="shared" si="776"/>
      </c>
      <c r="R543" s="119">
        <f t="shared" si="806"/>
      </c>
      <c r="S543" s="120">
        <f t="shared" si="686"/>
      </c>
      <c r="T543" s="121">
        <f t="shared" si="716"/>
      </c>
      <c r="U543" s="119">
        <f t="shared" si="995"/>
      </c>
      <c r="V543" s="122">
        <f t="shared" si="746"/>
      </c>
      <c r="W543" s="122">
        <f t="shared" si="1025"/>
      </c>
      <c r="X543" s="119">
        <f t="shared" si="836"/>
      </c>
      <c r="Y543" s="123">
        <f t="shared" si="932"/>
      </c>
      <c r="Z543" s="123">
        <v>1</v>
      </c>
      <c r="AA543" s="123">
        <v>11</v>
      </c>
      <c r="AB543" s="124">
        <v>24269.519999999997</v>
      </c>
      <c r="AC543" s="124">
        <v>0</v>
      </c>
      <c r="AD543" s="120">
        <f t="shared" si="20"/>
      </c>
      <c r="AE543" s="125" t="s">
        <v>121</v>
      </c>
      <c r="AF543" s="126" t="s">
        <v>137</v>
      </c>
      <c r="AG543" s="127">
        <v>10</v>
      </c>
      <c r="AH543" s="128">
        <v>57223</v>
      </c>
      <c r="AI543" s="128">
        <v>1002</v>
      </c>
      <c r="AJ543" s="128">
        <v>1164</v>
      </c>
      <c r="AK543" s="129">
        <v>152</v>
      </c>
      <c r="AL543" s="129">
        <v>145</v>
      </c>
    </row>
    <row r="544">
      <c r="A544" s="108"/>
      <c r="B544" s="130" t="s">
        <v>127</v>
      </c>
      <c r="C544" s="131">
        <v>5</v>
      </c>
      <c r="D544" s="132">
        <f>SUM(D539:D543)</f>
      </c>
      <c r="E544" s="132">
        <f>SUM(E539:E543)</f>
      </c>
      <c r="F544" s="132">
        <f>SUM(F539:F543)</f>
      </c>
      <c r="G544" s="132">
        <f>SUM(G539:G543)</f>
      </c>
      <c r="H544" s="132">
        <f>SUM(H539:H543)</f>
      </c>
      <c r="I544" s="132">
        <f>SUM(I539:I543)</f>
      </c>
      <c r="J544" s="132">
        <f>SUM(J539:J543)</f>
      </c>
      <c r="K544" s="132">
        <f>SUM(K539:K543)</f>
      </c>
      <c r="L544" s="132">
        <f>SUM(L539:L543)</f>
      </c>
      <c r="M544" s="133">
        <f t="shared" si="626"/>
      </c>
      <c r="N544" s="134">
        <f t="shared" si="656"/>
      </c>
      <c r="O544" s="134">
        <f t="shared" si="566"/>
      </c>
      <c r="P544" s="135">
        <f t="shared" si="596"/>
      </c>
      <c r="Q544" s="135">
        <f t="shared" si="776"/>
      </c>
      <c r="R544" s="135">
        <f t="shared" si="806"/>
      </c>
      <c r="S544" s="136">
        <f t="shared" si="686"/>
      </c>
      <c r="T544" s="136">
        <f t="shared" si="716"/>
      </c>
      <c r="U544" s="135">
        <f t="shared" si="995"/>
      </c>
      <c r="V544" s="136">
        <f t="shared" si="746"/>
      </c>
      <c r="W544" s="136">
        <f t="shared" si="1025"/>
      </c>
      <c r="X544" s="135">
        <f t="shared" si="836"/>
      </c>
      <c r="Y544" s="132">
        <f>SUM(Y539:Y543)</f>
      </c>
      <c r="Z544" s="132">
        <f>SUM(Z539:Z543)</f>
      </c>
      <c r="AA544" s="132">
        <f>SUM(AA539:AA543)</f>
      </c>
      <c r="AB544" s="132">
        <f>SUM(AB539:AB543)</f>
      </c>
      <c r="AC544" s="132">
        <f>SUM(AC539:AC543)</f>
      </c>
      <c r="AD544" s="150">
        <f t="shared" si="20"/>
      </c>
      <c r="AE544" s="151"/>
      <c r="AF544" s="139"/>
      <c r="AG544" s="132">
        <f>SUM(AG539:AG543)</f>
      </c>
      <c r="AH544" s="132">
        <f>SUM(AH539:AH543)</f>
      </c>
      <c r="AI544" s="132">
        <f>SUM(AI539:AI543)</f>
      </c>
      <c r="AJ544" s="132">
        <f>SUM(AJ539:AJ543)</f>
      </c>
      <c r="AK544" s="132">
        <f>SUM(AK539:AK543)</f>
      </c>
      <c r="AL544" s="132">
        <f>SUM(AL539:AL543)</f>
      </c>
    </row>
    <row r="545">
      <c r="A545" s="108"/>
      <c r="B545" s="152" t="s">
        <v>127</v>
      </c>
      <c r="C545" s="153">
        <f>C526+C532+C538+C544</f>
      </c>
      <c r="D545" s="167">
        <f>D526+D532+D538+D544</f>
      </c>
      <c r="E545" s="153">
        <f>E526+E532+E538+E544</f>
      </c>
      <c r="F545" s="153">
        <f>F526+F532+F538+F544</f>
      </c>
      <c r="G545" s="153">
        <f>G526+G532+G538+G544</f>
      </c>
      <c r="H545" s="153">
        <f>H526+H532+H538+H544</f>
      </c>
      <c r="I545" s="167">
        <f>I526+I532+I538+I544</f>
      </c>
      <c r="J545" s="153">
        <f>J526+J532+J538+J544</f>
      </c>
      <c r="K545" s="153">
        <f>K526+K532+K538+K544</f>
      </c>
      <c r="L545" s="153">
        <f>L526+L532+L538+L544</f>
      </c>
      <c r="M545" s="154">
        <f t="shared" si="626"/>
      </c>
      <c r="N545" s="154">
        <f t="shared" si="656"/>
      </c>
      <c r="O545" s="154">
        <f t="shared" si="566"/>
      </c>
      <c r="P545" s="154">
        <f t="shared" si="596"/>
      </c>
      <c r="Q545" s="154">
        <f t="shared" si="776"/>
      </c>
      <c r="R545" s="154">
        <f t="shared" si="806"/>
      </c>
      <c r="S545" s="155">
        <f t="shared" si="686"/>
      </c>
      <c r="T545" s="155">
        <f t="shared" si="716"/>
      </c>
      <c r="U545" s="154">
        <f t="shared" si="995"/>
      </c>
      <c r="V545" s="155">
        <f t="shared" si="746"/>
      </c>
      <c r="W545" s="155">
        <f t="shared" si="1025"/>
      </c>
      <c r="X545" s="154">
        <f t="shared" si="836"/>
      </c>
      <c r="Y545" s="156">
        <f>Y526+Y532+Y538+Y544</f>
      </c>
      <c r="Z545" s="156">
        <f>Z526+Z532+Z538+Z544</f>
      </c>
      <c r="AA545" s="156">
        <f>AA526+AA532+AA538+AA544</f>
      </c>
      <c r="AB545" s="156">
        <f>AB526+AB532+AB538+AB544</f>
      </c>
      <c r="AC545" s="156">
        <f>AC526+AC532+AC538+AC544</f>
      </c>
      <c r="AD545" s="157">
        <f>AD526+AD532+AD538+AD544</f>
      </c>
      <c r="AE545" s="158"/>
      <c r="AF545" s="159"/>
      <c r="AG545" s="153">
        <f>AG526+AG532+AG538+AG544</f>
      </c>
      <c r="AH545" s="153">
        <f>AH526+AH532+AH538+AH544</f>
      </c>
      <c r="AI545" s="153">
        <f>AI526+AI532+AI538+AI544</f>
      </c>
      <c r="AJ545" s="153">
        <f>AJ526+AJ532+AJ538+AJ544</f>
      </c>
      <c r="AK545" s="153">
        <f>AK526+AK532+AK538+AK544</f>
      </c>
      <c r="AL545" s="153">
        <f>AL526+AL532+AL538+AL544</f>
      </c>
    </row>
    <row r="546">
      <c r="A546" s="94" t="s">
        <v>81</v>
      </c>
      <c r="B546" s="95" t="s">
        <v>82</v>
      </c>
      <c r="C546" s="95" t="s">
        <v>83</v>
      </c>
      <c r="D546" s="96" t="s">
        <v>84</v>
      </c>
      <c r="E546" s="164" t="s">
        <v>85</v>
      </c>
      <c r="F546" s="95" t="s">
        <v>86</v>
      </c>
      <c r="G546" s="97" t="s">
        <v>87</v>
      </c>
      <c r="H546" s="97" t="s">
        <v>88</v>
      </c>
      <c r="I546" s="96" t="s">
        <v>89</v>
      </c>
      <c r="J546" s="98" t="s">
        <v>90</v>
      </c>
      <c r="K546" s="99" t="s">
        <v>91</v>
      </c>
      <c r="L546" s="99" t="s">
        <v>92</v>
      </c>
      <c r="M546" s="100" t="s">
        <v>93</v>
      </c>
      <c r="N546" s="99" t="s">
        <v>94</v>
      </c>
      <c r="O546" s="95" t="s">
        <v>95</v>
      </c>
      <c r="P546" s="100" t="s">
        <v>96</v>
      </c>
      <c r="Q546" s="101" t="s">
        <v>97</v>
      </c>
      <c r="R546" s="101" t="s">
        <v>98</v>
      </c>
      <c r="S546" s="96" t="s">
        <v>99</v>
      </c>
      <c r="T546" s="102" t="s">
        <v>100</v>
      </c>
      <c r="U546" s="100" t="s">
        <v>101</v>
      </c>
      <c r="V546" s="103" t="s">
        <v>102</v>
      </c>
      <c r="W546" s="104" t="s">
        <v>103</v>
      </c>
      <c r="X546" s="100" t="s">
        <v>104</v>
      </c>
      <c r="Y546" s="105" t="s">
        <v>105</v>
      </c>
      <c r="Z546" s="106" t="s">
        <v>106</v>
      </c>
      <c r="AA546" s="105" t="s">
        <v>107</v>
      </c>
      <c r="AB546" s="107" t="s">
        <v>108</v>
      </c>
      <c r="AC546" s="107" t="s">
        <v>109</v>
      </c>
      <c r="AD546" s="99" t="s">
        <v>110</v>
      </c>
      <c r="AE546" s="98" t="s">
        <v>111</v>
      </c>
      <c r="AF546" s="99" t="s">
        <v>112</v>
      </c>
      <c r="AG546" s="98" t="s">
        <v>113</v>
      </c>
      <c r="AH546" s="98" t="s">
        <v>114</v>
      </c>
      <c r="AI546" s="99" t="s">
        <v>115</v>
      </c>
      <c r="AJ546" s="98" t="s">
        <v>116</v>
      </c>
      <c r="AK546" s="99" t="s">
        <v>117</v>
      </c>
      <c r="AL546" s="98" t="s">
        <v>118</v>
      </c>
    </row>
    <row r="547">
      <c r="A547" s="108">
        <v>46287</v>
      </c>
      <c r="B547" s="109" t="s">
        <v>119</v>
      </c>
      <c r="C547" s="110" t="s">
        <v>120</v>
      </c>
      <c r="D547" s="143">
        <f t="shared" ref="D547:D551" si="375">E547+F547+G547+H547</f>
      </c>
      <c r="E547" s="144">
        <v>1741.91</v>
      </c>
      <c r="F547" s="146">
        <v>28051.72</v>
      </c>
      <c r="G547" s="113">
        <v>0</v>
      </c>
      <c r="H547" s="113">
        <v>0</v>
      </c>
      <c r="I547" s="113">
        <f t="shared" ref="I547:I551" si="504">AB547+AC547</f>
      </c>
      <c r="J547" s="114">
        <f>1015.68+350.04+677.52+5292.45+5672.45+1045+5961.6+1686.96+2748.6</f>
      </c>
      <c r="K547" s="115">
        <f t="shared" ref="K547:K551" si="117">I547-J547</f>
      </c>
      <c r="L547" s="115">
        <f t="shared" ref="L547:L551" si="246">(I547-AC547)/12+AC547</f>
      </c>
      <c r="M547" s="116">
        <f t="shared" ref="M547:M571" si="627">I547/D547</f>
      </c>
      <c r="N547" s="117">
        <f t="shared" ref="N547:N571" si="657">(I547-J547)/D547</f>
      </c>
      <c r="O547" s="118">
        <f t="shared" ref="O547:O571" si="567">(AC547+AB547/12)/D547</f>
      </c>
      <c r="P547" s="119">
        <f t="shared" ref="P547:P571" si="597">I547/AA547</f>
      </c>
      <c r="Q547" s="119">
        <f t="shared" ref="Q547:Q571" si="777">D547/AA547</f>
      </c>
      <c r="R547" s="119">
        <f t="shared" ref="R547:R571" si="807">D547/AG547</f>
      </c>
      <c r="S547" s="120">
        <f t="shared" ref="S547:S571" si="687">AA547/Y547</f>
      </c>
      <c r="T547" s="121">
        <f t="shared" ref="T547:T571" si="717">AI547/AH547</f>
      </c>
      <c r="U547" s="119">
        <f t="shared" ref="U547:U571" si="996">D547/AJ547</f>
      </c>
      <c r="V547" s="122">
        <f t="shared" ref="V547:V571" si="747">AK547/AJ547</f>
      </c>
      <c r="W547" s="122">
        <f t="shared" ref="W547:W571" si="1026">AL547/AJ547</f>
      </c>
      <c r="X547" s="119">
        <f t="shared" ref="X547:X571" si="837">D547/AL547</f>
      </c>
      <c r="Y547" s="123">
        <f t="shared" ref="Y547:Y551" si="933">Z547+AA547</f>
      </c>
      <c r="Z547" s="123">
        <v>14</v>
      </c>
      <c r="AA547" s="123">
        <v>17</v>
      </c>
      <c r="AB547" s="124">
        <v>34101.48</v>
      </c>
      <c r="AC547" s="124">
        <v>12009.9</v>
      </c>
      <c r="AD547" s="120">
        <f t="shared" ref="AD547:AD570" si="21">AC547/I547</f>
      </c>
      <c r="AE547" s="125" t="s">
        <v>121</v>
      </c>
      <c r="AF547" s="126" t="s">
        <v>122</v>
      </c>
      <c r="AG547" s="127">
        <v>15</v>
      </c>
      <c r="AH547" s="127">
        <v>306952</v>
      </c>
      <c r="AI547" s="128">
        <v>8736</v>
      </c>
      <c r="AJ547" s="128">
        <v>9132</v>
      </c>
      <c r="AK547" s="127">
        <v>853</v>
      </c>
      <c r="AL547" s="129">
        <v>846</v>
      </c>
    </row>
    <row r="548">
      <c r="A548" s="108"/>
      <c r="B548" s="109" t="s">
        <v>119</v>
      </c>
      <c r="C548" s="110" t="s">
        <v>123</v>
      </c>
      <c r="D548" s="143">
        <f t="shared" si="375"/>
      </c>
      <c r="E548" s="147">
        <v>2477.76</v>
      </c>
      <c r="F548" s="146">
        <v>7963.96</v>
      </c>
      <c r="G548" s="113">
        <v>0</v>
      </c>
      <c r="H548" s="113">
        <v>0</v>
      </c>
      <c r="I548" s="113">
        <f t="shared" si="504"/>
      </c>
      <c r="J548" s="114">
        <f>1358.88+1396.8+418.92+1217.16</f>
      </c>
      <c r="K548" s="115">
        <f t="shared" si="117"/>
      </c>
      <c r="L548" s="115">
        <f t="shared" si="246"/>
      </c>
      <c r="M548" s="116">
        <f t="shared" si="627"/>
      </c>
      <c r="N548" s="117">
        <f t="shared" si="657"/>
      </c>
      <c r="O548" s="118">
        <f t="shared" si="567"/>
      </c>
      <c r="P548" s="119">
        <f t="shared" si="597"/>
      </c>
      <c r="Q548" s="119">
        <f t="shared" si="777"/>
      </c>
      <c r="R548" s="119">
        <f t="shared" si="807"/>
      </c>
      <c r="S548" s="120">
        <f t="shared" si="687"/>
      </c>
      <c r="T548" s="121">
        <f t="shared" si="717"/>
      </c>
      <c r="U548" s="119">
        <f t="shared" si="996"/>
      </c>
      <c r="V548" s="122">
        <f t="shared" si="747"/>
      </c>
      <c r="W548" s="122">
        <f t="shared" si="1026"/>
      </c>
      <c r="X548" s="119">
        <f t="shared" si="837"/>
      </c>
      <c r="Y548" s="123">
        <f t="shared" si="933"/>
      </c>
      <c r="Z548" s="123">
        <v>11</v>
      </c>
      <c r="AA548" s="123">
        <v>10</v>
      </c>
      <c r="AB548" s="124">
        <v>14347.440000000002</v>
      </c>
      <c r="AC548" s="124">
        <v>1195</v>
      </c>
      <c r="AD548" s="120">
        <f t="shared" si="21"/>
      </c>
      <c r="AE548" s="125" t="s">
        <v>121</v>
      </c>
      <c r="AF548" s="126" t="s">
        <v>122</v>
      </c>
      <c r="AG548" s="127">
        <v>6</v>
      </c>
      <c r="AH548" s="128">
        <v>123656</v>
      </c>
      <c r="AI548" s="128">
        <v>3374</v>
      </c>
      <c r="AJ548" s="128">
        <v>3740</v>
      </c>
      <c r="AK548" s="129">
        <v>460</v>
      </c>
      <c r="AL548" s="129">
        <v>401</v>
      </c>
    </row>
    <row r="549">
      <c r="A549" s="108"/>
      <c r="B549" s="109" t="s">
        <v>119</v>
      </c>
      <c r="C549" s="110" t="s">
        <v>124</v>
      </c>
      <c r="D549" s="111">
        <f t="shared" si="375"/>
      </c>
      <c r="E549" s="165">
        <v>2039.94</v>
      </c>
      <c r="F549" s="110">
        <v>4682.48</v>
      </c>
      <c r="G549" s="113">
        <v>0</v>
      </c>
      <c r="H549" s="113">
        <v>0</v>
      </c>
      <c r="I549" s="113">
        <f t="shared" si="504"/>
      </c>
      <c r="J549" s="114">
        <v>0</v>
      </c>
      <c r="K549" s="115">
        <f t="shared" si="117"/>
      </c>
      <c r="L549" s="115">
        <f t="shared" si="246"/>
      </c>
      <c r="M549" s="116">
        <f t="shared" si="627"/>
      </c>
      <c r="N549" s="117">
        <f t="shared" si="657"/>
      </c>
      <c r="O549" s="118">
        <f t="shared" si="567"/>
      </c>
      <c r="P549" s="119">
        <f t="shared" si="597"/>
      </c>
      <c r="Q549" s="119">
        <f t="shared" si="777"/>
      </c>
      <c r="R549" s="119">
        <f t="shared" si="807"/>
      </c>
      <c r="S549" s="120">
        <f t="shared" si="687"/>
      </c>
      <c r="T549" s="121">
        <f t="shared" si="717"/>
      </c>
      <c r="U549" s="119">
        <f t="shared" si="996"/>
      </c>
      <c r="V549" s="122">
        <f t="shared" si="747"/>
      </c>
      <c r="W549" s="122">
        <f t="shared" si="1026"/>
      </c>
      <c r="X549" s="119">
        <f t="shared" si="837"/>
      </c>
      <c r="Y549" s="123">
        <f t="shared" si="933"/>
      </c>
      <c r="Z549" s="123">
        <v>4</v>
      </c>
      <c r="AA549" s="123">
        <v>4</v>
      </c>
      <c r="AB549" s="124">
        <v>7406.639999999999</v>
      </c>
      <c r="AC549" s="124">
        <v>11793.6</v>
      </c>
      <c r="AD549" s="120">
        <f t="shared" si="21"/>
      </c>
      <c r="AE549" s="125" t="s">
        <v>121</v>
      </c>
      <c r="AF549" s="126" t="s">
        <v>122</v>
      </c>
      <c r="AG549" s="127">
        <v>3</v>
      </c>
      <c r="AH549" s="128">
        <v>52829</v>
      </c>
      <c r="AI549" s="128">
        <v>1416</v>
      </c>
      <c r="AJ549" s="128">
        <v>1575</v>
      </c>
      <c r="AK549" s="129">
        <v>233</v>
      </c>
      <c r="AL549" s="129">
        <v>223</v>
      </c>
    </row>
    <row r="550">
      <c r="A550" s="108"/>
      <c r="B550" s="109" t="s">
        <v>119</v>
      </c>
      <c r="C550" s="110" t="s">
        <v>125</v>
      </c>
      <c r="D550" s="111">
        <f t="shared" si="375"/>
      </c>
      <c r="E550" s="175">
        <v>2161.53</v>
      </c>
      <c r="F550" s="113">
        <v>4379.22</v>
      </c>
      <c r="G550" s="113">
        <v>0</v>
      </c>
      <c r="H550" s="113">
        <v>0</v>
      </c>
      <c r="I550" s="113">
        <f t="shared" si="504"/>
      </c>
      <c r="J550" s="114">
        <f>488.16+2608.2</f>
      </c>
      <c r="K550" s="115">
        <f t="shared" si="117"/>
      </c>
      <c r="L550" s="115">
        <f t="shared" si="246"/>
      </c>
      <c r="M550" s="116">
        <f t="shared" si="627"/>
      </c>
      <c r="N550" s="117">
        <f t="shared" si="657"/>
      </c>
      <c r="O550" s="118">
        <f t="shared" si="567"/>
      </c>
      <c r="P550" s="119">
        <f t="shared" si="597"/>
      </c>
      <c r="Q550" s="119">
        <f t="shared" si="777"/>
      </c>
      <c r="R550" s="119">
        <f t="shared" si="807"/>
      </c>
      <c r="S550" s="120">
        <f t="shared" si="687"/>
      </c>
      <c r="T550" s="121">
        <f t="shared" si="717"/>
      </c>
      <c r="U550" s="119">
        <f t="shared" si="996"/>
      </c>
      <c r="V550" s="122">
        <f t="shared" si="747"/>
      </c>
      <c r="W550" s="122">
        <f t="shared" si="1026"/>
      </c>
      <c r="X550" s="119">
        <f t="shared" si="837"/>
      </c>
      <c r="Y550" s="123">
        <f t="shared" si="933"/>
      </c>
      <c r="Z550" s="123">
        <v>5</v>
      </c>
      <c r="AA550" s="123">
        <v>5</v>
      </c>
      <c r="AB550" s="124">
        <v>11075.760000000002</v>
      </c>
      <c r="AC550" s="124">
        <v>0</v>
      </c>
      <c r="AD550" s="120">
        <f t="shared" si="21"/>
      </c>
      <c r="AE550" s="125" t="s">
        <v>121</v>
      </c>
      <c r="AF550" s="126" t="s">
        <v>122</v>
      </c>
      <c r="AG550" s="127">
        <v>4</v>
      </c>
      <c r="AH550" s="128">
        <v>40821</v>
      </c>
      <c r="AI550" s="128">
        <v>831</v>
      </c>
      <c r="AJ550" s="128">
        <v>939</v>
      </c>
      <c r="AK550" s="129">
        <v>181</v>
      </c>
      <c r="AL550" s="129">
        <v>179</v>
      </c>
    </row>
    <row r="551">
      <c r="A551" s="108"/>
      <c r="B551" s="109" t="s">
        <v>119</v>
      </c>
      <c r="C551" s="110" t="s">
        <v>126</v>
      </c>
      <c r="D551" s="143">
        <f t="shared" si="375"/>
      </c>
      <c r="E551" s="144">
        <v>1214.28</v>
      </c>
      <c r="F551" s="146">
        <v>4806.69</v>
      </c>
      <c r="G551" s="113">
        <v>0</v>
      </c>
      <c r="H551" s="113">
        <v>0</v>
      </c>
      <c r="I551" s="113">
        <f t="shared" si="504"/>
      </c>
      <c r="J551" s="114">
        <f>630.72+1509.84</f>
      </c>
      <c r="K551" s="115">
        <f t="shared" si="117"/>
      </c>
      <c r="L551" s="115">
        <f t="shared" si="246"/>
      </c>
      <c r="M551" s="116">
        <f t="shared" si="627"/>
      </c>
      <c r="N551" s="117">
        <f t="shared" si="657"/>
      </c>
      <c r="O551" s="118">
        <f t="shared" si="567"/>
      </c>
      <c r="P551" s="119">
        <f t="shared" si="597"/>
      </c>
      <c r="Q551" s="119">
        <f t="shared" si="777"/>
      </c>
      <c r="R551" s="119">
        <f t="shared" si="807"/>
      </c>
      <c r="S551" s="120">
        <f t="shared" si="687"/>
      </c>
      <c r="T551" s="121">
        <f t="shared" si="717"/>
      </c>
      <c r="U551" s="119">
        <f t="shared" si="996"/>
      </c>
      <c r="V551" s="122">
        <f t="shared" si="747"/>
      </c>
      <c r="W551" s="122">
        <f t="shared" si="1026"/>
      </c>
      <c r="X551" s="119">
        <f t="shared" si="837"/>
      </c>
      <c r="Y551" s="123">
        <f t="shared" si="933"/>
      </c>
      <c r="Z551" s="123">
        <v>2</v>
      </c>
      <c r="AA551" s="123">
        <v>7</v>
      </c>
      <c r="AB551" s="124">
        <f>8189.63999999999+1509.84</f>
      </c>
      <c r="AC551" s="124">
        <v>0</v>
      </c>
      <c r="AD551" s="120">
        <f t="shared" si="21"/>
      </c>
      <c r="AE551" s="125" t="s">
        <v>121</v>
      </c>
      <c r="AF551" s="126" t="s">
        <v>122</v>
      </c>
      <c r="AG551" s="127">
        <v>3</v>
      </c>
      <c r="AH551" s="128">
        <v>41760</v>
      </c>
      <c r="AI551" s="128">
        <v>873</v>
      </c>
      <c r="AJ551" s="128">
        <v>1010</v>
      </c>
      <c r="AK551" s="127">
        <v>166</v>
      </c>
      <c r="AL551" s="127">
        <v>190</v>
      </c>
    </row>
    <row r="552">
      <c r="A552" s="108"/>
      <c r="B552" s="130" t="s">
        <v>127</v>
      </c>
      <c r="C552" s="131">
        <v>5</v>
      </c>
      <c r="D552" s="132">
        <f>SUM(D547:D551)</f>
      </c>
      <c r="E552" s="148">
        <f>SUM(E547:E551)</f>
      </c>
      <c r="F552" s="132">
        <f>SUM(F547:F551)</f>
      </c>
      <c r="G552" s="132">
        <f>SUM(G547:G551)</f>
      </c>
      <c r="H552" s="132">
        <f>SUM(H547:H551)</f>
      </c>
      <c r="I552" s="132">
        <f>SUM(I547:I551)</f>
      </c>
      <c r="J552" s="132">
        <f>SUM(J547:J551)</f>
      </c>
      <c r="K552" s="132">
        <f>SUM(K547:K551)</f>
      </c>
      <c r="L552" s="132">
        <f>SUM(L547:L551)</f>
      </c>
      <c r="M552" s="133">
        <f t="shared" si="627"/>
      </c>
      <c r="N552" s="134">
        <f t="shared" si="657"/>
      </c>
      <c r="O552" s="134">
        <f t="shared" si="567"/>
      </c>
      <c r="P552" s="135">
        <f t="shared" si="597"/>
      </c>
      <c r="Q552" s="135">
        <f t="shared" si="777"/>
      </c>
      <c r="R552" s="135">
        <f t="shared" si="807"/>
      </c>
      <c r="S552" s="136">
        <f t="shared" si="687"/>
      </c>
      <c r="T552" s="136">
        <f t="shared" si="717"/>
      </c>
      <c r="U552" s="135">
        <f t="shared" si="996"/>
      </c>
      <c r="V552" s="136">
        <f t="shared" si="747"/>
      </c>
      <c r="W552" s="136">
        <f t="shared" si="1026"/>
      </c>
      <c r="X552" s="135">
        <f t="shared" si="837"/>
      </c>
      <c r="Y552" s="132">
        <f>SUM(Y547:Y551)</f>
      </c>
      <c r="Z552" s="132">
        <f>SUM(Z547:Z551)</f>
      </c>
      <c r="AA552" s="132">
        <f>SUM(AA547:AA551)</f>
      </c>
      <c r="AB552" s="132">
        <f>SUM(AB547:AB551)</f>
      </c>
      <c r="AC552" s="132">
        <f>SUM(AC547:AC551)</f>
      </c>
      <c r="AD552" s="137">
        <f t="shared" si="21"/>
      </c>
      <c r="AE552" s="138"/>
      <c r="AF552" s="139"/>
      <c r="AG552" s="132">
        <f>SUM(AG547:AG551)</f>
      </c>
      <c r="AH552" s="132">
        <f>SUM(AH547:AH551)</f>
      </c>
      <c r="AI552" s="132">
        <f>SUM(AI547:AI551)</f>
      </c>
      <c r="AJ552" s="132">
        <f>SUM(AJ547:AJ551)</f>
      </c>
      <c r="AK552" s="132">
        <f>SUM(AK547:AK551)</f>
      </c>
      <c r="AL552" s="132">
        <f>SUM(AL547:AL551)</f>
      </c>
    </row>
    <row r="553">
      <c r="A553" s="108"/>
      <c r="B553" s="109" t="s">
        <v>128</v>
      </c>
      <c r="C553" s="110" t="s">
        <v>129</v>
      </c>
      <c r="D553" s="111">
        <f t="shared" ref="D553:D557" si="376">E553+F553+G553+H553</f>
      </c>
      <c r="E553" s="112">
        <v>1237.01</v>
      </c>
      <c r="F553" s="176">
        <v>2717.42</v>
      </c>
      <c r="G553" s="113">
        <v>0</v>
      </c>
      <c r="H553" s="113">
        <v>0</v>
      </c>
      <c r="I553" s="113">
        <f t="shared" ref="I553:I557" si="505">AB553+AC553</f>
      </c>
      <c r="J553" s="114">
        <v>0</v>
      </c>
      <c r="K553" s="115">
        <f t="shared" ref="K553:K557" si="118">I553-J553</f>
      </c>
      <c r="L553" s="115">
        <f t="shared" ref="L553:L557" si="247">(I553-AC553)/12+AC553</f>
      </c>
      <c r="M553" s="116">
        <f t="shared" si="627"/>
      </c>
      <c r="N553" s="117">
        <f t="shared" si="657"/>
      </c>
      <c r="O553" s="118">
        <f t="shared" si="567"/>
      </c>
      <c r="P553" s="119">
        <f t="shared" si="597"/>
      </c>
      <c r="Q553" s="119">
        <f t="shared" si="777"/>
      </c>
      <c r="R553" s="119">
        <f t="shared" si="807"/>
      </c>
      <c r="S553" s="120">
        <f t="shared" si="687"/>
      </c>
      <c r="T553" s="121">
        <f t="shared" si="717"/>
      </c>
      <c r="U553" s="119">
        <f t="shared" si="996"/>
      </c>
      <c r="V553" s="122">
        <f t="shared" si="747"/>
      </c>
      <c r="W553" s="122">
        <f t="shared" si="1026"/>
      </c>
      <c r="X553" s="119">
        <f t="shared" si="837"/>
      </c>
      <c r="Y553" s="123">
        <f t="shared" ref="Y553:Y557" si="934">Z553+AA553</f>
      </c>
      <c r="Z553" s="123">
        <v>4</v>
      </c>
      <c r="AA553" s="123">
        <v>4</v>
      </c>
      <c r="AB553" s="124">
        <v>3555.3600000000006</v>
      </c>
      <c r="AC553" s="124">
        <v>1195</v>
      </c>
      <c r="AD553" s="120">
        <f t="shared" si="21"/>
      </c>
      <c r="AE553" s="125" t="s">
        <v>121</v>
      </c>
      <c r="AF553" s="126" t="s">
        <v>122</v>
      </c>
      <c r="AG553" s="127">
        <v>2</v>
      </c>
      <c r="AH553" s="128">
        <v>28162</v>
      </c>
      <c r="AI553" s="128">
        <v>529</v>
      </c>
      <c r="AJ553" s="128">
        <v>598</v>
      </c>
      <c r="AK553" s="127">
        <v>114</v>
      </c>
      <c r="AL553" s="127">
        <v>138</v>
      </c>
    </row>
    <row r="554">
      <c r="A554" s="108"/>
      <c r="B554" s="109" t="s">
        <v>128</v>
      </c>
      <c r="C554" s="110" t="s">
        <v>130</v>
      </c>
      <c r="D554" s="111">
        <f t="shared" si="376"/>
      </c>
      <c r="E554" s="177">
        <v>1406.93</v>
      </c>
      <c r="F554" s="145">
        <v>3911.26</v>
      </c>
      <c r="G554" s="146">
        <v>0</v>
      </c>
      <c r="H554" s="113">
        <v>0</v>
      </c>
      <c r="I554" s="113">
        <f t="shared" si="505"/>
      </c>
      <c r="J554" s="162">
        <v>1591.92</v>
      </c>
      <c r="K554" s="115">
        <f t="shared" si="118"/>
      </c>
      <c r="L554" s="115">
        <f t="shared" si="247"/>
      </c>
      <c r="M554" s="116">
        <f t="shared" si="627"/>
      </c>
      <c r="N554" s="117">
        <f t="shared" si="657"/>
      </c>
      <c r="O554" s="118">
        <f t="shared" si="567"/>
      </c>
      <c r="P554" s="119">
        <f t="shared" si="597"/>
      </c>
      <c r="Q554" s="119">
        <f t="shared" si="777"/>
      </c>
      <c r="R554" s="119">
        <f t="shared" si="807"/>
      </c>
      <c r="S554" s="120">
        <f t="shared" si="687"/>
      </c>
      <c r="T554" s="121">
        <f t="shared" si="717"/>
      </c>
      <c r="U554" s="119">
        <f t="shared" si="996"/>
      </c>
      <c r="V554" s="122">
        <f t="shared" si="747"/>
      </c>
      <c r="W554" s="122">
        <f t="shared" si="1026"/>
      </c>
      <c r="X554" s="119">
        <f t="shared" si="837"/>
      </c>
      <c r="Y554" s="123">
        <f t="shared" si="934"/>
      </c>
      <c r="Z554" s="123">
        <v>1</v>
      </c>
      <c r="AA554" s="123">
        <v>5</v>
      </c>
      <c r="AB554" s="124">
        <v>9326.880000000005</v>
      </c>
      <c r="AC554" s="124">
        <v>0</v>
      </c>
      <c r="AD554" s="120">
        <f t="shared" si="21"/>
      </c>
      <c r="AE554" s="125" t="s">
        <v>121</v>
      </c>
      <c r="AF554" s="126" t="s">
        <v>122</v>
      </c>
      <c r="AG554" s="127">
        <v>4</v>
      </c>
      <c r="AH554" s="128">
        <v>35136</v>
      </c>
      <c r="AI554" s="128">
        <v>813</v>
      </c>
      <c r="AJ554" s="128">
        <v>897</v>
      </c>
      <c r="AK554" s="129">
        <v>150</v>
      </c>
      <c r="AL554" s="129">
        <v>169</v>
      </c>
    </row>
    <row r="555">
      <c r="A555" s="108"/>
      <c r="B555" s="109" t="s">
        <v>128</v>
      </c>
      <c r="C555" s="110" t="s">
        <v>131</v>
      </c>
      <c r="D555" s="111">
        <f t="shared" si="376"/>
      </c>
      <c r="E555" s="177">
        <v>913.22</v>
      </c>
      <c r="F555" s="147">
        <v>6135.97</v>
      </c>
      <c r="G555" s="146">
        <v>0</v>
      </c>
      <c r="H555" s="113">
        <v>0</v>
      </c>
      <c r="I555" s="113">
        <f t="shared" si="505"/>
      </c>
      <c r="J555" s="114">
        <v>0</v>
      </c>
      <c r="K555" s="115">
        <f t="shared" si="118"/>
      </c>
      <c r="L555" s="115">
        <f t="shared" si="247"/>
      </c>
      <c r="M555" s="116">
        <f t="shared" si="627"/>
      </c>
      <c r="N555" s="117">
        <f t="shared" si="657"/>
      </c>
      <c r="O555" s="118">
        <f t="shared" si="567"/>
      </c>
      <c r="P555" s="119">
        <f t="shared" si="597"/>
      </c>
      <c r="Q555" s="119">
        <f t="shared" si="777"/>
      </c>
      <c r="R555" s="119">
        <f t="shared" si="807"/>
      </c>
      <c r="S555" s="120">
        <f t="shared" si="687"/>
      </c>
      <c r="T555" s="121">
        <f t="shared" si="717"/>
      </c>
      <c r="U555" s="119">
        <f t="shared" si="996"/>
      </c>
      <c r="V555" s="122">
        <f t="shared" si="747"/>
      </c>
      <c r="W555" s="122">
        <f t="shared" si="1026"/>
      </c>
      <c r="X555" s="119">
        <f t="shared" si="837"/>
      </c>
      <c r="Y555" s="123">
        <f t="shared" si="934"/>
      </c>
      <c r="Z555" s="123">
        <v>3</v>
      </c>
      <c r="AA555" s="123">
        <v>4</v>
      </c>
      <c r="AB555" s="124">
        <v>8516.879999999976</v>
      </c>
      <c r="AC555" s="124">
        <v>0</v>
      </c>
      <c r="AD555" s="120">
        <f t="shared" si="21"/>
      </c>
      <c r="AE555" s="125" t="s">
        <v>121</v>
      </c>
      <c r="AF555" s="126" t="s">
        <v>122</v>
      </c>
      <c r="AG555" s="129">
        <v>2</v>
      </c>
      <c r="AH555" s="128">
        <v>56928</v>
      </c>
      <c r="AI555" s="128">
        <v>1015</v>
      </c>
      <c r="AJ555" s="128">
        <v>1138</v>
      </c>
      <c r="AK555" s="129">
        <v>191</v>
      </c>
      <c r="AL555" s="129">
        <v>241</v>
      </c>
    </row>
    <row r="556">
      <c r="A556" s="108"/>
      <c r="B556" s="109" t="s">
        <v>128</v>
      </c>
      <c r="C556" s="110" t="s">
        <v>132</v>
      </c>
      <c r="D556" s="111">
        <f t="shared" si="376"/>
      </c>
      <c r="E556" s="177">
        <v>814.78</v>
      </c>
      <c r="F556" s="145">
        <v>3721.04</v>
      </c>
      <c r="G556" s="146">
        <v>0</v>
      </c>
      <c r="H556" s="113">
        <v>0</v>
      </c>
      <c r="I556" s="113">
        <f t="shared" si="505"/>
      </c>
      <c r="J556" s="114">
        <v>970.92</v>
      </c>
      <c r="K556" s="115">
        <f t="shared" si="118"/>
      </c>
      <c r="L556" s="115">
        <f t="shared" si="247"/>
      </c>
      <c r="M556" s="116">
        <f t="shared" si="627"/>
      </c>
      <c r="N556" s="117">
        <f t="shared" si="657"/>
      </c>
      <c r="O556" s="118">
        <f t="shared" si="567"/>
      </c>
      <c r="P556" s="119">
        <f t="shared" si="597"/>
      </c>
      <c r="Q556" s="119">
        <f t="shared" si="777"/>
      </c>
      <c r="R556" s="119">
        <f t="shared" si="807"/>
      </c>
      <c r="S556" s="120">
        <f t="shared" si="687"/>
      </c>
      <c r="T556" s="121">
        <f t="shared" si="717"/>
      </c>
      <c r="U556" s="119">
        <f t="shared" si="996"/>
      </c>
      <c r="V556" s="122">
        <f t="shared" si="747"/>
      </c>
      <c r="W556" s="122">
        <f t="shared" si="1026"/>
      </c>
      <c r="X556" s="119">
        <f t="shared" si="837"/>
      </c>
      <c r="Y556" s="123">
        <f t="shared" si="934"/>
      </c>
      <c r="Z556" s="123">
        <v>5</v>
      </c>
      <c r="AA556" s="123">
        <v>8</v>
      </c>
      <c r="AB556" s="114">
        <v>7575.120000000024</v>
      </c>
      <c r="AC556" s="124">
        <v>0</v>
      </c>
      <c r="AD556" s="120">
        <f t="shared" si="21"/>
      </c>
      <c r="AE556" s="125" t="s">
        <v>121</v>
      </c>
      <c r="AF556" s="126" t="s">
        <v>122</v>
      </c>
      <c r="AG556" s="127">
        <v>8</v>
      </c>
      <c r="AH556" s="128">
        <v>36341</v>
      </c>
      <c r="AI556" s="128">
        <v>766</v>
      </c>
      <c r="AJ556" s="128">
        <v>943</v>
      </c>
      <c r="AK556" s="129">
        <v>144</v>
      </c>
      <c r="AL556" s="129">
        <v>169</v>
      </c>
    </row>
    <row r="557">
      <c r="A557" s="108"/>
      <c r="B557" s="109" t="s">
        <v>128</v>
      </c>
      <c r="C557" s="110" t="s">
        <v>134</v>
      </c>
      <c r="D557" s="111">
        <f t="shared" si="376"/>
      </c>
      <c r="E557" s="177">
        <v>1093.98</v>
      </c>
      <c r="F557" s="145">
        <v>4894.91</v>
      </c>
      <c r="G557" s="146">
        <v>0</v>
      </c>
      <c r="H557" s="113">
        <v>0</v>
      </c>
      <c r="I557" s="113">
        <f t="shared" si="505"/>
      </c>
      <c r="J557" s="114">
        <v>4461.48</v>
      </c>
      <c r="K557" s="115">
        <f t="shared" si="118"/>
      </c>
      <c r="L557" s="115">
        <f t="shared" si="247"/>
      </c>
      <c r="M557" s="116">
        <f t="shared" si="627"/>
      </c>
      <c r="N557" s="117">
        <f t="shared" si="657"/>
      </c>
      <c r="O557" s="118">
        <f t="shared" si="567"/>
      </c>
      <c r="P557" s="119">
        <f t="shared" si="597"/>
      </c>
      <c r="Q557" s="119">
        <f t="shared" si="777"/>
      </c>
      <c r="R557" s="119">
        <f t="shared" si="807"/>
      </c>
      <c r="S557" s="120">
        <f t="shared" si="687"/>
      </c>
      <c r="T557" s="121">
        <f t="shared" si="717"/>
      </c>
      <c r="U557" s="119">
        <f t="shared" si="996"/>
      </c>
      <c r="V557" s="122">
        <f t="shared" si="747"/>
      </c>
      <c r="W557" s="122">
        <f t="shared" si="1026"/>
      </c>
      <c r="X557" s="119">
        <f t="shared" si="837"/>
      </c>
      <c r="Y557" s="123">
        <f t="shared" si="934"/>
      </c>
      <c r="Z557" s="123">
        <v>6</v>
      </c>
      <c r="AA557" s="123">
        <v>4</v>
      </c>
      <c r="AB557" s="124">
        <v>10014.359999999986</v>
      </c>
      <c r="AC557" s="124">
        <v>0</v>
      </c>
      <c r="AD557" s="120">
        <f t="shared" si="21"/>
      </c>
      <c r="AE557" s="125" t="s">
        <v>121</v>
      </c>
      <c r="AF557" s="126" t="s">
        <v>122</v>
      </c>
      <c r="AG557" s="127">
        <v>3</v>
      </c>
      <c r="AH557" s="127">
        <v>45193</v>
      </c>
      <c r="AI557" s="127">
        <v>769</v>
      </c>
      <c r="AJ557" s="127">
        <v>903</v>
      </c>
      <c r="AK557" s="127">
        <v>158</v>
      </c>
      <c r="AL557" s="127">
        <v>182</v>
      </c>
    </row>
    <row r="558">
      <c r="A558" s="108"/>
      <c r="B558" s="130" t="s">
        <v>127</v>
      </c>
      <c r="C558" s="131">
        <v>5</v>
      </c>
      <c r="D558" s="132">
        <f>SUM(D553:D557)</f>
      </c>
      <c r="E558" s="178">
        <f>SUM(E553:E557)</f>
      </c>
      <c r="F558" s="179">
        <f>SUM(F553:F557)</f>
      </c>
      <c r="G558" s="180">
        <f>SUM(G553:G557)</f>
      </c>
      <c r="H558" s="132">
        <f>SUM(H553:H557)</f>
      </c>
      <c r="I558" s="132">
        <f>SUM(I553:I557)</f>
      </c>
      <c r="J558" s="132">
        <f>SUM(J553:J557)</f>
      </c>
      <c r="K558" s="132">
        <f>SUM(K553:K557)</f>
      </c>
      <c r="L558" s="132">
        <f>SUM(L553:L557)</f>
      </c>
      <c r="M558" s="133">
        <f t="shared" si="627"/>
      </c>
      <c r="N558" s="134">
        <f t="shared" si="657"/>
      </c>
      <c r="O558" s="134">
        <f t="shared" si="567"/>
      </c>
      <c r="P558" s="135">
        <f t="shared" si="597"/>
      </c>
      <c r="Q558" s="135">
        <f t="shared" si="777"/>
      </c>
      <c r="R558" s="135">
        <f t="shared" si="807"/>
      </c>
      <c r="S558" s="136">
        <f t="shared" si="687"/>
      </c>
      <c r="T558" s="136">
        <f t="shared" si="717"/>
      </c>
      <c r="U558" s="135">
        <f t="shared" si="996"/>
      </c>
      <c r="V558" s="136">
        <f t="shared" si="747"/>
      </c>
      <c r="W558" s="136">
        <f t="shared" si="1026"/>
      </c>
      <c r="X558" s="135">
        <f t="shared" si="837"/>
      </c>
      <c r="Y558" s="132">
        <f>SUM(Y553:Y557)</f>
      </c>
      <c r="Z558" s="132">
        <f>SUM(Z553:Z557)</f>
      </c>
      <c r="AA558" s="132">
        <f>SUM(AA553:AA557)</f>
      </c>
      <c r="AB558" s="132">
        <f>SUM(AB553:AB557)</f>
      </c>
      <c r="AC558" s="132">
        <f>SUM(AC553:AC557)</f>
      </c>
      <c r="AD558" s="137">
        <f t="shared" si="21"/>
      </c>
      <c r="AE558" s="138"/>
      <c r="AF558" s="139"/>
      <c r="AG558" s="132">
        <f>SUM(AG553:AG557)</f>
      </c>
      <c r="AH558" s="132">
        <f>SUM(AH553:AH557)</f>
      </c>
      <c r="AI558" s="132">
        <f>SUM(AI553:AI557)</f>
      </c>
      <c r="AJ558" s="132">
        <f>SUM(AJ553:AJ557)</f>
      </c>
      <c r="AK558" s="132">
        <f>SUM(AK553:AK557)</f>
      </c>
      <c r="AL558" s="132">
        <f>SUM(AL553:AL557)</f>
      </c>
    </row>
    <row r="559">
      <c r="A559" s="108"/>
      <c r="B559" s="109" t="s">
        <v>139</v>
      </c>
      <c r="C559" s="110" t="s">
        <v>135</v>
      </c>
      <c r="D559" s="111">
        <f t="shared" ref="D559:D563" si="377">E559+F559+G559+H559</f>
      </c>
      <c r="E559" s="177">
        <v>652.79</v>
      </c>
      <c r="F559" s="145">
        <v>3276.09</v>
      </c>
      <c r="G559" s="146">
        <v>0</v>
      </c>
      <c r="H559" s="113">
        <v>0</v>
      </c>
      <c r="I559" s="113">
        <f t="shared" ref="I559:I563" si="506">AB559+AC559</f>
      </c>
      <c r="J559" s="160">
        <v>0</v>
      </c>
      <c r="K559" s="115">
        <f t="shared" ref="K559:K563" si="119">I559-J559</f>
      </c>
      <c r="L559" s="115">
        <f t="shared" ref="L559:L563" si="248">(I559-AC559)/12+AC559</f>
      </c>
      <c r="M559" s="116">
        <f t="shared" si="627"/>
      </c>
      <c r="N559" s="117">
        <f t="shared" si="657"/>
      </c>
      <c r="O559" s="118">
        <f t="shared" si="567"/>
      </c>
      <c r="P559" s="119">
        <f t="shared" si="597"/>
      </c>
      <c r="Q559" s="119">
        <f t="shared" si="777"/>
      </c>
      <c r="R559" s="119">
        <f t="shared" si="807"/>
      </c>
      <c r="S559" s="120">
        <f t="shared" si="687"/>
      </c>
      <c r="T559" s="121">
        <f t="shared" si="717"/>
      </c>
      <c r="U559" s="119">
        <f t="shared" si="996"/>
      </c>
      <c r="V559" s="122">
        <f t="shared" si="747"/>
      </c>
      <c r="W559" s="122">
        <f t="shared" si="1026"/>
      </c>
      <c r="X559" s="119">
        <f t="shared" si="837"/>
      </c>
      <c r="Y559" s="123">
        <f t="shared" ref="Y559:Y563" si="935">Z559+AA559</f>
      </c>
      <c r="Z559" s="123">
        <v>2</v>
      </c>
      <c r="AA559" s="123">
        <v>1</v>
      </c>
      <c r="AB559" s="124">
        <v>1360.5599999999977</v>
      </c>
      <c r="AC559" s="124">
        <v>0</v>
      </c>
      <c r="AD559" s="120">
        <f t="shared" si="21"/>
      </c>
      <c r="AE559" s="125" t="s">
        <v>121</v>
      </c>
      <c r="AF559" s="126" t="s">
        <v>154</v>
      </c>
      <c r="AG559" s="127">
        <v>1</v>
      </c>
      <c r="AH559" s="127">
        <v>33491</v>
      </c>
      <c r="AI559" s="127">
        <v>564</v>
      </c>
      <c r="AJ559" s="127">
        <v>626</v>
      </c>
      <c r="AK559" s="127">
        <v>125</v>
      </c>
      <c r="AL559" s="127">
        <v>135</v>
      </c>
    </row>
    <row r="560">
      <c r="A560" s="108"/>
      <c r="B560" s="109" t="s">
        <v>139</v>
      </c>
      <c r="C560" s="110" t="s">
        <v>138</v>
      </c>
      <c r="D560" s="111">
        <f t="shared" si="377"/>
      </c>
      <c r="E560" s="177">
        <v>1326.72</v>
      </c>
      <c r="F560" s="145">
        <v>2627.36</v>
      </c>
      <c r="G560" s="146">
        <v>0</v>
      </c>
      <c r="H560" s="113">
        <v>0</v>
      </c>
      <c r="I560" s="113">
        <f t="shared" si="506"/>
      </c>
      <c r="J560" s="114">
        <v>0</v>
      </c>
      <c r="K560" s="115">
        <f t="shared" si="119"/>
      </c>
      <c r="L560" s="115">
        <f t="shared" si="248"/>
      </c>
      <c r="M560" s="116">
        <f t="shared" si="627"/>
      </c>
      <c r="N560" s="117">
        <f t="shared" si="657"/>
      </c>
      <c r="O560" s="118">
        <f t="shared" si="567"/>
      </c>
      <c r="P560" s="119">
        <f t="shared" si="597"/>
      </c>
      <c r="Q560" s="119">
        <f t="shared" si="777"/>
      </c>
      <c r="R560" s="119">
        <f t="shared" si="807"/>
      </c>
      <c r="S560" s="120">
        <f t="shared" si="687"/>
      </c>
      <c r="T560" s="121">
        <f t="shared" si="717"/>
      </c>
      <c r="U560" s="119">
        <f t="shared" si="996"/>
      </c>
      <c r="V560" s="122">
        <f t="shared" si="747"/>
      </c>
      <c r="W560" s="122">
        <f t="shared" si="1026"/>
      </c>
      <c r="X560" s="119">
        <f t="shared" si="837"/>
      </c>
      <c r="Y560" s="123">
        <f t="shared" si="935"/>
      </c>
      <c r="Z560" s="123">
        <v>4</v>
      </c>
      <c r="AA560" s="123">
        <v>4</v>
      </c>
      <c r="AB560" s="124">
        <v>3907.4400000000023</v>
      </c>
      <c r="AC560" s="124">
        <v>0</v>
      </c>
      <c r="AD560" s="120">
        <f t="shared" si="21"/>
      </c>
      <c r="AE560" s="125" t="s">
        <v>121</v>
      </c>
      <c r="AF560" s="126" t="s">
        <v>154</v>
      </c>
      <c r="AG560" s="129">
        <v>2</v>
      </c>
      <c r="AH560" s="128">
        <v>29871</v>
      </c>
      <c r="AI560" s="128">
        <v>612</v>
      </c>
      <c r="AJ560" s="128">
        <v>672</v>
      </c>
      <c r="AK560" s="129">
        <v>95</v>
      </c>
      <c r="AL560" s="129">
        <v>104</v>
      </c>
    </row>
    <row r="561">
      <c r="A561" s="108"/>
      <c r="B561" s="109" t="s">
        <v>139</v>
      </c>
      <c r="C561" s="110" t="s">
        <v>140</v>
      </c>
      <c r="D561" s="111">
        <f t="shared" si="377"/>
      </c>
      <c r="E561" s="177">
        <v>805.3</v>
      </c>
      <c r="F561" s="145">
        <v>2509.34</v>
      </c>
      <c r="G561" s="146">
        <v>0</v>
      </c>
      <c r="H561" s="113">
        <v>0</v>
      </c>
      <c r="I561" s="113">
        <f t="shared" si="506"/>
      </c>
      <c r="J561" s="160">
        <v>0</v>
      </c>
      <c r="K561" s="115">
        <f t="shared" si="119"/>
      </c>
      <c r="L561" s="115">
        <f t="shared" si="248"/>
      </c>
      <c r="M561" s="116">
        <f t="shared" si="627"/>
      </c>
      <c r="N561" s="117">
        <f t="shared" si="657"/>
      </c>
      <c r="O561" s="118">
        <f t="shared" si="567"/>
      </c>
      <c r="P561" s="119">
        <f t="shared" si="597"/>
      </c>
      <c r="Q561" s="119">
        <f t="shared" si="777"/>
      </c>
      <c r="R561" s="119">
        <f t="shared" si="807"/>
      </c>
      <c r="S561" s="120">
        <f t="shared" si="687"/>
      </c>
      <c r="T561" s="121">
        <f t="shared" si="717"/>
      </c>
      <c r="U561" s="119">
        <f t="shared" si="996"/>
      </c>
      <c r="V561" s="122">
        <f t="shared" si="747"/>
      </c>
      <c r="W561" s="122">
        <f t="shared" si="1026"/>
      </c>
      <c r="X561" s="119">
        <f t="shared" si="837"/>
      </c>
      <c r="Y561" s="123">
        <f t="shared" si="935"/>
      </c>
      <c r="Z561" s="123">
        <v>3</v>
      </c>
      <c r="AA561" s="123">
        <v>5</v>
      </c>
      <c r="AB561" s="124">
        <v>6013.440000000002</v>
      </c>
      <c r="AC561" s="124">
        <v>0</v>
      </c>
      <c r="AD561" s="120">
        <f t="shared" si="21"/>
      </c>
      <c r="AE561" s="125" t="s">
        <v>121</v>
      </c>
      <c r="AF561" s="126" t="s">
        <v>154</v>
      </c>
      <c r="AG561" s="127">
        <v>5</v>
      </c>
      <c r="AH561" s="128">
        <v>29494</v>
      </c>
      <c r="AI561" s="128">
        <v>630</v>
      </c>
      <c r="AJ561" s="128">
        <v>758</v>
      </c>
      <c r="AK561" s="129">
        <v>103</v>
      </c>
      <c r="AL561" s="129">
        <v>109</v>
      </c>
    </row>
    <row r="562">
      <c r="A562" s="108"/>
      <c r="B562" s="109" t="s">
        <v>139</v>
      </c>
      <c r="C562" s="141" t="s">
        <v>141</v>
      </c>
      <c r="D562" s="111">
        <f t="shared" si="377"/>
      </c>
      <c r="E562" s="177">
        <v>846.76</v>
      </c>
      <c r="F562" s="145">
        <v>2790.59</v>
      </c>
      <c r="G562" s="146">
        <v>0</v>
      </c>
      <c r="H562" s="113">
        <v>0</v>
      </c>
      <c r="I562" s="113">
        <f t="shared" si="506"/>
      </c>
      <c r="J562" s="160">
        <v>979.56</v>
      </c>
      <c r="K562" s="115">
        <f t="shared" si="119"/>
      </c>
      <c r="L562" s="115">
        <f t="shared" si="248"/>
      </c>
      <c r="M562" s="116">
        <f t="shared" si="627"/>
      </c>
      <c r="N562" s="117">
        <f t="shared" si="657"/>
      </c>
      <c r="O562" s="118">
        <f t="shared" si="567"/>
      </c>
      <c r="P562" s="119">
        <f t="shared" si="597"/>
      </c>
      <c r="Q562" s="119">
        <f t="shared" si="777"/>
      </c>
      <c r="R562" s="119">
        <f t="shared" si="807"/>
      </c>
      <c r="S562" s="120">
        <f t="shared" si="687"/>
      </c>
      <c r="T562" s="121">
        <f t="shared" si="717"/>
      </c>
      <c r="U562" s="119">
        <f t="shared" si="996"/>
      </c>
      <c r="V562" s="122">
        <f t="shared" si="747"/>
      </c>
      <c r="W562" s="122">
        <f t="shared" si="1026"/>
      </c>
      <c r="X562" s="119">
        <f t="shared" si="837"/>
      </c>
      <c r="Y562" s="123">
        <f t="shared" si="935"/>
      </c>
      <c r="Z562" s="123">
        <v>1</v>
      </c>
      <c r="AA562" s="123">
        <v>4</v>
      </c>
      <c r="AB562" s="124">
        <v>4039.2000000000116</v>
      </c>
      <c r="AC562" s="124">
        <v>0</v>
      </c>
      <c r="AD562" s="120">
        <f t="shared" si="21"/>
      </c>
      <c r="AE562" s="125" t="s">
        <v>121</v>
      </c>
      <c r="AF562" s="126" t="s">
        <v>154</v>
      </c>
      <c r="AG562" s="127">
        <v>2</v>
      </c>
      <c r="AH562" s="128">
        <v>31951</v>
      </c>
      <c r="AI562" s="128">
        <v>685</v>
      </c>
      <c r="AJ562" s="128">
        <v>762</v>
      </c>
      <c r="AK562" s="129">
        <v>103</v>
      </c>
      <c r="AL562" s="129">
        <v>122</v>
      </c>
    </row>
    <row r="563">
      <c r="A563" s="108"/>
      <c r="B563" s="109" t="s">
        <v>139</v>
      </c>
      <c r="C563" s="141" t="s">
        <v>142</v>
      </c>
      <c r="D563" s="111">
        <f t="shared" si="377"/>
      </c>
      <c r="E563" s="177">
        <v>1388.1</v>
      </c>
      <c r="F563" s="145">
        <v>3837.91</v>
      </c>
      <c r="G563" s="146">
        <v>0</v>
      </c>
      <c r="H563" s="113">
        <v>0</v>
      </c>
      <c r="I563" s="113">
        <f t="shared" si="506"/>
      </c>
      <c r="J563" s="114">
        <f>1128.6+1016.28</f>
      </c>
      <c r="K563" s="115">
        <f t="shared" si="119"/>
      </c>
      <c r="L563" s="115">
        <f t="shared" si="248"/>
      </c>
      <c r="M563" s="116">
        <f t="shared" si="627"/>
      </c>
      <c r="N563" s="117">
        <f t="shared" si="657"/>
      </c>
      <c r="O563" s="118">
        <f t="shared" si="567"/>
      </c>
      <c r="P563" s="119">
        <f t="shared" si="597"/>
      </c>
      <c r="Q563" s="119">
        <f t="shared" si="777"/>
      </c>
      <c r="R563" s="119">
        <f t="shared" si="807"/>
      </c>
      <c r="S563" s="120">
        <f t="shared" si="687"/>
      </c>
      <c r="T563" s="121">
        <f t="shared" si="717"/>
      </c>
      <c r="U563" s="119">
        <f t="shared" si="996"/>
      </c>
      <c r="V563" s="122">
        <f t="shared" si="747"/>
      </c>
      <c r="W563" s="122">
        <f t="shared" si="1026"/>
      </c>
      <c r="X563" s="119">
        <f t="shared" si="837"/>
      </c>
      <c r="Y563" s="123">
        <f t="shared" si="935"/>
      </c>
      <c r="Z563" s="123">
        <v>6</v>
      </c>
      <c r="AA563" s="123">
        <v>4</v>
      </c>
      <c r="AB563" s="124">
        <v>4051.079999999987</v>
      </c>
      <c r="AC563" s="124">
        <v>0</v>
      </c>
      <c r="AD563" s="120">
        <f t="shared" si="21"/>
      </c>
      <c r="AE563" s="125" t="s">
        <v>121</v>
      </c>
      <c r="AF563" s="126" t="s">
        <v>154</v>
      </c>
      <c r="AG563" s="127">
        <v>3</v>
      </c>
      <c r="AH563" s="128">
        <v>41941</v>
      </c>
      <c r="AI563" s="128">
        <v>1055</v>
      </c>
      <c r="AJ563" s="128">
        <v>1161</v>
      </c>
      <c r="AK563" s="129">
        <v>128</v>
      </c>
      <c r="AL563" s="129">
        <v>162</v>
      </c>
    </row>
    <row r="564">
      <c r="A564" s="108"/>
      <c r="B564" s="130" t="s">
        <v>127</v>
      </c>
      <c r="C564" s="131">
        <v>5</v>
      </c>
      <c r="D564" s="132">
        <f>SUM(D559:D563)</f>
      </c>
      <c r="E564" s="132">
        <f>SUM(E559:E563)</f>
      </c>
      <c r="F564" s="148">
        <f>SUM(F559:F563)</f>
      </c>
      <c r="G564" s="132">
        <f>SUM(G559:G563)</f>
      </c>
      <c r="H564" s="132">
        <f>SUM(H559:H563)</f>
      </c>
      <c r="I564" s="132">
        <f>SUM(I559:I563)</f>
      </c>
      <c r="J564" s="132">
        <f>SUM(J559:J563)</f>
      </c>
      <c r="K564" s="132">
        <f>SUM(K559:K563)</f>
      </c>
      <c r="L564" s="132">
        <f>SUM(L559:L563)</f>
      </c>
      <c r="M564" s="133">
        <f t="shared" si="627"/>
      </c>
      <c r="N564" s="134">
        <f t="shared" si="657"/>
      </c>
      <c r="O564" s="134">
        <f t="shared" si="567"/>
      </c>
      <c r="P564" s="135">
        <f t="shared" si="597"/>
      </c>
      <c r="Q564" s="135">
        <f t="shared" si="777"/>
      </c>
      <c r="R564" s="135">
        <f t="shared" si="807"/>
      </c>
      <c r="S564" s="136">
        <f t="shared" si="687"/>
      </c>
      <c r="T564" s="136">
        <f t="shared" si="717"/>
      </c>
      <c r="U564" s="135">
        <f t="shared" si="996"/>
      </c>
      <c r="V564" s="136">
        <f t="shared" si="747"/>
      </c>
      <c r="W564" s="136">
        <f t="shared" si="1026"/>
      </c>
      <c r="X564" s="135">
        <f t="shared" si="837"/>
      </c>
      <c r="Y564" s="132">
        <f>SUM(Y559:Y563)</f>
      </c>
      <c r="Z564" s="132">
        <f>SUM(Z559:Z563)</f>
      </c>
      <c r="AA564" s="132">
        <f>SUM(AA559:AA563)</f>
      </c>
      <c r="AB564" s="132">
        <f>SUM(AB559:AB563)</f>
      </c>
      <c r="AC564" s="132">
        <f>SUM(AC559:AC563)</f>
      </c>
      <c r="AD564" s="137">
        <f t="shared" si="21"/>
      </c>
      <c r="AE564" s="138"/>
      <c r="AF564" s="139"/>
      <c r="AG564" s="132">
        <f>SUM(AG559:AG563)</f>
      </c>
      <c r="AH564" s="132">
        <f>SUM(AH559:AH563)</f>
      </c>
      <c r="AI564" s="132">
        <f>SUM(AI559:AI563)</f>
      </c>
      <c r="AJ564" s="132">
        <f>SUM(AJ559:AJ563)</f>
      </c>
      <c r="AK564" s="132">
        <f>SUM(AK559:AK563)</f>
      </c>
      <c r="AL564" s="132">
        <f>SUM(AL559:AL563)</f>
      </c>
    </row>
    <row r="565">
      <c r="A565" s="108"/>
      <c r="B565" s="109" t="s">
        <v>143</v>
      </c>
      <c r="C565" s="141" t="s">
        <v>144</v>
      </c>
      <c r="D565" s="181">
        <f t="shared" ref="D565:D569" si="378">E565+F565+G565+H565</f>
      </c>
      <c r="E565" s="166">
        <v>1819.83</v>
      </c>
      <c r="F565" s="145">
        <v>5948.57</v>
      </c>
      <c r="G565" s="113">
        <v>0</v>
      </c>
      <c r="H565" s="113">
        <v>0</v>
      </c>
      <c r="I565" s="113">
        <f t="shared" ref="I565:I569" si="507">AB565+AC565</f>
      </c>
      <c r="J565" s="114">
        <v>0.000000000009094947017729282</v>
      </c>
      <c r="K565" s="115">
        <f t="shared" ref="K565:K569" si="120">I565-J565</f>
      </c>
      <c r="L565" s="115">
        <f t="shared" ref="L565:L569" si="249">(I565-AC565)/12+AC565</f>
      </c>
      <c r="M565" s="116">
        <f t="shared" si="627"/>
      </c>
      <c r="N565" s="117">
        <f t="shared" si="657"/>
      </c>
      <c r="O565" s="118">
        <f t="shared" si="567"/>
      </c>
      <c r="P565" s="119">
        <f t="shared" si="597"/>
      </c>
      <c r="Q565" s="119">
        <f t="shared" si="777"/>
      </c>
      <c r="R565" s="119">
        <f t="shared" si="807"/>
      </c>
      <c r="S565" s="120">
        <f t="shared" si="687"/>
      </c>
      <c r="T565" s="121">
        <f t="shared" si="717"/>
      </c>
      <c r="U565" s="119">
        <f t="shared" si="996"/>
      </c>
      <c r="V565" s="122">
        <f t="shared" si="747"/>
      </c>
      <c r="W565" s="122">
        <f t="shared" si="1026"/>
      </c>
      <c r="X565" s="119">
        <f t="shared" si="837"/>
      </c>
      <c r="Y565" s="123">
        <f t="shared" ref="Y565:Y569" si="936">Z565+AA565</f>
      </c>
      <c r="Z565" s="123">
        <v>1</v>
      </c>
      <c r="AA565" s="123">
        <v>9</v>
      </c>
      <c r="AB565" s="124">
        <v>12131.51999999999</v>
      </c>
      <c r="AC565" s="124">
        <v>0</v>
      </c>
      <c r="AD565" s="120">
        <f t="shared" si="21"/>
      </c>
      <c r="AE565" s="125" t="s">
        <v>121</v>
      </c>
      <c r="AF565" s="126" t="s">
        <v>154</v>
      </c>
      <c r="AG565" s="127">
        <v>9</v>
      </c>
      <c r="AH565" s="127">
        <v>69445</v>
      </c>
      <c r="AI565" s="128">
        <v>1377</v>
      </c>
      <c r="AJ565" s="128">
        <v>1534</v>
      </c>
      <c r="AK565" s="127">
        <v>198</v>
      </c>
      <c r="AL565" s="129">
        <v>237</v>
      </c>
    </row>
    <row r="566">
      <c r="A566" s="108"/>
      <c r="B566" s="109" t="s">
        <v>143</v>
      </c>
      <c r="C566" s="110" t="s">
        <v>145</v>
      </c>
      <c r="D566" s="143">
        <f t="shared" si="378"/>
      </c>
      <c r="E566" s="147">
        <v>2467.15</v>
      </c>
      <c r="F566" s="145">
        <v>6279.46</v>
      </c>
      <c r="G566" s="113">
        <v>0</v>
      </c>
      <c r="H566" s="113">
        <v>0</v>
      </c>
      <c r="I566" s="113">
        <f t="shared" si="507"/>
      </c>
      <c r="J566" s="114">
        <v>0</v>
      </c>
      <c r="K566" s="115">
        <f t="shared" si="120"/>
      </c>
      <c r="L566" s="115">
        <f t="shared" si="249"/>
      </c>
      <c r="M566" s="116">
        <f t="shared" si="627"/>
      </c>
      <c r="N566" s="117">
        <f t="shared" si="657"/>
      </c>
      <c r="O566" s="118">
        <f t="shared" si="567"/>
      </c>
      <c r="P566" s="119">
        <f t="shared" si="597"/>
      </c>
      <c r="Q566" s="119">
        <f t="shared" si="777"/>
      </c>
      <c r="R566" s="119">
        <f t="shared" si="807"/>
      </c>
      <c r="S566" s="120">
        <f t="shared" si="687"/>
      </c>
      <c r="T566" s="121">
        <f t="shared" si="717"/>
      </c>
      <c r="U566" s="119">
        <f t="shared" si="996"/>
      </c>
      <c r="V566" s="122">
        <f t="shared" si="747"/>
      </c>
      <c r="W566" s="122">
        <f t="shared" si="1026"/>
      </c>
      <c r="X566" s="119">
        <f t="shared" si="837"/>
      </c>
      <c r="Y566" s="123">
        <f t="shared" si="936"/>
      </c>
      <c r="Z566" s="123">
        <v>4</v>
      </c>
      <c r="AA566" s="123">
        <v>12</v>
      </c>
      <c r="AB566" s="124">
        <v>16671.600000000006</v>
      </c>
      <c r="AC566" s="124">
        <v>582</v>
      </c>
      <c r="AD566" s="120">
        <f t="shared" si="21"/>
      </c>
      <c r="AE566" s="125" t="s">
        <v>121</v>
      </c>
      <c r="AF566" s="126" t="s">
        <v>154</v>
      </c>
      <c r="AG566" s="127">
        <v>11</v>
      </c>
      <c r="AH566" s="128">
        <v>78425</v>
      </c>
      <c r="AI566" s="128">
        <v>2058</v>
      </c>
      <c r="AJ566" s="128">
        <v>2247</v>
      </c>
      <c r="AK566" s="129">
        <v>234</v>
      </c>
      <c r="AL566" s="129">
        <v>255</v>
      </c>
    </row>
    <row r="567">
      <c r="A567" s="108"/>
      <c r="B567" s="109" t="s">
        <v>143</v>
      </c>
      <c r="C567" s="141" t="s">
        <v>146</v>
      </c>
      <c r="D567" s="143">
        <f t="shared" si="378"/>
      </c>
      <c r="E567" s="169">
        <v>2483.25</v>
      </c>
      <c r="F567" s="170">
        <v>4773.95</v>
      </c>
      <c r="G567" s="113">
        <v>0</v>
      </c>
      <c r="H567" s="113">
        <v>0</v>
      </c>
      <c r="I567" s="171">
        <f t="shared" si="507"/>
      </c>
      <c r="J567" s="114">
        <v>0</v>
      </c>
      <c r="K567" s="115">
        <f t="shared" si="120"/>
      </c>
      <c r="L567" s="115">
        <f t="shared" si="249"/>
      </c>
      <c r="M567" s="116">
        <f t="shared" si="627"/>
      </c>
      <c r="N567" s="117">
        <f t="shared" si="657"/>
      </c>
      <c r="O567" s="118">
        <f t="shared" si="567"/>
      </c>
      <c r="P567" s="119">
        <f t="shared" si="597"/>
      </c>
      <c r="Q567" s="119">
        <f t="shared" si="777"/>
      </c>
      <c r="R567" s="119">
        <f t="shared" si="807"/>
      </c>
      <c r="S567" s="120">
        <f t="shared" si="687"/>
      </c>
      <c r="T567" s="121">
        <f t="shared" si="717"/>
      </c>
      <c r="U567" s="119">
        <f t="shared" si="996"/>
      </c>
      <c r="V567" s="122">
        <f t="shared" si="747"/>
      </c>
      <c r="W567" s="122">
        <f t="shared" si="1026"/>
      </c>
      <c r="X567" s="119">
        <f t="shared" si="837"/>
      </c>
      <c r="Y567" s="172">
        <f t="shared" si="936"/>
      </c>
      <c r="Z567" s="172">
        <v>6</v>
      </c>
      <c r="AA567" s="172">
        <v>4</v>
      </c>
      <c r="AB567" s="173">
        <v>3493.8000000000175</v>
      </c>
      <c r="AC567" s="173">
        <v>679</v>
      </c>
      <c r="AD567" s="120">
        <f t="shared" si="21"/>
      </c>
      <c r="AE567" s="125" t="s">
        <v>121</v>
      </c>
      <c r="AF567" s="126" t="s">
        <v>154</v>
      </c>
      <c r="AG567" s="129">
        <v>4</v>
      </c>
      <c r="AH567" s="128">
        <v>75072</v>
      </c>
      <c r="AI567" s="128">
        <v>2204</v>
      </c>
      <c r="AJ567" s="128">
        <v>2373</v>
      </c>
      <c r="AK567" s="129">
        <v>189</v>
      </c>
      <c r="AL567" s="129">
        <v>208</v>
      </c>
    </row>
    <row r="568">
      <c r="A568" s="108"/>
      <c r="B568" s="109" t="s">
        <v>143</v>
      </c>
      <c r="C568" s="110" t="s">
        <v>147</v>
      </c>
      <c r="D568" s="143">
        <f t="shared" si="378"/>
      </c>
      <c r="E568" s="147">
        <v>1908.68</v>
      </c>
      <c r="F568" s="145">
        <v>5101.65</v>
      </c>
      <c r="G568" s="113">
        <v>0</v>
      </c>
      <c r="H568" s="113">
        <v>0</v>
      </c>
      <c r="I568" s="113">
        <f t="shared" si="507"/>
      </c>
      <c r="J568" s="114">
        <v>0</v>
      </c>
      <c r="K568" s="115">
        <f t="shared" si="120"/>
      </c>
      <c r="L568" s="115">
        <f t="shared" si="249"/>
      </c>
      <c r="M568" s="116">
        <f t="shared" si="627"/>
      </c>
      <c r="N568" s="117">
        <f t="shared" si="657"/>
      </c>
      <c r="O568" s="118">
        <f t="shared" si="567"/>
      </c>
      <c r="P568" s="119">
        <f t="shared" si="597"/>
      </c>
      <c r="Q568" s="119">
        <f t="shared" si="777"/>
      </c>
      <c r="R568" s="119">
        <f t="shared" si="807"/>
      </c>
      <c r="S568" s="120">
        <f t="shared" si="687"/>
      </c>
      <c r="T568" s="121">
        <f t="shared" si="717"/>
      </c>
      <c r="U568" s="119">
        <f t="shared" si="996"/>
      </c>
      <c r="V568" s="122">
        <f t="shared" si="747"/>
      </c>
      <c r="W568" s="122">
        <f t="shared" si="1026"/>
      </c>
      <c r="X568" s="119">
        <f t="shared" si="837"/>
      </c>
      <c r="Y568" s="123">
        <f t="shared" si="936"/>
      </c>
      <c r="Z568" s="123">
        <v>3</v>
      </c>
      <c r="AA568" s="123">
        <v>6</v>
      </c>
      <c r="AB568" s="124">
        <v>7003.8</v>
      </c>
      <c r="AC568" s="124">
        <v>0</v>
      </c>
      <c r="AD568" s="120">
        <f t="shared" si="21"/>
      </c>
      <c r="AE568" s="125" t="s">
        <v>121</v>
      </c>
      <c r="AF568" s="126" t="s">
        <v>154</v>
      </c>
      <c r="AG568" s="127">
        <v>5</v>
      </c>
      <c r="AH568" s="128">
        <v>102337</v>
      </c>
      <c r="AI568" s="128">
        <v>2763</v>
      </c>
      <c r="AJ568" s="128">
        <v>3081</v>
      </c>
      <c r="AK568" s="129">
        <v>258</v>
      </c>
      <c r="AL568" s="129">
        <v>253</v>
      </c>
    </row>
    <row r="569">
      <c r="A569" s="108"/>
      <c r="B569" s="109" t="s">
        <v>143</v>
      </c>
      <c r="C569" s="110" t="s">
        <v>148</v>
      </c>
      <c r="D569" s="143">
        <f t="shared" si="378"/>
      </c>
      <c r="E569" s="147">
        <v>801.72</v>
      </c>
      <c r="F569" s="145">
        <v>1579.42</v>
      </c>
      <c r="G569" s="113">
        <v>0</v>
      </c>
      <c r="H569" s="113">
        <v>0</v>
      </c>
      <c r="I569" s="113">
        <f t="shared" si="507"/>
      </c>
      <c r="J569" s="114">
        <v>2703.24</v>
      </c>
      <c r="K569" s="115">
        <f t="shared" si="120"/>
      </c>
      <c r="L569" s="115">
        <f t="shared" si="249"/>
      </c>
      <c r="M569" s="116">
        <f t="shared" si="627"/>
      </c>
      <c r="N569" s="117">
        <f t="shared" si="657"/>
      </c>
      <c r="O569" s="118">
        <f t="shared" si="567"/>
      </c>
      <c r="P569" s="119">
        <f t="shared" si="597"/>
      </c>
      <c r="Q569" s="119">
        <f t="shared" si="777"/>
      </c>
      <c r="R569" s="119">
        <f t="shared" si="807"/>
      </c>
      <c r="S569" s="120">
        <f t="shared" si="687"/>
      </c>
      <c r="T569" s="121">
        <f t="shared" si="717"/>
      </c>
      <c r="U569" s="119">
        <f t="shared" si="996"/>
      </c>
      <c r="V569" s="122">
        <f t="shared" si="747"/>
      </c>
      <c r="W569" s="122">
        <f t="shared" si="1026"/>
      </c>
      <c r="X569" s="119">
        <f t="shared" si="837"/>
      </c>
      <c r="Y569" s="123">
        <f t="shared" si="936"/>
      </c>
      <c r="Z569" s="123">
        <v>0</v>
      </c>
      <c r="AA569" s="123">
        <v>10</v>
      </c>
      <c r="AB569" s="124">
        <v>21039.36</v>
      </c>
      <c r="AC569" s="124">
        <v>0</v>
      </c>
      <c r="AD569" s="120">
        <f t="shared" si="21"/>
      </c>
      <c r="AE569" s="125" t="s">
        <v>121</v>
      </c>
      <c r="AF569" s="126" t="s">
        <v>154</v>
      </c>
      <c r="AG569" s="127">
        <v>8</v>
      </c>
      <c r="AH569" s="128">
        <v>23971</v>
      </c>
      <c r="AI569" s="128">
        <v>960</v>
      </c>
      <c r="AJ569" s="128">
        <v>1132</v>
      </c>
      <c r="AK569" s="129">
        <v>134</v>
      </c>
      <c r="AL569" s="129">
        <v>102</v>
      </c>
    </row>
    <row r="570">
      <c r="A570" s="108"/>
      <c r="B570" s="130" t="s">
        <v>127</v>
      </c>
      <c r="C570" s="131">
        <v>5</v>
      </c>
      <c r="D570" s="132">
        <f>SUM(D565:D569)</f>
      </c>
      <c r="E570" s="132">
        <f>SUM(E565:E569)</f>
      </c>
      <c r="F570" s="132">
        <f>SUM(F565:F569)</f>
      </c>
      <c r="G570" s="132">
        <f>SUM(G565:G569)</f>
      </c>
      <c r="H570" s="132">
        <f>SUM(H565:H569)</f>
      </c>
      <c r="I570" s="132">
        <f>SUM(I565:I569)</f>
      </c>
      <c r="J570" s="132">
        <f>SUM(J565:J569)</f>
      </c>
      <c r="K570" s="132">
        <f>SUM(K565:K569)</f>
      </c>
      <c r="L570" s="132">
        <f>SUM(L565:L569)</f>
      </c>
      <c r="M570" s="133">
        <f t="shared" si="627"/>
      </c>
      <c r="N570" s="134">
        <f t="shared" si="657"/>
      </c>
      <c r="O570" s="134">
        <f t="shared" si="567"/>
      </c>
      <c r="P570" s="135">
        <f t="shared" si="597"/>
      </c>
      <c r="Q570" s="135">
        <f t="shared" si="777"/>
      </c>
      <c r="R570" s="135">
        <f t="shared" si="807"/>
      </c>
      <c r="S570" s="136">
        <f t="shared" si="687"/>
      </c>
      <c r="T570" s="136">
        <f t="shared" si="717"/>
      </c>
      <c r="U570" s="135">
        <f t="shared" si="996"/>
      </c>
      <c r="V570" s="136">
        <f t="shared" si="747"/>
      </c>
      <c r="W570" s="136">
        <f t="shared" si="1026"/>
      </c>
      <c r="X570" s="135">
        <f t="shared" si="837"/>
      </c>
      <c r="Y570" s="132">
        <f>SUM(Y565:Y569)</f>
      </c>
      <c r="Z570" s="132">
        <f>SUM(Z565:Z569)</f>
      </c>
      <c r="AA570" s="132">
        <f>SUM(AA565:AA569)</f>
      </c>
      <c r="AB570" s="132">
        <f>SUM(AB565:AB569)</f>
      </c>
      <c r="AC570" s="132">
        <f>SUM(AC565:AC569)</f>
      </c>
      <c r="AD570" s="150">
        <f t="shared" si="21"/>
      </c>
      <c r="AE570" s="151"/>
      <c r="AF570" s="139"/>
      <c r="AG570" s="132">
        <f>SUM(AG565:AG569)</f>
      </c>
      <c r="AH570" s="132">
        <f>SUM(AH565:AH569)</f>
      </c>
      <c r="AI570" s="132">
        <f>SUM(AI565:AI569)</f>
      </c>
      <c r="AJ570" s="132">
        <f>SUM(AJ565:AJ569)</f>
      </c>
      <c r="AK570" s="132">
        <f>SUM(AK565:AK569)</f>
      </c>
      <c r="AL570" s="132">
        <f>SUM(AL565:AL569)</f>
      </c>
    </row>
    <row r="571">
      <c r="A571" s="108"/>
      <c r="B571" s="152" t="s">
        <v>127</v>
      </c>
      <c r="C571" s="153">
        <f>C552+C558+C564+C570</f>
      </c>
      <c r="D571" s="167">
        <f>D552+D558+D564+D570</f>
      </c>
      <c r="E571" s="153">
        <f>E552+E558+E564+E570</f>
      </c>
      <c r="F571" s="153">
        <f>F552+F558+F564+F570</f>
      </c>
      <c r="G571" s="153">
        <f>G552+G558+G564+G570</f>
      </c>
      <c r="H571" s="153">
        <f>H552+H558+H564+H570</f>
      </c>
      <c r="I571" s="167">
        <f>I552+I558+I564+I570</f>
      </c>
      <c r="J571" s="153">
        <f>J552+J558+J564+J570</f>
      </c>
      <c r="K571" s="153">
        <f>K552+K558+K564+K570</f>
      </c>
      <c r="L571" s="153">
        <f>L552+L558+L564+L570</f>
      </c>
      <c r="M571" s="154">
        <f t="shared" si="627"/>
      </c>
      <c r="N571" s="154">
        <f t="shared" si="657"/>
      </c>
      <c r="O571" s="154">
        <f t="shared" si="567"/>
      </c>
      <c r="P571" s="154">
        <f t="shared" si="597"/>
      </c>
      <c r="Q571" s="154">
        <f t="shared" si="777"/>
      </c>
      <c r="R571" s="154">
        <f t="shared" si="807"/>
      </c>
      <c r="S571" s="155">
        <f t="shared" si="687"/>
      </c>
      <c r="T571" s="155">
        <f t="shared" si="717"/>
      </c>
      <c r="U571" s="154">
        <f t="shared" si="996"/>
      </c>
      <c r="V571" s="155">
        <f t="shared" si="747"/>
      </c>
      <c r="W571" s="155">
        <f t="shared" si="1026"/>
      </c>
      <c r="X571" s="154">
        <f t="shared" si="837"/>
      </c>
      <c r="Y571" s="156">
        <f>Y552+Y558+Y564+Y570</f>
      </c>
      <c r="Z571" s="156">
        <f>Z552+Z558+Z564+Z570</f>
      </c>
      <c r="AA571" s="156">
        <f>AA552+AA558+AA564+AA570</f>
      </c>
      <c r="AB571" s="156">
        <f>AB552+AB558+AB564+AB570</f>
      </c>
      <c r="AC571" s="156">
        <f>AC552+AC558+AC564+AC570</f>
      </c>
      <c r="AD571" s="157">
        <f>AD552+AD558+AD564+AD570</f>
      </c>
      <c r="AE571" s="158"/>
      <c r="AF571" s="159"/>
      <c r="AG571" s="153">
        <f>AG552+AG558+AG564+AG570</f>
      </c>
      <c r="AH571" s="153">
        <f>AH552+AH558+AH564+AH570</f>
      </c>
      <c r="AI571" s="153">
        <f>AI552+AI558+AI564+AI570</f>
      </c>
      <c r="AJ571" s="153">
        <f>AJ552+AJ558+AJ564+AJ570</f>
      </c>
      <c r="AK571" s="153">
        <f>AK552+AK558+AK564+AK570</f>
      </c>
      <c r="AL571" s="153">
        <f>AL552+AL558+AL564+AL570</f>
      </c>
    </row>
    <row customHeight="true" ht="20.238095238095237" r="572">
      <c r="A572" s="94" t="s">
        <v>81</v>
      </c>
      <c r="B572" s="95" t="s">
        <v>82</v>
      </c>
      <c r="C572" s="95" t="s">
        <v>83</v>
      </c>
      <c r="D572" s="96" t="s">
        <v>84</v>
      </c>
      <c r="E572" s="164" t="s">
        <v>85</v>
      </c>
      <c r="F572" s="95" t="s">
        <v>86</v>
      </c>
      <c r="G572" s="97" t="s">
        <v>87</v>
      </c>
      <c r="H572" s="97" t="s">
        <v>88</v>
      </c>
      <c r="I572" s="96" t="s">
        <v>89</v>
      </c>
      <c r="J572" s="98" t="s">
        <v>90</v>
      </c>
      <c r="K572" s="99" t="s">
        <v>91</v>
      </c>
      <c r="L572" s="99" t="s">
        <v>92</v>
      </c>
      <c r="M572" s="100" t="s">
        <v>93</v>
      </c>
      <c r="N572" s="99" t="s">
        <v>94</v>
      </c>
      <c r="O572" s="95" t="s">
        <v>95</v>
      </c>
      <c r="P572" s="100" t="s">
        <v>96</v>
      </c>
      <c r="Q572" s="101" t="s">
        <v>97</v>
      </c>
      <c r="R572" s="101" t="s">
        <v>98</v>
      </c>
      <c r="S572" s="96" t="s">
        <v>99</v>
      </c>
      <c r="T572" s="102" t="s">
        <v>100</v>
      </c>
      <c r="U572" s="100" t="s">
        <v>101</v>
      </c>
      <c r="V572" s="103" t="s">
        <v>102</v>
      </c>
      <c r="W572" s="104" t="s">
        <v>103</v>
      </c>
      <c r="X572" s="100" t="s">
        <v>104</v>
      </c>
      <c r="Y572" s="105" t="s">
        <v>105</v>
      </c>
      <c r="Z572" s="106" t="s">
        <v>106</v>
      </c>
      <c r="AA572" s="105" t="s">
        <v>107</v>
      </c>
      <c r="AB572" s="107" t="s">
        <v>108</v>
      </c>
      <c r="AC572" s="107" t="s">
        <v>109</v>
      </c>
      <c r="AD572" s="99" t="s">
        <v>110</v>
      </c>
      <c r="AE572" s="98" t="s">
        <v>111</v>
      </c>
      <c r="AF572" s="99" t="s">
        <v>112</v>
      </c>
      <c r="AG572" s="98" t="s">
        <v>113</v>
      </c>
      <c r="AH572" s="98" t="s">
        <v>114</v>
      </c>
      <c r="AI572" s="99" t="s">
        <v>115</v>
      </c>
      <c r="AJ572" s="98" t="s">
        <v>116</v>
      </c>
      <c r="AK572" s="99" t="s">
        <v>117</v>
      </c>
      <c r="AL572" s="98" t="s">
        <v>118</v>
      </c>
      <c r="AM572" s="182"/>
      <c r="AN572" s="182"/>
    </row>
    <row r="573">
      <c r="A573" s="108">
        <v>46288</v>
      </c>
      <c r="B573" s="109" t="s">
        <v>119</v>
      </c>
      <c r="C573" s="110" t="s">
        <v>120</v>
      </c>
      <c r="D573" s="143">
        <f t="shared" ref="D573:D577" si="379">E573+F573+G573+H573</f>
      </c>
      <c r="E573" s="144">
        <v>2365.83</v>
      </c>
      <c r="F573" s="146">
        <v>7465.63</v>
      </c>
      <c r="G573" s="113">
        <v>0</v>
      </c>
      <c r="H573" s="113">
        <v>0</v>
      </c>
      <c r="I573" s="113">
        <f t="shared" ref="I573:I577" si="508">AB573+AC573</f>
      </c>
      <c r="J573" s="114">
        <f>1474+2514.24+465.48</f>
      </c>
      <c r="K573" s="115">
        <f t="shared" ref="K573:K577" si="121">I573-J573</f>
      </c>
      <c r="L573" s="115">
        <f t="shared" ref="L573:L577" si="250">(I573-AC573)/12+AC573</f>
      </c>
      <c r="M573" s="116">
        <f t="shared" ref="M573:M597" si="628">I573/D573</f>
      </c>
      <c r="N573" s="117">
        <f t="shared" ref="N573:N597" si="658">(I573-J573)/D573</f>
      </c>
      <c r="O573" s="118">
        <f t="shared" ref="O573:O597" si="568">(AC573+AB573/12)/D573</f>
      </c>
      <c r="P573" s="119">
        <f t="shared" ref="P573:P597" si="598">I573/AA573</f>
      </c>
      <c r="Q573" s="119">
        <f t="shared" ref="Q573:Q597" si="778">D573/AA573</f>
      </c>
      <c r="R573" s="119">
        <f t="shared" ref="R573:R597" si="808">D573/AG573</f>
      </c>
      <c r="S573" s="120">
        <f t="shared" ref="S573:S597" si="688">AA573/Y573</f>
      </c>
      <c r="T573" s="121">
        <f t="shared" ref="T573:T597" si="718">AI573/AH573</f>
      </c>
      <c r="U573" s="119">
        <f t="shared" ref="U573:U597" si="997">D573/AJ573</f>
      </c>
      <c r="V573" s="122">
        <f t="shared" ref="V573:V597" si="748">AK573/AJ573</f>
      </c>
      <c r="W573" s="122">
        <f t="shared" ref="W573:W597" si="1027">AL573/AJ573</f>
      </c>
      <c r="X573" s="119">
        <f t="shared" ref="X573:X597" si="838">D573/AL573</f>
      </c>
      <c r="Y573" s="123">
        <f t="shared" ref="Y573:Y577" si="937">Z573+AA573</f>
      </c>
      <c r="Z573" s="123">
        <v>6</v>
      </c>
      <c r="AA573" s="123">
        <v>7</v>
      </c>
      <c r="AB573" s="124">
        <v>8870.039999999997</v>
      </c>
      <c r="AC573" s="124">
        <v>1474</v>
      </c>
      <c r="AD573" s="120">
        <f t="shared" ref="AD573:AD596" si="22">AC573/I573</f>
      </c>
      <c r="AE573" s="125" t="s">
        <v>121</v>
      </c>
      <c r="AF573" s="126" t="s">
        <v>122</v>
      </c>
      <c r="AG573" s="127">
        <v>7</v>
      </c>
      <c r="AH573" s="127">
        <v>95593</v>
      </c>
      <c r="AI573" s="128">
        <v>3087</v>
      </c>
      <c r="AJ573" s="128">
        <v>3560</v>
      </c>
      <c r="AK573" s="127">
        <v>340</v>
      </c>
      <c r="AL573" s="129">
        <v>319</v>
      </c>
    </row>
    <row r="574">
      <c r="A574" s="108"/>
      <c r="B574" s="109" t="s">
        <v>119</v>
      </c>
      <c r="C574" s="110" t="s">
        <v>123</v>
      </c>
      <c r="D574" s="143">
        <f t="shared" si="379"/>
      </c>
      <c r="E574" s="147">
        <v>3282.85</v>
      </c>
      <c r="F574" s="146">
        <v>9693.71</v>
      </c>
      <c r="G574" s="113">
        <v>0</v>
      </c>
      <c r="H574" s="113">
        <v>0</v>
      </c>
      <c r="I574" s="113">
        <f t="shared" si="508"/>
      </c>
      <c r="J574" s="114">
        <f>1253.88+2748.6+630.72</f>
      </c>
      <c r="K574" s="115">
        <f t="shared" si="121"/>
      </c>
      <c r="L574" s="115">
        <f t="shared" si="250"/>
      </c>
      <c r="M574" s="116">
        <f t="shared" si="628"/>
      </c>
      <c r="N574" s="117">
        <f t="shared" si="658"/>
      </c>
      <c r="O574" s="118">
        <f t="shared" si="568"/>
      </c>
      <c r="P574" s="119">
        <f t="shared" si="598"/>
      </c>
      <c r="Q574" s="119">
        <f t="shared" si="778"/>
      </c>
      <c r="R574" s="119">
        <f t="shared" si="808"/>
      </c>
      <c r="S574" s="120">
        <f t="shared" si="688"/>
      </c>
      <c r="T574" s="121">
        <f t="shared" si="718"/>
      </c>
      <c r="U574" s="119">
        <f t="shared" si="997"/>
      </c>
      <c r="V574" s="122">
        <f t="shared" si="748"/>
      </c>
      <c r="W574" s="122">
        <f t="shared" si="1027"/>
      </c>
      <c r="X574" s="119">
        <f t="shared" si="838"/>
      </c>
      <c r="Y574" s="123">
        <f t="shared" si="937"/>
      </c>
      <c r="Z574" s="123">
        <v>6</v>
      </c>
      <c r="AA574" s="123">
        <v>11</v>
      </c>
      <c r="AB574" s="124">
        <v>12698.64</v>
      </c>
      <c r="AC574" s="124">
        <v>3976</v>
      </c>
      <c r="AD574" s="120">
        <f t="shared" si="22"/>
      </c>
      <c r="AE574" s="125" t="s">
        <v>121</v>
      </c>
      <c r="AF574" s="126" t="s">
        <v>122</v>
      </c>
      <c r="AG574" s="127">
        <v>11</v>
      </c>
      <c r="AH574" s="128">
        <v>143075</v>
      </c>
      <c r="AI574" s="128">
        <v>3167</v>
      </c>
      <c r="AJ574" s="128">
        <v>3604</v>
      </c>
      <c r="AK574" s="129">
        <v>351</v>
      </c>
      <c r="AL574" s="129">
        <v>363</v>
      </c>
    </row>
    <row r="575">
      <c r="A575" s="108"/>
      <c r="B575" s="109" t="s">
        <v>119</v>
      </c>
      <c r="C575" s="110" t="s">
        <v>124</v>
      </c>
      <c r="D575" s="111">
        <f t="shared" si="379"/>
      </c>
      <c r="E575" s="165">
        <v>640.12</v>
      </c>
      <c r="F575" s="110">
        <v>19316.64</v>
      </c>
      <c r="G575" s="113">
        <v>0</v>
      </c>
      <c r="H575" s="113">
        <v>0</v>
      </c>
      <c r="I575" s="113">
        <f t="shared" si="508"/>
      </c>
      <c r="J575" s="114">
        <v>0</v>
      </c>
      <c r="K575" s="115">
        <f t="shared" si="121"/>
      </c>
      <c r="L575" s="115">
        <f t="shared" si="250"/>
      </c>
      <c r="M575" s="116">
        <f t="shared" si="628"/>
      </c>
      <c r="N575" s="117">
        <f t="shared" si="658"/>
      </c>
      <c r="O575" s="118">
        <f t="shared" si="568"/>
      </c>
      <c r="P575" s="119">
        <f t="shared" si="598"/>
      </c>
      <c r="Q575" s="119">
        <f t="shared" si="778"/>
      </c>
      <c r="R575" s="119">
        <f t="shared" si="808"/>
      </c>
      <c r="S575" s="120">
        <f t="shared" si="688"/>
      </c>
      <c r="T575" s="121">
        <f t="shared" si="718"/>
      </c>
      <c r="U575" s="119">
        <f t="shared" si="997"/>
      </c>
      <c r="V575" s="122">
        <f t="shared" si="748"/>
      </c>
      <c r="W575" s="122">
        <f t="shared" si="1027"/>
      </c>
      <c r="X575" s="119">
        <f t="shared" si="838"/>
      </c>
      <c r="Y575" s="123">
        <f t="shared" si="937"/>
      </c>
      <c r="Z575" s="123">
        <v>2</v>
      </c>
      <c r="AA575" s="123">
        <v>2</v>
      </c>
      <c r="AB575" s="124">
        <v>1622.1600000000035</v>
      </c>
      <c r="AC575" s="124">
        <v>1116</v>
      </c>
      <c r="AD575" s="120">
        <f t="shared" si="22"/>
      </c>
      <c r="AE575" s="125" t="s">
        <v>121</v>
      </c>
      <c r="AF575" s="126" t="s">
        <v>122</v>
      </c>
      <c r="AG575" s="127">
        <v>2</v>
      </c>
      <c r="AH575" s="128">
        <v>34666</v>
      </c>
      <c r="AI575" s="128">
        <v>646</v>
      </c>
      <c r="AJ575" s="128">
        <v>817</v>
      </c>
      <c r="AK575" s="129">
        <v>114</v>
      </c>
      <c r="AL575" s="129">
        <v>90</v>
      </c>
    </row>
    <row r="576">
      <c r="A576" s="108"/>
      <c r="B576" s="109" t="s">
        <v>119</v>
      </c>
      <c r="C576" s="110" t="s">
        <v>125</v>
      </c>
      <c r="D576" s="111">
        <f t="shared" si="379"/>
      </c>
      <c r="E576" s="175">
        <v>1481.39</v>
      </c>
      <c r="F576" s="113">
        <v>5980.51</v>
      </c>
      <c r="G576" s="113">
        <v>0</v>
      </c>
      <c r="H576" s="113">
        <v>0</v>
      </c>
      <c r="I576" s="113">
        <f t="shared" si="508"/>
      </c>
      <c r="J576" s="114">
        <f>3048.84+3532.68</f>
      </c>
      <c r="K576" s="115">
        <f t="shared" si="121"/>
      </c>
      <c r="L576" s="115">
        <f t="shared" si="250"/>
      </c>
      <c r="M576" s="116">
        <f t="shared" si="628"/>
      </c>
      <c r="N576" s="117">
        <f t="shared" si="658"/>
      </c>
      <c r="O576" s="118">
        <f t="shared" si="568"/>
      </c>
      <c r="P576" s="119">
        <f t="shared" si="598"/>
      </c>
      <c r="Q576" s="119">
        <f t="shared" si="778"/>
      </c>
      <c r="R576" s="119">
        <f t="shared" si="808"/>
      </c>
      <c r="S576" s="120">
        <f t="shared" si="688"/>
      </c>
      <c r="T576" s="121">
        <f t="shared" si="718"/>
      </c>
      <c r="U576" s="119">
        <f t="shared" si="997"/>
      </c>
      <c r="V576" s="122">
        <f t="shared" si="748"/>
      </c>
      <c r="W576" s="122">
        <f t="shared" si="1027"/>
      </c>
      <c r="X576" s="119">
        <f t="shared" si="838"/>
      </c>
      <c r="Y576" s="123">
        <f t="shared" si="937"/>
      </c>
      <c r="Z576" s="123">
        <v>6</v>
      </c>
      <c r="AA576" s="123">
        <v>7</v>
      </c>
      <c r="AB576" s="124">
        <v>12952.439999999999</v>
      </c>
      <c r="AC576" s="124">
        <v>0</v>
      </c>
      <c r="AD576" s="120">
        <f t="shared" si="22"/>
      </c>
      <c r="AE576" s="125" t="s">
        <v>121</v>
      </c>
      <c r="AF576" s="126" t="s">
        <v>122</v>
      </c>
      <c r="AG576" s="127">
        <v>4</v>
      </c>
      <c r="AH576" s="128">
        <v>56238</v>
      </c>
      <c r="AI576" s="128">
        <v>1150</v>
      </c>
      <c r="AJ576" s="128">
        <v>1370</v>
      </c>
      <c r="AK576" s="129">
        <v>205</v>
      </c>
      <c r="AL576" s="129">
        <v>198</v>
      </c>
    </row>
    <row r="577">
      <c r="A577" s="108"/>
      <c r="B577" s="109" t="s">
        <v>119</v>
      </c>
      <c r="C577" s="110" t="s">
        <v>126</v>
      </c>
      <c r="D577" s="143">
        <f t="shared" si="379"/>
      </c>
      <c r="E577" s="144">
        <v>944.62</v>
      </c>
      <c r="F577" s="146">
        <v>6872.84</v>
      </c>
      <c r="G577" s="113">
        <v>0</v>
      </c>
      <c r="H577" s="113">
        <v>0</v>
      </c>
      <c r="I577" s="113">
        <f t="shared" si="508"/>
      </c>
      <c r="J577" s="114">
        <f>453.6+937.08+642.24</f>
      </c>
      <c r="K577" s="115">
        <f t="shared" si="121"/>
      </c>
      <c r="L577" s="115">
        <f t="shared" si="250"/>
      </c>
      <c r="M577" s="116">
        <f t="shared" si="628"/>
      </c>
      <c r="N577" s="117">
        <f t="shared" si="658"/>
      </c>
      <c r="O577" s="118">
        <f t="shared" si="568"/>
      </c>
      <c r="P577" s="119">
        <f t="shared" si="598"/>
      </c>
      <c r="Q577" s="119">
        <f t="shared" si="778"/>
      </c>
      <c r="R577" s="119">
        <f t="shared" si="808"/>
      </c>
      <c r="S577" s="120">
        <f t="shared" si="688"/>
      </c>
      <c r="T577" s="121">
        <f t="shared" si="718"/>
      </c>
      <c r="U577" s="119">
        <f t="shared" si="997"/>
      </c>
      <c r="V577" s="122">
        <f t="shared" si="748"/>
      </c>
      <c r="W577" s="122">
        <f t="shared" si="1027"/>
      </c>
      <c r="X577" s="119">
        <f t="shared" si="838"/>
      </c>
      <c r="Y577" s="123">
        <f t="shared" si="937"/>
      </c>
      <c r="Z577" s="123">
        <v>6</v>
      </c>
      <c r="AA577" s="123">
        <v>11</v>
      </c>
      <c r="AB577" s="124">
        <f>13763.88+864</f>
      </c>
      <c r="AC577" s="124">
        <v>1474</v>
      </c>
      <c r="AD577" s="120">
        <f t="shared" si="22"/>
      </c>
      <c r="AE577" s="125" t="s">
        <v>121</v>
      </c>
      <c r="AF577" s="126" t="s">
        <v>122</v>
      </c>
      <c r="AG577" s="127">
        <v>9</v>
      </c>
      <c r="AH577" s="128">
        <v>58006</v>
      </c>
      <c r="AI577" s="128">
        <v>975</v>
      </c>
      <c r="AJ577" s="128">
        <v>1144</v>
      </c>
      <c r="AK577" s="127">
        <v>188</v>
      </c>
      <c r="AL577" s="127">
        <v>184</v>
      </c>
    </row>
    <row r="578">
      <c r="A578" s="108"/>
      <c r="B578" s="130" t="s">
        <v>127</v>
      </c>
      <c r="C578" s="131">
        <v>5</v>
      </c>
      <c r="D578" s="132">
        <f>SUM(D573:D577)</f>
      </c>
      <c r="E578" s="148">
        <f>SUM(E573:E577)</f>
      </c>
      <c r="F578" s="132">
        <f>SUM(F573:F577)</f>
      </c>
      <c r="G578" s="132">
        <f>SUM(G573:G577)</f>
      </c>
      <c r="H578" s="132">
        <f>SUM(H573:H577)</f>
      </c>
      <c r="I578" s="132">
        <f>SUM(I573:I577)</f>
      </c>
      <c r="J578" s="132">
        <f>SUM(J573:J577)</f>
      </c>
      <c r="K578" s="132">
        <f>SUM(K573:K577)</f>
      </c>
      <c r="L578" s="132">
        <f>SUM(L573:L577)</f>
      </c>
      <c r="M578" s="133">
        <f t="shared" si="628"/>
      </c>
      <c r="N578" s="134">
        <f t="shared" si="658"/>
      </c>
      <c r="O578" s="134">
        <f t="shared" si="568"/>
      </c>
      <c r="P578" s="135">
        <f t="shared" si="598"/>
      </c>
      <c r="Q578" s="135">
        <f t="shared" si="778"/>
      </c>
      <c r="R578" s="135">
        <f t="shared" si="808"/>
      </c>
      <c r="S578" s="136">
        <f t="shared" si="688"/>
      </c>
      <c r="T578" s="136">
        <f t="shared" si="718"/>
      </c>
      <c r="U578" s="135">
        <f t="shared" si="997"/>
      </c>
      <c r="V578" s="136">
        <f t="shared" si="748"/>
      </c>
      <c r="W578" s="136">
        <f t="shared" si="1027"/>
      </c>
      <c r="X578" s="135">
        <f t="shared" si="838"/>
      </c>
      <c r="Y578" s="132">
        <f>SUM(Y573:Y577)</f>
      </c>
      <c r="Z578" s="132">
        <f>SUM(Z573:Z577)</f>
      </c>
      <c r="AA578" s="132">
        <f>SUM(AA573:AA577)</f>
      </c>
      <c r="AB578" s="132">
        <f>SUM(AB573:AB577)</f>
      </c>
      <c r="AC578" s="132">
        <f>SUM(AC573:AC577)</f>
      </c>
      <c r="AD578" s="137">
        <f t="shared" si="22"/>
      </c>
      <c r="AE578" s="138"/>
      <c r="AF578" s="139"/>
      <c r="AG578" s="132">
        <f>SUM(AG573:AG577)</f>
      </c>
      <c r="AH578" s="132">
        <f>SUM(AH573:AH577)</f>
      </c>
      <c r="AI578" s="132">
        <f>SUM(AI573:AI577)</f>
      </c>
      <c r="AJ578" s="132">
        <f>SUM(AJ573:AJ577)</f>
      </c>
      <c r="AK578" s="132">
        <f>SUM(AK573:AK577)</f>
      </c>
      <c r="AL578" s="132">
        <f>SUM(AL573:AL577)</f>
      </c>
    </row>
    <row r="579">
      <c r="A579" s="108"/>
      <c r="B579" s="109" t="s">
        <v>128</v>
      </c>
      <c r="C579" s="110" t="s">
        <v>129</v>
      </c>
      <c r="D579" s="111">
        <f t="shared" ref="D579:D583" si="380">E579+F579+G579+H579</f>
      </c>
      <c r="E579" s="112">
        <v>1018.72</v>
      </c>
      <c r="F579" s="176">
        <v>4617.48</v>
      </c>
      <c r="G579" s="113">
        <v>0</v>
      </c>
      <c r="H579" s="113">
        <v>0</v>
      </c>
      <c r="I579" s="113">
        <f t="shared" ref="I579:I583" si="509">AB579+AC579</f>
      </c>
      <c r="J579" s="114">
        <v>5338.44</v>
      </c>
      <c r="K579" s="115">
        <f t="shared" ref="K579:K583" si="122">I579-J579</f>
      </c>
      <c r="L579" s="115">
        <f t="shared" ref="L579:L583" si="251">(I579-AC579)/12+AC579</f>
      </c>
      <c r="M579" s="116">
        <f t="shared" si="628"/>
      </c>
      <c r="N579" s="117">
        <f t="shared" si="658"/>
      </c>
      <c r="O579" s="118">
        <f t="shared" si="568"/>
      </c>
      <c r="P579" s="119">
        <f t="shared" si="598"/>
      </c>
      <c r="Q579" s="119">
        <f t="shared" si="778"/>
      </c>
      <c r="R579" s="119">
        <f t="shared" si="808"/>
      </c>
      <c r="S579" s="120">
        <f t="shared" si="688"/>
      </c>
      <c r="T579" s="121">
        <f t="shared" si="718"/>
      </c>
      <c r="U579" s="119">
        <f t="shared" si="997"/>
      </c>
      <c r="V579" s="122">
        <f t="shared" si="748"/>
      </c>
      <c r="W579" s="122">
        <f t="shared" si="1027"/>
      </c>
      <c r="X579" s="119">
        <f t="shared" si="838"/>
      </c>
      <c r="Y579" s="123">
        <f t="shared" ref="Y579:Y583" si="938">Z579+AA579</f>
      </c>
      <c r="Z579" s="123">
        <v>3</v>
      </c>
      <c r="AA579" s="123">
        <v>9</v>
      </c>
      <c r="AB579" s="124">
        <v>16916.04</v>
      </c>
      <c r="AC579" s="124">
        <v>0</v>
      </c>
      <c r="AD579" s="120">
        <f t="shared" si="22"/>
      </c>
      <c r="AE579" s="125" t="s">
        <v>121</v>
      </c>
      <c r="AF579" s="126" t="s">
        <v>122</v>
      </c>
      <c r="AG579" s="127">
        <v>8</v>
      </c>
      <c r="AH579" s="128">
        <v>44397</v>
      </c>
      <c r="AI579" s="128">
        <v>955</v>
      </c>
      <c r="AJ579" s="128">
        <v>1185</v>
      </c>
      <c r="AK579" s="127">
        <v>137</v>
      </c>
      <c r="AL579" s="127">
        <v>148</v>
      </c>
    </row>
    <row r="580">
      <c r="A580" s="108"/>
      <c r="B580" s="109" t="s">
        <v>128</v>
      </c>
      <c r="C580" s="110" t="s">
        <v>130</v>
      </c>
      <c r="D580" s="111">
        <f t="shared" si="380"/>
      </c>
      <c r="E580" s="177">
        <v>2215.67</v>
      </c>
      <c r="F580" s="145">
        <v>6578.06</v>
      </c>
      <c r="G580" s="146">
        <v>0</v>
      </c>
      <c r="H580" s="113">
        <v>0</v>
      </c>
      <c r="I580" s="113">
        <f t="shared" si="509"/>
      </c>
      <c r="J580" s="162">
        <v>6069.36</v>
      </c>
      <c r="K580" s="115">
        <f t="shared" si="122"/>
      </c>
      <c r="L580" s="115">
        <f t="shared" si="251"/>
      </c>
      <c r="M580" s="116">
        <f t="shared" si="628"/>
      </c>
      <c r="N580" s="117">
        <f t="shared" si="658"/>
      </c>
      <c r="O580" s="118">
        <f t="shared" si="568"/>
      </c>
      <c r="P580" s="119">
        <f t="shared" si="598"/>
      </c>
      <c r="Q580" s="119">
        <f t="shared" si="778"/>
      </c>
      <c r="R580" s="119">
        <f t="shared" si="808"/>
      </c>
      <c r="S580" s="120">
        <f t="shared" si="688"/>
      </c>
      <c r="T580" s="121">
        <f t="shared" si="718"/>
      </c>
      <c r="U580" s="119">
        <f t="shared" si="997"/>
      </c>
      <c r="V580" s="122">
        <f t="shared" si="748"/>
      </c>
      <c r="W580" s="122">
        <f t="shared" si="1027"/>
      </c>
      <c r="X580" s="119">
        <f t="shared" si="838"/>
      </c>
      <c r="Y580" s="123">
        <f t="shared" si="938"/>
      </c>
      <c r="Z580" s="123">
        <v>2</v>
      </c>
      <c r="AA580" s="123">
        <v>8</v>
      </c>
      <c r="AB580" s="124">
        <v>21711.119999999995</v>
      </c>
      <c r="AC580" s="124">
        <v>0</v>
      </c>
      <c r="AD580" s="120">
        <f t="shared" si="22"/>
      </c>
      <c r="AE580" s="125" t="s">
        <v>121</v>
      </c>
      <c r="AF580" s="126" t="s">
        <v>122</v>
      </c>
      <c r="AG580" s="127">
        <v>7</v>
      </c>
      <c r="AH580" s="128">
        <v>76453</v>
      </c>
      <c r="AI580" s="128">
        <v>1840</v>
      </c>
      <c r="AJ580" s="128">
        <v>2076</v>
      </c>
      <c r="AK580" s="129">
        <v>240</v>
      </c>
      <c r="AL580" s="129">
        <v>222</v>
      </c>
    </row>
    <row r="581">
      <c r="A581" s="108"/>
      <c r="B581" s="109" t="s">
        <v>128</v>
      </c>
      <c r="C581" s="110" t="s">
        <v>131</v>
      </c>
      <c r="D581" s="111">
        <f t="shared" si="380"/>
      </c>
      <c r="E581" s="177">
        <v>2018.18</v>
      </c>
      <c r="F581" s="147">
        <v>9038.23</v>
      </c>
      <c r="G581" s="146">
        <v>0</v>
      </c>
      <c r="H581" s="113">
        <v>0</v>
      </c>
      <c r="I581" s="113">
        <f t="shared" si="509"/>
      </c>
      <c r="J581" s="114">
        <v>15360.6</v>
      </c>
      <c r="K581" s="115">
        <f t="shared" si="122"/>
      </c>
      <c r="L581" s="115">
        <f t="shared" si="251"/>
      </c>
      <c r="M581" s="116">
        <f t="shared" si="628"/>
      </c>
      <c r="N581" s="117">
        <f t="shared" si="658"/>
      </c>
      <c r="O581" s="118">
        <f t="shared" si="568"/>
      </c>
      <c r="P581" s="119">
        <f t="shared" si="598"/>
      </c>
      <c r="Q581" s="119">
        <f t="shared" si="778"/>
      </c>
      <c r="R581" s="119">
        <f t="shared" si="808"/>
      </c>
      <c r="S581" s="120">
        <f t="shared" si="688"/>
      </c>
      <c r="T581" s="121">
        <f t="shared" si="718"/>
      </c>
      <c r="U581" s="119">
        <f t="shared" si="997"/>
      </c>
      <c r="V581" s="122">
        <f t="shared" si="748"/>
      </c>
      <c r="W581" s="122">
        <f t="shared" si="1027"/>
      </c>
      <c r="X581" s="119">
        <f t="shared" si="838"/>
      </c>
      <c r="Y581" s="123">
        <f t="shared" si="938"/>
      </c>
      <c r="Z581" s="123">
        <v>11</v>
      </c>
      <c r="AA581" s="123">
        <v>18</v>
      </c>
      <c r="AB581" s="124">
        <v>27795.720000000016</v>
      </c>
      <c r="AC581" s="124">
        <f>3364+1886</f>
      </c>
      <c r="AD581" s="120">
        <f t="shared" si="22"/>
      </c>
      <c r="AE581" s="125" t="s">
        <v>121</v>
      </c>
      <c r="AF581" s="126" t="s">
        <v>122</v>
      </c>
      <c r="AG581" s="129">
        <v>9</v>
      </c>
      <c r="AH581" s="128">
        <v>104752</v>
      </c>
      <c r="AI581" s="128">
        <v>2195</v>
      </c>
      <c r="AJ581" s="128">
        <v>2451</v>
      </c>
      <c r="AK581" s="129">
        <v>308</v>
      </c>
      <c r="AL581" s="129">
        <v>332</v>
      </c>
    </row>
    <row r="582">
      <c r="A582" s="108"/>
      <c r="B582" s="109" t="s">
        <v>128</v>
      </c>
      <c r="C582" s="110" t="s">
        <v>132</v>
      </c>
      <c r="D582" s="111">
        <f t="shared" si="380"/>
      </c>
      <c r="E582" s="177">
        <v>1785.47</v>
      </c>
      <c r="F582" s="145">
        <v>6674.15</v>
      </c>
      <c r="G582" s="146">
        <v>0</v>
      </c>
      <c r="H582" s="113">
        <v>0</v>
      </c>
      <c r="I582" s="113">
        <f t="shared" si="509"/>
      </c>
      <c r="J582" s="114">
        <v>0</v>
      </c>
      <c r="K582" s="115">
        <f t="shared" si="122"/>
      </c>
      <c r="L582" s="115">
        <f t="shared" si="251"/>
      </c>
      <c r="M582" s="116">
        <f t="shared" si="628"/>
      </c>
      <c r="N582" s="117">
        <f t="shared" si="658"/>
      </c>
      <c r="O582" s="118">
        <f t="shared" si="568"/>
      </c>
      <c r="P582" s="119">
        <f t="shared" si="598"/>
      </c>
      <c r="Q582" s="119">
        <f t="shared" si="778"/>
      </c>
      <c r="R582" s="119">
        <f t="shared" si="808"/>
      </c>
      <c r="S582" s="120">
        <f t="shared" si="688"/>
      </c>
      <c r="T582" s="121">
        <f t="shared" si="718"/>
      </c>
      <c r="U582" s="119">
        <f t="shared" si="997"/>
      </c>
      <c r="V582" s="122">
        <f t="shared" si="748"/>
      </c>
      <c r="W582" s="122">
        <f t="shared" si="1027"/>
      </c>
      <c r="X582" s="119">
        <f t="shared" si="838"/>
      </c>
      <c r="Y582" s="123">
        <f t="shared" si="938"/>
      </c>
      <c r="Z582" s="123">
        <v>2</v>
      </c>
      <c r="AA582" s="123">
        <v>9</v>
      </c>
      <c r="AB582" s="114">
        <v>16364.879999999976</v>
      </c>
      <c r="AC582" s="124">
        <v>3430.4500000000007</v>
      </c>
      <c r="AD582" s="120">
        <f t="shared" si="22"/>
      </c>
      <c r="AE582" s="125" t="s">
        <v>121</v>
      </c>
      <c r="AF582" s="126" t="s">
        <v>122</v>
      </c>
      <c r="AG582" s="127">
        <v>8</v>
      </c>
      <c r="AH582" s="128">
        <v>76741</v>
      </c>
      <c r="AI582" s="128">
        <v>1748</v>
      </c>
      <c r="AJ582" s="128">
        <v>2011</v>
      </c>
      <c r="AK582" s="129">
        <v>282</v>
      </c>
      <c r="AL582" s="129">
        <v>281</v>
      </c>
    </row>
    <row r="583">
      <c r="A583" s="108"/>
      <c r="B583" s="109" t="s">
        <v>128</v>
      </c>
      <c r="C583" s="110" t="s">
        <v>134</v>
      </c>
      <c r="D583" s="111">
        <f t="shared" si="380"/>
      </c>
      <c r="E583" s="177">
        <v>2266.81</v>
      </c>
      <c r="F583" s="145">
        <v>7652.64</v>
      </c>
      <c r="G583" s="146">
        <v>0</v>
      </c>
      <c r="H583" s="113">
        <v>0</v>
      </c>
      <c r="I583" s="113">
        <f t="shared" si="509"/>
      </c>
      <c r="J583" s="114">
        <v>1591.92</v>
      </c>
      <c r="K583" s="115">
        <f t="shared" si="122"/>
      </c>
      <c r="L583" s="115">
        <f t="shared" si="251"/>
      </c>
      <c r="M583" s="116">
        <f t="shared" si="628"/>
      </c>
      <c r="N583" s="117">
        <f t="shared" si="658"/>
      </c>
      <c r="O583" s="118">
        <f t="shared" si="568"/>
      </c>
      <c r="P583" s="119">
        <f t="shared" si="598"/>
      </c>
      <c r="Q583" s="119">
        <f t="shared" si="778"/>
      </c>
      <c r="R583" s="119">
        <f t="shared" si="808"/>
      </c>
      <c r="S583" s="120">
        <f t="shared" si="688"/>
      </c>
      <c r="T583" s="121">
        <f t="shared" si="718"/>
      </c>
      <c r="U583" s="119">
        <f t="shared" si="997"/>
      </c>
      <c r="V583" s="122">
        <f t="shared" si="748"/>
      </c>
      <c r="W583" s="122">
        <f t="shared" si="1027"/>
      </c>
      <c r="X583" s="119">
        <f t="shared" si="838"/>
      </c>
      <c r="Y583" s="123">
        <f t="shared" si="938"/>
      </c>
      <c r="Z583" s="123">
        <v>2</v>
      </c>
      <c r="AA583" s="123">
        <v>5</v>
      </c>
      <c r="AB583" s="124">
        <v>12961.680000000022</v>
      </c>
      <c r="AC583" s="124">
        <v>0</v>
      </c>
      <c r="AD583" s="120">
        <f t="shared" si="22"/>
      </c>
      <c r="AE583" s="125" t="s">
        <v>121</v>
      </c>
      <c r="AF583" s="126" t="s">
        <v>122</v>
      </c>
      <c r="AG583" s="127">
        <v>4</v>
      </c>
      <c r="AH583" s="127">
        <v>79564</v>
      </c>
      <c r="AI583" s="127">
        <v>1575</v>
      </c>
      <c r="AJ583" s="127">
        <v>1755</v>
      </c>
      <c r="AK583" s="127">
        <v>228</v>
      </c>
      <c r="AL583" s="127">
        <v>253</v>
      </c>
    </row>
    <row r="584">
      <c r="A584" s="108"/>
      <c r="B584" s="130" t="s">
        <v>127</v>
      </c>
      <c r="C584" s="131">
        <v>5</v>
      </c>
      <c r="D584" s="132">
        <f>SUM(D579:D583)</f>
      </c>
      <c r="E584" s="178">
        <f>SUM(E579:E583)</f>
      </c>
      <c r="F584" s="179">
        <f>SUM(F579:F583)</f>
      </c>
      <c r="G584" s="180">
        <f>SUM(G579:G583)</f>
      </c>
      <c r="H584" s="132">
        <f>SUM(H579:H583)</f>
      </c>
      <c r="I584" s="132">
        <f>SUM(I579:I583)</f>
      </c>
      <c r="J584" s="132">
        <f>SUM(J579:J583)</f>
      </c>
      <c r="K584" s="132">
        <f>SUM(K579:K583)</f>
      </c>
      <c r="L584" s="132">
        <f>SUM(L579:L583)</f>
      </c>
      <c r="M584" s="133">
        <f t="shared" si="628"/>
      </c>
      <c r="N584" s="134">
        <f t="shared" si="658"/>
      </c>
      <c r="O584" s="134">
        <f t="shared" si="568"/>
      </c>
      <c r="P584" s="135">
        <f t="shared" si="598"/>
      </c>
      <c r="Q584" s="135">
        <f t="shared" si="778"/>
      </c>
      <c r="R584" s="135">
        <f t="shared" si="808"/>
      </c>
      <c r="S584" s="136">
        <f t="shared" si="688"/>
      </c>
      <c r="T584" s="136">
        <f t="shared" si="718"/>
      </c>
      <c r="U584" s="135">
        <f t="shared" si="997"/>
      </c>
      <c r="V584" s="136">
        <f t="shared" si="748"/>
      </c>
      <c r="W584" s="136">
        <f t="shared" si="1027"/>
      </c>
      <c r="X584" s="135">
        <f t="shared" si="838"/>
      </c>
      <c r="Y584" s="132">
        <f>SUM(Y579:Y583)</f>
      </c>
      <c r="Z584" s="132">
        <f>SUM(Z579:Z583)</f>
      </c>
      <c r="AA584" s="132">
        <f>SUM(AA579:AA583)</f>
      </c>
      <c r="AB584" s="132">
        <f>SUM(AB579:AB583)</f>
      </c>
      <c r="AC584" s="132">
        <f>SUM(AC579:AC583)</f>
      </c>
      <c r="AD584" s="137">
        <f t="shared" si="22"/>
      </c>
      <c r="AE584" s="138"/>
      <c r="AF584" s="139"/>
      <c r="AG584" s="132">
        <f>SUM(AG579:AG583)</f>
      </c>
      <c r="AH584" s="132">
        <f>SUM(AH579:AH583)</f>
      </c>
      <c r="AI584" s="132">
        <f>SUM(AI579:AI583)</f>
      </c>
      <c r="AJ584" s="132">
        <f>SUM(AJ579:AJ583)</f>
      </c>
      <c r="AK584" s="132">
        <f>SUM(AK579:AK583)</f>
      </c>
      <c r="AL584" s="132">
        <f>SUM(AL579:AL583)</f>
      </c>
    </row>
    <row r="585">
      <c r="A585" s="108"/>
      <c r="B585" s="109" t="s">
        <v>133</v>
      </c>
      <c r="C585" s="110" t="s">
        <v>135</v>
      </c>
      <c r="D585" s="111">
        <f t="shared" ref="D585:D589" si="381">E585+F585+G585+H585</f>
      </c>
      <c r="E585" s="177">
        <v>1688.5</v>
      </c>
      <c r="F585" s="145">
        <v>4346.32</v>
      </c>
      <c r="G585" s="146">
        <v>0</v>
      </c>
      <c r="H585" s="113">
        <v>0</v>
      </c>
      <c r="I585" s="113">
        <f t="shared" ref="I585:I589" si="510">AB585+AC585</f>
      </c>
      <c r="J585" s="160">
        <v>1736.64</v>
      </c>
      <c r="K585" s="115">
        <f t="shared" ref="K585:K589" si="123">I585-J585</f>
      </c>
      <c r="L585" s="115">
        <f t="shared" ref="L585:L589" si="252">(I585-AC585)/12+AC585</f>
      </c>
      <c r="M585" s="116">
        <f t="shared" si="628"/>
      </c>
      <c r="N585" s="117">
        <f t="shared" si="658"/>
      </c>
      <c r="O585" s="118">
        <f t="shared" si="568"/>
      </c>
      <c r="P585" s="119">
        <f t="shared" si="598"/>
      </c>
      <c r="Q585" s="119">
        <f t="shared" si="778"/>
      </c>
      <c r="R585" s="119">
        <f t="shared" si="808"/>
      </c>
      <c r="S585" s="120">
        <f t="shared" si="688"/>
      </c>
      <c r="T585" s="121">
        <f t="shared" si="718"/>
      </c>
      <c r="U585" s="119">
        <f t="shared" si="997"/>
      </c>
      <c r="V585" s="122">
        <f t="shared" si="748"/>
      </c>
      <c r="W585" s="122">
        <f t="shared" si="1027"/>
      </c>
      <c r="X585" s="119">
        <f t="shared" si="838"/>
      </c>
      <c r="Y585" s="123">
        <f t="shared" ref="Y585:Y589" si="939">Z585+AA585</f>
      </c>
      <c r="Z585" s="123">
        <v>4</v>
      </c>
      <c r="AA585" s="123">
        <v>7</v>
      </c>
      <c r="AB585" s="124">
        <v>12238.559999999998</v>
      </c>
      <c r="AC585" s="124">
        <v>0</v>
      </c>
      <c r="AD585" s="120">
        <f t="shared" si="22"/>
      </c>
      <c r="AE585" s="125" t="s">
        <v>121</v>
      </c>
      <c r="AF585" s="126" t="s">
        <v>149</v>
      </c>
      <c r="AG585" s="127">
        <v>3</v>
      </c>
      <c r="AH585" s="127">
        <v>47816</v>
      </c>
      <c r="AI585" s="127">
        <v>1466</v>
      </c>
      <c r="AJ585" s="127">
        <v>1656</v>
      </c>
      <c r="AK585" s="127">
        <v>194</v>
      </c>
      <c r="AL585" s="127">
        <v>205</v>
      </c>
    </row>
    <row r="586">
      <c r="A586" s="108"/>
      <c r="B586" s="109" t="s">
        <v>133</v>
      </c>
      <c r="C586" s="110" t="s">
        <v>138</v>
      </c>
      <c r="D586" s="111">
        <f t="shared" si="381"/>
      </c>
      <c r="E586" s="177">
        <v>929.5</v>
      </c>
      <c r="F586" s="145">
        <v>3276.05</v>
      </c>
      <c r="G586" s="146">
        <v>0</v>
      </c>
      <c r="H586" s="113">
        <v>0</v>
      </c>
      <c r="I586" s="113">
        <f t="shared" si="510"/>
      </c>
      <c r="J586" s="114">
        <v>0</v>
      </c>
      <c r="K586" s="115">
        <f t="shared" si="123"/>
      </c>
      <c r="L586" s="115">
        <f t="shared" si="252"/>
      </c>
      <c r="M586" s="116">
        <f t="shared" si="628"/>
      </c>
      <c r="N586" s="117">
        <f t="shared" si="658"/>
      </c>
      <c r="O586" s="118">
        <f t="shared" si="568"/>
      </c>
      <c r="P586" s="119">
        <f t="shared" si="598"/>
      </c>
      <c r="Q586" s="119">
        <f t="shared" si="778"/>
      </c>
      <c r="R586" s="119">
        <f t="shared" si="808"/>
      </c>
      <c r="S586" s="120">
        <f t="shared" si="688"/>
      </c>
      <c r="T586" s="121">
        <f t="shared" si="718"/>
      </c>
      <c r="U586" s="119">
        <f t="shared" si="997"/>
      </c>
      <c r="V586" s="122">
        <f t="shared" si="748"/>
      </c>
      <c r="W586" s="122">
        <f t="shared" si="1027"/>
      </c>
      <c r="X586" s="119">
        <f t="shared" si="838"/>
      </c>
      <c r="Y586" s="123">
        <f t="shared" si="939"/>
      </c>
      <c r="Z586" s="123">
        <v>4</v>
      </c>
      <c r="AA586" s="123">
        <v>2</v>
      </c>
      <c r="AB586" s="124">
        <v>3954.359999999986</v>
      </c>
      <c r="AC586" s="124">
        <v>0</v>
      </c>
      <c r="AD586" s="120">
        <f t="shared" si="22"/>
      </c>
      <c r="AE586" s="125" t="s">
        <v>121</v>
      </c>
      <c r="AF586" s="126" t="s">
        <v>149</v>
      </c>
      <c r="AG586" s="129">
        <v>2</v>
      </c>
      <c r="AH586" s="128">
        <v>32176</v>
      </c>
      <c r="AI586" s="128">
        <v>914</v>
      </c>
      <c r="AJ586" s="128">
        <v>989</v>
      </c>
      <c r="AK586" s="129">
        <v>108</v>
      </c>
      <c r="AL586" s="129">
        <v>122</v>
      </c>
    </row>
    <row r="587">
      <c r="A587" s="108"/>
      <c r="B587" s="109" t="s">
        <v>133</v>
      </c>
      <c r="C587" s="110" t="s">
        <v>140</v>
      </c>
      <c r="D587" s="111">
        <f t="shared" si="381"/>
      </c>
      <c r="E587" s="177">
        <v>685.28</v>
      </c>
      <c r="F587" s="145">
        <v>4164.22</v>
      </c>
      <c r="G587" s="146">
        <v>0</v>
      </c>
      <c r="H587" s="113">
        <v>0</v>
      </c>
      <c r="I587" s="113">
        <f t="shared" si="510"/>
      </c>
      <c r="J587" s="160">
        <v>0</v>
      </c>
      <c r="K587" s="115">
        <f t="shared" si="123"/>
      </c>
      <c r="L587" s="115">
        <f t="shared" si="252"/>
      </c>
      <c r="M587" s="116">
        <f t="shared" si="628"/>
      </c>
      <c r="N587" s="117">
        <f t="shared" si="658"/>
      </c>
      <c r="O587" s="118">
        <f t="shared" si="568"/>
      </c>
      <c r="P587" s="119">
        <f t="shared" si="598"/>
      </c>
      <c r="Q587" s="119">
        <f t="shared" si="778"/>
      </c>
      <c r="R587" s="119">
        <f t="shared" si="808"/>
      </c>
      <c r="S587" s="120">
        <f t="shared" si="688"/>
      </c>
      <c r="T587" s="121">
        <f t="shared" si="718"/>
      </c>
      <c r="U587" s="119">
        <f t="shared" si="997"/>
      </c>
      <c r="V587" s="122">
        <f t="shared" si="748"/>
      </c>
      <c r="W587" s="122">
        <f t="shared" si="1027"/>
      </c>
      <c r="X587" s="119">
        <f t="shared" si="838"/>
      </c>
      <c r="Y587" s="123">
        <f t="shared" si="939"/>
      </c>
      <c r="Z587" s="123">
        <v>2</v>
      </c>
      <c r="AA587" s="123">
        <v>1</v>
      </c>
      <c r="AB587" s="124">
        <v>0</v>
      </c>
      <c r="AC587" s="124">
        <v>1437</v>
      </c>
      <c r="AD587" s="120">
        <f t="shared" si="22"/>
      </c>
      <c r="AE587" s="125" t="s">
        <v>121</v>
      </c>
      <c r="AF587" s="126" t="s">
        <v>149</v>
      </c>
      <c r="AG587" s="127">
        <v>1</v>
      </c>
      <c r="AH587" s="128">
        <v>40142</v>
      </c>
      <c r="AI587" s="128">
        <v>916</v>
      </c>
      <c r="AJ587" s="128">
        <v>965</v>
      </c>
      <c r="AK587" s="129">
        <v>106</v>
      </c>
      <c r="AL587" s="129">
        <v>128</v>
      </c>
    </row>
    <row r="588">
      <c r="A588" s="108"/>
      <c r="B588" s="109" t="s">
        <v>133</v>
      </c>
      <c r="C588" s="141" t="s">
        <v>141</v>
      </c>
      <c r="D588" s="111">
        <f t="shared" si="381"/>
      </c>
      <c r="E588" s="177">
        <v>618.68</v>
      </c>
      <c r="F588" s="145">
        <v>3847.76</v>
      </c>
      <c r="G588" s="146">
        <v>0</v>
      </c>
      <c r="H588" s="113">
        <v>0</v>
      </c>
      <c r="I588" s="113">
        <f t="shared" si="510"/>
      </c>
      <c r="J588" s="160">
        <v>0</v>
      </c>
      <c r="K588" s="115">
        <f t="shared" si="123"/>
      </c>
      <c r="L588" s="115">
        <f t="shared" si="252"/>
      </c>
      <c r="M588" s="116">
        <f t="shared" si="628"/>
      </c>
      <c r="N588" s="117">
        <f t="shared" si="658"/>
      </c>
      <c r="O588" s="118">
        <f t="shared" si="568"/>
      </c>
      <c r="P588" s="119">
        <f t="shared" si="598"/>
      </c>
      <c r="Q588" s="119">
        <f t="shared" si="778"/>
      </c>
      <c r="R588" s="119">
        <f t="shared" si="808"/>
      </c>
      <c r="S588" s="120">
        <f t="shared" si="688"/>
      </c>
      <c r="T588" s="121">
        <f t="shared" si="718"/>
      </c>
      <c r="U588" s="119">
        <f t="shared" si="997"/>
      </c>
      <c r="V588" s="122">
        <f t="shared" si="748"/>
      </c>
      <c r="W588" s="122">
        <f t="shared" si="1027"/>
      </c>
      <c r="X588" s="119">
        <f t="shared" si="838"/>
      </c>
      <c r="Y588" s="123">
        <f t="shared" si="939"/>
      </c>
      <c r="Z588" s="123">
        <v>4</v>
      </c>
      <c r="AA588" s="123">
        <v>2</v>
      </c>
      <c r="AB588" s="124">
        <v>13069.200000000012</v>
      </c>
      <c r="AC588" s="124">
        <v>0</v>
      </c>
      <c r="AD588" s="120">
        <f t="shared" si="22"/>
      </c>
      <c r="AE588" s="125" t="s">
        <v>121</v>
      </c>
      <c r="AF588" s="126" t="s">
        <v>149</v>
      </c>
      <c r="AG588" s="127">
        <v>2</v>
      </c>
      <c r="AH588" s="128">
        <v>35911</v>
      </c>
      <c r="AI588" s="128">
        <v>971</v>
      </c>
      <c r="AJ588" s="128">
        <v>1055</v>
      </c>
      <c r="AK588" s="129">
        <v>119</v>
      </c>
      <c r="AL588" s="129">
        <v>127</v>
      </c>
    </row>
    <row r="589">
      <c r="A589" s="108"/>
      <c r="B589" s="109" t="s">
        <v>133</v>
      </c>
      <c r="C589" s="141" t="s">
        <v>142</v>
      </c>
      <c r="D589" s="111">
        <f t="shared" si="381"/>
      </c>
      <c r="E589" s="177">
        <v>556.88</v>
      </c>
      <c r="F589" s="145">
        <v>3539.76</v>
      </c>
      <c r="G589" s="146">
        <v>0</v>
      </c>
      <c r="H589" s="113">
        <v>0</v>
      </c>
      <c r="I589" s="113">
        <f t="shared" si="510"/>
      </c>
      <c r="J589" s="114">
        <v>1551.96</v>
      </c>
      <c r="K589" s="115">
        <f t="shared" si="123"/>
      </c>
      <c r="L589" s="115">
        <f t="shared" si="252"/>
      </c>
      <c r="M589" s="116">
        <f t="shared" si="628"/>
      </c>
      <c r="N589" s="117">
        <f t="shared" si="658"/>
      </c>
      <c r="O589" s="118">
        <f t="shared" si="568"/>
      </c>
      <c r="P589" s="119">
        <f t="shared" si="598"/>
      </c>
      <c r="Q589" s="119">
        <f t="shared" si="778"/>
      </c>
      <c r="R589" s="119">
        <f t="shared" si="808"/>
      </c>
      <c r="S589" s="120">
        <f t="shared" si="688"/>
      </c>
      <c r="T589" s="121">
        <f t="shared" si="718"/>
      </c>
      <c r="U589" s="119">
        <f t="shared" si="997"/>
      </c>
      <c r="V589" s="122">
        <f t="shared" si="748"/>
      </c>
      <c r="W589" s="122">
        <f t="shared" si="1027"/>
      </c>
      <c r="X589" s="119">
        <f t="shared" si="838"/>
      </c>
      <c r="Y589" s="123">
        <f t="shared" si="939"/>
      </c>
      <c r="Z589" s="123">
        <v>9</v>
      </c>
      <c r="AA589" s="123">
        <v>3</v>
      </c>
      <c r="AB589" s="124">
        <v>2917.08000000001</v>
      </c>
      <c r="AC589" s="124">
        <v>0</v>
      </c>
      <c r="AD589" s="120">
        <f t="shared" si="22"/>
      </c>
      <c r="AE589" s="125" t="s">
        <v>121</v>
      </c>
      <c r="AF589" s="126" t="s">
        <v>149</v>
      </c>
      <c r="AG589" s="127">
        <v>2</v>
      </c>
      <c r="AH589" s="128">
        <v>33840</v>
      </c>
      <c r="AI589" s="128">
        <v>1204</v>
      </c>
      <c r="AJ589" s="128">
        <v>1309</v>
      </c>
      <c r="AK589" s="129">
        <v>117</v>
      </c>
      <c r="AL589" s="129">
        <v>174</v>
      </c>
    </row>
    <row r="590">
      <c r="A590" s="108"/>
      <c r="B590" s="130" t="s">
        <v>127</v>
      </c>
      <c r="C590" s="131">
        <v>5</v>
      </c>
      <c r="D590" s="132">
        <f>SUM(D585:D589)</f>
      </c>
      <c r="E590" s="132">
        <f>SUM(E585:E589)</f>
      </c>
      <c r="F590" s="148">
        <f>SUM(F585:F589)</f>
      </c>
      <c r="G590" s="132">
        <f>SUM(G585:G589)</f>
      </c>
      <c r="H590" s="132">
        <f>SUM(H585:H589)</f>
      </c>
      <c r="I590" s="132">
        <f>SUM(I585:I589)</f>
      </c>
      <c r="J590" s="132">
        <f>SUM(J585:J589)</f>
      </c>
      <c r="K590" s="132">
        <f>SUM(K585:K589)</f>
      </c>
      <c r="L590" s="132">
        <f>SUM(L585:L589)</f>
      </c>
      <c r="M590" s="133">
        <f t="shared" si="628"/>
      </c>
      <c r="N590" s="134">
        <f t="shared" si="658"/>
      </c>
      <c r="O590" s="134">
        <f t="shared" si="568"/>
      </c>
      <c r="P590" s="135">
        <f t="shared" si="598"/>
      </c>
      <c r="Q590" s="135">
        <f t="shared" si="778"/>
      </c>
      <c r="R590" s="135">
        <f t="shared" si="808"/>
      </c>
      <c r="S590" s="136">
        <f t="shared" si="688"/>
      </c>
      <c r="T590" s="136">
        <f t="shared" si="718"/>
      </c>
      <c r="U590" s="135">
        <f t="shared" si="997"/>
      </c>
      <c r="V590" s="136">
        <f t="shared" si="748"/>
      </c>
      <c r="W590" s="136">
        <f t="shared" si="1027"/>
      </c>
      <c r="X590" s="135">
        <f t="shared" si="838"/>
      </c>
      <c r="Y590" s="132">
        <f>SUM(Y585:Y589)</f>
      </c>
      <c r="Z590" s="132">
        <f>SUM(Z585:Z589)</f>
      </c>
      <c r="AA590" s="132">
        <f>SUM(AA585:AA589)</f>
      </c>
      <c r="AB590" s="132">
        <f>SUM(AB585:AB589)</f>
      </c>
      <c r="AC590" s="132">
        <f>SUM(AC585:AC589)</f>
      </c>
      <c r="AD590" s="137">
        <f t="shared" si="22"/>
      </c>
      <c r="AE590" s="138"/>
      <c r="AF590" s="139"/>
      <c r="AG590" s="132">
        <f>SUM(AG585:AG589)</f>
      </c>
      <c r="AH590" s="132">
        <f>SUM(AH585:AH589)</f>
      </c>
      <c r="AI590" s="132">
        <f>SUM(AI585:AI589)</f>
      </c>
      <c r="AJ590" s="132">
        <f>SUM(AJ585:AJ589)</f>
      </c>
      <c r="AK590" s="132">
        <f>SUM(AK585:AK589)</f>
      </c>
      <c r="AL590" s="132">
        <f>SUM(AL585:AL589)</f>
      </c>
    </row>
    <row r="591">
      <c r="A591" s="108"/>
      <c r="B591" s="109" t="s">
        <v>143</v>
      </c>
      <c r="C591" s="141" t="s">
        <v>144</v>
      </c>
      <c r="D591" s="143">
        <f t="shared" ref="D591:D595" si="382">E591+F591+G591+H591</f>
      </c>
      <c r="E591" s="166">
        <v>549.6</v>
      </c>
      <c r="F591" s="145">
        <v>3201.59</v>
      </c>
      <c r="G591" s="113">
        <v>0</v>
      </c>
      <c r="H591" s="113">
        <v>0</v>
      </c>
      <c r="I591" s="113">
        <f t="shared" ref="I591:I595" si="511">AB591+AC591</f>
      </c>
      <c r="J591" s="114">
        <v>0</v>
      </c>
      <c r="K591" s="115">
        <f t="shared" ref="K591:K595" si="124">I591-J591</f>
      </c>
      <c r="L591" s="115">
        <f t="shared" ref="L591:L595" si="253">(I591-AC591)/12+AC591</f>
      </c>
      <c r="M591" s="116">
        <f t="shared" si="628"/>
      </c>
      <c r="N591" s="117">
        <f t="shared" si="658"/>
      </c>
      <c r="O591" s="118">
        <f t="shared" si="568"/>
      </c>
      <c r="P591" s="119">
        <f t="shared" si="598"/>
      </c>
      <c r="Q591" s="119">
        <f t="shared" si="778"/>
      </c>
      <c r="R591" s="119">
        <f t="shared" si="808"/>
      </c>
      <c r="S591" s="120">
        <f t="shared" si="688"/>
      </c>
      <c r="T591" s="121">
        <f t="shared" si="718"/>
      </c>
      <c r="U591" s="119">
        <f t="shared" si="997"/>
      </c>
      <c r="V591" s="122">
        <f t="shared" si="748"/>
      </c>
      <c r="W591" s="122">
        <f t="shared" si="1027"/>
      </c>
      <c r="X591" s="119">
        <f t="shared" si="838"/>
      </c>
      <c r="Y591" s="123">
        <f t="shared" ref="Y591:Y595" si="940">Z591+AA591</f>
      </c>
      <c r="Z591" s="123">
        <v>4</v>
      </c>
      <c r="AA591" s="123">
        <v>1</v>
      </c>
      <c r="AB591" s="124">
        <v>4461.479999999981</v>
      </c>
      <c r="AC591" s="124">
        <v>0</v>
      </c>
      <c r="AD591" s="120">
        <f t="shared" si="22"/>
      </c>
      <c r="AE591" s="125" t="s">
        <v>121</v>
      </c>
      <c r="AF591" s="126" t="s">
        <v>149</v>
      </c>
      <c r="AG591" s="127">
        <v>1</v>
      </c>
      <c r="AH591" s="127">
        <v>27849</v>
      </c>
      <c r="AI591" s="128">
        <v>1108</v>
      </c>
      <c r="AJ591" s="128">
        <v>1230</v>
      </c>
      <c r="AK591" s="127">
        <v>117</v>
      </c>
      <c r="AL591" s="129">
        <v>47</v>
      </c>
    </row>
    <row r="592">
      <c r="A592" s="108"/>
      <c r="B592" s="109" t="s">
        <v>143</v>
      </c>
      <c r="C592" s="110" t="s">
        <v>145</v>
      </c>
      <c r="D592" s="143">
        <f t="shared" si="382"/>
      </c>
      <c r="E592" s="147">
        <v>625.7</v>
      </c>
      <c r="F592" s="145">
        <v>4336.62</v>
      </c>
      <c r="G592" s="113">
        <v>0</v>
      </c>
      <c r="H592" s="113">
        <v>0</v>
      </c>
      <c r="I592" s="113">
        <f t="shared" si="511"/>
      </c>
      <c r="J592" s="114">
        <v>1449.36</v>
      </c>
      <c r="K592" s="115">
        <f t="shared" si="124"/>
      </c>
      <c r="L592" s="115">
        <f t="shared" si="253"/>
      </c>
      <c r="M592" s="116">
        <f t="shared" si="628"/>
      </c>
      <c r="N592" s="117">
        <f t="shared" si="658"/>
      </c>
      <c r="O592" s="118">
        <f t="shared" si="568"/>
      </c>
      <c r="P592" s="119">
        <f t="shared" si="598"/>
      </c>
      <c r="Q592" s="119">
        <f t="shared" si="778"/>
      </c>
      <c r="R592" s="119">
        <f t="shared" si="808"/>
      </c>
      <c r="S592" s="120">
        <f t="shared" si="688"/>
      </c>
      <c r="T592" s="121">
        <f t="shared" si="718"/>
      </c>
      <c r="U592" s="119">
        <f t="shared" si="997"/>
      </c>
      <c r="V592" s="122">
        <f t="shared" si="748"/>
      </c>
      <c r="W592" s="122">
        <f t="shared" si="1027"/>
      </c>
      <c r="X592" s="119">
        <f t="shared" si="838"/>
      </c>
      <c r="Y592" s="123">
        <f t="shared" si="940"/>
      </c>
      <c r="Z592" s="123">
        <v>5</v>
      </c>
      <c r="AA592" s="123">
        <v>8</v>
      </c>
      <c r="AB592" s="124">
        <v>12455.639999999985</v>
      </c>
      <c r="AC592" s="124">
        <v>0</v>
      </c>
      <c r="AD592" s="120">
        <f t="shared" si="22"/>
      </c>
      <c r="AE592" s="125" t="s">
        <v>121</v>
      </c>
      <c r="AF592" s="126" t="s">
        <v>149</v>
      </c>
      <c r="AG592" s="127">
        <v>5</v>
      </c>
      <c r="AH592" s="128">
        <v>43249</v>
      </c>
      <c r="AI592" s="128">
        <v>1193</v>
      </c>
      <c r="AJ592" s="128">
        <v>1303</v>
      </c>
      <c r="AK592" s="129">
        <v>149</v>
      </c>
      <c r="AL592" s="129">
        <v>65</v>
      </c>
    </row>
    <row r="593">
      <c r="A593" s="108"/>
      <c r="B593" s="109" t="s">
        <v>143</v>
      </c>
      <c r="C593" s="141" t="s">
        <v>146</v>
      </c>
      <c r="D593" s="143">
        <f t="shared" si="382"/>
      </c>
      <c r="E593" s="169">
        <v>413.33</v>
      </c>
      <c r="F593" s="170">
        <v>5729.64</v>
      </c>
      <c r="G593" s="113">
        <v>0</v>
      </c>
      <c r="H593" s="113">
        <v>0</v>
      </c>
      <c r="I593" s="171">
        <f t="shared" si="511"/>
      </c>
      <c r="J593" s="114">
        <v>0</v>
      </c>
      <c r="K593" s="115">
        <f t="shared" si="124"/>
      </c>
      <c r="L593" s="115">
        <f t="shared" si="253"/>
      </c>
      <c r="M593" s="116">
        <f t="shared" si="628"/>
      </c>
      <c r="N593" s="117">
        <f t="shared" si="658"/>
      </c>
      <c r="O593" s="118">
        <f t="shared" si="568"/>
      </c>
      <c r="P593" s="119">
        <f t="shared" si="598"/>
      </c>
      <c r="Q593" s="119">
        <f t="shared" si="778"/>
      </c>
      <c r="R593" s="119">
        <f t="shared" si="808"/>
      </c>
      <c r="S593" s="120">
        <f t="shared" si="688"/>
      </c>
      <c r="T593" s="121">
        <f t="shared" si="718"/>
      </c>
      <c r="U593" s="119">
        <f t="shared" si="997"/>
      </c>
      <c r="V593" s="122">
        <f t="shared" si="748"/>
      </c>
      <c r="W593" s="122">
        <f t="shared" si="1027"/>
      </c>
      <c r="X593" s="119">
        <f t="shared" si="838"/>
      </c>
      <c r="Y593" s="172">
        <f t="shared" si="940"/>
      </c>
      <c r="Z593" s="172">
        <v>6</v>
      </c>
      <c r="AA593" s="172">
        <v>8</v>
      </c>
      <c r="AB593" s="173">
        <v>13473.24000000002</v>
      </c>
      <c r="AC593" s="173">
        <v>0</v>
      </c>
      <c r="AD593" s="120">
        <f t="shared" si="22"/>
      </c>
      <c r="AE593" s="125" t="s">
        <v>121</v>
      </c>
      <c r="AF593" s="126" t="s">
        <v>149</v>
      </c>
      <c r="AG593" s="129">
        <v>6</v>
      </c>
      <c r="AH593" s="128">
        <v>74378</v>
      </c>
      <c r="AI593" s="128">
        <v>1067</v>
      </c>
      <c r="AJ593" s="128">
        <v>1133</v>
      </c>
      <c r="AK593" s="129">
        <v>164</v>
      </c>
      <c r="AL593" s="129">
        <v>261</v>
      </c>
    </row>
    <row r="594">
      <c r="A594" s="108"/>
      <c r="B594" s="109" t="s">
        <v>143</v>
      </c>
      <c r="C594" s="110" t="s">
        <v>147</v>
      </c>
      <c r="D594" s="143">
        <f t="shared" si="382"/>
      </c>
      <c r="E594" s="147">
        <v>420.24</v>
      </c>
      <c r="F594" s="145">
        <v>4875.99</v>
      </c>
      <c r="G594" s="113">
        <v>0</v>
      </c>
      <c r="H594" s="113">
        <v>0</v>
      </c>
      <c r="I594" s="113">
        <f t="shared" si="511"/>
      </c>
      <c r="J594" s="114">
        <v>0</v>
      </c>
      <c r="K594" s="115">
        <f t="shared" si="124"/>
      </c>
      <c r="L594" s="115">
        <f t="shared" si="253"/>
      </c>
      <c r="M594" s="116">
        <f t="shared" si="628"/>
      </c>
      <c r="N594" s="117">
        <f t="shared" si="658"/>
      </c>
      <c r="O594" s="118">
        <f t="shared" si="568"/>
      </c>
      <c r="P594" s="119">
        <f t="shared" si="598"/>
      </c>
      <c r="Q594" s="119">
        <f t="shared" si="778"/>
      </c>
      <c r="R594" s="119">
        <f t="shared" si="808"/>
      </c>
      <c r="S594" s="120">
        <f t="shared" si="688"/>
      </c>
      <c r="T594" s="121">
        <f t="shared" si="718"/>
      </c>
      <c r="U594" s="119">
        <f t="shared" si="997"/>
      </c>
      <c r="V594" s="122">
        <f t="shared" si="748"/>
      </c>
      <c r="W594" s="122">
        <f t="shared" si="1027"/>
      </c>
      <c r="X594" s="119">
        <f t="shared" si="838"/>
      </c>
      <c r="Y594" s="123">
        <f t="shared" si="940"/>
      </c>
      <c r="Z594" s="123">
        <v>3</v>
      </c>
      <c r="AA594" s="123">
        <v>5</v>
      </c>
      <c r="AB594" s="124">
        <v>5294.64</v>
      </c>
      <c r="AC594" s="124">
        <v>2880</v>
      </c>
      <c r="AD594" s="120">
        <f t="shared" si="22"/>
      </c>
      <c r="AE594" s="125" t="s">
        <v>121</v>
      </c>
      <c r="AF594" s="126" t="s">
        <v>149</v>
      </c>
      <c r="AG594" s="127">
        <v>5</v>
      </c>
      <c r="AH594" s="128">
        <v>87411</v>
      </c>
      <c r="AI594" s="128">
        <v>988</v>
      </c>
      <c r="AJ594" s="128">
        <v>1144</v>
      </c>
      <c r="AK594" s="129">
        <v>164</v>
      </c>
      <c r="AL594" s="129">
        <v>309</v>
      </c>
    </row>
    <row r="595">
      <c r="A595" s="108"/>
      <c r="B595" s="109" t="s">
        <v>143</v>
      </c>
      <c r="C595" s="110" t="s">
        <v>148</v>
      </c>
      <c r="D595" s="143">
        <f t="shared" si="382"/>
      </c>
      <c r="E595" s="147">
        <f>355.63+0.31</f>
      </c>
      <c r="F595" s="145">
        <v>1564.14</v>
      </c>
      <c r="G595" s="113">
        <v>0</v>
      </c>
      <c r="H595" s="113">
        <v>0</v>
      </c>
      <c r="I595" s="113">
        <f t="shared" si="511"/>
      </c>
      <c r="J595" s="114">
        <v>0</v>
      </c>
      <c r="K595" s="115">
        <f t="shared" si="124"/>
      </c>
      <c r="L595" s="115">
        <f t="shared" si="253"/>
      </c>
      <c r="M595" s="116">
        <f t="shared" si="628"/>
      </c>
      <c r="N595" s="117">
        <f t="shared" si="658"/>
      </c>
      <c r="O595" s="118">
        <f t="shared" si="568"/>
      </c>
      <c r="P595" s="119">
        <f t="shared" si="598"/>
      </c>
      <c r="Q595" s="119">
        <f t="shared" si="778"/>
      </c>
      <c r="R595" s="119">
        <f t="shared" si="808"/>
      </c>
      <c r="S595" s="120">
        <f t="shared" si="688"/>
      </c>
      <c r="T595" s="121">
        <f t="shared" si="718"/>
      </c>
      <c r="U595" s="119">
        <f t="shared" si="997"/>
      </c>
      <c r="V595" s="122">
        <f t="shared" si="748"/>
      </c>
      <c r="W595" s="122">
        <f t="shared" si="1027"/>
      </c>
      <c r="X595" s="119">
        <f t="shared" si="838"/>
      </c>
      <c r="Y595" s="123">
        <f t="shared" si="940"/>
      </c>
      <c r="Z595" s="123">
        <v>2</v>
      </c>
      <c r="AA595" s="123">
        <v>4</v>
      </c>
      <c r="AB595" s="124">
        <v>8497.439999999999</v>
      </c>
      <c r="AC595" s="124">
        <v>0</v>
      </c>
      <c r="AD595" s="120">
        <f t="shared" si="22"/>
      </c>
      <c r="AE595" s="125" t="s">
        <v>121</v>
      </c>
      <c r="AF595" s="126" t="s">
        <v>149</v>
      </c>
      <c r="AG595" s="127">
        <v>4</v>
      </c>
      <c r="AH595" s="128">
        <v>19223</v>
      </c>
      <c r="AI595" s="128">
        <v>406</v>
      </c>
      <c r="AJ595" s="128">
        <v>513</v>
      </c>
      <c r="AK595" s="129">
        <v>78</v>
      </c>
      <c r="AL595" s="129">
        <v>153</v>
      </c>
    </row>
    <row r="596">
      <c r="A596" s="108"/>
      <c r="B596" s="130" t="s">
        <v>127</v>
      </c>
      <c r="C596" s="131">
        <v>5</v>
      </c>
      <c r="D596" s="132">
        <f>SUM(D591:D595)</f>
      </c>
      <c r="E596" s="132">
        <f>SUM(E591:E595)</f>
      </c>
      <c r="F596" s="132">
        <f>SUM(F591:F595)</f>
      </c>
      <c r="G596" s="132">
        <f>SUM(G591:G595)</f>
      </c>
      <c r="H596" s="132">
        <f>SUM(H591:H595)</f>
      </c>
      <c r="I596" s="132">
        <f>SUM(I591:I595)</f>
      </c>
      <c r="J596" s="132">
        <f>SUM(J591:J595)</f>
      </c>
      <c r="K596" s="132">
        <f>SUM(K591:K595)</f>
      </c>
      <c r="L596" s="132">
        <f>SUM(L591:L595)</f>
      </c>
      <c r="M596" s="133">
        <f t="shared" si="628"/>
      </c>
      <c r="N596" s="134">
        <f t="shared" si="658"/>
      </c>
      <c r="O596" s="134">
        <f t="shared" si="568"/>
      </c>
      <c r="P596" s="135">
        <f t="shared" si="598"/>
      </c>
      <c r="Q596" s="135">
        <f t="shared" si="778"/>
      </c>
      <c r="R596" s="135">
        <f t="shared" si="808"/>
      </c>
      <c r="S596" s="136">
        <f t="shared" si="688"/>
      </c>
      <c r="T596" s="136">
        <f t="shared" si="718"/>
      </c>
      <c r="U596" s="135">
        <f t="shared" si="997"/>
      </c>
      <c r="V596" s="136">
        <f t="shared" si="748"/>
      </c>
      <c r="W596" s="136">
        <f t="shared" si="1027"/>
      </c>
      <c r="X596" s="135">
        <f t="shared" si="838"/>
      </c>
      <c r="Y596" s="132">
        <f>SUM(Y591:Y595)</f>
      </c>
      <c r="Z596" s="132">
        <f>SUM(Z591:Z595)</f>
      </c>
      <c r="AA596" s="132">
        <f>SUM(AA591:AA595)</f>
      </c>
      <c r="AB596" s="132">
        <f>SUM(AB591:AB595)</f>
      </c>
      <c r="AC596" s="132">
        <f>SUM(AC591:AC595)</f>
      </c>
      <c r="AD596" s="150">
        <f t="shared" si="22"/>
      </c>
      <c r="AE596" s="151"/>
      <c r="AF596" s="139"/>
      <c r="AG596" s="132">
        <f>SUM(AG591:AG595)</f>
      </c>
      <c r="AH596" s="132">
        <f>SUM(AH591:AH595)</f>
      </c>
      <c r="AI596" s="132">
        <f>SUM(AI591:AI595)</f>
      </c>
      <c r="AJ596" s="132">
        <f>SUM(AJ591:AJ595)</f>
      </c>
      <c r="AK596" s="132">
        <f>SUM(AK591:AK595)</f>
      </c>
      <c r="AL596" s="132">
        <f>SUM(AL591:AL595)</f>
      </c>
    </row>
    <row r="597">
      <c r="A597" s="108"/>
      <c r="B597" s="152" t="s">
        <v>127</v>
      </c>
      <c r="C597" s="153">
        <f>C578+C584+C590+C596</f>
      </c>
      <c r="D597" s="167">
        <f>D578+D584+D590+D596</f>
      </c>
      <c r="E597" s="153">
        <f>E578+E584+E590+E596</f>
      </c>
      <c r="F597" s="153">
        <f>F578+F584+F590+F596</f>
      </c>
      <c r="G597" s="153">
        <f>G578+G584+G590+G596</f>
      </c>
      <c r="H597" s="153">
        <f>H578+H584+H590+H596</f>
      </c>
      <c r="I597" s="167">
        <f>I578+I584+I590+I596</f>
      </c>
      <c r="J597" s="153">
        <f>J578+J584+J590+J596</f>
      </c>
      <c r="K597" s="153">
        <f>K578+K584+K590+K596</f>
      </c>
      <c r="L597" s="153">
        <f>L578+L584+L590+L596</f>
      </c>
      <c r="M597" s="154">
        <f t="shared" si="628"/>
      </c>
      <c r="N597" s="154">
        <f t="shared" si="658"/>
      </c>
      <c r="O597" s="154">
        <f t="shared" si="568"/>
      </c>
      <c r="P597" s="154">
        <f t="shared" si="598"/>
      </c>
      <c r="Q597" s="154">
        <f t="shared" si="778"/>
      </c>
      <c r="R597" s="154">
        <f t="shared" si="808"/>
      </c>
      <c r="S597" s="155">
        <f t="shared" si="688"/>
      </c>
      <c r="T597" s="155">
        <f t="shared" si="718"/>
      </c>
      <c r="U597" s="154">
        <f t="shared" si="997"/>
      </c>
      <c r="V597" s="155">
        <f t="shared" si="748"/>
      </c>
      <c r="W597" s="155">
        <f t="shared" si="1027"/>
      </c>
      <c r="X597" s="154">
        <f t="shared" si="838"/>
      </c>
      <c r="Y597" s="156">
        <f>Y578+Y584+Y590+Y596</f>
      </c>
      <c r="Z597" s="156">
        <f>Z578+Z584+Z590+Z596</f>
      </c>
      <c r="AA597" s="156">
        <f>AA578+AA584+AA590+AA596</f>
      </c>
      <c r="AB597" s="156">
        <f>AB578+AB584+AB590+AB596</f>
      </c>
      <c r="AC597" s="156">
        <f>AC578+AC584+AC590+AC596</f>
      </c>
      <c r="AD597" s="157">
        <f>AD578+AD584+AD590+AD596</f>
      </c>
      <c r="AE597" s="158"/>
      <c r="AF597" s="159"/>
      <c r="AG597" s="153">
        <f>AG578+AG584+AG590+AG596</f>
      </c>
      <c r="AH597" s="153">
        <f>AH578+AH584+AH590+AH596</f>
      </c>
      <c r="AI597" s="153">
        <f>AI578+AI584+AI590+AI596</f>
      </c>
      <c r="AJ597" s="153">
        <f>AJ578+AJ584+AJ590+AJ596</f>
      </c>
      <c r="AK597" s="153">
        <f>AK578+AK584+AK590+AK596</f>
      </c>
      <c r="AL597" s="153">
        <f>AL578+AL584+AL590+AL596</f>
      </c>
    </row>
    <row r="598">
      <c r="A598" s="94" t="s">
        <v>81</v>
      </c>
      <c r="B598" s="95" t="s">
        <v>82</v>
      </c>
      <c r="C598" s="95" t="s">
        <v>83</v>
      </c>
      <c r="D598" s="96" t="s">
        <v>84</v>
      </c>
      <c r="E598" s="164" t="s">
        <v>85</v>
      </c>
      <c r="F598" s="95" t="s">
        <v>86</v>
      </c>
      <c r="G598" s="97" t="s">
        <v>87</v>
      </c>
      <c r="H598" s="97" t="s">
        <v>88</v>
      </c>
      <c r="I598" s="96" t="s">
        <v>89</v>
      </c>
      <c r="J598" s="98" t="s">
        <v>90</v>
      </c>
      <c r="K598" s="99" t="s">
        <v>91</v>
      </c>
      <c r="L598" s="99" t="s">
        <v>92</v>
      </c>
      <c r="M598" s="100" t="s">
        <v>93</v>
      </c>
      <c r="N598" s="99" t="s">
        <v>94</v>
      </c>
      <c r="O598" s="95" t="s">
        <v>95</v>
      </c>
      <c r="P598" s="100" t="s">
        <v>96</v>
      </c>
      <c r="Q598" s="101" t="s">
        <v>97</v>
      </c>
      <c r="R598" s="101" t="s">
        <v>98</v>
      </c>
      <c r="S598" s="96" t="s">
        <v>99</v>
      </c>
      <c r="T598" s="102" t="s">
        <v>100</v>
      </c>
      <c r="U598" s="100" t="s">
        <v>101</v>
      </c>
      <c r="V598" s="103" t="s">
        <v>102</v>
      </c>
      <c r="W598" s="104" t="s">
        <v>103</v>
      </c>
      <c r="X598" s="100" t="s">
        <v>104</v>
      </c>
      <c r="Y598" s="105" t="s">
        <v>105</v>
      </c>
      <c r="Z598" s="106" t="s">
        <v>106</v>
      </c>
      <c r="AA598" s="105" t="s">
        <v>107</v>
      </c>
      <c r="AB598" s="107" t="s">
        <v>108</v>
      </c>
      <c r="AC598" s="107" t="s">
        <v>109</v>
      </c>
      <c r="AD598" s="99" t="s">
        <v>110</v>
      </c>
      <c r="AE598" s="98" t="s">
        <v>111</v>
      </c>
      <c r="AF598" s="99" t="s">
        <v>112</v>
      </c>
      <c r="AG598" s="98" t="s">
        <v>113</v>
      </c>
      <c r="AH598" s="98" t="s">
        <v>114</v>
      </c>
      <c r="AI598" s="99" t="s">
        <v>115</v>
      </c>
      <c r="AJ598" s="98" t="s">
        <v>116</v>
      </c>
      <c r="AK598" s="99" t="s">
        <v>117</v>
      </c>
      <c r="AL598" s="98" t="s">
        <v>118</v>
      </c>
      <c r="AM598" s="182"/>
      <c r="AN598" s="182"/>
    </row>
    <row r="599">
      <c r="A599" s="108">
        <v>46289</v>
      </c>
      <c r="B599" s="109" t="s">
        <v>119</v>
      </c>
      <c r="C599" s="110" t="s">
        <v>120</v>
      </c>
      <c r="D599" s="143">
        <f t="shared" ref="D599:D603" si="383">E599+F599+G599+H599</f>
      </c>
      <c r="E599" s="144">
        <v>1111.61</v>
      </c>
      <c r="F599" s="146">
        <v>6825.94</v>
      </c>
      <c r="G599" s="113">
        <v>0</v>
      </c>
      <c r="H599" s="113">
        <v>0</v>
      </c>
      <c r="I599" s="113">
        <f t="shared" ref="I599:I603" si="512">AB599+AC599</f>
      </c>
      <c r="J599" s="114">
        <v>3057.36</v>
      </c>
      <c r="K599" s="115">
        <f t="shared" ref="K599:K603" si="125">I599-J599</f>
      </c>
      <c r="L599" s="115">
        <f t="shared" ref="L599:L603" si="254">(I599-AC599)/12+AC599</f>
      </c>
      <c r="M599" s="116">
        <f t="shared" ref="M599:M623" si="629">I599/D599</f>
      </c>
      <c r="N599" s="117">
        <f t="shared" ref="N599:N623" si="659">(I599-J599)/D599</f>
      </c>
      <c r="O599" s="118">
        <f t="shared" ref="O599:O623" si="569">(AC599+AB599/12)/D599</f>
      </c>
      <c r="P599" s="119">
        <f t="shared" ref="P599:P623" si="599">I599/AA599</f>
      </c>
      <c r="Q599" s="119">
        <f t="shared" ref="Q599:Q623" si="779">D599/AA599</f>
      </c>
      <c r="R599" s="119">
        <f t="shared" ref="R599:R623" si="809">D599/AG599</f>
      </c>
      <c r="S599" s="120">
        <f t="shared" ref="S599:S623" si="689">AA599/Y599</f>
      </c>
      <c r="T599" s="121">
        <f t="shared" ref="T599:T623" si="719">AI599/AH599</f>
      </c>
      <c r="U599" s="119">
        <f t="shared" ref="U599:U623" si="998">D599/AJ599</f>
      </c>
      <c r="V599" s="122">
        <f t="shared" ref="V599:V623" si="749">AK599/AJ599</f>
      </c>
      <c r="W599" s="122">
        <f t="shared" ref="W599:W623" si="1028">AL599/AJ599</f>
      </c>
      <c r="X599" s="119">
        <f t="shared" ref="X599:X623" si="839">D599/AL599</f>
      </c>
      <c r="Y599" s="123">
        <f t="shared" ref="Y599:Y603" si="941">Z599+AA599</f>
      </c>
      <c r="Z599" s="123">
        <v>4</v>
      </c>
      <c r="AA599" s="123">
        <v>6</v>
      </c>
      <c r="AB599" s="124">
        <v>15023.640000000001</v>
      </c>
      <c r="AC599" s="124">
        <v>0</v>
      </c>
      <c r="AD599" s="120">
        <f t="shared" ref="AD599:AD622" si="23">AC599/I599</f>
      </c>
      <c r="AE599" s="125" t="s">
        <v>121</v>
      </c>
      <c r="AF599" s="126" t="s">
        <v>122</v>
      </c>
      <c r="AG599" s="127">
        <v>3</v>
      </c>
      <c r="AH599" s="127">
        <v>72411</v>
      </c>
      <c r="AI599" s="128">
        <v>2169</v>
      </c>
      <c r="AJ599" s="128">
        <v>2681</v>
      </c>
      <c r="AK599" s="127">
        <v>242</v>
      </c>
      <c r="AL599" s="129">
        <v>242</v>
      </c>
    </row>
    <row r="600">
      <c r="A600" s="108"/>
      <c r="B600" s="109" t="s">
        <v>119</v>
      </c>
      <c r="C600" s="110" t="s">
        <v>123</v>
      </c>
      <c r="D600" s="143">
        <f t="shared" si="383"/>
      </c>
      <c r="E600" s="147">
        <v>1014.63</v>
      </c>
      <c r="F600" s="146">
        <v>9869.91</v>
      </c>
      <c r="G600" s="113">
        <v>0</v>
      </c>
      <c r="H600" s="113">
        <v>0</v>
      </c>
      <c r="I600" s="113">
        <f t="shared" si="512"/>
      </c>
      <c r="J600" s="114">
        <f>676.08+1480.68+1736.64</f>
      </c>
      <c r="K600" s="115">
        <f t="shared" si="125"/>
      </c>
      <c r="L600" s="115">
        <f t="shared" si="254"/>
      </c>
      <c r="M600" s="116">
        <f t="shared" si="629"/>
      </c>
      <c r="N600" s="117">
        <f t="shared" si="659"/>
      </c>
      <c r="O600" s="118">
        <f t="shared" si="569"/>
      </c>
      <c r="P600" s="119">
        <f t="shared" si="599"/>
      </c>
      <c r="Q600" s="119">
        <f t="shared" si="779"/>
      </c>
      <c r="R600" s="119">
        <f t="shared" si="809"/>
      </c>
      <c r="S600" s="120">
        <f t="shared" si="689"/>
      </c>
      <c r="T600" s="121">
        <f t="shared" si="719"/>
      </c>
      <c r="U600" s="119">
        <f t="shared" si="998"/>
      </c>
      <c r="V600" s="122">
        <f t="shared" si="749"/>
      </c>
      <c r="W600" s="122">
        <f t="shared" si="1028"/>
      </c>
      <c r="X600" s="119">
        <f t="shared" si="839"/>
      </c>
      <c r="Y600" s="123">
        <f t="shared" si="941"/>
      </c>
      <c r="Z600" s="123">
        <v>8</v>
      </c>
      <c r="AA600" s="123">
        <v>14</v>
      </c>
      <c r="AB600" s="124">
        <v>21477.96</v>
      </c>
      <c r="AC600" s="124">
        <v>3093</v>
      </c>
      <c r="AD600" s="120">
        <f t="shared" si="23"/>
      </c>
      <c r="AE600" s="125" t="s">
        <v>121</v>
      </c>
      <c r="AF600" s="126" t="s">
        <v>122</v>
      </c>
      <c r="AG600" s="127">
        <v>13</v>
      </c>
      <c r="AH600" s="128">
        <v>108230</v>
      </c>
      <c r="AI600" s="128">
        <v>2374</v>
      </c>
      <c r="AJ600" s="128">
        <v>2619</v>
      </c>
      <c r="AK600" s="129">
        <v>357</v>
      </c>
      <c r="AL600" s="129">
        <v>362</v>
      </c>
    </row>
    <row r="601">
      <c r="A601" s="108"/>
      <c r="B601" s="109" t="s">
        <v>119</v>
      </c>
      <c r="C601" s="110" t="s">
        <v>124</v>
      </c>
      <c r="D601" s="111">
        <f t="shared" si="383"/>
      </c>
      <c r="E601" s="165">
        <v>1117.01</v>
      </c>
      <c r="F601" s="110">
        <v>6897.68</v>
      </c>
      <c r="G601" s="113">
        <v>0</v>
      </c>
      <c r="H601" s="113">
        <v>0</v>
      </c>
      <c r="I601" s="113">
        <f t="shared" si="512"/>
      </c>
      <c r="J601" s="114">
        <f>784.8+646.92+1159.92</f>
      </c>
      <c r="K601" s="115">
        <f t="shared" si="125"/>
      </c>
      <c r="L601" s="115">
        <f t="shared" si="254"/>
      </c>
      <c r="M601" s="116">
        <f t="shared" si="629"/>
      </c>
      <c r="N601" s="117">
        <f t="shared" si="659"/>
      </c>
      <c r="O601" s="118">
        <f t="shared" si="569"/>
      </c>
      <c r="P601" s="119">
        <f t="shared" si="599"/>
      </c>
      <c r="Q601" s="119">
        <f t="shared" si="779"/>
      </c>
      <c r="R601" s="119">
        <f t="shared" si="809"/>
      </c>
      <c r="S601" s="120">
        <f t="shared" si="689"/>
      </c>
      <c r="T601" s="121">
        <f t="shared" si="719"/>
      </c>
      <c r="U601" s="119">
        <f t="shared" si="998"/>
      </c>
      <c r="V601" s="122">
        <f t="shared" si="749"/>
      </c>
      <c r="W601" s="122">
        <f t="shared" si="1028"/>
      </c>
      <c r="X601" s="119">
        <f t="shared" si="839"/>
      </c>
      <c r="Y601" s="123">
        <f t="shared" si="941"/>
      </c>
      <c r="Z601" s="123">
        <v>10</v>
      </c>
      <c r="AA601" s="123">
        <v>8</v>
      </c>
      <c r="AB601" s="124">
        <v>13618.68</v>
      </c>
      <c r="AC601" s="124">
        <v>0</v>
      </c>
      <c r="AD601" s="120">
        <f t="shared" si="23"/>
      </c>
      <c r="AE601" s="125" t="s">
        <v>121</v>
      </c>
      <c r="AF601" s="126" t="s">
        <v>122</v>
      </c>
      <c r="AG601" s="127">
        <v>7</v>
      </c>
      <c r="AH601" s="128">
        <v>86555</v>
      </c>
      <c r="AI601" s="128">
        <v>1657</v>
      </c>
      <c r="AJ601" s="128">
        <v>1813</v>
      </c>
      <c r="AK601" s="129">
        <v>273</v>
      </c>
      <c r="AL601" s="129">
        <v>291</v>
      </c>
    </row>
    <row r="602">
      <c r="A602" s="108"/>
      <c r="B602" s="109" t="s">
        <v>119</v>
      </c>
      <c r="C602" s="110" t="s">
        <v>125</v>
      </c>
      <c r="D602" s="111">
        <f t="shared" si="383"/>
      </c>
      <c r="E602" s="175">
        <v>1150.14</v>
      </c>
      <c r="F602" s="113">
        <v>6271.75</v>
      </c>
      <c r="G602" s="113">
        <v>0</v>
      </c>
      <c r="H602" s="113">
        <v>0</v>
      </c>
      <c r="I602" s="113">
        <f t="shared" si="512"/>
      </c>
      <c r="J602" s="114">
        <v>6929.72</v>
      </c>
      <c r="K602" s="115">
        <f t="shared" si="125"/>
      </c>
      <c r="L602" s="115">
        <f t="shared" si="254"/>
      </c>
      <c r="M602" s="116">
        <f t="shared" si="629"/>
      </c>
      <c r="N602" s="117">
        <f t="shared" si="659"/>
      </c>
      <c r="O602" s="118">
        <f t="shared" si="569"/>
      </c>
      <c r="P602" s="119">
        <f t="shared" si="599"/>
      </c>
      <c r="Q602" s="119">
        <f t="shared" si="779"/>
      </c>
      <c r="R602" s="119">
        <f t="shared" si="809"/>
      </c>
      <c r="S602" s="120">
        <f t="shared" si="689"/>
      </c>
      <c r="T602" s="121">
        <f t="shared" si="719"/>
      </c>
      <c r="U602" s="119">
        <f t="shared" si="998"/>
      </c>
      <c r="V602" s="122">
        <f t="shared" si="749"/>
      </c>
      <c r="W602" s="122">
        <f t="shared" si="1028"/>
      </c>
      <c r="X602" s="119">
        <f t="shared" si="839"/>
      </c>
      <c r="Y602" s="123">
        <f t="shared" si="941"/>
      </c>
      <c r="Z602" s="123">
        <v>4</v>
      </c>
      <c r="AA602" s="123">
        <v>11</v>
      </c>
      <c r="AB602" s="124">
        <v>17342.64</v>
      </c>
      <c r="AC602" s="124">
        <v>1982</v>
      </c>
      <c r="AD602" s="120">
        <f t="shared" si="23"/>
      </c>
      <c r="AE602" s="125" t="s">
        <v>121</v>
      </c>
      <c r="AF602" s="126" t="s">
        <v>122</v>
      </c>
      <c r="AG602" s="127">
        <v>9</v>
      </c>
      <c r="AH602" s="128">
        <v>78007</v>
      </c>
      <c r="AI602" s="128">
        <v>1222</v>
      </c>
      <c r="AJ602" s="128">
        <v>1330</v>
      </c>
      <c r="AK602" s="129">
        <v>162</v>
      </c>
      <c r="AL602" s="129">
        <v>200</v>
      </c>
    </row>
    <row r="603">
      <c r="A603" s="108"/>
      <c r="B603" s="109" t="s">
        <v>119</v>
      </c>
      <c r="C603" s="110" t="s">
        <v>126</v>
      </c>
      <c r="D603" s="143">
        <f t="shared" si="383"/>
      </c>
      <c r="E603" s="144">
        <v>1172.86</v>
      </c>
      <c r="F603" s="146">
        <v>5631.84</v>
      </c>
      <c r="G603" s="113">
        <v>0</v>
      </c>
      <c r="H603" s="113">
        <v>0</v>
      </c>
      <c r="I603" s="113">
        <f t="shared" si="512"/>
      </c>
      <c r="J603" s="114">
        <v>0</v>
      </c>
      <c r="K603" s="115">
        <f t="shared" si="125"/>
      </c>
      <c r="L603" s="115">
        <f t="shared" si="254"/>
      </c>
      <c r="M603" s="116">
        <f t="shared" si="629"/>
      </c>
      <c r="N603" s="117">
        <f t="shared" si="659"/>
      </c>
      <c r="O603" s="118">
        <f t="shared" si="569"/>
      </c>
      <c r="P603" s="119">
        <f t="shared" si="599"/>
      </c>
      <c r="Q603" s="119">
        <f t="shared" si="779"/>
      </c>
      <c r="R603" s="119">
        <f t="shared" si="809"/>
      </c>
      <c r="S603" s="120">
        <f t="shared" si="689"/>
      </c>
      <c r="T603" s="121">
        <f t="shared" si="719"/>
      </c>
      <c r="U603" s="119">
        <f t="shared" si="998"/>
      </c>
      <c r="V603" s="122">
        <f t="shared" si="749"/>
      </c>
      <c r="W603" s="122">
        <f t="shared" si="1028"/>
      </c>
      <c r="X603" s="119">
        <f t="shared" si="839"/>
      </c>
      <c r="Y603" s="123">
        <f t="shared" si="941"/>
      </c>
      <c r="Z603" s="123">
        <v>6</v>
      </c>
      <c r="AA603" s="123">
        <v>4</v>
      </c>
      <c r="AB603" s="124">
        <v>5821.199999999997</v>
      </c>
      <c r="AC603" s="124">
        <v>0</v>
      </c>
      <c r="AD603" s="120">
        <f t="shared" si="23"/>
      </c>
      <c r="AE603" s="125" t="s">
        <v>121</v>
      </c>
      <c r="AF603" s="126" t="s">
        <v>122</v>
      </c>
      <c r="AG603" s="127">
        <v>4</v>
      </c>
      <c r="AH603" s="128">
        <v>67015</v>
      </c>
      <c r="AI603" s="128">
        <v>1227</v>
      </c>
      <c r="AJ603" s="128">
        <v>1329</v>
      </c>
      <c r="AK603" s="127">
        <v>167</v>
      </c>
      <c r="AL603" s="127">
        <v>181</v>
      </c>
    </row>
    <row r="604">
      <c r="A604" s="108"/>
      <c r="B604" s="130" t="s">
        <v>127</v>
      </c>
      <c r="C604" s="131">
        <v>5</v>
      </c>
      <c r="D604" s="132">
        <f>SUM(D599:D603)</f>
      </c>
      <c r="E604" s="148">
        <f>SUM(E599:E603)</f>
      </c>
      <c r="F604" s="132">
        <f>SUM(F599:F603)</f>
      </c>
      <c r="G604" s="132">
        <f>SUM(G599:G603)</f>
      </c>
      <c r="H604" s="132">
        <f>SUM(H599:H603)</f>
      </c>
      <c r="I604" s="132">
        <f>SUM(I599:I603)</f>
      </c>
      <c r="J604" s="132">
        <f>SUM(J599:J603)</f>
      </c>
      <c r="K604" s="132">
        <f>SUM(K599:K603)</f>
      </c>
      <c r="L604" s="132">
        <f>SUM(L599:L603)</f>
      </c>
      <c r="M604" s="133">
        <f t="shared" si="629"/>
      </c>
      <c r="N604" s="134">
        <f t="shared" si="659"/>
      </c>
      <c r="O604" s="134">
        <f t="shared" si="569"/>
      </c>
      <c r="P604" s="135">
        <f t="shared" si="599"/>
      </c>
      <c r="Q604" s="135">
        <f t="shared" si="779"/>
      </c>
      <c r="R604" s="135">
        <f t="shared" si="809"/>
      </c>
      <c r="S604" s="136">
        <f t="shared" si="689"/>
      </c>
      <c r="T604" s="136">
        <f t="shared" si="719"/>
      </c>
      <c r="U604" s="135">
        <f t="shared" si="998"/>
      </c>
      <c r="V604" s="136">
        <f t="shared" si="749"/>
      </c>
      <c r="W604" s="136">
        <f t="shared" si="1028"/>
      </c>
      <c r="X604" s="135">
        <f t="shared" si="839"/>
      </c>
      <c r="Y604" s="132">
        <f>SUM(Y599:Y603)</f>
      </c>
      <c r="Z604" s="132">
        <f>SUM(Z599:Z603)</f>
      </c>
      <c r="AA604" s="132">
        <f>SUM(AA599:AA603)</f>
      </c>
      <c r="AB604" s="132">
        <f>SUM(AB599:AB603)</f>
      </c>
      <c r="AC604" s="132">
        <f>SUM(AC599:AC603)</f>
      </c>
      <c r="AD604" s="137">
        <f t="shared" si="23"/>
      </c>
      <c r="AE604" s="138"/>
      <c r="AF604" s="139"/>
      <c r="AG604" s="132">
        <f>SUM(AG599:AG603)</f>
      </c>
      <c r="AH604" s="132">
        <f>SUM(AH599:AH603)</f>
      </c>
      <c r="AI604" s="132">
        <f>SUM(AI599:AI603)</f>
      </c>
      <c r="AJ604" s="132">
        <f>SUM(AJ599:AJ603)</f>
      </c>
      <c r="AK604" s="132">
        <f>SUM(AK599:AK603)</f>
      </c>
      <c r="AL604" s="132">
        <f>SUM(AL599:AL603)</f>
      </c>
    </row>
    <row r="605">
      <c r="A605" s="108"/>
      <c r="B605" s="109" t="s">
        <v>128</v>
      </c>
      <c r="C605" s="110" t="s">
        <v>129</v>
      </c>
      <c r="D605" s="111">
        <f t="shared" ref="D605:D609" si="384">E605+F605+G605+H605</f>
      </c>
      <c r="E605" s="112">
        <v>1021.78</v>
      </c>
      <c r="F605" s="176">
        <v>7072.51</v>
      </c>
      <c r="G605" s="113">
        <v>0</v>
      </c>
      <c r="H605" s="113">
        <v>0</v>
      </c>
      <c r="I605" s="113">
        <f t="shared" ref="I605:I609" si="513">AB605+AC605</f>
      </c>
      <c r="J605" s="114">
        <v>0</v>
      </c>
      <c r="K605" s="115">
        <f t="shared" ref="K605:K609" si="126">I605-J605</f>
      </c>
      <c r="L605" s="115">
        <f t="shared" ref="L605:L609" si="255">(I605-AC605)/12+AC605</f>
      </c>
      <c r="M605" s="116">
        <f t="shared" si="629"/>
      </c>
      <c r="N605" s="117">
        <f t="shared" si="659"/>
      </c>
      <c r="O605" s="118">
        <f t="shared" si="569"/>
      </c>
      <c r="P605" s="119">
        <f t="shared" si="599"/>
      </c>
      <c r="Q605" s="119">
        <f t="shared" si="779"/>
      </c>
      <c r="R605" s="119">
        <f t="shared" si="809"/>
      </c>
      <c r="S605" s="120">
        <f t="shared" si="689"/>
      </c>
      <c r="T605" s="121">
        <f t="shared" si="719"/>
      </c>
      <c r="U605" s="119">
        <f t="shared" si="998"/>
      </c>
      <c r="V605" s="122">
        <f t="shared" si="749"/>
      </c>
      <c r="W605" s="122">
        <f t="shared" si="1028"/>
      </c>
      <c r="X605" s="119">
        <f t="shared" si="839"/>
      </c>
      <c r="Y605" s="123">
        <f t="shared" ref="Y605:Y609" si="942">Z605+AA605</f>
      </c>
      <c r="Z605" s="123">
        <v>7</v>
      </c>
      <c r="AA605" s="123">
        <v>7</v>
      </c>
      <c r="AB605" s="124">
        <v>7297.559999999998</v>
      </c>
      <c r="AC605" s="124">
        <v>1607</v>
      </c>
      <c r="AD605" s="120">
        <f t="shared" si="23"/>
      </c>
      <c r="AE605" s="125" t="s">
        <v>121</v>
      </c>
      <c r="AF605" s="126" t="s">
        <v>122</v>
      </c>
      <c r="AG605" s="127">
        <v>6</v>
      </c>
      <c r="AH605" s="128">
        <v>81666</v>
      </c>
      <c r="AI605" s="128">
        <v>1265</v>
      </c>
      <c r="AJ605" s="128">
        <v>1420</v>
      </c>
      <c r="AK605" s="127">
        <v>218</v>
      </c>
      <c r="AL605" s="127">
        <v>221</v>
      </c>
    </row>
    <row r="606">
      <c r="A606" s="108"/>
      <c r="B606" s="109" t="s">
        <v>128</v>
      </c>
      <c r="C606" s="110" t="s">
        <v>130</v>
      </c>
      <c r="D606" s="111">
        <f t="shared" si="384"/>
      </c>
      <c r="E606" s="177">
        <v>1412.28</v>
      </c>
      <c r="F606" s="145">
        <v>8672.42</v>
      </c>
      <c r="G606" s="146">
        <v>0</v>
      </c>
      <c r="H606" s="113">
        <v>0</v>
      </c>
      <c r="I606" s="113">
        <f t="shared" si="513"/>
      </c>
      <c r="J606" s="114">
        <f>906.12+592.08+676.08</f>
      </c>
      <c r="K606" s="115">
        <f t="shared" si="126"/>
      </c>
      <c r="L606" s="115">
        <f t="shared" si="255"/>
      </c>
      <c r="M606" s="116">
        <f t="shared" si="629"/>
      </c>
      <c r="N606" s="117">
        <f t="shared" si="659"/>
      </c>
      <c r="O606" s="118">
        <f t="shared" si="569"/>
      </c>
      <c r="P606" s="119">
        <f t="shared" si="599"/>
      </c>
      <c r="Q606" s="119">
        <f t="shared" si="779"/>
      </c>
      <c r="R606" s="119">
        <f t="shared" si="809"/>
      </c>
      <c r="S606" s="120">
        <f t="shared" si="689"/>
      </c>
      <c r="T606" s="121">
        <f t="shared" si="719"/>
      </c>
      <c r="U606" s="119">
        <f t="shared" si="998"/>
      </c>
      <c r="V606" s="122">
        <f t="shared" si="749"/>
      </c>
      <c r="W606" s="122">
        <f t="shared" si="1028"/>
      </c>
      <c r="X606" s="119">
        <f t="shared" si="839"/>
      </c>
      <c r="Y606" s="123">
        <f t="shared" si="942"/>
      </c>
      <c r="Z606" s="123">
        <v>5</v>
      </c>
      <c r="AA606" s="123">
        <v>17</v>
      </c>
      <c r="AB606" s="124">
        <v>36844.44000000002</v>
      </c>
      <c r="AC606" s="124">
        <v>1307.2000000000007</v>
      </c>
      <c r="AD606" s="120">
        <f t="shared" si="23"/>
      </c>
      <c r="AE606" s="125" t="s">
        <v>121</v>
      </c>
      <c r="AF606" s="126" t="s">
        <v>122</v>
      </c>
      <c r="AG606" s="127">
        <v>12</v>
      </c>
      <c r="AH606" s="128">
        <v>116716</v>
      </c>
      <c r="AI606" s="128">
        <v>1636</v>
      </c>
      <c r="AJ606" s="128">
        <v>1800</v>
      </c>
      <c r="AK606" s="129">
        <v>246</v>
      </c>
      <c r="AL606" s="129">
        <v>269</v>
      </c>
    </row>
    <row r="607">
      <c r="A607" s="108"/>
      <c r="B607" s="109" t="s">
        <v>128</v>
      </c>
      <c r="C607" s="110" t="s">
        <v>131</v>
      </c>
      <c r="D607" s="111">
        <f t="shared" si="384"/>
      </c>
      <c r="E607" s="177">
        <v>1147.59</v>
      </c>
      <c r="F607" s="147">
        <v>13797.55</v>
      </c>
      <c r="G607" s="146">
        <v>0</v>
      </c>
      <c r="H607" s="113">
        <v>0</v>
      </c>
      <c r="I607" s="113">
        <f t="shared" si="513"/>
      </c>
      <c r="J607" s="114">
        <f>1591.92+1778.16+2299.32+4691.52+1641.6</f>
      </c>
      <c r="K607" s="115">
        <f t="shared" si="126"/>
      </c>
      <c r="L607" s="115">
        <f t="shared" si="255"/>
      </c>
      <c r="M607" s="116">
        <f t="shared" si="629"/>
      </c>
      <c r="N607" s="117">
        <f t="shared" si="659"/>
      </c>
      <c r="O607" s="118">
        <f t="shared" si="569"/>
      </c>
      <c r="P607" s="119">
        <f t="shared" si="599"/>
      </c>
      <c r="Q607" s="119">
        <f t="shared" si="779"/>
      </c>
      <c r="R607" s="119">
        <f t="shared" si="809"/>
      </c>
      <c r="S607" s="120">
        <f t="shared" si="689"/>
      </c>
      <c r="T607" s="121">
        <f t="shared" si="719"/>
      </c>
      <c r="U607" s="119">
        <f t="shared" si="998"/>
      </c>
      <c r="V607" s="122">
        <f t="shared" si="749"/>
      </c>
      <c r="W607" s="122">
        <f t="shared" si="1028"/>
      </c>
      <c r="X607" s="119">
        <f t="shared" si="839"/>
      </c>
      <c r="Y607" s="123">
        <f t="shared" si="942"/>
      </c>
      <c r="Z607" s="123">
        <v>5</v>
      </c>
      <c r="AA607" s="123">
        <v>12</v>
      </c>
      <c r="AB607" s="124">
        <v>19247.039999999994</v>
      </c>
      <c r="AC607" s="124">
        <v>2077.2999999999993</v>
      </c>
      <c r="AD607" s="120">
        <f t="shared" si="23"/>
      </c>
      <c r="AE607" s="125" t="s">
        <v>121</v>
      </c>
      <c r="AF607" s="126" t="s">
        <v>122</v>
      </c>
      <c r="AG607" s="129">
        <v>12</v>
      </c>
      <c r="AH607" s="128">
        <v>166241</v>
      </c>
      <c r="AI607" s="128">
        <v>2151</v>
      </c>
      <c r="AJ607" s="128">
        <v>2392</v>
      </c>
      <c r="AK607" s="129">
        <v>336</v>
      </c>
      <c r="AL607" s="129">
        <v>375</v>
      </c>
    </row>
    <row r="608">
      <c r="A608" s="108"/>
      <c r="B608" s="109" t="s">
        <v>128</v>
      </c>
      <c r="C608" s="110" t="s">
        <v>132</v>
      </c>
      <c r="D608" s="111">
        <f t="shared" si="384"/>
      </c>
      <c r="E608" s="177">
        <v>1264.35</v>
      </c>
      <c r="F608" s="145">
        <v>10548.54</v>
      </c>
      <c r="G608" s="146">
        <v>0</v>
      </c>
      <c r="H608" s="113">
        <v>0</v>
      </c>
      <c r="I608" s="113">
        <f t="shared" si="513"/>
      </c>
      <c r="J608" s="114">
        <f>1476.24+426.96+1590.96+6448.68+1684.44+1459.92+1622.16+1253.88+864</f>
      </c>
      <c r="K608" s="115">
        <f t="shared" si="126"/>
      </c>
      <c r="L608" s="115">
        <f t="shared" si="255"/>
      </c>
      <c r="M608" s="116">
        <f t="shared" si="629"/>
      </c>
      <c r="N608" s="117">
        <f t="shared" si="659"/>
      </c>
      <c r="O608" s="118">
        <f t="shared" si="569"/>
      </c>
      <c r="P608" s="119">
        <f t="shared" si="599"/>
      </c>
      <c r="Q608" s="119">
        <f t="shared" si="779"/>
      </c>
      <c r="R608" s="119">
        <f t="shared" si="809"/>
      </c>
      <c r="S608" s="120">
        <f t="shared" si="689"/>
      </c>
      <c r="T608" s="121">
        <f t="shared" si="719"/>
      </c>
      <c r="U608" s="119">
        <f t="shared" si="998"/>
      </c>
      <c r="V608" s="122">
        <f t="shared" si="749"/>
      </c>
      <c r="W608" s="122">
        <f t="shared" si="1028"/>
      </c>
      <c r="X608" s="119">
        <f t="shared" si="839"/>
      </c>
      <c r="Y608" s="123">
        <f t="shared" si="942"/>
      </c>
      <c r="Z608" s="123">
        <v>5</v>
      </c>
      <c r="AA608" s="123">
        <v>11</v>
      </c>
      <c r="AB608" s="114">
        <v>27486.119999999995</v>
      </c>
      <c r="AC608" s="124">
        <v>0</v>
      </c>
      <c r="AD608" s="120">
        <f t="shared" si="23"/>
      </c>
      <c r="AE608" s="125" t="s">
        <v>121</v>
      </c>
      <c r="AF608" s="126" t="s">
        <v>122</v>
      </c>
      <c r="AG608" s="127">
        <v>8</v>
      </c>
      <c r="AH608" s="128">
        <v>135983</v>
      </c>
      <c r="AI608" s="128">
        <v>1854</v>
      </c>
      <c r="AJ608" s="128">
        <v>2107</v>
      </c>
      <c r="AK608" s="129">
        <v>289</v>
      </c>
      <c r="AL608" s="129">
        <v>301</v>
      </c>
    </row>
    <row r="609">
      <c r="A609" s="108"/>
      <c r="B609" s="109" t="s">
        <v>128</v>
      </c>
      <c r="C609" s="110" t="s">
        <v>134</v>
      </c>
      <c r="D609" s="111">
        <f t="shared" si="384"/>
      </c>
      <c r="E609" s="177">
        <v>1358.89</v>
      </c>
      <c r="F609" s="145">
        <v>6331.96</v>
      </c>
      <c r="G609" s="146">
        <v>0</v>
      </c>
      <c r="H609" s="113">
        <v>0</v>
      </c>
      <c r="I609" s="113">
        <f t="shared" si="513"/>
      </c>
      <c r="J609" s="114">
        <f>680.28+1509.84+1649.88+6016.68+3048.84</f>
      </c>
      <c r="K609" s="115">
        <f t="shared" si="126"/>
      </c>
      <c r="L609" s="115">
        <f t="shared" si="255"/>
      </c>
      <c r="M609" s="116">
        <f t="shared" si="629"/>
      </c>
      <c r="N609" s="117">
        <f t="shared" si="659"/>
      </c>
      <c r="O609" s="118">
        <f t="shared" si="569"/>
      </c>
      <c r="P609" s="119">
        <f t="shared" si="599"/>
      </c>
      <c r="Q609" s="119">
        <f t="shared" si="779"/>
      </c>
      <c r="R609" s="119">
        <f t="shared" si="809"/>
      </c>
      <c r="S609" s="120">
        <f t="shared" si="689"/>
      </c>
      <c r="T609" s="121">
        <f t="shared" si="719"/>
      </c>
      <c r="U609" s="119">
        <f t="shared" si="998"/>
      </c>
      <c r="V609" s="122">
        <f t="shared" si="749"/>
      </c>
      <c r="W609" s="122">
        <f t="shared" si="1028"/>
      </c>
      <c r="X609" s="119">
        <f t="shared" si="839"/>
      </c>
      <c r="Y609" s="123">
        <f t="shared" si="942"/>
      </c>
      <c r="Z609" s="123">
        <v>2</v>
      </c>
      <c r="AA609" s="123">
        <v>7</v>
      </c>
      <c r="AB609" s="124">
        <v>14816.520000000019</v>
      </c>
      <c r="AC609" s="124">
        <v>0</v>
      </c>
      <c r="AD609" s="120">
        <f t="shared" si="23"/>
      </c>
      <c r="AE609" s="125" t="s">
        <v>121</v>
      </c>
      <c r="AF609" s="126" t="s">
        <v>122</v>
      </c>
      <c r="AG609" s="127">
        <v>7</v>
      </c>
      <c r="AH609" s="127">
        <v>77129</v>
      </c>
      <c r="AI609" s="127">
        <v>1427</v>
      </c>
      <c r="AJ609" s="127">
        <v>1687</v>
      </c>
      <c r="AK609" s="127">
        <v>199</v>
      </c>
      <c r="AL609" s="127">
        <v>209</v>
      </c>
    </row>
    <row r="610">
      <c r="A610" s="108"/>
      <c r="B610" s="130" t="s">
        <v>127</v>
      </c>
      <c r="C610" s="131">
        <v>5</v>
      </c>
      <c r="D610" s="132">
        <f>SUM(D605:D609)</f>
      </c>
      <c r="E610" s="178">
        <f>SUM(E605:E609)</f>
      </c>
      <c r="F610" s="179">
        <f>SUM(F605:F609)</f>
      </c>
      <c r="G610" s="180">
        <f>SUM(G605:G609)</f>
      </c>
      <c r="H610" s="132">
        <f>SUM(H605:H609)</f>
      </c>
      <c r="I610" s="132">
        <f>SUM(I605:I609)</f>
      </c>
      <c r="J610" s="132">
        <f>SUM(J605:J609)</f>
      </c>
      <c r="K610" s="132">
        <f>SUM(K605:K609)</f>
      </c>
      <c r="L610" s="132">
        <f>SUM(L605:L609)</f>
      </c>
      <c r="M610" s="133">
        <f t="shared" si="629"/>
      </c>
      <c r="N610" s="134">
        <f t="shared" si="659"/>
      </c>
      <c r="O610" s="134">
        <f t="shared" si="569"/>
      </c>
      <c r="P610" s="135">
        <f t="shared" si="599"/>
      </c>
      <c r="Q610" s="135">
        <f t="shared" si="779"/>
      </c>
      <c r="R610" s="135">
        <f t="shared" si="809"/>
      </c>
      <c r="S610" s="136">
        <f t="shared" si="689"/>
      </c>
      <c r="T610" s="136">
        <f t="shared" si="719"/>
      </c>
      <c r="U610" s="135">
        <f t="shared" si="998"/>
      </c>
      <c r="V610" s="136">
        <f t="shared" si="749"/>
      </c>
      <c r="W610" s="136">
        <f t="shared" si="1028"/>
      </c>
      <c r="X610" s="135">
        <f t="shared" si="839"/>
      </c>
      <c r="Y610" s="132">
        <f>SUM(Y605:Y609)</f>
      </c>
      <c r="Z610" s="132">
        <f>SUM(Z605:Z609)</f>
      </c>
      <c r="AA610" s="132">
        <f>SUM(AA605:AA609)</f>
      </c>
      <c r="AB610" s="132">
        <f>SUM(AB605:AB609)</f>
      </c>
      <c r="AC610" s="132">
        <f>SUM(AC605:AC609)</f>
      </c>
      <c r="AD610" s="137">
        <f t="shared" si="23"/>
      </c>
      <c r="AE610" s="138"/>
      <c r="AF610" s="139"/>
      <c r="AG610" s="132">
        <f>SUM(AG605:AG609)</f>
      </c>
      <c r="AH610" s="132">
        <f>SUM(AH605:AH609)</f>
      </c>
      <c r="AI610" s="132">
        <f>SUM(AI605:AI609)</f>
      </c>
      <c r="AJ610" s="132">
        <f>SUM(AJ605:AJ609)</f>
      </c>
      <c r="AK610" s="132">
        <f>SUM(AK605:AK609)</f>
      </c>
      <c r="AL610" s="132">
        <f>SUM(AL605:AL609)</f>
      </c>
    </row>
    <row r="611">
      <c r="A611" s="108"/>
      <c r="B611" s="109" t="s">
        <v>133</v>
      </c>
      <c r="C611" s="110" t="s">
        <v>135</v>
      </c>
      <c r="D611" s="111">
        <f t="shared" ref="D611:D615" si="385">E611+F611+G611+H611</f>
      </c>
      <c r="E611" s="177">
        <v>1642.66</v>
      </c>
      <c r="F611" s="145">
        <v>6658.23</v>
      </c>
      <c r="G611" s="146">
        <v>0</v>
      </c>
      <c r="H611" s="113">
        <v>0</v>
      </c>
      <c r="I611" s="113">
        <f t="shared" ref="I611:I615" si="514">AB611+AC611</f>
      </c>
      <c r="J611" s="160">
        <v>628.56</v>
      </c>
      <c r="K611" s="115">
        <f t="shared" ref="K611:K615" si="127">I611-J611</f>
      </c>
      <c r="L611" s="115">
        <f t="shared" ref="L611:L615" si="256">(I611-AC611)/12+AC611</f>
      </c>
      <c r="M611" s="116">
        <f t="shared" si="629"/>
      </c>
      <c r="N611" s="117">
        <f t="shared" si="659"/>
      </c>
      <c r="O611" s="118">
        <f t="shared" si="569"/>
      </c>
      <c r="P611" s="119">
        <f t="shared" si="599"/>
      </c>
      <c r="Q611" s="119">
        <f t="shared" si="779"/>
      </c>
      <c r="R611" s="119">
        <f t="shared" si="809"/>
      </c>
      <c r="S611" s="120">
        <f t="shared" si="689"/>
      </c>
      <c r="T611" s="121">
        <f t="shared" si="719"/>
      </c>
      <c r="U611" s="119">
        <f t="shared" si="998"/>
      </c>
      <c r="V611" s="122">
        <f t="shared" si="749"/>
      </c>
      <c r="W611" s="122">
        <f t="shared" si="1028"/>
      </c>
      <c r="X611" s="119">
        <f t="shared" si="839"/>
      </c>
      <c r="Y611" s="123">
        <f t="shared" ref="Y611:Y615" si="943">Z611+AA611</f>
      </c>
      <c r="Z611" s="123">
        <v>7</v>
      </c>
      <c r="AA611" s="123">
        <v>5</v>
      </c>
      <c r="AB611" s="124">
        <v>12378.600000000006</v>
      </c>
      <c r="AC611" s="124">
        <v>0</v>
      </c>
      <c r="AD611" s="120">
        <f t="shared" si="23"/>
      </c>
      <c r="AE611" s="125" t="s">
        <v>121</v>
      </c>
      <c r="AF611" s="126" t="s">
        <v>154</v>
      </c>
      <c r="AG611" s="127">
        <v>3</v>
      </c>
      <c r="AH611" s="127">
        <v>74729</v>
      </c>
      <c r="AI611" s="127">
        <v>1211</v>
      </c>
      <c r="AJ611" s="127">
        <v>1418</v>
      </c>
      <c r="AK611" s="127">
        <v>190</v>
      </c>
      <c r="AL611" s="127">
        <v>195</v>
      </c>
    </row>
    <row r="612">
      <c r="A612" s="108"/>
      <c r="B612" s="109" t="s">
        <v>133</v>
      </c>
      <c r="C612" s="110" t="s">
        <v>138</v>
      </c>
      <c r="D612" s="111">
        <f t="shared" si="385"/>
      </c>
      <c r="E612" s="177">
        <v>932.68</v>
      </c>
      <c r="F612" s="145">
        <v>6500.37</v>
      </c>
      <c r="G612" s="113">
        <v>0</v>
      </c>
      <c r="H612" s="113">
        <v>0</v>
      </c>
      <c r="I612" s="113">
        <f t="shared" si="514"/>
      </c>
      <c r="J612" s="114">
        <v>923.4</v>
      </c>
      <c r="K612" s="115">
        <f t="shared" si="127"/>
      </c>
      <c r="L612" s="115">
        <f t="shared" si="256"/>
      </c>
      <c r="M612" s="116">
        <f t="shared" si="629"/>
      </c>
      <c r="N612" s="117">
        <f t="shared" si="659"/>
      </c>
      <c r="O612" s="118">
        <f t="shared" si="569"/>
      </c>
      <c r="P612" s="119">
        <f t="shared" si="599"/>
      </c>
      <c r="Q612" s="119">
        <f t="shared" si="779"/>
      </c>
      <c r="R612" s="119">
        <f t="shared" si="809"/>
      </c>
      <c r="S612" s="120">
        <f t="shared" si="689"/>
      </c>
      <c r="T612" s="121">
        <f t="shared" si="719"/>
      </c>
      <c r="U612" s="119">
        <f t="shared" si="998"/>
      </c>
      <c r="V612" s="122">
        <f t="shared" si="749"/>
      </c>
      <c r="W612" s="122">
        <f t="shared" si="1028"/>
      </c>
      <c r="X612" s="119">
        <f t="shared" si="839"/>
      </c>
      <c r="Y612" s="123">
        <f t="shared" si="943"/>
      </c>
      <c r="Z612" s="123">
        <v>7</v>
      </c>
      <c r="AA612" s="123">
        <v>9</v>
      </c>
      <c r="AB612" s="124">
        <v>20582.51999999999</v>
      </c>
      <c r="AC612" s="124">
        <v>679</v>
      </c>
      <c r="AD612" s="120">
        <f t="shared" si="23"/>
      </c>
      <c r="AE612" s="125" t="s">
        <v>121</v>
      </c>
      <c r="AF612" s="126" t="s">
        <v>154</v>
      </c>
      <c r="AG612" s="129">
        <v>8</v>
      </c>
      <c r="AH612" s="128">
        <v>65090</v>
      </c>
      <c r="AI612" s="128">
        <v>1081</v>
      </c>
      <c r="AJ612" s="128">
        <v>1262</v>
      </c>
      <c r="AK612" s="129">
        <v>186</v>
      </c>
      <c r="AL612" s="129">
        <v>181</v>
      </c>
    </row>
    <row r="613">
      <c r="A613" s="108"/>
      <c r="B613" s="109" t="s">
        <v>133</v>
      </c>
      <c r="C613" s="110" t="s">
        <v>140</v>
      </c>
      <c r="D613" s="111">
        <f t="shared" si="385"/>
      </c>
      <c r="E613" s="177">
        <v>1070.5</v>
      </c>
      <c r="F613" s="145">
        <v>5649.97</v>
      </c>
      <c r="G613" s="113">
        <v>0</v>
      </c>
      <c r="H613" s="113">
        <v>0</v>
      </c>
      <c r="I613" s="113">
        <f t="shared" si="514"/>
      </c>
      <c r="J613" s="160">
        <f>2858.52+2772.36</f>
      </c>
      <c r="K613" s="115">
        <f t="shared" si="127"/>
      </c>
      <c r="L613" s="115">
        <f t="shared" si="256"/>
      </c>
      <c r="M613" s="116">
        <f t="shared" si="629"/>
      </c>
      <c r="N613" s="117">
        <f t="shared" si="659"/>
      </c>
      <c r="O613" s="118">
        <f t="shared" si="569"/>
      </c>
      <c r="P613" s="119">
        <f t="shared" si="599"/>
      </c>
      <c r="Q613" s="119">
        <f t="shared" si="779"/>
      </c>
      <c r="R613" s="119">
        <f t="shared" si="809"/>
      </c>
      <c r="S613" s="120">
        <f t="shared" si="689"/>
      </c>
      <c r="T613" s="121">
        <f t="shared" si="719"/>
      </c>
      <c r="U613" s="119">
        <f t="shared" si="998"/>
      </c>
      <c r="V613" s="122">
        <f t="shared" si="749"/>
      </c>
      <c r="W613" s="122">
        <f t="shared" si="1028"/>
      </c>
      <c r="X613" s="119">
        <f t="shared" si="839"/>
      </c>
      <c r="Y613" s="123">
        <f t="shared" si="943"/>
      </c>
      <c r="Z613" s="123">
        <v>5</v>
      </c>
      <c r="AA613" s="123">
        <v>5</v>
      </c>
      <c r="AB613" s="124">
        <v>14762.279999999999</v>
      </c>
      <c r="AC613" s="124">
        <v>0</v>
      </c>
      <c r="AD613" s="120">
        <f t="shared" si="23"/>
      </c>
      <c r="AE613" s="125" t="s">
        <v>121</v>
      </c>
      <c r="AF613" s="126" t="s">
        <v>154</v>
      </c>
      <c r="AG613" s="127">
        <v>4</v>
      </c>
      <c r="AH613" s="128">
        <v>62616</v>
      </c>
      <c r="AI613" s="128">
        <v>1248</v>
      </c>
      <c r="AJ613" s="128">
        <v>1499</v>
      </c>
      <c r="AK613" s="129">
        <v>181</v>
      </c>
      <c r="AL613" s="129">
        <v>167</v>
      </c>
    </row>
    <row r="614">
      <c r="A614" s="108"/>
      <c r="B614" s="109" t="s">
        <v>133</v>
      </c>
      <c r="C614" s="141" t="s">
        <v>141</v>
      </c>
      <c r="D614" s="111">
        <f t="shared" si="385"/>
      </c>
      <c r="E614" s="177">
        <v>1247.69</v>
      </c>
      <c r="F614" s="145">
        <v>6024.32</v>
      </c>
      <c r="G614" s="113">
        <v>0</v>
      </c>
      <c r="H614" s="113">
        <v>0</v>
      </c>
      <c r="I614" s="113">
        <f t="shared" si="514"/>
      </c>
      <c r="J614" s="160">
        <v>0.000000000005229594535194337</v>
      </c>
      <c r="K614" s="115">
        <f t="shared" si="127"/>
      </c>
      <c r="L614" s="115">
        <f t="shared" si="256"/>
      </c>
      <c r="M614" s="116">
        <f t="shared" si="629"/>
      </c>
      <c r="N614" s="117">
        <f t="shared" si="659"/>
      </c>
      <c r="O614" s="118">
        <f t="shared" si="569"/>
      </c>
      <c r="P614" s="119">
        <f t="shared" si="599"/>
      </c>
      <c r="Q614" s="119">
        <f t="shared" si="779"/>
      </c>
      <c r="R614" s="119">
        <f t="shared" si="809"/>
      </c>
      <c r="S614" s="120">
        <f t="shared" si="689"/>
      </c>
      <c r="T614" s="121">
        <f t="shared" si="719"/>
      </c>
      <c r="U614" s="119">
        <f t="shared" si="998"/>
      </c>
      <c r="V614" s="122">
        <f t="shared" si="749"/>
      </c>
      <c r="W614" s="122">
        <f t="shared" si="1028"/>
      </c>
      <c r="X614" s="119">
        <f t="shared" si="839"/>
      </c>
      <c r="Y614" s="123">
        <f t="shared" si="943"/>
      </c>
      <c r="Z614" s="123">
        <v>5</v>
      </c>
      <c r="AA614" s="123">
        <v>8</v>
      </c>
      <c r="AB614" s="124">
        <v>7983.119999999995</v>
      </c>
      <c r="AC614" s="124">
        <v>4857</v>
      </c>
      <c r="AD614" s="120">
        <f t="shared" si="23"/>
      </c>
      <c r="AE614" s="125" t="s">
        <v>121</v>
      </c>
      <c r="AF614" s="126" t="s">
        <v>154</v>
      </c>
      <c r="AG614" s="127">
        <v>7</v>
      </c>
      <c r="AH614" s="128">
        <v>65758</v>
      </c>
      <c r="AI614" s="128">
        <v>1436</v>
      </c>
      <c r="AJ614" s="128">
        <v>1675</v>
      </c>
      <c r="AK614" s="129">
        <v>176</v>
      </c>
      <c r="AL614" s="129">
        <v>167</v>
      </c>
    </row>
    <row r="615">
      <c r="A615" s="108"/>
      <c r="B615" s="109" t="s">
        <v>133</v>
      </c>
      <c r="C615" s="141" t="s">
        <v>142</v>
      </c>
      <c r="D615" s="111">
        <f t="shared" si="385"/>
      </c>
      <c r="E615" s="177">
        <v>1309.96</v>
      </c>
      <c r="F615" s="145">
        <v>6471.82</v>
      </c>
      <c r="G615" s="113">
        <v>0</v>
      </c>
      <c r="H615" s="113">
        <v>0</v>
      </c>
      <c r="I615" s="113">
        <f t="shared" si="514"/>
      </c>
      <c r="J615" s="114">
        <v>-0.000000000009322320693172514</v>
      </c>
      <c r="K615" s="115">
        <f t="shared" si="127"/>
      </c>
      <c r="L615" s="115">
        <f t="shared" si="256"/>
      </c>
      <c r="M615" s="116">
        <f t="shared" si="629"/>
      </c>
      <c r="N615" s="117">
        <f t="shared" si="659"/>
      </c>
      <c r="O615" s="118">
        <f t="shared" si="569"/>
      </c>
      <c r="P615" s="119">
        <f t="shared" si="599"/>
      </c>
      <c r="Q615" s="119">
        <f t="shared" si="779"/>
      </c>
      <c r="R615" s="119">
        <f t="shared" si="809"/>
      </c>
      <c r="S615" s="120">
        <f t="shared" si="689"/>
      </c>
      <c r="T615" s="121">
        <f t="shared" si="719"/>
      </c>
      <c r="U615" s="119">
        <f t="shared" si="998"/>
      </c>
      <c r="V615" s="122">
        <f t="shared" si="749"/>
      </c>
      <c r="W615" s="122">
        <f t="shared" si="1028"/>
      </c>
      <c r="X615" s="119">
        <f t="shared" si="839"/>
      </c>
      <c r="Y615" s="123">
        <f t="shared" si="943"/>
      </c>
      <c r="Z615" s="123">
        <v>5</v>
      </c>
      <c r="AA615" s="123">
        <v>2</v>
      </c>
      <c r="AB615" s="124">
        <v>4391.279999999999</v>
      </c>
      <c r="AC615" s="124">
        <v>0</v>
      </c>
      <c r="AD615" s="120">
        <f t="shared" si="23"/>
      </c>
      <c r="AE615" s="125" t="s">
        <v>121</v>
      </c>
      <c r="AF615" s="126" t="s">
        <v>154</v>
      </c>
      <c r="AG615" s="127">
        <v>2</v>
      </c>
      <c r="AH615" s="128">
        <v>77408</v>
      </c>
      <c r="AI615" s="128">
        <v>1731</v>
      </c>
      <c r="AJ615" s="128">
        <v>2062</v>
      </c>
      <c r="AK615" s="129">
        <v>190</v>
      </c>
      <c r="AL615" s="129">
        <v>191</v>
      </c>
    </row>
    <row r="616">
      <c r="A616" s="108"/>
      <c r="B616" s="130" t="s">
        <v>127</v>
      </c>
      <c r="C616" s="131">
        <v>5</v>
      </c>
      <c r="D616" s="132">
        <f>SUM(D611:D615)</f>
      </c>
      <c r="E616" s="132">
        <f>SUM(E611:E615)</f>
      </c>
      <c r="F616" s="148">
        <f>SUM(F611:F615)</f>
      </c>
      <c r="G616" s="132">
        <f>SUM(G611:G615)</f>
      </c>
      <c r="H616" s="132">
        <f>SUM(H611:H615)</f>
      </c>
      <c r="I616" s="132">
        <f>SUM(I611:I615)</f>
      </c>
      <c r="J616" s="132">
        <f>SUM(J611:J615)</f>
      </c>
      <c r="K616" s="132">
        <f>SUM(K611:K615)</f>
      </c>
      <c r="L616" s="132">
        <f>SUM(L611:L615)</f>
      </c>
      <c r="M616" s="133">
        <f t="shared" si="629"/>
      </c>
      <c r="N616" s="134">
        <f t="shared" si="659"/>
      </c>
      <c r="O616" s="134">
        <f t="shared" si="569"/>
      </c>
      <c r="P616" s="135">
        <f t="shared" si="599"/>
      </c>
      <c r="Q616" s="135">
        <f t="shared" si="779"/>
      </c>
      <c r="R616" s="135">
        <f t="shared" si="809"/>
      </c>
      <c r="S616" s="136">
        <f t="shared" si="689"/>
      </c>
      <c r="T616" s="136">
        <f t="shared" si="719"/>
      </c>
      <c r="U616" s="135">
        <f t="shared" si="998"/>
      </c>
      <c r="V616" s="136">
        <f t="shared" si="749"/>
      </c>
      <c r="W616" s="136">
        <f t="shared" si="1028"/>
      </c>
      <c r="X616" s="135">
        <f t="shared" si="839"/>
      </c>
      <c r="Y616" s="132">
        <f>SUM(Y611:Y615)</f>
      </c>
      <c r="Z616" s="132">
        <f>SUM(Z611:Z615)</f>
      </c>
      <c r="AA616" s="132">
        <f>SUM(AA611:AA615)</f>
      </c>
      <c r="AB616" s="132">
        <f>SUM(AB611:AB615)</f>
      </c>
      <c r="AC616" s="132">
        <f>SUM(AC611:AC615)</f>
      </c>
      <c r="AD616" s="137">
        <f t="shared" si="23"/>
      </c>
      <c r="AE616" s="138"/>
      <c r="AF616" s="139"/>
      <c r="AG616" s="132">
        <f>SUM(AG611:AG615)</f>
      </c>
      <c r="AH616" s="132">
        <f>SUM(AH611:AH615)</f>
      </c>
      <c r="AI616" s="132">
        <f>SUM(AI611:AI615)</f>
      </c>
      <c r="AJ616" s="132">
        <f>SUM(AJ611:AJ615)</f>
      </c>
      <c r="AK616" s="132">
        <f>SUM(AK611:AK615)</f>
      </c>
      <c r="AL616" s="132">
        <f>SUM(AL611:AL615)</f>
      </c>
    </row>
    <row r="617">
      <c r="A617" s="108"/>
      <c r="B617" s="109" t="s">
        <v>139</v>
      </c>
      <c r="C617" s="141" t="s">
        <v>144</v>
      </c>
      <c r="D617" s="143">
        <f t="shared" ref="D617:D621" si="386">E617+F617+G617+H617</f>
      </c>
      <c r="E617" s="166">
        <v>1631.8</v>
      </c>
      <c r="F617" s="145">
        <v>6864.01</v>
      </c>
      <c r="G617" s="113">
        <v>0</v>
      </c>
      <c r="H617" s="113">
        <v>0</v>
      </c>
      <c r="I617" s="113">
        <f t="shared" ref="I617:I621" si="515">AB617+AC617</f>
      </c>
      <c r="J617" s="114">
        <f>656+1320.84</f>
      </c>
      <c r="K617" s="115">
        <f t="shared" ref="K617:K621" si="128">I617-J617</f>
      </c>
      <c r="L617" s="115">
        <f t="shared" ref="L617:L621" si="257">(I617-AC617)/12+AC617</f>
      </c>
      <c r="M617" s="116">
        <f t="shared" si="629"/>
      </c>
      <c r="N617" s="117">
        <f t="shared" si="659"/>
      </c>
      <c r="O617" s="118">
        <f t="shared" si="569"/>
      </c>
      <c r="P617" s="119">
        <f t="shared" si="599"/>
      </c>
      <c r="Q617" s="119">
        <f t="shared" si="779"/>
      </c>
      <c r="R617" s="119">
        <f t="shared" si="809"/>
      </c>
      <c r="S617" s="120">
        <f t="shared" si="689"/>
      </c>
      <c r="T617" s="121">
        <f t="shared" si="719"/>
      </c>
      <c r="U617" s="119">
        <f t="shared" si="998"/>
      </c>
      <c r="V617" s="122">
        <f t="shared" si="749"/>
      </c>
      <c r="W617" s="122">
        <f t="shared" si="1028"/>
      </c>
      <c r="X617" s="119">
        <f t="shared" si="839"/>
      </c>
      <c r="Y617" s="123">
        <f t="shared" ref="Y617:Y621" si="944">Z617+AA617</f>
      </c>
      <c r="Z617" s="123">
        <v>6</v>
      </c>
      <c r="AA617" s="123">
        <v>19</v>
      </c>
      <c r="AB617" s="124">
        <v>15918.479999999981</v>
      </c>
      <c r="AC617" s="124">
        <v>656</v>
      </c>
      <c r="AD617" s="120">
        <f t="shared" si="23"/>
      </c>
      <c r="AE617" s="125" t="s">
        <v>121</v>
      </c>
      <c r="AF617" s="126" t="s">
        <v>154</v>
      </c>
      <c r="AG617" s="127">
        <v>9</v>
      </c>
      <c r="AH617" s="127">
        <v>84224</v>
      </c>
      <c r="AI617" s="128">
        <v>2072</v>
      </c>
      <c r="AJ617" s="128">
        <v>2437</v>
      </c>
      <c r="AK617" s="127">
        <v>238</v>
      </c>
      <c r="AL617" s="129">
        <v>196</v>
      </c>
    </row>
    <row r="618">
      <c r="A618" s="108"/>
      <c r="B618" s="109" t="s">
        <v>139</v>
      </c>
      <c r="C618" s="110" t="s">
        <v>145</v>
      </c>
      <c r="D618" s="143">
        <f t="shared" si="386"/>
      </c>
      <c r="E618" s="147">
        <v>1805.81</v>
      </c>
      <c r="F618" s="145">
        <v>7700.68</v>
      </c>
      <c r="G618" s="113">
        <v>0</v>
      </c>
      <c r="H618" s="113">
        <v>0</v>
      </c>
      <c r="I618" s="113">
        <f t="shared" si="515"/>
      </c>
      <c r="J618" s="114">
        <v>-0.000000000009322320693172514</v>
      </c>
      <c r="K618" s="115">
        <f t="shared" si="128"/>
      </c>
      <c r="L618" s="115">
        <f t="shared" si="257"/>
      </c>
      <c r="M618" s="116">
        <f t="shared" si="629"/>
      </c>
      <c r="N618" s="117">
        <f t="shared" si="659"/>
      </c>
      <c r="O618" s="118">
        <f t="shared" si="569"/>
      </c>
      <c r="P618" s="119">
        <f t="shared" si="599"/>
      </c>
      <c r="Q618" s="119">
        <f t="shared" si="779"/>
      </c>
      <c r="R618" s="119">
        <f t="shared" si="809"/>
      </c>
      <c r="S618" s="120">
        <f t="shared" si="689"/>
      </c>
      <c r="T618" s="121">
        <f t="shared" si="719"/>
      </c>
      <c r="U618" s="119">
        <f t="shared" si="998"/>
      </c>
      <c r="V618" s="122">
        <f t="shared" si="749"/>
      </c>
      <c r="W618" s="122">
        <f t="shared" si="1028"/>
      </c>
      <c r="X618" s="119">
        <f t="shared" si="839"/>
      </c>
      <c r="Y618" s="123">
        <f t="shared" si="944"/>
      </c>
      <c r="Z618" s="123">
        <v>8</v>
      </c>
      <c r="AA618" s="123">
        <v>1</v>
      </c>
      <c r="AB618" s="124">
        <v>48759.360000000015</v>
      </c>
      <c r="AC618" s="124">
        <v>626</v>
      </c>
      <c r="AD618" s="120">
        <f t="shared" si="23"/>
      </c>
      <c r="AE618" s="125" t="s">
        <v>121</v>
      </c>
      <c r="AF618" s="126" t="s">
        <v>154</v>
      </c>
      <c r="AG618" s="127">
        <v>7</v>
      </c>
      <c r="AH618" s="128">
        <v>111370</v>
      </c>
      <c r="AI618" s="128">
        <v>2328</v>
      </c>
      <c r="AJ618" s="128">
        <v>2715</v>
      </c>
      <c r="AK618" s="129">
        <v>256</v>
      </c>
      <c r="AL618" s="129">
        <v>247</v>
      </c>
    </row>
    <row r="619">
      <c r="A619" s="108"/>
      <c r="B619" s="109" t="s">
        <v>139</v>
      </c>
      <c r="C619" s="141" t="s">
        <v>146</v>
      </c>
      <c r="D619" s="143">
        <f t="shared" si="386"/>
      </c>
      <c r="E619" s="169">
        <v>1425.73</v>
      </c>
      <c r="F619" s="170">
        <v>7722.04</v>
      </c>
      <c r="G619" s="113">
        <v>0</v>
      </c>
      <c r="H619" s="113">
        <v>0</v>
      </c>
      <c r="I619" s="171">
        <f t="shared" si="515"/>
      </c>
      <c r="J619" s="114">
        <v>0.00000000001978150976356119</v>
      </c>
      <c r="K619" s="115">
        <f t="shared" si="128"/>
      </c>
      <c r="L619" s="115">
        <f t="shared" si="257"/>
      </c>
      <c r="M619" s="116">
        <f t="shared" si="629"/>
      </c>
      <c r="N619" s="117">
        <f t="shared" si="659"/>
      </c>
      <c r="O619" s="118">
        <f t="shared" si="569"/>
      </c>
      <c r="P619" s="119">
        <f t="shared" si="599"/>
      </c>
      <c r="Q619" s="119">
        <f t="shared" si="779"/>
      </c>
      <c r="R619" s="119">
        <f t="shared" si="809"/>
      </c>
      <c r="S619" s="120">
        <f t="shared" si="689"/>
      </c>
      <c r="T619" s="121">
        <f t="shared" si="719"/>
      </c>
      <c r="U619" s="119">
        <f t="shared" si="998"/>
      </c>
      <c r="V619" s="122">
        <f t="shared" si="749"/>
      </c>
      <c r="W619" s="122">
        <f t="shared" si="1028"/>
      </c>
      <c r="X619" s="119">
        <f t="shared" si="839"/>
      </c>
      <c r="Y619" s="172">
        <f t="shared" si="944"/>
      </c>
      <c r="Z619" s="172">
        <v>8</v>
      </c>
      <c r="AA619" s="172">
        <v>10</v>
      </c>
      <c r="AB619" s="173">
        <v>15252.839999999967</v>
      </c>
      <c r="AC619" s="173">
        <v>1371</v>
      </c>
      <c r="AD619" s="120">
        <f t="shared" si="23"/>
      </c>
      <c r="AE619" s="125" t="s">
        <v>121</v>
      </c>
      <c r="AF619" s="126" t="s">
        <v>154</v>
      </c>
      <c r="AG619" s="129">
        <v>7</v>
      </c>
      <c r="AH619" s="128">
        <v>111370</v>
      </c>
      <c r="AI619" s="128">
        <v>2328</v>
      </c>
      <c r="AJ619" s="128">
        <v>2715</v>
      </c>
      <c r="AK619" s="129">
        <v>256</v>
      </c>
      <c r="AL619" s="129">
        <v>247</v>
      </c>
    </row>
    <row r="620">
      <c r="A620" s="108"/>
      <c r="B620" s="109" t="s">
        <v>139</v>
      </c>
      <c r="C620" s="110" t="s">
        <v>147</v>
      </c>
      <c r="D620" s="143">
        <f t="shared" si="386"/>
      </c>
      <c r="E620" s="147">
        <v>1213.6</v>
      </c>
      <c r="F620" s="145">
        <v>5249.95</v>
      </c>
      <c r="G620" s="113">
        <v>0</v>
      </c>
      <c r="H620" s="113">
        <v>0</v>
      </c>
      <c r="I620" s="113">
        <f t="shared" si="515"/>
      </c>
      <c r="J620" s="114">
        <v>6016.68</v>
      </c>
      <c r="K620" s="115">
        <f t="shared" si="128"/>
      </c>
      <c r="L620" s="115">
        <f t="shared" si="257"/>
      </c>
      <c r="M620" s="116">
        <f t="shared" si="629"/>
      </c>
      <c r="N620" s="117">
        <f t="shared" si="659"/>
      </c>
      <c r="O620" s="118">
        <f t="shared" si="569"/>
      </c>
      <c r="P620" s="119">
        <f t="shared" si="599"/>
      </c>
      <c r="Q620" s="119">
        <f t="shared" si="779"/>
      </c>
      <c r="R620" s="119">
        <f t="shared" si="809"/>
      </c>
      <c r="S620" s="120">
        <f t="shared" si="689"/>
      </c>
      <c r="T620" s="121">
        <f t="shared" si="719"/>
      </c>
      <c r="U620" s="119">
        <f t="shared" si="998"/>
      </c>
      <c r="V620" s="122">
        <f t="shared" si="749"/>
      </c>
      <c r="W620" s="122">
        <f t="shared" si="1028"/>
      </c>
      <c r="X620" s="119">
        <f t="shared" si="839"/>
      </c>
      <c r="Y620" s="123">
        <f t="shared" si="944"/>
      </c>
      <c r="Z620" s="123">
        <v>4</v>
      </c>
      <c r="AA620" s="123">
        <v>6</v>
      </c>
      <c r="AB620" s="124">
        <v>13500</v>
      </c>
      <c r="AC620" s="124">
        <v>0</v>
      </c>
      <c r="AD620" s="120">
        <f t="shared" si="23"/>
      </c>
      <c r="AE620" s="125" t="s">
        <v>121</v>
      </c>
      <c r="AF620" s="126" t="s">
        <v>154</v>
      </c>
      <c r="AG620" s="127">
        <v>5</v>
      </c>
      <c r="AH620" s="128">
        <v>95286</v>
      </c>
      <c r="AI620" s="128">
        <v>2673</v>
      </c>
      <c r="AJ620" s="128">
        <v>3006</v>
      </c>
      <c r="AK620" s="129">
        <v>193</v>
      </c>
      <c r="AL620" s="129">
        <v>176</v>
      </c>
    </row>
    <row r="621">
      <c r="A621" s="108"/>
      <c r="B621" s="109" t="s">
        <v>139</v>
      </c>
      <c r="C621" s="110" t="s">
        <v>148</v>
      </c>
      <c r="D621" s="143">
        <f t="shared" si="386"/>
      </c>
      <c r="E621" s="147">
        <v>388.55</v>
      </c>
      <c r="F621" s="145">
        <v>3391.02</v>
      </c>
      <c r="G621" s="113">
        <v>0</v>
      </c>
      <c r="H621" s="113">
        <v>0</v>
      </c>
      <c r="I621" s="113">
        <f t="shared" si="515"/>
      </c>
      <c r="J621" s="114">
        <v>0</v>
      </c>
      <c r="K621" s="115">
        <f t="shared" si="128"/>
      </c>
      <c r="L621" s="115">
        <f t="shared" si="257"/>
      </c>
      <c r="M621" s="116">
        <f t="shared" si="629"/>
      </c>
      <c r="N621" s="117">
        <f t="shared" si="659"/>
      </c>
      <c r="O621" s="118">
        <f t="shared" si="569"/>
      </c>
      <c r="P621" s="119">
        <f t="shared" si="599"/>
      </c>
      <c r="Q621" s="119">
        <f t="shared" si="779"/>
      </c>
      <c r="R621" s="119">
        <f t="shared" si="809"/>
      </c>
      <c r="S621" s="120">
        <f t="shared" si="689"/>
      </c>
      <c r="T621" s="121">
        <f t="shared" si="719"/>
      </c>
      <c r="U621" s="119">
        <f t="shared" si="998"/>
      </c>
      <c r="V621" s="122">
        <f t="shared" si="749"/>
      </c>
      <c r="W621" s="122">
        <f t="shared" si="1028"/>
      </c>
      <c r="X621" s="119">
        <f t="shared" si="839"/>
      </c>
      <c r="Y621" s="123">
        <f t="shared" si="944"/>
      </c>
      <c r="Z621" s="123">
        <v>3</v>
      </c>
      <c r="AA621" s="123">
        <v>4</v>
      </c>
      <c r="AB621" s="124">
        <v>7049.16</v>
      </c>
      <c r="AC621" s="124">
        <v>0</v>
      </c>
      <c r="AD621" s="120">
        <f t="shared" si="23"/>
      </c>
      <c r="AE621" s="125" t="s">
        <v>121</v>
      </c>
      <c r="AF621" s="126" t="s">
        <v>154</v>
      </c>
      <c r="AG621" s="127">
        <v>4</v>
      </c>
      <c r="AH621" s="128">
        <v>54645</v>
      </c>
      <c r="AI621" s="128">
        <v>2035</v>
      </c>
      <c r="AJ621" s="128">
        <v>2236</v>
      </c>
      <c r="AK621" s="129">
        <v>146</v>
      </c>
      <c r="AL621" s="129">
        <v>122</v>
      </c>
    </row>
    <row r="622">
      <c r="A622" s="108"/>
      <c r="B622" s="130" t="s">
        <v>127</v>
      </c>
      <c r="C622" s="131">
        <v>5</v>
      </c>
      <c r="D622" s="132">
        <f>SUM(D617:D621)</f>
      </c>
      <c r="E622" s="132">
        <f>SUM(E617:E621)</f>
      </c>
      <c r="F622" s="132">
        <f>SUM(F617:F621)</f>
      </c>
      <c r="G622" s="132">
        <f>SUM(G617:G621)</f>
      </c>
      <c r="H622" s="132">
        <f>SUM(H617:H621)</f>
      </c>
      <c r="I622" s="132">
        <f>SUM(I617:I621)</f>
      </c>
      <c r="J622" s="132">
        <f>SUM(J617:J621)</f>
      </c>
      <c r="K622" s="132">
        <f>SUM(K617:K621)</f>
      </c>
      <c r="L622" s="132">
        <f>SUM(L617:L621)</f>
      </c>
      <c r="M622" s="133">
        <f t="shared" si="629"/>
      </c>
      <c r="N622" s="134">
        <f t="shared" si="659"/>
      </c>
      <c r="O622" s="134">
        <f t="shared" si="569"/>
      </c>
      <c r="P622" s="135">
        <f t="shared" si="599"/>
      </c>
      <c r="Q622" s="135">
        <f t="shared" si="779"/>
      </c>
      <c r="R622" s="135">
        <f t="shared" si="809"/>
      </c>
      <c r="S622" s="136">
        <f t="shared" si="689"/>
      </c>
      <c r="T622" s="136">
        <f t="shared" si="719"/>
      </c>
      <c r="U622" s="135">
        <f t="shared" si="998"/>
      </c>
      <c r="V622" s="136">
        <f t="shared" si="749"/>
      </c>
      <c r="W622" s="136">
        <f t="shared" si="1028"/>
      </c>
      <c r="X622" s="135">
        <f t="shared" si="839"/>
      </c>
      <c r="Y622" s="132">
        <f>SUM(Y617:Y621)</f>
      </c>
      <c r="Z622" s="132">
        <f>SUM(Z617:Z621)</f>
      </c>
      <c r="AA622" s="132">
        <f>SUM(AA617:AA621)</f>
      </c>
      <c r="AB622" s="132">
        <f>SUM(AB617:AB621)</f>
      </c>
      <c r="AC622" s="132">
        <f>SUM(AC617:AC621)</f>
      </c>
      <c r="AD622" s="150">
        <f t="shared" si="23"/>
      </c>
      <c r="AE622" s="151"/>
      <c r="AF622" s="139"/>
      <c r="AG622" s="132">
        <f>SUM(AG617:AG621)</f>
      </c>
      <c r="AH622" s="132">
        <f>SUM(AH617:AH621)</f>
      </c>
      <c r="AI622" s="132">
        <f>SUM(AI617:AI621)</f>
      </c>
      <c r="AJ622" s="132">
        <f>SUM(AJ617:AJ621)</f>
      </c>
      <c r="AK622" s="132">
        <f>SUM(AK617:AK621)</f>
      </c>
      <c r="AL622" s="132">
        <f>SUM(AL617:AL621)</f>
      </c>
    </row>
    <row r="623">
      <c r="A623" s="108"/>
      <c r="B623" s="152" t="s">
        <v>127</v>
      </c>
      <c r="C623" s="153">
        <f>C604+C610+C616+C622</f>
      </c>
      <c r="D623" s="167">
        <f>D604+D610+D616+D622</f>
      </c>
      <c r="E623" s="153">
        <f>E604+E610+E616+E622</f>
      </c>
      <c r="F623" s="153">
        <f>F604+F610+F616+F622</f>
      </c>
      <c r="G623" s="153">
        <f>G604+G610+G616+G622</f>
      </c>
      <c r="H623" s="153">
        <f>H604+H610+H616+H622</f>
      </c>
      <c r="I623" s="167">
        <f>I604+I610+I616+I622</f>
      </c>
      <c r="J623" s="153">
        <f>J604+J610+J616+J622</f>
      </c>
      <c r="K623" s="153">
        <f>K604+K610+K616+K622</f>
      </c>
      <c r="L623" s="153">
        <f>L604+L610+L616+L622</f>
      </c>
      <c r="M623" s="154">
        <f t="shared" si="629"/>
      </c>
      <c r="N623" s="154">
        <f t="shared" si="659"/>
      </c>
      <c r="O623" s="154">
        <f t="shared" si="569"/>
      </c>
      <c r="P623" s="154">
        <f t="shared" si="599"/>
      </c>
      <c r="Q623" s="154">
        <f t="shared" si="779"/>
      </c>
      <c r="R623" s="154">
        <f t="shared" si="809"/>
      </c>
      <c r="S623" s="155">
        <f t="shared" si="689"/>
      </c>
      <c r="T623" s="155">
        <f t="shared" si="719"/>
      </c>
      <c r="U623" s="154">
        <f t="shared" si="998"/>
      </c>
      <c r="V623" s="155">
        <f t="shared" si="749"/>
      </c>
      <c r="W623" s="155">
        <f t="shared" si="1028"/>
      </c>
      <c r="X623" s="154">
        <f t="shared" si="839"/>
      </c>
      <c r="Y623" s="156">
        <f>Y604+Y610+Y616+Y622</f>
      </c>
      <c r="Z623" s="156">
        <f>Z604+Z610+Z616+Z622</f>
      </c>
      <c r="AA623" s="156">
        <f>AA604+AA610+AA616+AA622</f>
      </c>
      <c r="AB623" s="156">
        <f>AB604+AB610+AB616+AB622</f>
      </c>
      <c r="AC623" s="156">
        <f>AC604+AC610+AC616+AC622</f>
      </c>
      <c r="AD623" s="157">
        <f>AD604+AD610+AD616+AD622</f>
      </c>
      <c r="AE623" s="158"/>
      <c r="AF623" s="159"/>
      <c r="AG623" s="153">
        <f>AG604+AG610+AG616+AG622</f>
      </c>
      <c r="AH623" s="153">
        <f>AH604+AH610+AH616+AH622</f>
      </c>
      <c r="AI623" s="153">
        <f>AI604+AI610+AI616+AI622</f>
      </c>
      <c r="AJ623" s="153">
        <f>AJ604+AJ610+AJ616+AJ622</f>
      </c>
      <c r="AK623" s="153">
        <f>AK604+AK610+AK616+AK622</f>
      </c>
      <c r="AL623" s="153">
        <f>AL604+AL610+AL616+AL622</f>
      </c>
    </row>
    <row r="624">
      <c r="A624" s="94" t="s">
        <v>81</v>
      </c>
      <c r="B624" s="95" t="s">
        <v>82</v>
      </c>
      <c r="C624" s="95" t="s">
        <v>83</v>
      </c>
      <c r="D624" s="96" t="s">
        <v>84</v>
      </c>
      <c r="E624" s="95" t="s">
        <v>85</v>
      </c>
      <c r="F624" s="95" t="s">
        <v>86</v>
      </c>
      <c r="G624" s="97" t="s">
        <v>87</v>
      </c>
      <c r="H624" s="97" t="s">
        <v>88</v>
      </c>
      <c r="I624" s="96" t="s">
        <v>89</v>
      </c>
      <c r="J624" s="98" t="s">
        <v>90</v>
      </c>
      <c r="K624" s="99" t="s">
        <v>91</v>
      </c>
      <c r="L624" s="99" t="s">
        <v>92</v>
      </c>
      <c r="M624" s="100" t="s">
        <v>93</v>
      </c>
      <c r="N624" s="99" t="s">
        <v>94</v>
      </c>
      <c r="O624" s="95" t="s">
        <v>95</v>
      </c>
      <c r="P624" s="100" t="s">
        <v>96</v>
      </c>
      <c r="Q624" s="101" t="s">
        <v>97</v>
      </c>
      <c r="R624" s="101" t="s">
        <v>98</v>
      </c>
      <c r="S624" s="96" t="s">
        <v>99</v>
      </c>
      <c r="T624" s="102" t="s">
        <v>100</v>
      </c>
      <c r="U624" s="100" t="s">
        <v>101</v>
      </c>
      <c r="V624" s="103" t="s">
        <v>102</v>
      </c>
      <c r="W624" s="104" t="s">
        <v>103</v>
      </c>
      <c r="X624" s="100" t="s">
        <v>104</v>
      </c>
      <c r="Y624" s="105" t="s">
        <v>105</v>
      </c>
      <c r="Z624" s="106" t="s">
        <v>106</v>
      </c>
      <c r="AA624" s="105" t="s">
        <v>107</v>
      </c>
      <c r="AB624" s="107" t="s">
        <v>108</v>
      </c>
      <c r="AC624" s="107" t="s">
        <v>109</v>
      </c>
      <c r="AD624" s="99" t="s">
        <v>110</v>
      </c>
      <c r="AE624" s="98" t="s">
        <v>111</v>
      </c>
      <c r="AF624" s="99" t="s">
        <v>112</v>
      </c>
      <c r="AG624" s="98" t="s">
        <v>113</v>
      </c>
      <c r="AH624" s="98" t="s">
        <v>114</v>
      </c>
      <c r="AI624" s="99" t="s">
        <v>115</v>
      </c>
      <c r="AJ624" s="98" t="s">
        <v>116</v>
      </c>
      <c r="AK624" s="99" t="s">
        <v>117</v>
      </c>
      <c r="AL624" s="98" t="s">
        <v>118</v>
      </c>
    </row>
    <row r="625">
      <c r="A625" s="108">
        <v>46290</v>
      </c>
      <c r="B625" s="109" t="s">
        <v>119</v>
      </c>
      <c r="C625" s="110" t="s">
        <v>120</v>
      </c>
      <c r="D625" s="111">
        <f t="shared" ref="D625:D629" si="387">E625+F625+G625+H625</f>
      </c>
      <c r="E625" s="112">
        <v>1705.75</v>
      </c>
      <c r="F625" s="113">
        <v>9953.4</v>
      </c>
      <c r="G625" s="113">
        <v>0</v>
      </c>
      <c r="H625" s="113">
        <v>0</v>
      </c>
      <c r="I625" s="113">
        <f t="shared" ref="I625:I629" si="516">AB625+AC625</f>
      </c>
      <c r="J625" s="114">
        <f>1591.92+2081.16+4116.96+1480.68</f>
      </c>
      <c r="K625" s="115">
        <f t="shared" ref="K625:K629" si="129">I625-J625</f>
      </c>
      <c r="L625" s="115">
        <f t="shared" ref="L625:L629" si="258">(I625-AC625)/12+AC625</f>
      </c>
      <c r="M625" s="116">
        <f t="shared" ref="M625:M650" si="630">I625/D625</f>
      </c>
      <c r="N625" s="117">
        <f t="shared" ref="N625:N650" si="660">(I625-J625)/D625</f>
      </c>
      <c r="O625" s="118">
        <f t="shared" ref="O625:O650" si="570">(AC625+AB625/12)/D625</f>
      </c>
      <c r="P625" s="119">
        <f t="shared" ref="P625:P650" si="600">I625/AA625</f>
      </c>
      <c r="Q625" s="119">
        <f t="shared" ref="Q625:Q650" si="780">D625/AA625</f>
      </c>
      <c r="R625" s="119">
        <f t="shared" ref="R625:R650" si="810">D625/AG625</f>
      </c>
      <c r="S625" s="120">
        <f t="shared" ref="S625:S650" si="690">AA625/Y625</f>
      </c>
      <c r="T625" s="121">
        <f t="shared" ref="T625:T650" si="720">AI625/AH625</f>
      </c>
      <c r="U625" s="119">
        <f t="shared" ref="U625:U650" si="999">D625/AJ625</f>
      </c>
      <c r="V625" s="122">
        <f t="shared" ref="V625:V650" si="750">AK625/AJ625</f>
      </c>
      <c r="W625" s="122">
        <f t="shared" ref="W625:W650" si="1029">AL625/AJ625</f>
      </c>
      <c r="X625" s="119">
        <f t="shared" ref="X625:X650" si="840">D625/AL625</f>
      </c>
      <c r="Y625" s="123">
        <f t="shared" ref="Y625:Y629" si="945">Z625+AA625</f>
      </c>
      <c r="Z625" s="123">
        <v>12</v>
      </c>
      <c r="AA625" s="123">
        <v>16</v>
      </c>
      <c r="AB625" s="124">
        <v>22005.84</v>
      </c>
      <c r="AC625" s="124">
        <v>7121</v>
      </c>
      <c r="AD625" s="120">
        <f t="shared" ref="AD625:AD650" si="24">AC625/I625</f>
      </c>
      <c r="AE625" s="125" t="s">
        <v>121</v>
      </c>
      <c r="AF625" s="125" t="s">
        <v>137</v>
      </c>
      <c r="AG625" s="127">
        <v>12</v>
      </c>
      <c r="AH625" s="127">
        <v>117313</v>
      </c>
      <c r="AI625" s="128">
        <v>3561</v>
      </c>
      <c r="AJ625" s="128">
        <v>3918</v>
      </c>
      <c r="AK625" s="127">
        <v>378</v>
      </c>
      <c r="AL625" s="129">
        <v>373</v>
      </c>
    </row>
    <row r="626">
      <c r="A626" s="108"/>
      <c r="B626" s="109" t="s">
        <v>119</v>
      </c>
      <c r="C626" s="110" t="s">
        <v>123</v>
      </c>
      <c r="D626" s="111">
        <f t="shared" si="387"/>
      </c>
      <c r="E626" s="110">
        <v>1738.14</v>
      </c>
      <c r="F626" s="113">
        <v>22147.15</v>
      </c>
      <c r="G626" s="113">
        <v>0</v>
      </c>
      <c r="H626" s="113">
        <v>0</v>
      </c>
      <c r="I626" s="113">
        <f t="shared" si="516"/>
      </c>
      <c r="J626" s="114">
        <f>1070.65+344.85+411.48+1105.92+2917.08</f>
      </c>
      <c r="K626" s="115">
        <f t="shared" si="129"/>
      </c>
      <c r="L626" s="115">
        <f t="shared" si="258"/>
      </c>
      <c r="M626" s="116">
        <f t="shared" si="630"/>
      </c>
      <c r="N626" s="117">
        <f t="shared" si="660"/>
      </c>
      <c r="O626" s="118">
        <f t="shared" si="570"/>
      </c>
      <c r="P626" s="119">
        <f t="shared" si="600"/>
      </c>
      <c r="Q626" s="119">
        <f t="shared" si="780"/>
      </c>
      <c r="R626" s="119">
        <f t="shared" si="810"/>
      </c>
      <c r="S626" s="120">
        <f t="shared" si="690"/>
      </c>
      <c r="T626" s="121">
        <f t="shared" si="720"/>
      </c>
      <c r="U626" s="119">
        <f t="shared" si="999"/>
      </c>
      <c r="V626" s="122">
        <f t="shared" si="750"/>
      </c>
      <c r="W626" s="122">
        <f t="shared" si="1029"/>
      </c>
      <c r="X626" s="119">
        <f t="shared" si="840"/>
      </c>
      <c r="Y626" s="123">
        <f t="shared" si="945"/>
      </c>
      <c r="Z626" s="123">
        <v>15</v>
      </c>
      <c r="AA626" s="123">
        <v>16</v>
      </c>
      <c r="AB626" s="124">
        <v>27614.279999999995</v>
      </c>
      <c r="AC626" s="124">
        <v>3772.3500000000004</v>
      </c>
      <c r="AD626" s="120">
        <f t="shared" si="24"/>
      </c>
      <c r="AE626" s="125" t="s">
        <v>121</v>
      </c>
      <c r="AF626" s="125" t="s">
        <v>137</v>
      </c>
      <c r="AG626" s="127">
        <v>13</v>
      </c>
      <c r="AH626" s="128">
        <v>307187</v>
      </c>
      <c r="AI626" s="128">
        <v>5670</v>
      </c>
      <c r="AJ626" s="128">
        <v>6083</v>
      </c>
      <c r="AK626" s="129">
        <v>628</v>
      </c>
      <c r="AL626" s="129">
        <v>657</v>
      </c>
    </row>
    <row r="627">
      <c r="A627" s="108"/>
      <c r="B627" s="109" t="s">
        <v>119</v>
      </c>
      <c r="C627" s="110" t="s">
        <v>124</v>
      </c>
      <c r="D627" s="111">
        <f t="shared" si="387"/>
      </c>
      <c r="E627" s="110">
        <v>1540.9</v>
      </c>
      <c r="F627" s="110">
        <v>7523.34</v>
      </c>
      <c r="G627" s="113">
        <v>0</v>
      </c>
      <c r="H627" s="113">
        <v>0</v>
      </c>
      <c r="I627" s="113">
        <f t="shared" si="516"/>
      </c>
      <c r="J627" s="114">
        <f>2464.56+415.8+1697.4+1697.4+685.8</f>
      </c>
      <c r="K627" s="115">
        <f t="shared" si="129"/>
      </c>
      <c r="L627" s="115">
        <f t="shared" si="258"/>
      </c>
      <c r="M627" s="116">
        <f t="shared" si="630"/>
      </c>
      <c r="N627" s="117">
        <f t="shared" si="660"/>
      </c>
      <c r="O627" s="118">
        <f t="shared" si="570"/>
      </c>
      <c r="P627" s="119">
        <f t="shared" si="600"/>
      </c>
      <c r="Q627" s="119">
        <f t="shared" si="780"/>
      </c>
      <c r="R627" s="119">
        <f t="shared" si="810"/>
      </c>
      <c r="S627" s="120">
        <f t="shared" si="690"/>
      </c>
      <c r="T627" s="121">
        <f t="shared" si="720"/>
      </c>
      <c r="U627" s="119">
        <f t="shared" si="999"/>
      </c>
      <c r="V627" s="122">
        <f t="shared" si="750"/>
      </c>
      <c r="W627" s="122">
        <f t="shared" si="1029"/>
      </c>
      <c r="X627" s="119">
        <f t="shared" si="840"/>
      </c>
      <c r="Y627" s="123">
        <f t="shared" si="945"/>
      </c>
      <c r="Z627" s="123">
        <v>10</v>
      </c>
      <c r="AA627" s="123">
        <v>10</v>
      </c>
      <c r="AB627" s="124">
        <v>12158.64</v>
      </c>
      <c r="AC627" s="124">
        <v>3810.6000000000004</v>
      </c>
      <c r="AD627" s="120">
        <f t="shared" si="24"/>
      </c>
      <c r="AE627" s="125" t="s">
        <v>121</v>
      </c>
      <c r="AF627" s="125" t="s">
        <v>137</v>
      </c>
      <c r="AG627" s="129">
        <v>9</v>
      </c>
      <c r="AH627" s="128">
        <v>122540</v>
      </c>
      <c r="AI627" s="128">
        <v>3525</v>
      </c>
      <c r="AJ627" s="128">
        <v>3893</v>
      </c>
      <c r="AK627" s="129">
        <v>336</v>
      </c>
      <c r="AL627" s="129">
        <v>351</v>
      </c>
    </row>
    <row r="628">
      <c r="A628" s="108"/>
      <c r="B628" s="109" t="s">
        <v>119</v>
      </c>
      <c r="C628" s="110" t="s">
        <v>125</v>
      </c>
      <c r="D628" s="111">
        <f t="shared" si="387"/>
      </c>
      <c r="E628" s="110">
        <v>1233.53</v>
      </c>
      <c r="F628" s="113">
        <v>6202.44</v>
      </c>
      <c r="G628" s="113">
        <v>0</v>
      </c>
      <c r="H628" s="113">
        <v>0</v>
      </c>
      <c r="I628" s="162">
        <f t="shared" si="516"/>
      </c>
      <c r="J628" s="114">
        <f>2917.08+646.92</f>
      </c>
      <c r="K628" s="115">
        <f t="shared" si="129"/>
      </c>
      <c r="L628" s="115">
        <f t="shared" si="258"/>
      </c>
      <c r="M628" s="116">
        <f t="shared" si="630"/>
      </c>
      <c r="N628" s="117">
        <f t="shared" si="660"/>
      </c>
      <c r="O628" s="118">
        <f t="shared" si="570"/>
      </c>
      <c r="P628" s="119">
        <f t="shared" si="600"/>
      </c>
      <c r="Q628" s="119">
        <f t="shared" si="780"/>
      </c>
      <c r="R628" s="119">
        <f t="shared" si="810"/>
      </c>
      <c r="S628" s="120">
        <f t="shared" si="690"/>
      </c>
      <c r="T628" s="121">
        <f t="shared" si="720"/>
      </c>
      <c r="U628" s="119">
        <f t="shared" si="999"/>
      </c>
      <c r="V628" s="122">
        <f t="shared" si="750"/>
      </c>
      <c r="W628" s="122">
        <f t="shared" si="1029"/>
      </c>
      <c r="X628" s="119">
        <f t="shared" si="840"/>
      </c>
      <c r="Y628" s="123">
        <f t="shared" si="945"/>
      </c>
      <c r="Z628" s="123">
        <v>7</v>
      </c>
      <c r="AA628" s="123">
        <v>5</v>
      </c>
      <c r="AB628" s="124">
        <v>12064.680000000008</v>
      </c>
      <c r="AC628" s="124">
        <v>0</v>
      </c>
      <c r="AD628" s="120">
        <f t="shared" si="24"/>
      </c>
      <c r="AE628" s="125" t="s">
        <v>121</v>
      </c>
      <c r="AF628" s="125" t="s">
        <v>137</v>
      </c>
      <c r="AG628" s="127">
        <v>4</v>
      </c>
      <c r="AH628" s="128">
        <v>91818</v>
      </c>
      <c r="AI628" s="128">
        <v>1822</v>
      </c>
      <c r="AJ628" s="128">
        <v>2031</v>
      </c>
      <c r="AK628" s="129">
        <v>224</v>
      </c>
      <c r="AL628" s="129">
        <v>233</v>
      </c>
    </row>
    <row r="629">
      <c r="A629" s="108"/>
      <c r="B629" s="109" t="s">
        <v>119</v>
      </c>
      <c r="C629" s="110" t="s">
        <v>126</v>
      </c>
      <c r="D629" s="111">
        <f t="shared" si="387"/>
      </c>
      <c r="E629" s="112">
        <v>988.69</v>
      </c>
      <c r="F629" s="113">
        <v>6171.79</v>
      </c>
      <c r="G629" s="113">
        <v>0</v>
      </c>
      <c r="H629" s="113">
        <v>0</v>
      </c>
      <c r="I629" s="113">
        <f t="shared" si="516"/>
      </c>
      <c r="J629" s="114">
        <v>0</v>
      </c>
      <c r="K629" s="115">
        <f t="shared" si="129"/>
      </c>
      <c r="L629" s="115">
        <f t="shared" si="258"/>
      </c>
      <c r="M629" s="116">
        <f t="shared" si="630"/>
      </c>
      <c r="N629" s="117">
        <f t="shared" si="660"/>
      </c>
      <c r="O629" s="118">
        <f t="shared" si="570"/>
      </c>
      <c r="P629" s="119">
        <f t="shared" si="600"/>
      </c>
      <c r="Q629" s="119">
        <f t="shared" si="780"/>
      </c>
      <c r="R629" s="119">
        <f t="shared" si="810"/>
      </c>
      <c r="S629" s="120">
        <f t="shared" si="690"/>
      </c>
      <c r="T629" s="121">
        <f t="shared" si="720"/>
      </c>
      <c r="U629" s="119">
        <f t="shared" si="999"/>
      </c>
      <c r="V629" s="122">
        <f t="shared" si="750"/>
      </c>
      <c r="W629" s="122">
        <f t="shared" si="1029"/>
      </c>
      <c r="X629" s="119">
        <f t="shared" si="840"/>
      </c>
      <c r="Y629" s="123">
        <f t="shared" si="945"/>
      </c>
      <c r="Z629" s="123">
        <v>6</v>
      </c>
      <c r="AA629" s="123">
        <v>8</v>
      </c>
      <c r="AB629" s="124">
        <v>12371.4</v>
      </c>
      <c r="AC629" s="124">
        <v>0</v>
      </c>
      <c r="AD629" s="120">
        <f t="shared" si="24"/>
      </c>
      <c r="AE629" s="125" t="s">
        <v>121</v>
      </c>
      <c r="AF629" s="125" t="s">
        <v>137</v>
      </c>
      <c r="AG629" s="127">
        <v>5</v>
      </c>
      <c r="AH629" s="128">
        <v>83223</v>
      </c>
      <c r="AI629" s="128">
        <v>1537</v>
      </c>
      <c r="AJ629" s="128">
        <v>1687</v>
      </c>
      <c r="AK629" s="127">
        <v>208</v>
      </c>
      <c r="AL629" s="127">
        <v>242</v>
      </c>
    </row>
    <row r="630">
      <c r="A630" s="108"/>
      <c r="B630" s="130" t="s">
        <v>127</v>
      </c>
      <c r="C630" s="131">
        <v>5</v>
      </c>
      <c r="D630" s="132">
        <f>SUM(D625:D629)</f>
      </c>
      <c r="E630" s="132">
        <f>SUM(E625:E629)</f>
      </c>
      <c r="F630" s="132">
        <f>SUM(F625:F629)</f>
      </c>
      <c r="G630" s="132">
        <f>SUM(G625:G629)</f>
      </c>
      <c r="H630" s="132">
        <f>SUM(H625:H629)</f>
      </c>
      <c r="I630" s="132">
        <f>SUM(I625:I629)</f>
      </c>
      <c r="J630" s="132">
        <f>SUM(J625:J629)</f>
      </c>
      <c r="K630" s="132">
        <f>SUM(K625:K629)</f>
      </c>
      <c r="L630" s="132">
        <f>SUM(L625:L629)</f>
      </c>
      <c r="M630" s="133">
        <f t="shared" si="630"/>
      </c>
      <c r="N630" s="134">
        <f t="shared" si="660"/>
      </c>
      <c r="O630" s="134">
        <f t="shared" si="570"/>
      </c>
      <c r="P630" s="135">
        <f t="shared" si="600"/>
      </c>
      <c r="Q630" s="135">
        <f t="shared" si="780"/>
      </c>
      <c r="R630" s="135">
        <f t="shared" si="810"/>
      </c>
      <c r="S630" s="136">
        <f t="shared" si="690"/>
      </c>
      <c r="T630" s="136">
        <f t="shared" si="720"/>
      </c>
      <c r="U630" s="135">
        <f t="shared" si="999"/>
      </c>
      <c r="V630" s="136">
        <f t="shared" si="750"/>
      </c>
      <c r="W630" s="136">
        <f t="shared" si="1029"/>
      </c>
      <c r="X630" s="135">
        <f t="shared" si="840"/>
      </c>
      <c r="Y630" s="132">
        <f>SUM(Y625:Y629)</f>
      </c>
      <c r="Z630" s="132">
        <f>SUM(Z625:Z629)</f>
      </c>
      <c r="AA630" s="132">
        <f>SUM(AA625:AA629)</f>
      </c>
      <c r="AB630" s="132">
        <f>SUM(AB625:AB629)</f>
      </c>
      <c r="AC630" s="132">
        <f>SUM(AC625:AC629)</f>
      </c>
      <c r="AD630" s="137">
        <f t="shared" si="24"/>
      </c>
      <c r="AE630" s="138"/>
      <c r="AF630" s="139"/>
      <c r="AG630" s="132">
        <f>SUM(AG625:AG629)</f>
      </c>
      <c r="AH630" s="132">
        <f>SUM(AH625:AH629)</f>
      </c>
      <c r="AI630" s="132">
        <f>SUM(AI625:AI629)</f>
      </c>
      <c r="AJ630" s="132">
        <f>SUM(AJ625:AJ629)</f>
      </c>
      <c r="AK630" s="132">
        <f>SUM(AK625:AK629)</f>
      </c>
      <c r="AL630" s="132">
        <f>SUM(AL625:AL629)</f>
      </c>
    </row>
    <row r="631">
      <c r="A631" s="108"/>
      <c r="B631" s="109" t="s">
        <v>128</v>
      </c>
      <c r="C631" s="110" t="s">
        <v>129</v>
      </c>
      <c r="D631" s="111">
        <f t="shared" ref="D631:D634" si="388">E631+F631+G631+H631</f>
      </c>
      <c r="E631" s="112">
        <v>769.46</v>
      </c>
      <c r="F631" s="113">
        <v>4568.49</v>
      </c>
      <c r="G631" s="113">
        <v>0</v>
      </c>
      <c r="H631" s="113">
        <v>0</v>
      </c>
      <c r="I631" s="113">
        <f t="shared" ref="I631:I634" si="517">AB631+AC631</f>
      </c>
      <c r="J631" s="114">
        <v>0</v>
      </c>
      <c r="K631" s="115">
        <f t="shared" ref="K631:K634" si="130">I631-J631</f>
      </c>
      <c r="L631" s="115">
        <f t="shared" ref="L631:L634" si="259">(I631-AC631)/12+AC631</f>
      </c>
      <c r="M631" s="116">
        <f t="shared" si="630"/>
      </c>
      <c r="N631" s="117">
        <f t="shared" si="660"/>
      </c>
      <c r="O631" s="118">
        <f t="shared" si="570"/>
      </c>
      <c r="P631" s="119">
        <f t="shared" si="600"/>
      </c>
      <c r="Q631" s="119">
        <f t="shared" si="780"/>
      </c>
      <c r="R631" s="119">
        <f t="shared" si="810"/>
      </c>
      <c r="S631" s="120">
        <f t="shared" si="690"/>
      </c>
      <c r="T631" s="121">
        <f t="shared" si="720"/>
      </c>
      <c r="U631" s="119">
        <f t="shared" si="999"/>
      </c>
      <c r="V631" s="122">
        <f t="shared" si="750"/>
      </c>
      <c r="W631" s="122">
        <f t="shared" si="1029"/>
      </c>
      <c r="X631" s="119">
        <f t="shared" si="840"/>
      </c>
      <c r="Y631" s="123">
        <f t="shared" ref="Y631:Y634" si="946">Z631+AA631</f>
      </c>
      <c r="Z631" s="123">
        <v>7</v>
      </c>
      <c r="AA631" s="123">
        <v>2</v>
      </c>
      <c r="AB631" s="124">
        <v>6563.1600000000035</v>
      </c>
      <c r="AC631" s="124">
        <v>0</v>
      </c>
      <c r="AD631" s="120">
        <f t="shared" si="24"/>
      </c>
      <c r="AE631" s="125" t="s">
        <v>121</v>
      </c>
      <c r="AF631" s="125" t="s">
        <v>137</v>
      </c>
      <c r="AG631" s="127">
        <v>2</v>
      </c>
      <c r="AH631" s="128">
        <v>58682</v>
      </c>
      <c r="AI631" s="128">
        <v>1455</v>
      </c>
      <c r="AJ631" s="128">
        <v>1637</v>
      </c>
      <c r="AK631" s="127">
        <v>177</v>
      </c>
      <c r="AL631" s="127">
        <v>184</v>
      </c>
    </row>
    <row r="632">
      <c r="A632" s="108"/>
      <c r="B632" s="109" t="s">
        <v>128</v>
      </c>
      <c r="C632" s="110" t="s">
        <v>130</v>
      </c>
      <c r="D632" s="111">
        <f t="shared" si="388"/>
      </c>
      <c r="E632" s="110">
        <v>615.04</v>
      </c>
      <c r="F632" s="113">
        <v>4034.72</v>
      </c>
      <c r="G632" s="113">
        <v>0</v>
      </c>
      <c r="H632" s="113">
        <v>0</v>
      </c>
      <c r="I632" s="113">
        <f t="shared" si="517"/>
      </c>
      <c r="J632" s="114">
        <f>733.32+899+4116.96</f>
      </c>
      <c r="K632" s="115">
        <f t="shared" si="130"/>
      </c>
      <c r="L632" s="115">
        <f t="shared" si="259"/>
      </c>
      <c r="M632" s="116">
        <f t="shared" si="630"/>
      </c>
      <c r="N632" s="117">
        <f t="shared" si="660"/>
      </c>
      <c r="O632" s="118">
        <f t="shared" si="570"/>
      </c>
      <c r="P632" s="119">
        <f t="shared" si="600"/>
      </c>
      <c r="Q632" s="119">
        <f t="shared" si="780"/>
      </c>
      <c r="R632" s="119">
        <f t="shared" si="810"/>
      </c>
      <c r="S632" s="120">
        <f t="shared" si="690"/>
      </c>
      <c r="T632" s="121">
        <f t="shared" si="720"/>
      </c>
      <c r="U632" s="119">
        <f t="shared" si="999"/>
      </c>
      <c r="V632" s="122">
        <f t="shared" si="750"/>
      </c>
      <c r="W632" s="122">
        <f t="shared" si="1029"/>
      </c>
      <c r="X632" s="119">
        <f t="shared" si="840"/>
      </c>
      <c r="Y632" s="123">
        <f t="shared" si="946"/>
      </c>
      <c r="Z632" s="123">
        <v>2</v>
      </c>
      <c r="AA632" s="123">
        <v>11</v>
      </c>
      <c r="AB632" s="124">
        <v>17986.320000000007</v>
      </c>
      <c r="AC632" s="124">
        <v>2708</v>
      </c>
      <c r="AD632" s="120">
        <f t="shared" si="24"/>
      </c>
      <c r="AE632" s="125" t="s">
        <v>121</v>
      </c>
      <c r="AF632" s="125" t="s">
        <v>137</v>
      </c>
      <c r="AG632" s="127">
        <v>9</v>
      </c>
      <c r="AH632" s="128">
        <v>48257</v>
      </c>
      <c r="AI632" s="128">
        <v>1339</v>
      </c>
      <c r="AJ632" s="128">
        <v>1464</v>
      </c>
      <c r="AK632" s="129">
        <v>147</v>
      </c>
      <c r="AL632" s="129">
        <v>169</v>
      </c>
    </row>
    <row r="633">
      <c r="A633" s="108"/>
      <c r="B633" s="109" t="s">
        <v>128</v>
      </c>
      <c r="C633" s="110" t="s">
        <v>131</v>
      </c>
      <c r="D633" s="111">
        <f t="shared" si="388"/>
      </c>
      <c r="E633" s="110">
        <v>550.18</v>
      </c>
      <c r="F633" s="110">
        <v>4136.23</v>
      </c>
      <c r="G633" s="113">
        <v>0</v>
      </c>
      <c r="H633" s="113">
        <v>0</v>
      </c>
      <c r="I633" s="113">
        <f t="shared" si="517"/>
      </c>
      <c r="J633" s="114">
        <v>0</v>
      </c>
      <c r="K633" s="115">
        <f t="shared" si="130"/>
      </c>
      <c r="L633" s="115">
        <f t="shared" si="259"/>
      </c>
      <c r="M633" s="116">
        <f t="shared" si="630"/>
      </c>
      <c r="N633" s="117">
        <f t="shared" si="660"/>
      </c>
      <c r="O633" s="118">
        <f t="shared" si="570"/>
      </c>
      <c r="P633" s="119">
        <f t="shared" si="600"/>
      </c>
      <c r="Q633" s="119">
        <f t="shared" si="780"/>
      </c>
      <c r="R633" s="119">
        <f t="shared" si="810"/>
      </c>
      <c r="S633" s="120">
        <f t="shared" si="690"/>
      </c>
      <c r="T633" s="121">
        <f t="shared" si="720"/>
      </c>
      <c r="U633" s="119">
        <f t="shared" si="999"/>
      </c>
      <c r="V633" s="122">
        <f t="shared" si="750"/>
      </c>
      <c r="W633" s="122">
        <f t="shared" si="1029"/>
      </c>
      <c r="X633" s="119">
        <f t="shared" si="840"/>
      </c>
      <c r="Y633" s="123">
        <f t="shared" si="946"/>
      </c>
      <c r="Z633" s="123">
        <v>1</v>
      </c>
      <c r="AA633" s="123">
        <v>5</v>
      </c>
      <c r="AB633" s="124">
        <v>6914.1600000000035</v>
      </c>
      <c r="AC633" s="124">
        <v>0</v>
      </c>
      <c r="AD633" s="120">
        <f t="shared" si="24"/>
      </c>
      <c r="AE633" s="125" t="s">
        <v>121</v>
      </c>
      <c r="AF633" s="125" t="s">
        <v>137</v>
      </c>
      <c r="AG633" s="129">
        <v>5</v>
      </c>
      <c r="AH633" s="128">
        <v>51472</v>
      </c>
      <c r="AI633" s="128">
        <v>969</v>
      </c>
      <c r="AJ633" s="128">
        <v>1079</v>
      </c>
      <c r="AK633" s="129">
        <v>133</v>
      </c>
      <c r="AL633" s="129">
        <v>157</v>
      </c>
    </row>
    <row r="634">
      <c r="A634" s="108"/>
      <c r="B634" s="109" t="s">
        <v>128</v>
      </c>
      <c r="C634" s="110" t="s">
        <v>132</v>
      </c>
      <c r="D634" s="111">
        <f t="shared" si="388"/>
      </c>
      <c r="E634" s="110">
        <v>375.16</v>
      </c>
      <c r="F634" s="113">
        <v>5088.4</v>
      </c>
      <c r="G634" s="113">
        <v>0</v>
      </c>
      <c r="H634" s="113">
        <v>0</v>
      </c>
      <c r="I634" s="113">
        <f t="shared" si="517"/>
      </c>
      <c r="J634" s="114">
        <f>6016.68+1797.12</f>
      </c>
      <c r="K634" s="115">
        <f t="shared" si="130"/>
      </c>
      <c r="L634" s="115">
        <f t="shared" si="259"/>
      </c>
      <c r="M634" s="116">
        <f t="shared" si="630"/>
      </c>
      <c r="N634" s="117">
        <f t="shared" si="660"/>
      </c>
      <c r="O634" s="118">
        <f t="shared" si="570"/>
      </c>
      <c r="P634" s="119">
        <f t="shared" si="600"/>
      </c>
      <c r="Q634" s="119">
        <f t="shared" si="780"/>
      </c>
      <c r="R634" s="119">
        <f t="shared" si="810"/>
      </c>
      <c r="S634" s="120">
        <f t="shared" si="690"/>
      </c>
      <c r="T634" s="121">
        <f t="shared" si="720"/>
      </c>
      <c r="U634" s="119">
        <f t="shared" si="999"/>
      </c>
      <c r="V634" s="122">
        <f t="shared" si="750"/>
      </c>
      <c r="W634" s="122">
        <f t="shared" si="1029"/>
      </c>
      <c r="X634" s="119">
        <f t="shared" si="840"/>
      </c>
      <c r="Y634" s="123">
        <f t="shared" si="946"/>
      </c>
      <c r="Z634" s="123">
        <v>9</v>
      </c>
      <c r="AA634" s="123">
        <v>6</v>
      </c>
      <c r="AB634" s="114">
        <v>11545.2</v>
      </c>
      <c r="AC634" s="124">
        <v>899</v>
      </c>
      <c r="AD634" s="120">
        <f t="shared" si="24"/>
      </c>
      <c r="AE634" s="125" t="s">
        <v>121</v>
      </c>
      <c r="AF634" s="125" t="s">
        <v>137</v>
      </c>
      <c r="AG634" s="127">
        <v>3</v>
      </c>
      <c r="AH634" s="128">
        <v>53677</v>
      </c>
      <c r="AI634" s="128">
        <v>1065</v>
      </c>
      <c r="AJ634" s="128">
        <v>1151</v>
      </c>
      <c r="AK634" s="129">
        <v>162</v>
      </c>
      <c r="AL634" s="129">
        <v>196</v>
      </c>
    </row>
    <row r="635">
      <c r="A635" s="108"/>
      <c r="B635" s="130" t="s">
        <v>127</v>
      </c>
      <c r="C635" s="131">
        <v>4</v>
      </c>
      <c r="D635" s="132">
        <f>SUM(D631:D634)</f>
      </c>
      <c r="E635" s="132">
        <f>SUM(E631:E634)</f>
      </c>
      <c r="F635" s="132">
        <f>SUM(F631:F634)</f>
      </c>
      <c r="G635" s="132">
        <f>SUM(G631:G634)</f>
      </c>
      <c r="H635" s="132">
        <f>SUM(H631:H634)</f>
      </c>
      <c r="I635" s="132">
        <f>SUM(I631:I634)</f>
      </c>
      <c r="J635" s="132">
        <f>SUM(J631:J634)</f>
      </c>
      <c r="K635" s="132">
        <f>SUM(K631:K634)</f>
      </c>
      <c r="L635" s="132">
        <f>SUM(L631:L634)</f>
      </c>
      <c r="M635" s="133">
        <f t="shared" si="630"/>
      </c>
      <c r="N635" s="134">
        <f t="shared" si="660"/>
      </c>
      <c r="O635" s="134">
        <f t="shared" si="570"/>
      </c>
      <c r="P635" s="135">
        <f t="shared" si="600"/>
      </c>
      <c r="Q635" s="135">
        <f t="shared" si="780"/>
      </c>
      <c r="R635" s="135">
        <f t="shared" si="810"/>
      </c>
      <c r="S635" s="136">
        <f t="shared" si="690"/>
      </c>
      <c r="T635" s="136">
        <f t="shared" si="720"/>
      </c>
      <c r="U635" s="135">
        <f t="shared" si="999"/>
      </c>
      <c r="V635" s="136">
        <f t="shared" si="750"/>
      </c>
      <c r="W635" s="136">
        <f t="shared" si="1029"/>
      </c>
      <c r="X635" s="135">
        <f t="shared" si="840"/>
      </c>
      <c r="Y635" s="132">
        <f>SUM(Y631:Y634)</f>
      </c>
      <c r="Z635" s="132">
        <f>SUM(Z631:Z634)</f>
      </c>
      <c r="AA635" s="132">
        <f>SUM(AA631:AA634)</f>
      </c>
      <c r="AB635" s="132">
        <f>SUM(AB631:AB634)</f>
      </c>
      <c r="AC635" s="132">
        <f>SUM(AC631:AC634)</f>
      </c>
      <c r="AD635" s="137">
        <f t="shared" si="24"/>
      </c>
      <c r="AE635" s="138"/>
      <c r="AF635" s="139"/>
      <c r="AG635" s="132">
        <f>SUM(AG631:AG634)</f>
      </c>
      <c r="AH635" s="132">
        <f>SUM(AH631:AH634)</f>
      </c>
      <c r="AI635" s="132">
        <f>SUM(AI631:AI634)</f>
      </c>
      <c r="AJ635" s="132">
        <f>SUM(AJ631:AJ634)</f>
      </c>
      <c r="AK635" s="132">
        <f>SUM(AK631:AK634)</f>
      </c>
      <c r="AL635" s="132">
        <f>SUM(AL631:AL634)</f>
      </c>
    </row>
    <row r="636">
      <c r="A636" s="108"/>
      <c r="B636" s="109" t="s">
        <v>155</v>
      </c>
      <c r="C636" s="110" t="s">
        <v>134</v>
      </c>
      <c r="D636" s="111">
        <f t="shared" ref="D636:D637" si="389">E636+F636+G636+H636</f>
      </c>
      <c r="E636" s="110">
        <v>464.14</v>
      </c>
      <c r="F636" s="140">
        <v>5629.95</v>
      </c>
      <c r="G636" s="113">
        <v>0</v>
      </c>
      <c r="H636" s="113">
        <v>0</v>
      </c>
      <c r="I636" s="183">
        <f t="shared" ref="I636:I637" si="518">AB636+AC636</f>
      </c>
      <c r="J636" s="160">
        <v>0</v>
      </c>
      <c r="K636" s="115">
        <f t="shared" ref="K636:K637" si="131">I636-J636</f>
      </c>
      <c r="L636" s="115">
        <f t="shared" ref="L636:L637" si="260">(I636-AC636)/12+AC636</f>
      </c>
      <c r="M636" s="116">
        <f t="shared" si="630"/>
      </c>
      <c r="N636" s="117">
        <f t="shared" si="660"/>
      </c>
      <c r="O636" s="118">
        <f t="shared" si="570"/>
      </c>
      <c r="P636" s="119">
        <f t="shared" si="600"/>
      </c>
      <c r="Q636" s="119">
        <f t="shared" si="780"/>
      </c>
      <c r="R636" s="119">
        <f t="shared" si="810"/>
      </c>
      <c r="S636" s="120">
        <f t="shared" si="690"/>
      </c>
      <c r="T636" s="121">
        <f t="shared" si="720"/>
      </c>
      <c r="U636" s="119">
        <f t="shared" si="999"/>
      </c>
      <c r="V636" s="122">
        <f t="shared" si="750"/>
      </c>
      <c r="W636" s="122">
        <f t="shared" si="1029"/>
      </c>
      <c r="X636" s="119">
        <f t="shared" si="840"/>
      </c>
      <c r="Y636" s="123">
        <f t="shared" ref="Y636:Y637" si="947">Z636+AA636</f>
      </c>
      <c r="Z636" s="123">
        <v>4</v>
      </c>
      <c r="AA636" s="123">
        <v>3</v>
      </c>
      <c r="AB636" s="124">
        <v>8393.76</v>
      </c>
      <c r="AC636" s="124">
        <v>1437</v>
      </c>
      <c r="AD636" s="120">
        <f t="shared" si="24"/>
      </c>
      <c r="AE636" s="125" t="s">
        <v>121</v>
      </c>
      <c r="AF636" s="125" t="s">
        <v>137</v>
      </c>
      <c r="AG636" s="127">
        <v>5</v>
      </c>
      <c r="AH636" s="128">
        <v>66091</v>
      </c>
      <c r="AI636" s="128">
        <v>1338</v>
      </c>
      <c r="AJ636" s="128">
        <v>1418</v>
      </c>
      <c r="AK636" s="129">
        <v>197</v>
      </c>
      <c r="AL636" s="129">
        <v>224</v>
      </c>
    </row>
    <row r="637">
      <c r="A637" s="108"/>
      <c r="B637" s="109" t="s">
        <v>155</v>
      </c>
      <c r="C637" s="110" t="s">
        <v>135</v>
      </c>
      <c r="D637" s="111">
        <f t="shared" si="389"/>
      </c>
      <c r="E637" s="141">
        <v>626.68</v>
      </c>
      <c r="F637" s="142">
        <v>7148.02</v>
      </c>
      <c r="G637" s="171">
        <v>0</v>
      </c>
      <c r="H637" s="113">
        <v>0</v>
      </c>
      <c r="I637" s="184">
        <f t="shared" si="518"/>
      </c>
      <c r="J637" s="160">
        <f>923.4+518.4+676.08</f>
      </c>
      <c r="K637" s="115">
        <f t="shared" si="131"/>
      </c>
      <c r="L637" s="115">
        <f t="shared" si="260"/>
      </c>
      <c r="M637" s="116">
        <f t="shared" si="630"/>
      </c>
      <c r="N637" s="117">
        <f t="shared" si="660"/>
      </c>
      <c r="O637" s="118">
        <f t="shared" si="570"/>
      </c>
      <c r="P637" s="119">
        <f t="shared" si="600"/>
      </c>
      <c r="Q637" s="119">
        <f t="shared" si="780"/>
      </c>
      <c r="R637" s="119">
        <f t="shared" si="810"/>
      </c>
      <c r="S637" s="120">
        <f t="shared" si="690"/>
      </c>
      <c r="T637" s="121">
        <f t="shared" si="720"/>
      </c>
      <c r="U637" s="119">
        <f t="shared" si="999"/>
      </c>
      <c r="V637" s="122">
        <f t="shared" si="750"/>
      </c>
      <c r="W637" s="122">
        <f t="shared" si="1029"/>
      </c>
      <c r="X637" s="119">
        <f t="shared" si="840"/>
      </c>
      <c r="Y637" s="172">
        <f t="shared" si="947"/>
      </c>
      <c r="Z637" s="123">
        <v>13</v>
      </c>
      <c r="AA637" s="123">
        <v>10</v>
      </c>
      <c r="AB637" s="173">
        <v>12199.679999999993</v>
      </c>
      <c r="AC637" s="124">
        <v>1204</v>
      </c>
      <c r="AD637" s="120">
        <f t="shared" si="24"/>
      </c>
      <c r="AE637" s="125" t="s">
        <v>121</v>
      </c>
      <c r="AF637" s="126" t="s">
        <v>154</v>
      </c>
      <c r="AG637" s="129">
        <v>8</v>
      </c>
      <c r="AH637" s="128">
        <v>100060</v>
      </c>
      <c r="AI637" s="128">
        <v>1663</v>
      </c>
      <c r="AJ637" s="128">
        <v>1752</v>
      </c>
      <c r="AK637" s="129">
        <v>234</v>
      </c>
      <c r="AL637" s="129">
        <v>246</v>
      </c>
    </row>
    <row r="638">
      <c r="A638" s="108"/>
      <c r="B638" s="130" t="s">
        <v>127</v>
      </c>
      <c r="C638" s="131">
        <v>2</v>
      </c>
      <c r="D638" s="185">
        <f>SUM(D636:D637)</f>
      </c>
      <c r="E638" s="185">
        <f>SUM(E636:E637)</f>
      </c>
      <c r="F638" s="185">
        <f>SUM(F636:F637)</f>
      </c>
      <c r="G638" s="185">
        <f>SUM(G636:G637)</f>
      </c>
      <c r="H638" s="185">
        <f>SUM(H636:H637)</f>
      </c>
      <c r="I638" s="185">
        <f>SUM(I636:I637)</f>
      </c>
      <c r="J638" s="185">
        <f>SUM(J636:J637)</f>
      </c>
      <c r="K638" s="185">
        <f>SUM(K636:K637)</f>
      </c>
      <c r="L638" s="185">
        <f>SUM(L636:L637)</f>
      </c>
      <c r="M638" s="133">
        <f t="shared" si="630"/>
      </c>
      <c r="N638" s="134">
        <f t="shared" si="660"/>
      </c>
      <c r="O638" s="134">
        <f t="shared" si="570"/>
      </c>
      <c r="P638" s="135">
        <f t="shared" si="600"/>
      </c>
      <c r="Q638" s="135">
        <f t="shared" si="780"/>
      </c>
      <c r="R638" s="135">
        <f t="shared" si="810"/>
      </c>
      <c r="S638" s="136">
        <f t="shared" si="690"/>
      </c>
      <c r="T638" s="136">
        <f t="shared" si="720"/>
      </c>
      <c r="U638" s="135">
        <f t="shared" si="999"/>
      </c>
      <c r="V638" s="136">
        <f t="shared" si="750"/>
      </c>
      <c r="W638" s="136">
        <f t="shared" si="1029"/>
      </c>
      <c r="X638" s="135">
        <f t="shared" si="840"/>
      </c>
      <c r="Y638" s="185">
        <f>SUM(Y636:Y637)</f>
      </c>
      <c r="Z638" s="185">
        <f>SUM(Z636:Z637)</f>
      </c>
      <c r="AA638" s="185">
        <f>SUM(AA636:AA637)</f>
      </c>
      <c r="AB638" s="185">
        <f>SUM(AB636:AB637)</f>
      </c>
      <c r="AC638" s="185">
        <f>SUM(AC636:AC637)</f>
      </c>
      <c r="AD638" s="137">
        <f t="shared" si="24"/>
      </c>
      <c r="AE638" s="138"/>
      <c r="AF638" s="139"/>
      <c r="AG638" s="185">
        <f>SUM(AG636:AG637)</f>
      </c>
      <c r="AH638" s="185">
        <f>SUM(AH636:AH637)</f>
      </c>
      <c r="AI638" s="185">
        <f>SUM(AI636:AI637)</f>
      </c>
      <c r="AJ638" s="185">
        <f>SUM(AJ636:AJ637)</f>
      </c>
      <c r="AK638" s="185">
        <f>SUM(AK636:AK637)</f>
      </c>
      <c r="AL638" s="185">
        <f>SUM(AL636:AL637)</f>
      </c>
    </row>
    <row r="639">
      <c r="A639" s="108"/>
      <c r="B639" s="109" t="s">
        <v>133</v>
      </c>
      <c r="C639" s="110" t="s">
        <v>138</v>
      </c>
      <c r="D639" s="111">
        <f t="shared" ref="D639:D642" si="390">E639+F639+G639+H639</f>
      </c>
      <c r="E639" s="110">
        <v>444.61</v>
      </c>
      <c r="F639" s="140">
        <v>7643.42</v>
      </c>
      <c r="G639" s="113">
        <v>0</v>
      </c>
      <c r="H639" s="113">
        <v>0</v>
      </c>
      <c r="I639" s="183">
        <f t="shared" ref="I639:I642" si="519">AB639+AC639</f>
      </c>
      <c r="J639" s="160">
        <f>1953.72+2114.64</f>
      </c>
      <c r="K639" s="115">
        <f t="shared" ref="K639:K642" si="132">I639-J639</f>
      </c>
      <c r="L639" s="115">
        <f t="shared" ref="L639:L642" si="261">(I639-AC639)/12+AC639</f>
      </c>
      <c r="M639" s="116">
        <f t="shared" si="630"/>
      </c>
      <c r="N639" s="117">
        <f t="shared" si="660"/>
      </c>
      <c r="O639" s="118">
        <f t="shared" si="570"/>
      </c>
      <c r="P639" s="119">
        <f t="shared" si="600"/>
      </c>
      <c r="Q639" s="119">
        <f t="shared" si="780"/>
      </c>
      <c r="R639" s="119">
        <f t="shared" si="810"/>
      </c>
      <c r="S639" s="120">
        <f t="shared" si="690"/>
      </c>
      <c r="T639" s="121">
        <f t="shared" si="720"/>
      </c>
      <c r="U639" s="119">
        <f t="shared" si="999"/>
      </c>
      <c r="V639" s="122">
        <f t="shared" si="750"/>
      </c>
      <c r="W639" s="122">
        <f t="shared" si="1029"/>
      </c>
      <c r="X639" s="119">
        <f t="shared" si="840"/>
      </c>
      <c r="Y639" s="123">
        <f t="shared" ref="Y639:Y642" si="948">Z639+AA639</f>
      </c>
      <c r="Z639" s="123">
        <v>0</v>
      </c>
      <c r="AA639" s="123">
        <v>8</v>
      </c>
      <c r="AB639" s="124">
        <v>11357.76000000001</v>
      </c>
      <c r="AC639" s="124">
        <v>0</v>
      </c>
      <c r="AD639" s="120">
        <f t="shared" si="24"/>
      </c>
      <c r="AE639" s="125" t="s">
        <v>121</v>
      </c>
      <c r="AF639" s="126" t="s">
        <v>154</v>
      </c>
      <c r="AG639" s="127">
        <v>8</v>
      </c>
      <c r="AH639" s="128">
        <v>111407</v>
      </c>
      <c r="AI639" s="128">
        <v>1644</v>
      </c>
      <c r="AJ639" s="128">
        <v>1731</v>
      </c>
      <c r="AK639" s="129">
        <v>214</v>
      </c>
      <c r="AL639" s="129">
        <v>234</v>
      </c>
    </row>
    <row r="640">
      <c r="A640" s="108"/>
      <c r="B640" s="109" t="s">
        <v>133</v>
      </c>
      <c r="C640" s="110" t="s">
        <v>140</v>
      </c>
      <c r="D640" s="111">
        <f t="shared" si="390"/>
      </c>
      <c r="E640" s="110">
        <v>553.49</v>
      </c>
      <c r="F640" s="140">
        <v>7596.68</v>
      </c>
      <c r="G640" s="113">
        <v>0</v>
      </c>
      <c r="H640" s="113">
        <v>0</v>
      </c>
      <c r="I640" s="183">
        <f t="shared" si="519"/>
      </c>
      <c r="J640" s="160">
        <f>590.76+1016.28+2081.16+1622.16</f>
      </c>
      <c r="K640" s="115">
        <f t="shared" si="132"/>
      </c>
      <c r="L640" s="115">
        <f t="shared" si="261"/>
      </c>
      <c r="M640" s="116">
        <f t="shared" si="630"/>
      </c>
      <c r="N640" s="117">
        <f t="shared" si="660"/>
      </c>
      <c r="O640" s="118">
        <f t="shared" si="570"/>
      </c>
      <c r="P640" s="119">
        <f t="shared" si="600"/>
      </c>
      <c r="Q640" s="119">
        <f t="shared" si="780"/>
      </c>
      <c r="R640" s="119">
        <f t="shared" si="810"/>
      </c>
      <c r="S640" s="120">
        <f t="shared" si="690"/>
      </c>
      <c r="T640" s="121">
        <f t="shared" si="720"/>
      </c>
      <c r="U640" s="119">
        <f t="shared" si="999"/>
      </c>
      <c r="V640" s="122">
        <f t="shared" si="750"/>
      </c>
      <c r="W640" s="122">
        <f t="shared" si="1029"/>
      </c>
      <c r="X640" s="119">
        <f t="shared" si="840"/>
      </c>
      <c r="Y640" s="123">
        <f t="shared" si="948"/>
      </c>
      <c r="Z640" s="123">
        <v>7</v>
      </c>
      <c r="AA640" s="123">
        <v>10</v>
      </c>
      <c r="AB640" s="124">
        <v>15942.959999999992</v>
      </c>
      <c r="AC640" s="124">
        <v>0</v>
      </c>
      <c r="AD640" s="120">
        <f t="shared" si="24"/>
      </c>
      <c r="AE640" s="125" t="s">
        <v>121</v>
      </c>
      <c r="AF640" s="126" t="s">
        <v>154</v>
      </c>
      <c r="AG640" s="127">
        <v>10</v>
      </c>
      <c r="AH640" s="128">
        <v>100234</v>
      </c>
      <c r="AI640" s="128">
        <v>1841</v>
      </c>
      <c r="AJ640" s="128">
        <v>1965</v>
      </c>
      <c r="AK640" s="129">
        <v>186</v>
      </c>
      <c r="AL640" s="129">
        <v>228</v>
      </c>
    </row>
    <row r="641">
      <c r="A641" s="108"/>
      <c r="B641" s="109" t="s">
        <v>133</v>
      </c>
      <c r="C641" s="141" t="s">
        <v>141</v>
      </c>
      <c r="D641" s="111">
        <f t="shared" si="390"/>
      </c>
      <c r="E641" s="110">
        <v>598.4</v>
      </c>
      <c r="F641" s="140">
        <v>9849.5</v>
      </c>
      <c r="G641" s="113">
        <v>0</v>
      </c>
      <c r="H641" s="113">
        <v>0</v>
      </c>
      <c r="I641" s="183">
        <f t="shared" si="519"/>
      </c>
      <c r="J641" s="160">
        <v>405</v>
      </c>
      <c r="K641" s="115">
        <f t="shared" si="132"/>
      </c>
      <c r="L641" s="115">
        <f t="shared" si="261"/>
      </c>
      <c r="M641" s="116">
        <f t="shared" si="630"/>
      </c>
      <c r="N641" s="117">
        <f t="shared" si="660"/>
      </c>
      <c r="O641" s="118">
        <f t="shared" si="570"/>
      </c>
      <c r="P641" s="119">
        <f t="shared" si="600"/>
      </c>
      <c r="Q641" s="119">
        <f t="shared" si="780"/>
      </c>
      <c r="R641" s="119">
        <f t="shared" si="810"/>
      </c>
      <c r="S641" s="120">
        <f t="shared" si="690"/>
      </c>
      <c r="T641" s="121">
        <f t="shared" si="720"/>
      </c>
      <c r="U641" s="119">
        <f t="shared" si="999"/>
      </c>
      <c r="V641" s="122">
        <f t="shared" si="750"/>
      </c>
      <c r="W641" s="122">
        <f t="shared" si="1029"/>
      </c>
      <c r="X641" s="119">
        <f t="shared" si="840"/>
      </c>
      <c r="Y641" s="123">
        <f t="shared" si="948"/>
      </c>
      <c r="Z641" s="123">
        <v>7</v>
      </c>
      <c r="AA641" s="123">
        <v>8</v>
      </c>
      <c r="AB641" s="124">
        <v>10920.600000000006</v>
      </c>
      <c r="AC641" s="124">
        <v>0</v>
      </c>
      <c r="AD641" s="120">
        <f t="shared" si="24"/>
      </c>
      <c r="AE641" s="125" t="s">
        <v>121</v>
      </c>
      <c r="AF641" s="126" t="s">
        <v>154</v>
      </c>
      <c r="AG641" s="129">
        <v>7</v>
      </c>
      <c r="AH641" s="128">
        <v>134432</v>
      </c>
      <c r="AI641" s="128">
        <v>1976</v>
      </c>
      <c r="AJ641" s="128">
        <v>2105</v>
      </c>
      <c r="AK641" s="129">
        <v>248</v>
      </c>
      <c r="AL641" s="129">
        <v>322</v>
      </c>
    </row>
    <row r="642">
      <c r="A642" s="108"/>
      <c r="B642" s="109" t="s">
        <v>133</v>
      </c>
      <c r="C642" s="141" t="s">
        <v>142</v>
      </c>
      <c r="D642" s="111">
        <f t="shared" si="390"/>
      </c>
      <c r="E642" s="110">
        <v>499.55</v>
      </c>
      <c r="F642" s="140">
        <v>12080.12</v>
      </c>
      <c r="G642" s="113">
        <v>0</v>
      </c>
      <c r="H642" s="113">
        <v>0</v>
      </c>
      <c r="I642" s="183">
        <f t="shared" si="519"/>
      </c>
      <c r="J642" s="160">
        <v>2299.32</v>
      </c>
      <c r="K642" s="115">
        <f t="shared" si="132"/>
      </c>
      <c r="L642" s="115">
        <f t="shared" si="261"/>
      </c>
      <c r="M642" s="116">
        <f t="shared" si="630"/>
      </c>
      <c r="N642" s="117">
        <f t="shared" si="660"/>
      </c>
      <c r="O642" s="118">
        <f t="shared" si="570"/>
      </c>
      <c r="P642" s="119">
        <f t="shared" si="600"/>
      </c>
      <c r="Q642" s="119">
        <f t="shared" si="780"/>
      </c>
      <c r="R642" s="119">
        <f t="shared" si="810"/>
      </c>
      <c r="S642" s="120">
        <f t="shared" si="690"/>
      </c>
      <c r="T642" s="121">
        <f t="shared" si="720"/>
      </c>
      <c r="U642" s="119">
        <f t="shared" si="999"/>
      </c>
      <c r="V642" s="122">
        <f t="shared" si="750"/>
      </c>
      <c r="W642" s="122">
        <f t="shared" si="1029"/>
      </c>
      <c r="X642" s="119">
        <f t="shared" si="840"/>
      </c>
      <c r="Y642" s="123">
        <f t="shared" si="948"/>
      </c>
      <c r="Z642" s="123">
        <v>16</v>
      </c>
      <c r="AA642" s="123">
        <v>17</v>
      </c>
      <c r="AB642" s="124">
        <v>22280.880000000005</v>
      </c>
      <c r="AC642" s="124">
        <v>1045</v>
      </c>
      <c r="AD642" s="120">
        <f t="shared" si="24"/>
      </c>
      <c r="AE642" s="125" t="s">
        <v>121</v>
      </c>
      <c r="AF642" s="126" t="s">
        <v>154</v>
      </c>
      <c r="AG642" s="127">
        <v>11</v>
      </c>
      <c r="AH642" s="128">
        <v>174706</v>
      </c>
      <c r="AI642" s="128">
        <v>2312</v>
      </c>
      <c r="AJ642" s="128">
        <v>2435</v>
      </c>
      <c r="AK642" s="129">
        <v>365</v>
      </c>
      <c r="AL642" s="127">
        <v>413</v>
      </c>
    </row>
    <row r="643">
      <c r="A643" s="108"/>
      <c r="B643" s="130" t="s">
        <v>127</v>
      </c>
      <c r="C643" s="131">
        <v>4</v>
      </c>
      <c r="D643" s="132">
        <f>SUM(D639:D642)</f>
      </c>
      <c r="E643" s="132">
        <f>SUM(E639:E642)</f>
      </c>
      <c r="F643" s="132">
        <f>SUM(F639:F642)</f>
      </c>
      <c r="G643" s="132">
        <f>SUM(G639:G642)</f>
      </c>
      <c r="H643" s="132">
        <f>SUM(H639:H642)</f>
      </c>
      <c r="I643" s="132">
        <f>SUM(I639:I642)</f>
      </c>
      <c r="J643" s="132">
        <f>SUM(J639:J642)</f>
      </c>
      <c r="K643" s="132">
        <f>SUM(K639:K642)</f>
      </c>
      <c r="L643" s="132">
        <f>SUM(L639:L642)</f>
      </c>
      <c r="M643" s="133">
        <f t="shared" si="630"/>
      </c>
      <c r="N643" s="134">
        <f t="shared" si="660"/>
      </c>
      <c r="O643" s="134">
        <f t="shared" si="570"/>
      </c>
      <c r="P643" s="135">
        <f t="shared" si="600"/>
      </c>
      <c r="Q643" s="135">
        <f t="shared" si="780"/>
      </c>
      <c r="R643" s="135">
        <f t="shared" si="810"/>
      </c>
      <c r="S643" s="136">
        <f t="shared" si="690"/>
      </c>
      <c r="T643" s="136">
        <f t="shared" si="720"/>
      </c>
      <c r="U643" s="135">
        <f t="shared" si="999"/>
      </c>
      <c r="V643" s="136">
        <f t="shared" si="750"/>
      </c>
      <c r="W643" s="136">
        <f t="shared" si="1029"/>
      </c>
      <c r="X643" s="135">
        <f t="shared" si="840"/>
      </c>
      <c r="Y643" s="132">
        <f>SUM(Y639:Y642)</f>
      </c>
      <c r="Z643" s="132">
        <f>SUM(Z639:Z642)</f>
      </c>
      <c r="AA643" s="132">
        <f>SUM(AA639:AA642)</f>
      </c>
      <c r="AB643" s="132">
        <f>SUM(AB639:AB642)</f>
      </c>
      <c r="AC643" s="132">
        <v>1045</v>
      </c>
      <c r="AD643" s="137">
        <f t="shared" si="24"/>
      </c>
      <c r="AE643" s="138"/>
      <c r="AF643" s="139"/>
      <c r="AG643" s="132">
        <f>SUM(AG639:AG642)</f>
      </c>
      <c r="AH643" s="132">
        <f>SUM(AH639:AH642)</f>
      </c>
      <c r="AI643" s="132">
        <f>SUM(AI639:AI642)</f>
      </c>
      <c r="AJ643" s="132">
        <f>SUM(AJ639:AJ642)</f>
      </c>
      <c r="AK643" s="132">
        <f>SUM(AK639:AK642)</f>
      </c>
      <c r="AL643" s="132">
        <f>SUM(AL639:AL642)</f>
      </c>
    </row>
    <row r="644">
      <c r="A644" s="108"/>
      <c r="B644" s="109" t="s">
        <v>139</v>
      </c>
      <c r="C644" s="141" t="s">
        <v>144</v>
      </c>
      <c r="D644" s="111">
        <f t="shared" ref="D644:D648" si="391">E644+F644+G644+H644</f>
      </c>
      <c r="E644" s="112">
        <v>539.85</v>
      </c>
      <c r="F644" s="113">
        <v>11135.54</v>
      </c>
      <c r="G644" s="113">
        <v>0</v>
      </c>
      <c r="H644" s="113">
        <v>0</v>
      </c>
      <c r="I644" s="113">
        <f t="shared" ref="I644:I648" si="520">AB644+AC644</f>
      </c>
      <c r="J644" s="114">
        <v>-0.000000000007275957614183426</v>
      </c>
      <c r="K644" s="115">
        <f t="shared" ref="K644:K648" si="133">I644-J644</f>
      </c>
      <c r="L644" s="115">
        <f t="shared" ref="L644:L648" si="262">(I644-AC644)/12+AC644</f>
      </c>
      <c r="M644" s="116">
        <f t="shared" si="630"/>
      </c>
      <c r="N644" s="117">
        <f t="shared" si="660"/>
      </c>
      <c r="O644" s="118">
        <f t="shared" si="570"/>
      </c>
      <c r="P644" s="119">
        <f t="shared" si="600"/>
      </c>
      <c r="Q644" s="119">
        <f t="shared" si="780"/>
      </c>
      <c r="R644" s="119">
        <f t="shared" si="810"/>
      </c>
      <c r="S644" s="120">
        <f t="shared" si="690"/>
      </c>
      <c r="T644" s="121">
        <f t="shared" si="720"/>
      </c>
      <c r="U644" s="119">
        <f t="shared" si="999"/>
      </c>
      <c r="V644" s="122">
        <f t="shared" si="750"/>
      </c>
      <c r="W644" s="122">
        <f t="shared" si="1029"/>
      </c>
      <c r="X644" s="119">
        <f t="shared" si="840"/>
      </c>
      <c r="Y644" s="123">
        <f t="shared" ref="Y644:Y648" si="949">Z644+AA644</f>
      </c>
      <c r="Z644" s="123">
        <v>2</v>
      </c>
      <c r="AA644" s="123">
        <v>7</v>
      </c>
      <c r="AB644" s="124">
        <v>10379.879999999976</v>
      </c>
      <c r="AC644" s="124">
        <v>0</v>
      </c>
      <c r="AD644" s="120">
        <f t="shared" si="24"/>
      </c>
      <c r="AE644" s="125" t="s">
        <v>121</v>
      </c>
      <c r="AF644" s="126" t="s">
        <v>154</v>
      </c>
      <c r="AG644" s="127">
        <v>6</v>
      </c>
      <c r="AH644" s="127">
        <v>155428</v>
      </c>
      <c r="AI644" s="128">
        <v>2564</v>
      </c>
      <c r="AJ644" s="128">
        <v>2693</v>
      </c>
      <c r="AK644" s="127">
        <v>306</v>
      </c>
      <c r="AL644" s="129">
        <v>312</v>
      </c>
    </row>
    <row r="645">
      <c r="A645" s="108"/>
      <c r="B645" s="109" t="s">
        <v>139</v>
      </c>
      <c r="C645" s="110" t="s">
        <v>145</v>
      </c>
      <c r="D645" s="111">
        <f t="shared" si="391"/>
      </c>
      <c r="E645" s="110">
        <v>832.52</v>
      </c>
      <c r="F645" s="113">
        <v>9706.99</v>
      </c>
      <c r="G645" s="113">
        <v>0</v>
      </c>
      <c r="H645" s="113">
        <v>0</v>
      </c>
      <c r="I645" s="113">
        <f t="shared" si="520"/>
      </c>
      <c r="J645" s="114">
        <f>1217.16+1205.28</f>
      </c>
      <c r="K645" s="115">
        <f t="shared" si="133"/>
      </c>
      <c r="L645" s="115">
        <f t="shared" si="262"/>
      </c>
      <c r="M645" s="116">
        <f t="shared" si="630"/>
      </c>
      <c r="N645" s="117">
        <f t="shared" si="660"/>
      </c>
      <c r="O645" s="118">
        <f t="shared" si="570"/>
      </c>
      <c r="P645" s="119">
        <f t="shared" si="600"/>
      </c>
      <c r="Q645" s="119">
        <f t="shared" si="780"/>
      </c>
      <c r="R645" s="119">
        <f t="shared" si="810"/>
      </c>
      <c r="S645" s="120">
        <f t="shared" si="690"/>
      </c>
      <c r="T645" s="121">
        <f t="shared" si="720"/>
      </c>
      <c r="U645" s="119">
        <f t="shared" si="999"/>
      </c>
      <c r="V645" s="122">
        <f t="shared" si="750"/>
      </c>
      <c r="W645" s="122">
        <f t="shared" si="1029"/>
      </c>
      <c r="X645" s="119">
        <f t="shared" si="840"/>
      </c>
      <c r="Y645" s="123">
        <f t="shared" si="949"/>
      </c>
      <c r="Z645" s="123">
        <v>2</v>
      </c>
      <c r="AA645" s="123">
        <v>13</v>
      </c>
      <c r="AB645" s="124">
        <v>21200.880000000005</v>
      </c>
      <c r="AC645" s="124">
        <v>899</v>
      </c>
      <c r="AD645" s="120">
        <f t="shared" si="24"/>
      </c>
      <c r="AE645" s="125" t="s">
        <v>121</v>
      </c>
      <c r="AF645" s="126" t="s">
        <v>154</v>
      </c>
      <c r="AG645" s="127">
        <v>11</v>
      </c>
      <c r="AH645" s="128">
        <v>124105</v>
      </c>
      <c r="AI645" s="128">
        <v>2519</v>
      </c>
      <c r="AJ645" s="128">
        <v>2688</v>
      </c>
      <c r="AK645" s="129">
        <v>293</v>
      </c>
      <c r="AL645" s="129">
        <v>295</v>
      </c>
    </row>
    <row r="646">
      <c r="A646" s="108"/>
      <c r="B646" s="109" t="s">
        <v>139</v>
      </c>
      <c r="C646" s="141" t="s">
        <v>146</v>
      </c>
      <c r="D646" s="111">
        <f t="shared" si="391"/>
      </c>
      <c r="E646" s="110">
        <v>675.17</v>
      </c>
      <c r="F646" s="110">
        <v>9418.03</v>
      </c>
      <c r="G646" s="113">
        <v>0</v>
      </c>
      <c r="H646" s="113">
        <v>0</v>
      </c>
      <c r="I646" s="113">
        <f t="shared" si="520"/>
      </c>
      <c r="J646" s="114">
        <v>1127</v>
      </c>
      <c r="K646" s="115">
        <f t="shared" si="133"/>
      </c>
      <c r="L646" s="115">
        <f t="shared" si="262"/>
      </c>
      <c r="M646" s="116">
        <f t="shared" si="630"/>
      </c>
      <c r="N646" s="117">
        <f t="shared" si="660"/>
      </c>
      <c r="O646" s="118">
        <f t="shared" si="570"/>
      </c>
      <c r="P646" s="119">
        <f t="shared" si="600"/>
      </c>
      <c r="Q646" s="119">
        <f t="shared" si="780"/>
      </c>
      <c r="R646" s="119">
        <f t="shared" si="810"/>
      </c>
      <c r="S646" s="120">
        <f t="shared" si="690"/>
      </c>
      <c r="T646" s="121">
        <f t="shared" si="720"/>
      </c>
      <c r="U646" s="119">
        <f t="shared" si="999"/>
      </c>
      <c r="V646" s="122">
        <f t="shared" si="750"/>
      </c>
      <c r="W646" s="122">
        <f t="shared" si="1029"/>
      </c>
      <c r="X646" s="119">
        <f t="shared" si="840"/>
      </c>
      <c r="Y646" s="123">
        <f t="shared" si="949"/>
      </c>
      <c r="Z646" s="123">
        <v>3</v>
      </c>
      <c r="AA646" s="123">
        <v>8</v>
      </c>
      <c r="AB646" s="124">
        <v>7922.880000000005</v>
      </c>
      <c r="AC646" s="124">
        <v>8423</v>
      </c>
      <c r="AD646" s="120">
        <f t="shared" si="24"/>
      </c>
      <c r="AE646" s="125" t="s">
        <v>121</v>
      </c>
      <c r="AF646" s="126" t="s">
        <v>154</v>
      </c>
      <c r="AG646" s="129">
        <v>5</v>
      </c>
      <c r="AH646" s="128">
        <v>142758</v>
      </c>
      <c r="AI646" s="128">
        <v>2672</v>
      </c>
      <c r="AJ646" s="128">
        <v>2861</v>
      </c>
      <c r="AK646" s="129">
        <v>286</v>
      </c>
      <c r="AL646" s="129">
        <v>277</v>
      </c>
    </row>
    <row r="647">
      <c r="A647" s="108"/>
      <c r="B647" s="109" t="s">
        <v>139</v>
      </c>
      <c r="C647" s="110" t="s">
        <v>147</v>
      </c>
      <c r="D647" s="111">
        <f t="shared" si="391"/>
      </c>
      <c r="E647" s="110">
        <v>983.15</v>
      </c>
      <c r="F647" s="113">
        <v>7216.59</v>
      </c>
      <c r="G647" s="113">
        <v>0</v>
      </c>
      <c r="H647" s="113">
        <v>0</v>
      </c>
      <c r="I647" s="162">
        <f t="shared" si="520"/>
      </c>
      <c r="J647" s="114">
        <v>415.8</v>
      </c>
      <c r="K647" s="115">
        <f t="shared" si="133"/>
      </c>
      <c r="L647" s="115">
        <f t="shared" si="262"/>
      </c>
      <c r="M647" s="116">
        <f t="shared" si="630"/>
      </c>
      <c r="N647" s="117">
        <f t="shared" si="660"/>
      </c>
      <c r="O647" s="118">
        <f t="shared" si="570"/>
      </c>
      <c r="P647" s="119">
        <f t="shared" si="600"/>
      </c>
      <c r="Q647" s="119">
        <f t="shared" si="780"/>
      </c>
      <c r="R647" s="119">
        <f t="shared" si="810"/>
      </c>
      <c r="S647" s="120">
        <f t="shared" si="690"/>
      </c>
      <c r="T647" s="121">
        <f t="shared" si="720"/>
      </c>
      <c r="U647" s="119">
        <f t="shared" si="999"/>
      </c>
      <c r="V647" s="122">
        <f t="shared" si="750"/>
      </c>
      <c r="W647" s="122">
        <f t="shared" si="1029"/>
      </c>
      <c r="X647" s="119">
        <f t="shared" si="840"/>
      </c>
      <c r="Y647" s="123">
        <f t="shared" si="949"/>
      </c>
      <c r="Z647" s="123">
        <v>4</v>
      </c>
      <c r="AA647" s="123">
        <v>7</v>
      </c>
      <c r="AB647" s="124">
        <v>23670.6</v>
      </c>
      <c r="AC647" s="124">
        <v>0</v>
      </c>
      <c r="AD647" s="120">
        <f t="shared" si="24"/>
      </c>
      <c r="AE647" s="125" t="s">
        <v>121</v>
      </c>
      <c r="AF647" s="126" t="s">
        <v>154</v>
      </c>
      <c r="AG647" s="127">
        <v>7</v>
      </c>
      <c r="AH647" s="128">
        <v>115753</v>
      </c>
      <c r="AI647" s="128">
        <v>3415</v>
      </c>
      <c r="AJ647" s="128">
        <v>3597</v>
      </c>
      <c r="AK647" s="129">
        <v>267</v>
      </c>
      <c r="AL647" s="129">
        <v>287</v>
      </c>
    </row>
    <row r="648">
      <c r="A648" s="108"/>
      <c r="B648" s="109" t="s">
        <v>139</v>
      </c>
      <c r="C648" s="110" t="s">
        <v>148</v>
      </c>
      <c r="D648" s="111">
        <f t="shared" si="391"/>
      </c>
      <c r="E648" s="112">
        <v>555.46</v>
      </c>
      <c r="F648" s="113">
        <v>2922.72</v>
      </c>
      <c r="G648" s="113">
        <v>0</v>
      </c>
      <c r="H648" s="113">
        <v>0</v>
      </c>
      <c r="I648" s="113">
        <f t="shared" si="520"/>
      </c>
      <c r="J648" s="114">
        <v>0</v>
      </c>
      <c r="K648" s="115">
        <f t="shared" si="133"/>
      </c>
      <c r="L648" s="115">
        <f t="shared" si="262"/>
      </c>
      <c r="M648" s="116">
        <f t="shared" si="630"/>
      </c>
      <c r="N648" s="117">
        <f t="shared" si="660"/>
      </c>
      <c r="O648" s="118">
        <f t="shared" si="570"/>
      </c>
      <c r="P648" s="119">
        <f t="shared" si="600"/>
      </c>
      <c r="Q648" s="119">
        <f t="shared" si="780"/>
      </c>
      <c r="R648" s="119">
        <f t="shared" si="810"/>
      </c>
      <c r="S648" s="120">
        <f t="shared" si="690"/>
      </c>
      <c r="T648" s="121">
        <f t="shared" si="720"/>
      </c>
      <c r="U648" s="119">
        <f t="shared" si="999"/>
      </c>
      <c r="V648" s="122">
        <f t="shared" si="750"/>
      </c>
      <c r="W648" s="122">
        <f t="shared" si="1029"/>
      </c>
      <c r="X648" s="119">
        <f t="shared" si="840"/>
      </c>
      <c r="Y648" s="123">
        <f t="shared" si="949"/>
      </c>
      <c r="Z648" s="123">
        <v>4</v>
      </c>
      <c r="AA648" s="123">
        <v>3</v>
      </c>
      <c r="AB648" s="124">
        <v>5252.52</v>
      </c>
      <c r="AC648" s="124">
        <v>0</v>
      </c>
      <c r="AD648" s="120">
        <f t="shared" si="24"/>
      </c>
      <c r="AE648" s="125" t="s">
        <v>121</v>
      </c>
      <c r="AF648" s="126" t="s">
        <v>154</v>
      </c>
      <c r="AG648" s="127">
        <v>3</v>
      </c>
      <c r="AH648" s="128">
        <v>42110</v>
      </c>
      <c r="AI648" s="128">
        <v>1808</v>
      </c>
      <c r="AJ648" s="128">
        <v>1960</v>
      </c>
      <c r="AK648" s="127">
        <v>171</v>
      </c>
      <c r="AL648" s="127">
        <v>127</v>
      </c>
    </row>
    <row r="649">
      <c r="A649" s="108"/>
      <c r="B649" s="130" t="s">
        <v>127</v>
      </c>
      <c r="C649" s="131">
        <v>5</v>
      </c>
      <c r="D649" s="132">
        <f>SUM(D644:D648)</f>
      </c>
      <c r="E649" s="132">
        <f>SUM(E644:E648)</f>
      </c>
      <c r="F649" s="132">
        <f>SUM(F644:F648)</f>
      </c>
      <c r="G649" s="132">
        <f>SUM(G644:G648)</f>
      </c>
      <c r="H649" s="132">
        <f>SUM(H644:H648)</f>
      </c>
      <c r="I649" s="132">
        <f>SUM(I644:I648)</f>
      </c>
      <c r="J649" s="132">
        <f>SUM(J644:J648)</f>
      </c>
      <c r="K649" s="132">
        <f>SUM(K644:K648)</f>
      </c>
      <c r="L649" s="132">
        <f>SUM(L644:L648)</f>
      </c>
      <c r="M649" s="133">
        <f t="shared" si="630"/>
      </c>
      <c r="N649" s="134">
        <f t="shared" si="660"/>
      </c>
      <c r="O649" s="134">
        <f t="shared" si="570"/>
      </c>
      <c r="P649" s="135">
        <f t="shared" si="600"/>
      </c>
      <c r="Q649" s="135">
        <f t="shared" si="780"/>
      </c>
      <c r="R649" s="135">
        <f t="shared" si="810"/>
      </c>
      <c r="S649" s="136">
        <f t="shared" si="690"/>
      </c>
      <c r="T649" s="136">
        <f t="shared" si="720"/>
      </c>
      <c r="U649" s="135">
        <f t="shared" si="999"/>
      </c>
      <c r="V649" s="136">
        <f t="shared" si="750"/>
      </c>
      <c r="W649" s="136">
        <f t="shared" si="1029"/>
      </c>
      <c r="X649" s="135">
        <f t="shared" si="840"/>
      </c>
      <c r="Y649" s="132">
        <f>SUM(Y644:Y648)</f>
      </c>
      <c r="Z649" s="132">
        <f>SUM(Z644:Z648)</f>
      </c>
      <c r="AA649" s="132">
        <f>SUM(AA644:AA648)</f>
      </c>
      <c r="AB649" s="132">
        <f>SUM(AB644:AB648)</f>
      </c>
      <c r="AC649" s="132">
        <f>SUM(AC644:AC648)</f>
      </c>
      <c r="AD649" s="137">
        <f t="shared" si="24"/>
      </c>
      <c r="AE649" s="138"/>
      <c r="AF649" s="139"/>
      <c r="AG649" s="132">
        <f>SUM(AG644:AG648)</f>
      </c>
      <c r="AH649" s="132">
        <f>SUM(AH644:AH648)</f>
      </c>
      <c r="AI649" s="132">
        <f>SUM(AI644:AI648)</f>
      </c>
      <c r="AJ649" s="132">
        <f>SUM(AJ644:AJ648)</f>
      </c>
      <c r="AK649" s="132">
        <f>SUM(AK644:AK648)</f>
      </c>
      <c r="AL649" s="132">
        <f>SUM(AL644:AL648)</f>
      </c>
    </row>
    <row r="650">
      <c r="A650" s="108"/>
      <c r="B650" s="152" t="s">
        <v>127</v>
      </c>
      <c r="C650" s="153">
        <f>C630+C635+C638+C643+C649</f>
      </c>
      <c r="D650" s="167">
        <f>D630+D635+D638+D643+D649</f>
      </c>
      <c r="E650" s="153">
        <f>E630+E635+E638+E643+E649</f>
      </c>
      <c r="F650" s="153">
        <f>F630+F635+F638+F643+F649</f>
      </c>
      <c r="G650" s="153">
        <f>G630+G635+G638+G643+G649</f>
      </c>
      <c r="H650" s="153">
        <f>H630+H635+H638+H643+H649</f>
      </c>
      <c r="I650" s="167">
        <f>I630+I635+I638+I643+I649</f>
      </c>
      <c r="J650" s="153">
        <f>J630+J635+J638+J643+J649</f>
      </c>
      <c r="K650" s="153">
        <f>K630+K635+K638+K643+K649</f>
      </c>
      <c r="L650" s="153">
        <f>L630+L635+L638+L643+L649</f>
      </c>
      <c r="M650" s="154">
        <f t="shared" si="630"/>
      </c>
      <c r="N650" s="154">
        <f t="shared" si="660"/>
      </c>
      <c r="O650" s="154">
        <f t="shared" si="570"/>
      </c>
      <c r="P650" s="154">
        <f t="shared" si="600"/>
      </c>
      <c r="Q650" s="154">
        <f t="shared" si="780"/>
      </c>
      <c r="R650" s="154">
        <f t="shared" si="810"/>
      </c>
      <c r="S650" s="155">
        <f t="shared" si="690"/>
      </c>
      <c r="T650" s="155">
        <f t="shared" si="720"/>
      </c>
      <c r="U650" s="154">
        <f t="shared" si="999"/>
      </c>
      <c r="V650" s="155">
        <f t="shared" si="750"/>
      </c>
      <c r="W650" s="155">
        <f t="shared" si="1029"/>
      </c>
      <c r="X650" s="154">
        <f t="shared" si="840"/>
      </c>
      <c r="Y650" s="153">
        <f>Y630+Y635+Y638+Y643+Y649</f>
      </c>
      <c r="Z650" s="153">
        <f>Z630+Z635+Z638+Z643+Z649</f>
      </c>
      <c r="AA650" s="153">
        <f>AA630+AA635+AA638+AA643+AA649</f>
      </c>
      <c r="AB650" s="153">
        <f>AB630+AB635+AB638+AB643+AB649</f>
      </c>
      <c r="AC650" s="153">
        <f>AC630+AC635+AC638+AC643+AC649</f>
      </c>
      <c r="AD650" s="186">
        <f t="shared" si="24"/>
      </c>
      <c r="AE650" s="152"/>
      <c r="AF650" s="152"/>
      <c r="AG650" s="153">
        <f>AG630+AG635+AG638+AG643+AG649</f>
      </c>
      <c r="AH650" s="153">
        <f>AH630+AH635+AH638+AH643+AH649</f>
      </c>
      <c r="AI650" s="153">
        <f>AI630+AI635+AI638+AI643+AI649</f>
      </c>
      <c r="AJ650" s="153">
        <f>AJ630+AJ635+AJ638+AJ643+AJ649</f>
      </c>
      <c r="AK650" s="153">
        <f>AK630+AK635+AK638+AK643+AK649</f>
      </c>
      <c r="AL650" s="153">
        <f>AL630+AL635+AL638+AL643+AL649</f>
      </c>
    </row>
    <row r="651">
      <c r="A651" s="94" t="s">
        <v>81</v>
      </c>
      <c r="B651" s="95" t="s">
        <v>82</v>
      </c>
      <c r="C651" s="95" t="s">
        <v>83</v>
      </c>
      <c r="D651" s="96" t="s">
        <v>84</v>
      </c>
      <c r="E651" s="95" t="s">
        <v>85</v>
      </c>
      <c r="F651" s="95" t="s">
        <v>86</v>
      </c>
      <c r="G651" s="97" t="s">
        <v>87</v>
      </c>
      <c r="H651" s="97" t="s">
        <v>88</v>
      </c>
      <c r="I651" s="96" t="s">
        <v>89</v>
      </c>
      <c r="J651" s="98" t="s">
        <v>90</v>
      </c>
      <c r="K651" s="99" t="s">
        <v>91</v>
      </c>
      <c r="L651" s="99" t="s">
        <v>92</v>
      </c>
      <c r="M651" s="100" t="s">
        <v>93</v>
      </c>
      <c r="N651" s="99" t="s">
        <v>94</v>
      </c>
      <c r="O651" s="95" t="s">
        <v>95</v>
      </c>
      <c r="P651" s="100" t="s">
        <v>96</v>
      </c>
      <c r="Q651" s="101" t="s">
        <v>97</v>
      </c>
      <c r="R651" s="101" t="s">
        <v>98</v>
      </c>
      <c r="S651" s="96" t="s">
        <v>99</v>
      </c>
      <c r="T651" s="102" t="s">
        <v>100</v>
      </c>
      <c r="U651" s="100" t="s">
        <v>101</v>
      </c>
      <c r="V651" s="103" t="s">
        <v>102</v>
      </c>
      <c r="W651" s="104" t="s">
        <v>103</v>
      </c>
      <c r="X651" s="100" t="s">
        <v>104</v>
      </c>
      <c r="Y651" s="105" t="s">
        <v>105</v>
      </c>
      <c r="Z651" s="106" t="s">
        <v>106</v>
      </c>
      <c r="AA651" s="105" t="s">
        <v>107</v>
      </c>
      <c r="AB651" s="107" t="s">
        <v>108</v>
      </c>
      <c r="AC651" s="107" t="s">
        <v>109</v>
      </c>
      <c r="AD651" s="99" t="s">
        <v>110</v>
      </c>
      <c r="AE651" s="98" t="s">
        <v>111</v>
      </c>
      <c r="AF651" s="99" t="s">
        <v>112</v>
      </c>
      <c r="AG651" s="98" t="s">
        <v>113</v>
      </c>
      <c r="AH651" s="98" t="s">
        <v>114</v>
      </c>
      <c r="AI651" s="99" t="s">
        <v>115</v>
      </c>
      <c r="AJ651" s="98" t="s">
        <v>116</v>
      </c>
      <c r="AK651" s="99" t="s">
        <v>117</v>
      </c>
      <c r="AL651" s="98" t="s">
        <v>118</v>
      </c>
    </row>
    <row r="652">
      <c r="A652" s="108">
        <v>46291</v>
      </c>
      <c r="B652" s="109" t="s">
        <v>119</v>
      </c>
      <c r="C652" s="110" t="s">
        <v>120</v>
      </c>
      <c r="D652" s="111">
        <f t="shared" ref="D652:D656" si="392">E652+F652+G652+H652</f>
      </c>
      <c r="E652" s="112">
        <v>1650.66</v>
      </c>
      <c r="F652" s="113">
        <v>12014.48</v>
      </c>
      <c r="G652" s="113">
        <v>0</v>
      </c>
      <c r="H652" s="113">
        <v>0</v>
      </c>
      <c r="I652" s="113">
        <f t="shared" ref="I652:I656" si="521">AB652+AC652</f>
      </c>
      <c r="J652" s="114">
        <f>1958+1622.16+5157</f>
      </c>
      <c r="K652" s="115">
        <f t="shared" ref="K652:K656" si="134">I652-J652</f>
      </c>
      <c r="L652" s="115">
        <f t="shared" ref="L652:L656" si="263">(I652-AC652)/12+AC652</f>
      </c>
      <c r="M652" s="116">
        <f t="shared" ref="M652:M677" si="631">I652/D652</f>
      </c>
      <c r="N652" s="117">
        <f t="shared" ref="N652:N677" si="661">(I652-J652)/D652</f>
      </c>
      <c r="O652" s="118">
        <f t="shared" ref="O652:O677" si="571">(AC652+AB652/12)/D652</f>
      </c>
      <c r="P652" s="119">
        <f t="shared" ref="P652:P677" si="601">I652/AA652</f>
      </c>
      <c r="Q652" s="119">
        <f t="shared" ref="Q652:Q677" si="781">D652/AA652</f>
      </c>
      <c r="R652" s="119">
        <f t="shared" ref="R652:R677" si="811">D652/AG652</f>
      </c>
      <c r="S652" s="120">
        <f t="shared" ref="S652:S677" si="691">AA652/Y652</f>
      </c>
      <c r="T652" s="121">
        <f t="shared" ref="T652:T677" si="721">AI652/AH652</f>
      </c>
      <c r="U652" s="119">
        <f t="shared" ref="U652:U677" si="1000">D652/AJ652</f>
      </c>
      <c r="V652" s="122">
        <f t="shared" ref="V652:V677" si="751">AK652/AJ652</f>
      </c>
      <c r="W652" s="122">
        <f t="shared" ref="W652:W677" si="1030">AL652/AJ652</f>
      </c>
      <c r="X652" s="119">
        <f t="shared" ref="X652:X677" si="841">D652/AL652</f>
      </c>
      <c r="Y652" s="123">
        <f t="shared" ref="Y652:Y656" si="950">Z652+AA652</f>
      </c>
      <c r="Z652" s="123">
        <v>8</v>
      </c>
      <c r="AA652" s="123">
        <v>15</v>
      </c>
      <c r="AB652" s="124">
        <v>24478.2</v>
      </c>
      <c r="AC652" s="124">
        <v>2797</v>
      </c>
      <c r="AD652" s="120">
        <f t="shared" ref="AD652:AD677" si="25">AC652/I652</f>
      </c>
      <c r="AE652" s="125" t="s">
        <v>121</v>
      </c>
      <c r="AF652" s="126" t="s">
        <v>122</v>
      </c>
      <c r="AG652" s="127">
        <v>13</v>
      </c>
      <c r="AH652" s="127">
        <v>127168</v>
      </c>
      <c r="AI652" s="128">
        <v>4255</v>
      </c>
      <c r="AJ652" s="128">
        <v>4579</v>
      </c>
      <c r="AK652" s="127">
        <v>448</v>
      </c>
      <c r="AL652" s="129">
        <v>422</v>
      </c>
    </row>
    <row r="653">
      <c r="A653" s="108"/>
      <c r="B653" s="109" t="s">
        <v>119</v>
      </c>
      <c r="C653" s="110" t="s">
        <v>123</v>
      </c>
      <c r="D653" s="111">
        <f t="shared" si="392"/>
      </c>
      <c r="E653" s="110">
        <v>2213.25</v>
      </c>
      <c r="F653" s="113">
        <v>18678.52</v>
      </c>
      <c r="G653" s="113">
        <v>0</v>
      </c>
      <c r="H653" s="113">
        <v>0</v>
      </c>
      <c r="I653" s="113">
        <f t="shared" si="521"/>
      </c>
      <c r="J653" s="114">
        <f>979.56+1503.72+4461.48+2611.32+2477.76+2114.64+1480.68</f>
      </c>
      <c r="K653" s="115">
        <f t="shared" si="134"/>
      </c>
      <c r="L653" s="115">
        <f t="shared" si="263"/>
      </c>
      <c r="M653" s="116">
        <f t="shared" si="631"/>
      </c>
      <c r="N653" s="117">
        <f t="shared" si="661"/>
      </c>
      <c r="O653" s="118">
        <f t="shared" si="571"/>
      </c>
      <c r="P653" s="119">
        <f t="shared" si="601"/>
      </c>
      <c r="Q653" s="119">
        <f t="shared" si="781"/>
      </c>
      <c r="R653" s="119">
        <f t="shared" si="811"/>
      </c>
      <c r="S653" s="120">
        <f t="shared" si="691"/>
      </c>
      <c r="T653" s="121">
        <f t="shared" si="721"/>
      </c>
      <c r="U653" s="119">
        <f t="shared" si="1000"/>
      </c>
      <c r="V653" s="122">
        <f t="shared" si="751"/>
      </c>
      <c r="W653" s="122">
        <f t="shared" si="1030"/>
      </c>
      <c r="X653" s="119">
        <f t="shared" si="841"/>
      </c>
      <c r="Y653" s="123">
        <f t="shared" si="950"/>
      </c>
      <c r="Z653" s="123">
        <v>17</v>
      </c>
      <c r="AA653" s="123">
        <v>17</v>
      </c>
      <c r="AB653" s="124">
        <v>51631.8</v>
      </c>
      <c r="AC653" s="124">
        <v>0</v>
      </c>
      <c r="AD653" s="120">
        <f t="shared" si="25"/>
      </c>
      <c r="AE653" s="125" t="s">
        <v>121</v>
      </c>
      <c r="AF653" s="126" t="s">
        <v>122</v>
      </c>
      <c r="AG653" s="127">
        <v>14</v>
      </c>
      <c r="AH653" s="128">
        <v>207474</v>
      </c>
      <c r="AI653" s="128">
        <v>5284</v>
      </c>
      <c r="AJ653" s="128">
        <v>5732</v>
      </c>
      <c r="AK653" s="129">
        <v>686</v>
      </c>
      <c r="AL653" s="129">
        <v>601</v>
      </c>
    </row>
    <row r="654">
      <c r="A654" s="108"/>
      <c r="B654" s="109" t="s">
        <v>119</v>
      </c>
      <c r="C654" s="110" t="s">
        <v>124</v>
      </c>
      <c r="D654" s="111">
        <f t="shared" si="392"/>
      </c>
      <c r="E654" s="110">
        <v>2247.09</v>
      </c>
      <c r="F654" s="113">
        <v>13566.98</v>
      </c>
      <c r="G654" s="113">
        <v>0</v>
      </c>
      <c r="H654" s="113">
        <v>0</v>
      </c>
      <c r="I654" s="113">
        <f t="shared" si="521"/>
      </c>
      <c r="J654" s="114">
        <f>435.24+1509.84+2092.32+2214.48+582.24+590.76+516.12+1012.68+3532.68+347.04+1203.36+1170.36</f>
      </c>
      <c r="K654" s="115">
        <f t="shared" si="134"/>
      </c>
      <c r="L654" s="115">
        <f t="shared" si="263"/>
      </c>
      <c r="M654" s="116">
        <f t="shared" si="631"/>
      </c>
      <c r="N654" s="117">
        <f t="shared" si="661"/>
      </c>
      <c r="O654" s="118">
        <f t="shared" si="571"/>
      </c>
      <c r="P654" s="119">
        <f t="shared" si="601"/>
      </c>
      <c r="Q654" s="119">
        <f t="shared" si="781"/>
      </c>
      <c r="R654" s="119">
        <f t="shared" si="811"/>
      </c>
      <c r="S654" s="120">
        <f t="shared" si="691"/>
      </c>
      <c r="T654" s="121">
        <f t="shared" si="721"/>
      </c>
      <c r="U654" s="119">
        <f t="shared" si="1000"/>
      </c>
      <c r="V654" s="122">
        <f t="shared" si="751"/>
      </c>
      <c r="W654" s="122">
        <f t="shared" si="1030"/>
      </c>
      <c r="X654" s="119">
        <f t="shared" si="841"/>
      </c>
      <c r="Y654" s="123">
        <f t="shared" si="950"/>
      </c>
      <c r="Z654" s="123">
        <v>4</v>
      </c>
      <c r="AA654" s="123">
        <v>15</v>
      </c>
      <c r="AB654" s="124">
        <f>38697.6+638.28</f>
      </c>
      <c r="AC654" s="124">
        <v>0</v>
      </c>
      <c r="AD654" s="120">
        <f t="shared" si="25"/>
      </c>
      <c r="AE654" s="125" t="s">
        <v>121</v>
      </c>
      <c r="AF654" s="126" t="s">
        <v>122</v>
      </c>
      <c r="AG654" s="129">
        <v>13</v>
      </c>
      <c r="AH654" s="128">
        <v>142424</v>
      </c>
      <c r="AI654" s="128">
        <v>3377</v>
      </c>
      <c r="AJ654" s="128">
        <v>3652</v>
      </c>
      <c r="AK654" s="129">
        <v>484</v>
      </c>
      <c r="AL654" s="129">
        <v>441</v>
      </c>
    </row>
    <row r="655">
      <c r="A655" s="108"/>
      <c r="B655" s="109" t="s">
        <v>119</v>
      </c>
      <c r="C655" s="110" t="s">
        <v>125</v>
      </c>
      <c r="D655" s="111">
        <f t="shared" si="392"/>
      </c>
      <c r="E655" s="110">
        <v>1214.02</v>
      </c>
      <c r="F655" s="113">
        <v>11271.42</v>
      </c>
      <c r="G655" s="113">
        <v>0</v>
      </c>
      <c r="H655" s="113">
        <v>0</v>
      </c>
      <c r="I655" s="162">
        <f t="shared" si="521"/>
      </c>
      <c r="J655" s="114">
        <f>757.08+2917.08</f>
      </c>
      <c r="K655" s="115">
        <f t="shared" si="134"/>
      </c>
      <c r="L655" s="115">
        <f t="shared" si="263"/>
      </c>
      <c r="M655" s="116">
        <f t="shared" si="631"/>
      </c>
      <c r="N655" s="117">
        <f t="shared" si="661"/>
      </c>
      <c r="O655" s="118">
        <f t="shared" si="571"/>
      </c>
      <c r="P655" s="119">
        <f t="shared" si="601"/>
      </c>
      <c r="Q655" s="119">
        <f t="shared" si="781"/>
      </c>
      <c r="R655" s="119">
        <f t="shared" si="811"/>
      </c>
      <c r="S655" s="120">
        <f t="shared" si="691"/>
      </c>
      <c r="T655" s="121">
        <f t="shared" si="721"/>
      </c>
      <c r="U655" s="119">
        <f t="shared" si="1000"/>
      </c>
      <c r="V655" s="122">
        <f t="shared" si="751"/>
      </c>
      <c r="W655" s="122">
        <f t="shared" si="1030"/>
      </c>
      <c r="X655" s="119">
        <f t="shared" si="841"/>
      </c>
      <c r="Y655" s="123">
        <f t="shared" si="950"/>
      </c>
      <c r="Z655" s="123">
        <v>6</v>
      </c>
      <c r="AA655" s="123">
        <v>12</v>
      </c>
      <c r="AB655" s="124">
        <v>11539.799999999988</v>
      </c>
      <c r="AC655" s="124">
        <v>3493.1499999999996</v>
      </c>
      <c r="AD655" s="120">
        <f t="shared" si="25"/>
      </c>
      <c r="AE655" s="125" t="s">
        <v>121</v>
      </c>
      <c r="AF655" s="126" t="s">
        <v>122</v>
      </c>
      <c r="AG655" s="127">
        <v>11</v>
      </c>
      <c r="AH655" s="128">
        <v>123994</v>
      </c>
      <c r="AI655" s="128">
        <v>2992</v>
      </c>
      <c r="AJ655" s="128">
        <v>3307</v>
      </c>
      <c r="AK655" s="129">
        <v>342</v>
      </c>
      <c r="AL655" s="129">
        <v>326</v>
      </c>
    </row>
    <row r="656">
      <c r="A656" s="108"/>
      <c r="B656" s="109" t="s">
        <v>119</v>
      </c>
      <c r="C656" s="110" t="s">
        <v>126</v>
      </c>
      <c r="D656" s="111">
        <f t="shared" si="392"/>
      </c>
      <c r="E656" s="110">
        <v>1186.44</v>
      </c>
      <c r="F656" s="113">
        <v>8247.15</v>
      </c>
      <c r="G656" s="113">
        <v>0</v>
      </c>
      <c r="H656" s="113">
        <v>0</v>
      </c>
      <c r="I656" s="113">
        <f t="shared" si="521"/>
      </c>
      <c r="J656" s="114">
        <v>1480.68</v>
      </c>
      <c r="K656" s="115">
        <f t="shared" si="134"/>
      </c>
      <c r="L656" s="115">
        <f t="shared" si="263"/>
      </c>
      <c r="M656" s="116">
        <f t="shared" si="631"/>
      </c>
      <c r="N656" s="117">
        <f t="shared" si="661"/>
      </c>
      <c r="O656" s="118">
        <f t="shared" si="571"/>
      </c>
      <c r="P656" s="119">
        <f t="shared" si="601"/>
      </c>
      <c r="Q656" s="119">
        <f t="shared" si="781"/>
      </c>
      <c r="R656" s="119">
        <f t="shared" si="811"/>
      </c>
      <c r="S656" s="120">
        <f t="shared" si="691"/>
      </c>
      <c r="T656" s="121">
        <f t="shared" si="721"/>
      </c>
      <c r="U656" s="119">
        <f t="shared" si="1000"/>
      </c>
      <c r="V656" s="122">
        <f t="shared" si="751"/>
      </c>
      <c r="W656" s="122">
        <f t="shared" si="1030"/>
      </c>
      <c r="X656" s="119">
        <f t="shared" si="841"/>
      </c>
      <c r="Y656" s="123">
        <f t="shared" si="950"/>
      </c>
      <c r="Z656" s="123">
        <v>9</v>
      </c>
      <c r="AA656" s="123">
        <v>10</v>
      </c>
      <c r="AB656" s="124">
        <f>11402.16+2917.08+2125.92+4461.48+1337.04</f>
      </c>
      <c r="AC656" s="124">
        <v>2502</v>
      </c>
      <c r="AD656" s="120">
        <f t="shared" si="25"/>
      </c>
      <c r="AE656" s="125" t="s">
        <v>121</v>
      </c>
      <c r="AF656" s="126" t="s">
        <v>122</v>
      </c>
      <c r="AG656" s="127">
        <v>8</v>
      </c>
      <c r="AH656" s="128">
        <v>95990</v>
      </c>
      <c r="AI656" s="128">
        <v>1976</v>
      </c>
      <c r="AJ656" s="128">
        <v>2204</v>
      </c>
      <c r="AK656" s="127">
        <v>274</v>
      </c>
      <c r="AL656" s="127">
        <v>246</v>
      </c>
    </row>
    <row r="657">
      <c r="A657" s="108"/>
      <c r="B657" s="130" t="s">
        <v>127</v>
      </c>
      <c r="C657" s="131">
        <v>5</v>
      </c>
      <c r="D657" s="132">
        <f>SUM(D652:D656)</f>
      </c>
      <c r="E657" s="132">
        <f>SUM(E652:E656)</f>
      </c>
      <c r="F657" s="132">
        <f>SUM(F652:F656)</f>
      </c>
      <c r="G657" s="132">
        <f>SUM(G652:G656)</f>
      </c>
      <c r="H657" s="132">
        <f>SUM(H652:H656)</f>
      </c>
      <c r="I657" s="132">
        <f>SUM(I652:I656)</f>
      </c>
      <c r="J657" s="132">
        <f>SUM(J652:J656)</f>
      </c>
      <c r="K657" s="132">
        <f>SUM(K652:K656)</f>
      </c>
      <c r="L657" s="132">
        <f>SUM(L652:L656)</f>
      </c>
      <c r="M657" s="133">
        <f t="shared" si="631"/>
      </c>
      <c r="N657" s="134">
        <f t="shared" si="661"/>
      </c>
      <c r="O657" s="134">
        <f t="shared" si="571"/>
      </c>
      <c r="P657" s="135">
        <f t="shared" si="601"/>
      </c>
      <c r="Q657" s="135">
        <f t="shared" si="781"/>
      </c>
      <c r="R657" s="135">
        <f t="shared" si="811"/>
      </c>
      <c r="S657" s="136">
        <f t="shared" si="691"/>
      </c>
      <c r="T657" s="136">
        <f t="shared" si="721"/>
      </c>
      <c r="U657" s="135">
        <f t="shared" si="1000"/>
      </c>
      <c r="V657" s="136">
        <f t="shared" si="751"/>
      </c>
      <c r="W657" s="136">
        <f t="shared" si="1030"/>
      </c>
      <c r="X657" s="135">
        <f t="shared" si="841"/>
      </c>
      <c r="Y657" s="132">
        <f>SUM(Y652:Y656)</f>
      </c>
      <c r="Z657" s="132">
        <f>SUM(Z652:Z656)</f>
      </c>
      <c r="AA657" s="132">
        <f>SUM(AA652:AA656)</f>
      </c>
      <c r="AB657" s="132">
        <f>SUM(AB652:AB656)</f>
      </c>
      <c r="AC657" s="132">
        <f>SUM(AC652:AC656)</f>
      </c>
      <c r="AD657" s="137">
        <f t="shared" si="25"/>
      </c>
      <c r="AE657" s="138"/>
      <c r="AF657" s="139"/>
      <c r="AG657" s="132">
        <f>SUM(AG652:AG656)</f>
      </c>
      <c r="AH657" s="132">
        <f>SUM(AH652:AH656)</f>
      </c>
      <c r="AI657" s="132">
        <f>SUM(AI652:AI656)</f>
      </c>
      <c r="AJ657" s="132">
        <f>SUM(AJ652:AJ656)</f>
      </c>
      <c r="AK657" s="132">
        <f>SUM(AK652:AK656)</f>
      </c>
      <c r="AL657" s="132">
        <f>SUM(AL652:AL656)</f>
      </c>
    </row>
    <row r="658">
      <c r="A658" s="108"/>
      <c r="B658" s="109" t="s">
        <v>128</v>
      </c>
      <c r="C658" s="110" t="s">
        <v>129</v>
      </c>
      <c r="D658" s="111">
        <f t="shared" ref="D658:D661" si="393">E658+F658+G658+H658</f>
      </c>
      <c r="E658" s="112">
        <v>915.61</v>
      </c>
      <c r="F658" s="113">
        <v>7250.44</v>
      </c>
      <c r="G658" s="113">
        <v>0</v>
      </c>
      <c r="H658" s="113">
        <v>0</v>
      </c>
      <c r="I658" s="113">
        <f t="shared" ref="I658:I661" si="522">AB658+AC658</f>
      </c>
      <c r="J658" s="114">
        <v>1656</v>
      </c>
      <c r="K658" s="115">
        <f t="shared" ref="K658:K661" si="135">I658-J658</f>
      </c>
      <c r="L658" s="115">
        <f t="shared" ref="L658:L661" si="264">(I658-AC658)/12+AC658</f>
      </c>
      <c r="M658" s="116">
        <f t="shared" si="631"/>
      </c>
      <c r="N658" s="117">
        <f t="shared" si="661"/>
      </c>
      <c r="O658" s="118">
        <f t="shared" si="571"/>
      </c>
      <c r="P658" s="119">
        <f t="shared" si="601"/>
      </c>
      <c r="Q658" s="119">
        <f t="shared" si="781"/>
      </c>
      <c r="R658" s="119">
        <f t="shared" si="811"/>
      </c>
      <c r="S658" s="120">
        <f t="shared" si="691"/>
      </c>
      <c r="T658" s="121">
        <f t="shared" si="721"/>
      </c>
      <c r="U658" s="119">
        <f t="shared" si="1000"/>
      </c>
      <c r="V658" s="122">
        <f t="shared" si="751"/>
      </c>
      <c r="W658" s="122">
        <f t="shared" si="1030"/>
      </c>
      <c r="X658" s="119">
        <f t="shared" si="841"/>
      </c>
      <c r="Y658" s="123">
        <f t="shared" ref="Y658:Y661" si="951">Z658+AA658</f>
      </c>
      <c r="Z658" s="123">
        <v>5</v>
      </c>
      <c r="AA658" s="123">
        <v>7</v>
      </c>
      <c r="AB658" s="124">
        <v>7874.280000000028</v>
      </c>
      <c r="AC658" s="124">
        <v>1656</v>
      </c>
      <c r="AD658" s="120">
        <f t="shared" si="25"/>
      </c>
      <c r="AE658" s="125" t="s">
        <v>121</v>
      </c>
      <c r="AF658" s="126" t="s">
        <v>122</v>
      </c>
      <c r="AG658" s="127">
        <v>3</v>
      </c>
      <c r="AH658" s="128">
        <v>73549</v>
      </c>
      <c r="AI658" s="128">
        <v>1529</v>
      </c>
      <c r="AJ658" s="128">
        <v>1717</v>
      </c>
      <c r="AK658" s="127">
        <v>197</v>
      </c>
      <c r="AL658" s="127">
        <v>232</v>
      </c>
    </row>
    <row r="659">
      <c r="A659" s="108"/>
      <c r="B659" s="109" t="s">
        <v>128</v>
      </c>
      <c r="C659" s="110" t="s">
        <v>130</v>
      </c>
      <c r="D659" s="111">
        <f t="shared" si="393"/>
      </c>
      <c r="E659" s="110">
        <v>925.58</v>
      </c>
      <c r="F659" s="113">
        <v>8757.73</v>
      </c>
      <c r="G659" s="113">
        <v>0</v>
      </c>
      <c r="H659" s="113">
        <v>0</v>
      </c>
      <c r="I659" s="113">
        <f t="shared" si="522"/>
      </c>
      <c r="J659" s="114">
        <f>1520+733.32+1797.12</f>
      </c>
      <c r="K659" s="115">
        <f t="shared" si="135"/>
      </c>
      <c r="L659" s="115">
        <f t="shared" si="264"/>
      </c>
      <c r="M659" s="116">
        <f t="shared" si="631"/>
      </c>
      <c r="N659" s="117">
        <f t="shared" si="661"/>
      </c>
      <c r="O659" s="118">
        <f t="shared" si="571"/>
      </c>
      <c r="P659" s="119">
        <f t="shared" si="601"/>
      </c>
      <c r="Q659" s="119">
        <f t="shared" si="781"/>
      </c>
      <c r="R659" s="119">
        <f t="shared" si="811"/>
      </c>
      <c r="S659" s="120">
        <f t="shared" si="691"/>
      </c>
      <c r="T659" s="121">
        <f t="shared" si="721"/>
      </c>
      <c r="U659" s="119">
        <f t="shared" si="1000"/>
      </c>
      <c r="V659" s="122">
        <f t="shared" si="751"/>
      </c>
      <c r="W659" s="122">
        <f t="shared" si="1030"/>
      </c>
      <c r="X659" s="119">
        <f t="shared" si="841"/>
      </c>
      <c r="Y659" s="123">
        <f t="shared" si="951"/>
      </c>
      <c r="Z659" s="123">
        <v>5</v>
      </c>
      <c r="AA659" s="123">
        <v>7</v>
      </c>
      <c r="AB659" s="124">
        <v>10264.679999999993</v>
      </c>
      <c r="AC659" s="124">
        <v>1520</v>
      </c>
      <c r="AD659" s="120">
        <f t="shared" si="25"/>
      </c>
      <c r="AE659" s="125" t="s">
        <v>121</v>
      </c>
      <c r="AF659" s="126" t="s">
        <v>122</v>
      </c>
      <c r="AG659" s="127">
        <v>7</v>
      </c>
      <c r="AH659" s="128">
        <v>91074</v>
      </c>
      <c r="AI659" s="128">
        <v>1839</v>
      </c>
      <c r="AJ659" s="128">
        <v>2008</v>
      </c>
      <c r="AK659" s="129">
        <v>238</v>
      </c>
      <c r="AL659" s="129">
        <v>253</v>
      </c>
    </row>
    <row r="660">
      <c r="A660" s="108"/>
      <c r="B660" s="109" t="s">
        <v>128</v>
      </c>
      <c r="C660" s="110" t="s">
        <v>131</v>
      </c>
      <c r="D660" s="111">
        <f t="shared" si="393"/>
      </c>
      <c r="E660" s="110">
        <v>963.86</v>
      </c>
      <c r="F660" s="110">
        <v>9817.53</v>
      </c>
      <c r="G660" s="113">
        <v>0</v>
      </c>
      <c r="H660" s="113">
        <v>0</v>
      </c>
      <c r="I660" s="113">
        <f t="shared" si="522"/>
      </c>
      <c r="J660" s="114">
        <v>0</v>
      </c>
      <c r="K660" s="115">
        <f t="shared" si="135"/>
      </c>
      <c r="L660" s="115">
        <f t="shared" si="264"/>
      </c>
      <c r="M660" s="116">
        <f t="shared" si="631"/>
      </c>
      <c r="N660" s="117">
        <f t="shared" si="661"/>
      </c>
      <c r="O660" s="118">
        <f t="shared" si="571"/>
      </c>
      <c r="P660" s="119">
        <f t="shared" si="601"/>
      </c>
      <c r="Q660" s="119">
        <f t="shared" si="781"/>
      </c>
      <c r="R660" s="119">
        <f t="shared" si="811"/>
      </c>
      <c r="S660" s="120">
        <f t="shared" si="691"/>
      </c>
      <c r="T660" s="121">
        <f t="shared" si="721"/>
      </c>
      <c r="U660" s="119">
        <f t="shared" si="1000"/>
      </c>
      <c r="V660" s="122">
        <f t="shared" si="751"/>
      </c>
      <c r="W660" s="122">
        <f t="shared" si="1030"/>
      </c>
      <c r="X660" s="119">
        <f t="shared" si="841"/>
      </c>
      <c r="Y660" s="123">
        <f t="shared" si="951"/>
      </c>
      <c r="Z660" s="123">
        <v>13</v>
      </c>
      <c r="AA660" s="123">
        <v>13</v>
      </c>
      <c r="AB660" s="124">
        <v>23174.28</v>
      </c>
      <c r="AC660" s="124">
        <v>1958</v>
      </c>
      <c r="AD660" s="120">
        <f t="shared" si="25"/>
      </c>
      <c r="AE660" s="125" t="s">
        <v>121</v>
      </c>
      <c r="AF660" s="126" t="s">
        <v>122</v>
      </c>
      <c r="AG660" s="129">
        <v>12</v>
      </c>
      <c r="AH660" s="128">
        <v>105288</v>
      </c>
      <c r="AI660" s="128">
        <v>2063</v>
      </c>
      <c r="AJ660" s="128">
        <v>2202</v>
      </c>
      <c r="AK660" s="129">
        <v>279</v>
      </c>
      <c r="AL660" s="129">
        <v>320</v>
      </c>
    </row>
    <row r="661">
      <c r="A661" s="108"/>
      <c r="B661" s="109" t="s">
        <v>128</v>
      </c>
      <c r="C661" s="110" t="s">
        <v>132</v>
      </c>
      <c r="D661" s="111">
        <f t="shared" si="393"/>
      </c>
      <c r="E661" s="110">
        <v>803.57</v>
      </c>
      <c r="F661" s="113">
        <v>10381.4</v>
      </c>
      <c r="G661" s="113">
        <v>0</v>
      </c>
      <c r="H661" s="113">
        <v>0</v>
      </c>
      <c r="I661" s="113">
        <f t="shared" si="522"/>
      </c>
      <c r="J661" s="114">
        <f>2743.92+3065.76+998.28+4240.08+1480.68+696.6+555.12</f>
      </c>
      <c r="K661" s="115">
        <f t="shared" si="135"/>
      </c>
      <c r="L661" s="115">
        <f t="shared" si="264"/>
      </c>
      <c r="M661" s="116">
        <f t="shared" si="631"/>
      </c>
      <c r="N661" s="117">
        <f t="shared" si="661"/>
      </c>
      <c r="O661" s="118">
        <f t="shared" si="571"/>
      </c>
      <c r="P661" s="119">
        <f t="shared" si="601"/>
      </c>
      <c r="Q661" s="119">
        <f t="shared" si="781"/>
      </c>
      <c r="R661" s="119">
        <f t="shared" si="811"/>
      </c>
      <c r="S661" s="120">
        <f t="shared" si="691"/>
      </c>
      <c r="T661" s="121">
        <f t="shared" si="721"/>
      </c>
      <c r="U661" s="119">
        <f t="shared" si="1000"/>
      </c>
      <c r="V661" s="122">
        <f t="shared" si="751"/>
      </c>
      <c r="W661" s="122">
        <f t="shared" si="1030"/>
      </c>
      <c r="X661" s="119">
        <f t="shared" si="841"/>
      </c>
      <c r="Y661" s="123">
        <f t="shared" si="951"/>
      </c>
      <c r="Z661" s="123">
        <v>9</v>
      </c>
      <c r="AA661" s="123">
        <v>16</v>
      </c>
      <c r="AB661" s="114">
        <f>17017.56+696.6+6807.96</f>
      </c>
      <c r="AC661" s="124">
        <v>1592</v>
      </c>
      <c r="AD661" s="120">
        <f t="shared" si="25"/>
      </c>
      <c r="AE661" s="125" t="s">
        <v>121</v>
      </c>
      <c r="AF661" s="126" t="s">
        <v>122</v>
      </c>
      <c r="AG661" s="127">
        <v>10</v>
      </c>
      <c r="AH661" s="128">
        <v>105501</v>
      </c>
      <c r="AI661" s="128">
        <v>2598</v>
      </c>
      <c r="AJ661" s="128">
        <v>2786</v>
      </c>
      <c r="AK661" s="129">
        <v>255</v>
      </c>
      <c r="AL661" s="129">
        <v>278</v>
      </c>
    </row>
    <row r="662">
      <c r="A662" s="108"/>
      <c r="B662" s="130" t="s">
        <v>127</v>
      </c>
      <c r="C662" s="131">
        <v>4</v>
      </c>
      <c r="D662" s="132">
        <f>SUM(D658:D661)</f>
      </c>
      <c r="E662" s="132">
        <f>SUM(E658:E661)</f>
      </c>
      <c r="F662" s="132">
        <f>SUM(F658:F661)</f>
      </c>
      <c r="G662" s="132">
        <f>SUM(G658:G661)</f>
      </c>
      <c r="H662" s="132">
        <f>SUM(H658:H661)</f>
      </c>
      <c r="I662" s="132">
        <f>SUM(I658:I661)</f>
      </c>
      <c r="J662" s="132">
        <f>SUM(J658:J661)</f>
      </c>
      <c r="K662" s="132">
        <f>SUM(K658:K661)</f>
      </c>
      <c r="L662" s="132">
        <f>SUM(L658:L661)</f>
      </c>
      <c r="M662" s="133">
        <f t="shared" si="631"/>
      </c>
      <c r="N662" s="134">
        <f t="shared" si="661"/>
      </c>
      <c r="O662" s="134">
        <f t="shared" si="571"/>
      </c>
      <c r="P662" s="135">
        <f t="shared" si="601"/>
      </c>
      <c r="Q662" s="135">
        <f t="shared" si="781"/>
      </c>
      <c r="R662" s="135">
        <f t="shared" si="811"/>
      </c>
      <c r="S662" s="136">
        <f t="shared" si="691"/>
      </c>
      <c r="T662" s="136">
        <f t="shared" si="721"/>
      </c>
      <c r="U662" s="135">
        <f t="shared" si="1000"/>
      </c>
      <c r="V662" s="136">
        <f t="shared" si="751"/>
      </c>
      <c r="W662" s="136">
        <f t="shared" si="1030"/>
      </c>
      <c r="X662" s="135">
        <f t="shared" si="841"/>
      </c>
      <c r="Y662" s="132">
        <f>SUM(Y658:Y661)</f>
      </c>
      <c r="Z662" s="132">
        <f>SUM(Z658:Z661)</f>
      </c>
      <c r="AA662" s="132">
        <f>SUM(AA658:AA661)</f>
      </c>
      <c r="AB662" s="132">
        <f>SUM(AB658:AB661)</f>
      </c>
      <c r="AC662" s="132">
        <f>SUM(AC658:AC661)</f>
      </c>
      <c r="AD662" s="137">
        <f t="shared" si="25"/>
      </c>
      <c r="AE662" s="138"/>
      <c r="AF662" s="139"/>
      <c r="AG662" s="132">
        <f>SUM(AG658:AG661)</f>
      </c>
      <c r="AH662" s="132">
        <f>SUM(AH658:AH661)</f>
      </c>
      <c r="AI662" s="132">
        <f>SUM(AI658:AI661)</f>
      </c>
      <c r="AJ662" s="132">
        <f>SUM(AJ658:AJ661)</f>
      </c>
      <c r="AK662" s="132">
        <f>SUM(AK658:AK661)</f>
      </c>
      <c r="AL662" s="132">
        <f>SUM(AL658:AL661)</f>
      </c>
    </row>
    <row r="663">
      <c r="A663" s="108"/>
      <c r="B663" s="109" t="s">
        <v>155</v>
      </c>
      <c r="C663" s="110" t="s">
        <v>134</v>
      </c>
      <c r="D663" s="111">
        <f t="shared" ref="D663:D664" si="394">E663+F663+G663+H663</f>
      </c>
      <c r="E663" s="110">
        <v>1820.1</v>
      </c>
      <c r="F663" s="140">
        <v>12327.97</v>
      </c>
      <c r="G663" s="113">
        <v>0</v>
      </c>
      <c r="H663" s="113">
        <v>0</v>
      </c>
      <c r="I663" s="183">
        <f t="shared" ref="I663:I664" si="523">AB663+AC663</f>
      </c>
      <c r="J663" s="160">
        <f>979.56+2114.64+708.48</f>
      </c>
      <c r="K663" s="115">
        <f t="shared" ref="K663:K664" si="136">I663-J663</f>
      </c>
      <c r="L663" s="115">
        <f t="shared" ref="L663:L664" si="265">(I663-AC663)/12+AC663</f>
      </c>
      <c r="M663" s="116">
        <f t="shared" si="631"/>
      </c>
      <c r="N663" s="117">
        <f t="shared" si="661"/>
      </c>
      <c r="O663" s="118">
        <f t="shared" si="571"/>
      </c>
      <c r="P663" s="119">
        <f t="shared" si="601"/>
      </c>
      <c r="Q663" s="119">
        <f t="shared" si="781"/>
      </c>
      <c r="R663" s="119">
        <f t="shared" si="811"/>
      </c>
      <c r="S663" s="120">
        <f t="shared" si="691"/>
      </c>
      <c r="T663" s="121">
        <f t="shared" si="721"/>
      </c>
      <c r="U663" s="119">
        <f t="shared" si="1000"/>
      </c>
      <c r="V663" s="122">
        <f t="shared" si="751"/>
      </c>
      <c r="W663" s="122">
        <f t="shared" si="1030"/>
      </c>
      <c r="X663" s="119">
        <f t="shared" si="841"/>
      </c>
      <c r="Y663" s="123">
        <f t="shared" ref="Y663:Y664" si="952">Z663+AA663</f>
      </c>
      <c r="Z663" s="123">
        <v>10</v>
      </c>
      <c r="AA663" s="123">
        <v>10</v>
      </c>
      <c r="AB663" s="124">
        <v>11126.160000000003</v>
      </c>
      <c r="AC663" s="124">
        <v>1105.0000000000018</v>
      </c>
      <c r="AD663" s="120">
        <f t="shared" si="25"/>
      </c>
      <c r="AE663" s="125" t="s">
        <v>121</v>
      </c>
      <c r="AF663" s="126" t="s">
        <v>122</v>
      </c>
      <c r="AG663" s="127">
        <v>12</v>
      </c>
      <c r="AH663" s="128">
        <v>133842</v>
      </c>
      <c r="AI663" s="128">
        <v>3471</v>
      </c>
      <c r="AJ663" s="128">
        <v>3712</v>
      </c>
      <c r="AK663" s="129">
        <v>380</v>
      </c>
      <c r="AL663" s="129">
        <v>370</v>
      </c>
    </row>
    <row r="664">
      <c r="A664" s="108"/>
      <c r="B664" s="109" t="s">
        <v>155</v>
      </c>
      <c r="C664" s="110" t="s">
        <v>135</v>
      </c>
      <c r="D664" s="111">
        <f t="shared" si="394"/>
      </c>
      <c r="E664" s="141">
        <v>1210.64</v>
      </c>
      <c r="F664" s="142">
        <v>9312.82</v>
      </c>
      <c r="G664" s="171">
        <v>0</v>
      </c>
      <c r="H664" s="113">
        <v>0</v>
      </c>
      <c r="I664" s="184">
        <f t="shared" si="523"/>
      </c>
      <c r="J664" s="160">
        <f>2082.24+421.68+1191.12+1398+1398</f>
      </c>
      <c r="K664" s="115">
        <f t="shared" si="136"/>
      </c>
      <c r="L664" s="115">
        <f t="shared" si="265"/>
      </c>
      <c r="M664" s="116">
        <f t="shared" si="631"/>
      </c>
      <c r="N664" s="117">
        <f t="shared" si="661"/>
      </c>
      <c r="O664" s="118">
        <f t="shared" si="571"/>
      </c>
      <c r="P664" s="119">
        <f t="shared" si="601"/>
      </c>
      <c r="Q664" s="119">
        <f t="shared" si="781"/>
      </c>
      <c r="R664" s="119">
        <f t="shared" si="811"/>
      </c>
      <c r="S664" s="120">
        <f t="shared" si="691"/>
      </c>
      <c r="T664" s="121">
        <f t="shared" si="721"/>
      </c>
      <c r="U664" s="119">
        <f t="shared" si="1000"/>
      </c>
      <c r="V664" s="122">
        <f t="shared" si="751"/>
      </c>
      <c r="W664" s="122">
        <f t="shared" si="1030"/>
      </c>
      <c r="X664" s="119">
        <f t="shared" si="841"/>
      </c>
      <c r="Y664" s="172">
        <f t="shared" si="952"/>
      </c>
      <c r="Z664" s="123">
        <v>14</v>
      </c>
      <c r="AA664" s="123">
        <v>11</v>
      </c>
      <c r="AB664" s="173">
        <v>12845.88</v>
      </c>
      <c r="AC664" s="124">
        <v>4921</v>
      </c>
      <c r="AD664" s="120">
        <f t="shared" si="25"/>
      </c>
      <c r="AE664" s="125" t="s">
        <v>121</v>
      </c>
      <c r="AF664" s="126" t="s">
        <v>137</v>
      </c>
      <c r="AG664" s="129">
        <v>6</v>
      </c>
      <c r="AH664" s="128">
        <v>107694</v>
      </c>
      <c r="AI664" s="128">
        <v>2490</v>
      </c>
      <c r="AJ664" s="128">
        <v>2696</v>
      </c>
      <c r="AK664" s="129">
        <v>339</v>
      </c>
      <c r="AL664" s="129">
        <v>318</v>
      </c>
    </row>
    <row r="665">
      <c r="A665" s="108"/>
      <c r="B665" s="130" t="s">
        <v>127</v>
      </c>
      <c r="C665" s="131">
        <v>2</v>
      </c>
      <c r="D665" s="185">
        <f>SUM(D663:D664)</f>
      </c>
      <c r="E665" s="185">
        <f>SUM(E663:E664)</f>
      </c>
      <c r="F665" s="185">
        <f>SUM(F663:F664)</f>
      </c>
      <c r="G665" s="185">
        <f>SUM(G663:G664)</f>
      </c>
      <c r="H665" s="185">
        <f>SUM(H663:H664)</f>
      </c>
      <c r="I665" s="185">
        <f>SUM(I663:I664)</f>
      </c>
      <c r="J665" s="185">
        <f>SUM(J663:J664)</f>
      </c>
      <c r="K665" s="185">
        <f>SUM(K663:K664)</f>
      </c>
      <c r="L665" s="185">
        <f>SUM(L663:L664)</f>
      </c>
      <c r="M665" s="133">
        <f t="shared" si="631"/>
      </c>
      <c r="N665" s="134">
        <f t="shared" si="661"/>
      </c>
      <c r="O665" s="134">
        <f t="shared" si="571"/>
      </c>
      <c r="P665" s="135">
        <f t="shared" si="601"/>
      </c>
      <c r="Q665" s="135">
        <f t="shared" si="781"/>
      </c>
      <c r="R665" s="135">
        <f t="shared" si="811"/>
      </c>
      <c r="S665" s="136">
        <f t="shared" si="691"/>
      </c>
      <c r="T665" s="136">
        <f t="shared" si="721"/>
      </c>
      <c r="U665" s="135">
        <f t="shared" si="1000"/>
      </c>
      <c r="V665" s="136">
        <f t="shared" si="751"/>
      </c>
      <c r="W665" s="136">
        <f t="shared" si="1030"/>
      </c>
      <c r="X665" s="135">
        <f t="shared" si="841"/>
      </c>
      <c r="Y665" s="185">
        <f>SUM(Y663:Y664)</f>
      </c>
      <c r="Z665" s="185">
        <f>SUM(Z663:Z664)</f>
      </c>
      <c r="AA665" s="185">
        <f>SUM(AA663:AA664)</f>
      </c>
      <c r="AB665" s="185">
        <f>SUM(AB663:AB664)</f>
      </c>
      <c r="AC665" s="185">
        <f>SUM(AC663:AC664)</f>
      </c>
      <c r="AD665" s="137">
        <f t="shared" si="25"/>
      </c>
      <c r="AE665" s="138"/>
      <c r="AF665" s="139"/>
      <c r="AG665" s="185">
        <f>SUM(AG663:AG664)</f>
      </c>
      <c r="AH665" s="185">
        <f>SUM(AH663:AH664)</f>
      </c>
      <c r="AI665" s="185">
        <f>SUM(AI663:AI664)</f>
      </c>
      <c r="AJ665" s="185">
        <f>SUM(AJ663:AJ664)</f>
      </c>
      <c r="AK665" s="185">
        <f>SUM(AK663:AK664)</f>
      </c>
      <c r="AL665" s="185">
        <f>SUM(AL663:AL664)</f>
      </c>
    </row>
    <row r="666">
      <c r="A666" s="108"/>
      <c r="B666" s="109" t="s">
        <v>133</v>
      </c>
      <c r="C666" s="110" t="s">
        <v>138</v>
      </c>
      <c r="D666" s="111">
        <f t="shared" ref="D666:D669" si="395">E666+F666+G666+H666</f>
      </c>
      <c r="E666" s="110">
        <v>1246.41</v>
      </c>
      <c r="F666" s="140">
        <v>6924.91</v>
      </c>
      <c r="G666" s="113">
        <v>0</v>
      </c>
      <c r="H666" s="113">
        <v>0</v>
      </c>
      <c r="I666" s="183">
        <f t="shared" ref="I666:I669" si="524">AB666+AC666</f>
      </c>
      <c r="J666" s="160">
        <v>0</v>
      </c>
      <c r="K666" s="115">
        <f t="shared" ref="K666:K669" si="137">I666-J666</f>
      </c>
      <c r="L666" s="115">
        <f t="shared" ref="L666:L669" si="266">(I666-AC666)/12+AC666</f>
      </c>
      <c r="M666" s="116">
        <f t="shared" si="631"/>
      </c>
      <c r="N666" s="117">
        <f t="shared" si="661"/>
      </c>
      <c r="O666" s="118">
        <f t="shared" si="571"/>
      </c>
      <c r="P666" s="119">
        <f t="shared" si="601"/>
      </c>
      <c r="Q666" s="119">
        <f t="shared" si="781"/>
      </c>
      <c r="R666" s="119">
        <f t="shared" si="811"/>
      </c>
      <c r="S666" s="120">
        <f t="shared" si="691"/>
      </c>
      <c r="T666" s="121">
        <f t="shared" si="721"/>
      </c>
      <c r="U666" s="119">
        <f t="shared" si="1000"/>
      </c>
      <c r="V666" s="122">
        <f t="shared" si="751"/>
      </c>
      <c r="W666" s="122">
        <f t="shared" si="1030"/>
      </c>
      <c r="X666" s="119">
        <f t="shared" si="841"/>
      </c>
      <c r="Y666" s="123">
        <f t="shared" ref="Y666:Y669" si="953">Z666+AA666</f>
      </c>
      <c r="Z666" s="123">
        <v>3</v>
      </c>
      <c r="AA666" s="123">
        <v>7</v>
      </c>
      <c r="AB666" s="124">
        <v>12742.919999999984</v>
      </c>
      <c r="AC666" s="124">
        <v>0</v>
      </c>
      <c r="AD666" s="120">
        <f t="shared" si="25"/>
      </c>
      <c r="AE666" s="125" t="s">
        <v>121</v>
      </c>
      <c r="AF666" s="126" t="s">
        <v>137</v>
      </c>
      <c r="AG666" s="127">
        <v>7</v>
      </c>
      <c r="AH666" s="128">
        <v>73879</v>
      </c>
      <c r="AI666" s="128">
        <v>1656</v>
      </c>
      <c r="AJ666" s="128">
        <v>1862</v>
      </c>
      <c r="AK666" s="129">
        <v>203</v>
      </c>
      <c r="AL666" s="129">
        <v>235</v>
      </c>
    </row>
    <row r="667">
      <c r="A667" s="108"/>
      <c r="B667" s="109" t="s">
        <v>133</v>
      </c>
      <c r="C667" s="110" t="s">
        <v>140</v>
      </c>
      <c r="D667" s="111">
        <f t="shared" si="395"/>
      </c>
      <c r="E667" s="110">
        <v>1401.9</v>
      </c>
      <c r="F667" s="140">
        <v>6109.32</v>
      </c>
      <c r="G667" s="113">
        <v>0</v>
      </c>
      <c r="H667" s="113">
        <v>0</v>
      </c>
      <c r="I667" s="183">
        <f t="shared" si="524"/>
      </c>
      <c r="J667" s="160">
        <v>0</v>
      </c>
      <c r="K667" s="115">
        <f t="shared" si="137"/>
      </c>
      <c r="L667" s="115">
        <f t="shared" si="266"/>
      </c>
      <c r="M667" s="116">
        <f t="shared" si="631"/>
      </c>
      <c r="N667" s="117">
        <f t="shared" si="661"/>
      </c>
      <c r="O667" s="118">
        <f t="shared" si="571"/>
      </c>
      <c r="P667" s="119">
        <f t="shared" si="601"/>
      </c>
      <c r="Q667" s="119">
        <f t="shared" si="781"/>
      </c>
      <c r="R667" s="119">
        <f t="shared" si="811"/>
      </c>
      <c r="S667" s="120">
        <f t="shared" si="691"/>
      </c>
      <c r="T667" s="121">
        <f t="shared" si="721"/>
      </c>
      <c r="U667" s="119">
        <f t="shared" si="1000"/>
      </c>
      <c r="V667" s="122">
        <f t="shared" si="751"/>
      </c>
      <c r="W667" s="122">
        <f t="shared" si="1030"/>
      </c>
      <c r="X667" s="119">
        <f t="shared" si="841"/>
      </c>
      <c r="Y667" s="123">
        <f t="shared" si="953"/>
      </c>
      <c r="Z667" s="123">
        <v>10</v>
      </c>
      <c r="AA667" s="123">
        <v>8</v>
      </c>
      <c r="AB667" s="124">
        <v>10350.48000000004</v>
      </c>
      <c r="AC667" s="124">
        <v>3594</v>
      </c>
      <c r="AD667" s="120">
        <f t="shared" si="25"/>
      </c>
      <c r="AE667" s="125" t="s">
        <v>121</v>
      </c>
      <c r="AF667" s="126" t="s">
        <v>137</v>
      </c>
      <c r="AG667" s="127">
        <v>8</v>
      </c>
      <c r="AH667" s="128">
        <v>70157</v>
      </c>
      <c r="AI667" s="128">
        <v>1591</v>
      </c>
      <c r="AJ667" s="128">
        <v>1788</v>
      </c>
      <c r="AK667" s="129">
        <v>173</v>
      </c>
      <c r="AL667" s="129">
        <v>201</v>
      </c>
    </row>
    <row r="668">
      <c r="A668" s="108"/>
      <c r="B668" s="109" t="s">
        <v>133</v>
      </c>
      <c r="C668" s="141" t="s">
        <v>141</v>
      </c>
      <c r="D668" s="111">
        <f t="shared" si="395"/>
      </c>
      <c r="E668" s="110">
        <v>1103.78</v>
      </c>
      <c r="F668" s="140">
        <v>8619.32</v>
      </c>
      <c r="G668" s="113">
        <v>0</v>
      </c>
      <c r="H668" s="113">
        <v>0</v>
      </c>
      <c r="I668" s="183">
        <f t="shared" si="524"/>
      </c>
      <c r="J668" s="160">
        <v>411</v>
      </c>
      <c r="K668" s="115">
        <f t="shared" si="137"/>
      </c>
      <c r="L668" s="115">
        <f t="shared" si="266"/>
      </c>
      <c r="M668" s="116">
        <f t="shared" si="631"/>
      </c>
      <c r="N668" s="117">
        <f t="shared" si="661"/>
      </c>
      <c r="O668" s="118">
        <f t="shared" si="571"/>
      </c>
      <c r="P668" s="119">
        <f t="shared" si="601"/>
      </c>
      <c r="Q668" s="119">
        <f t="shared" si="781"/>
      </c>
      <c r="R668" s="119">
        <f t="shared" si="811"/>
      </c>
      <c r="S668" s="120">
        <f t="shared" si="691"/>
      </c>
      <c r="T668" s="121">
        <f t="shared" si="721"/>
      </c>
      <c r="U668" s="119">
        <f t="shared" si="1000"/>
      </c>
      <c r="V668" s="122">
        <f t="shared" si="751"/>
      </c>
      <c r="W668" s="122">
        <f t="shared" si="1030"/>
      </c>
      <c r="X668" s="119">
        <f t="shared" si="841"/>
      </c>
      <c r="Y668" s="123">
        <f t="shared" si="953"/>
      </c>
      <c r="Z668" s="123">
        <v>9</v>
      </c>
      <c r="AA668" s="123">
        <v>9</v>
      </c>
      <c r="AB668" s="124">
        <v>29151.599999999977</v>
      </c>
      <c r="AC668" s="124">
        <v>411</v>
      </c>
      <c r="AD668" s="120">
        <f t="shared" si="25"/>
      </c>
      <c r="AE668" s="125" t="s">
        <v>121</v>
      </c>
      <c r="AF668" s="126" t="s">
        <v>137</v>
      </c>
      <c r="AG668" s="129">
        <v>9</v>
      </c>
      <c r="AH668" s="128">
        <v>94250</v>
      </c>
      <c r="AI668" s="128">
        <v>1924</v>
      </c>
      <c r="AJ668" s="128">
        <v>2089</v>
      </c>
      <c r="AK668" s="129">
        <v>265</v>
      </c>
      <c r="AL668" s="129">
        <v>266</v>
      </c>
    </row>
    <row r="669">
      <c r="A669" s="108"/>
      <c r="B669" s="109" t="s">
        <v>133</v>
      </c>
      <c r="C669" s="141" t="s">
        <v>142</v>
      </c>
      <c r="D669" s="111">
        <f t="shared" si="395"/>
      </c>
      <c r="E669" s="110">
        <v>1024.8</v>
      </c>
      <c r="F669" s="140">
        <v>11873.83</v>
      </c>
      <c r="G669" s="113">
        <v>0</v>
      </c>
      <c r="H669" s="113">
        <v>0</v>
      </c>
      <c r="I669" s="183">
        <f t="shared" si="524"/>
      </c>
      <c r="J669" s="160">
        <f>1591.92+1670.76+646.92+1433.16</f>
      </c>
      <c r="K669" s="115">
        <f t="shared" si="137"/>
      </c>
      <c r="L669" s="115">
        <f t="shared" si="266"/>
      </c>
      <c r="M669" s="116">
        <f t="shared" si="631"/>
      </c>
      <c r="N669" s="117">
        <f t="shared" si="661"/>
      </c>
      <c r="O669" s="118">
        <f t="shared" si="571"/>
      </c>
      <c r="P669" s="119">
        <f t="shared" si="601"/>
      </c>
      <c r="Q669" s="119">
        <f t="shared" si="781"/>
      </c>
      <c r="R669" s="119">
        <f t="shared" si="811"/>
      </c>
      <c r="S669" s="120">
        <f t="shared" si="691"/>
      </c>
      <c r="T669" s="121">
        <f t="shared" si="721"/>
      </c>
      <c r="U669" s="119">
        <f t="shared" si="1000"/>
      </c>
      <c r="V669" s="122">
        <f t="shared" si="751"/>
      </c>
      <c r="W669" s="122">
        <f t="shared" si="1030"/>
      </c>
      <c r="X669" s="119">
        <f t="shared" si="841"/>
      </c>
      <c r="Y669" s="123">
        <f t="shared" si="953"/>
      </c>
      <c r="Z669" s="123">
        <v>13</v>
      </c>
      <c r="AA669" s="123">
        <v>13</v>
      </c>
      <c r="AB669" s="124">
        <v>20034.48</v>
      </c>
      <c r="AC669" s="124">
        <v>1655.85</v>
      </c>
      <c r="AD669" s="120">
        <f t="shared" si="25"/>
      </c>
      <c r="AE669" s="125" t="s">
        <v>121</v>
      </c>
      <c r="AF669" s="126" t="s">
        <v>137</v>
      </c>
      <c r="AG669" s="127">
        <v>8</v>
      </c>
      <c r="AH669" s="128">
        <v>137027</v>
      </c>
      <c r="AI669" s="128">
        <v>3006</v>
      </c>
      <c r="AJ669" s="128">
        <v>3192</v>
      </c>
      <c r="AK669" s="129">
        <v>300</v>
      </c>
      <c r="AL669" s="127">
        <v>362</v>
      </c>
    </row>
    <row r="670">
      <c r="A670" s="108"/>
      <c r="B670" s="130" t="s">
        <v>127</v>
      </c>
      <c r="C670" s="131">
        <v>4</v>
      </c>
      <c r="D670" s="132">
        <f>SUM(D666:D669)</f>
      </c>
      <c r="E670" s="132">
        <f>SUM(E666:E669)</f>
      </c>
      <c r="F670" s="132">
        <f>SUM(F666:F669)</f>
      </c>
      <c r="G670" s="132">
        <f>SUM(G666:G669)</f>
      </c>
      <c r="H670" s="132">
        <f>SUM(H666:H669)</f>
      </c>
      <c r="I670" s="132">
        <f>SUM(I666:I669)</f>
      </c>
      <c r="J670" s="132">
        <f>SUM(J666:J669)</f>
      </c>
      <c r="K670" s="132">
        <f>SUM(K666:K669)</f>
      </c>
      <c r="L670" s="132">
        <f>SUM(L666:L669)</f>
      </c>
      <c r="M670" s="133">
        <f t="shared" si="631"/>
      </c>
      <c r="N670" s="134">
        <f t="shared" si="661"/>
      </c>
      <c r="O670" s="134">
        <f t="shared" si="571"/>
      </c>
      <c r="P670" s="135">
        <f t="shared" si="601"/>
      </c>
      <c r="Q670" s="135">
        <f t="shared" si="781"/>
      </c>
      <c r="R670" s="135">
        <f t="shared" si="811"/>
      </c>
      <c r="S670" s="136">
        <f t="shared" si="691"/>
      </c>
      <c r="T670" s="136">
        <f t="shared" si="721"/>
      </c>
      <c r="U670" s="135">
        <f t="shared" si="1000"/>
      </c>
      <c r="V670" s="136">
        <f t="shared" si="751"/>
      </c>
      <c r="W670" s="136">
        <f t="shared" si="1030"/>
      </c>
      <c r="X670" s="135">
        <f t="shared" si="841"/>
      </c>
      <c r="Y670" s="132">
        <f>SUM(Y666:Y669)</f>
      </c>
      <c r="Z670" s="132">
        <f>SUM(Z666:Z669)</f>
      </c>
      <c r="AA670" s="132">
        <f>SUM(AA666:AA669)</f>
      </c>
      <c r="AB670" s="132">
        <f>SUM(AB666:AB669)</f>
      </c>
      <c r="AC670" s="132">
        <f>SUM(AC666:AC669)</f>
      </c>
      <c r="AD670" s="137">
        <f t="shared" si="25"/>
      </c>
      <c r="AE670" s="138"/>
      <c r="AF670" s="139"/>
      <c r="AG670" s="132">
        <f>SUM(AG666:AG669)</f>
      </c>
      <c r="AH670" s="132">
        <f>SUM(AH666:AH669)</f>
      </c>
      <c r="AI670" s="132">
        <f>SUM(AI666:AI669)</f>
      </c>
      <c r="AJ670" s="132">
        <f>SUM(AJ666:AJ669)</f>
      </c>
      <c r="AK670" s="132">
        <f>SUM(AK666:AK669)</f>
      </c>
      <c r="AL670" s="132">
        <f>SUM(AL666:AL669)</f>
      </c>
    </row>
    <row r="671">
      <c r="A671" s="108"/>
      <c r="B671" s="109" t="s">
        <v>143</v>
      </c>
      <c r="C671" s="141" t="s">
        <v>144</v>
      </c>
      <c r="D671" s="111">
        <f t="shared" ref="D671:D675" si="396">E671+F671+G671+H671</f>
      </c>
      <c r="E671" s="112">
        <v>1380.08</v>
      </c>
      <c r="F671" s="113">
        <v>18917.1</v>
      </c>
      <c r="G671" s="113">
        <v>0</v>
      </c>
      <c r="H671" s="113">
        <v>0</v>
      </c>
      <c r="I671" s="113">
        <f t="shared" ref="I671:I675" si="525">AB671+AC671</f>
      </c>
      <c r="J671" s="114">
        <v>0</v>
      </c>
      <c r="K671" s="115">
        <f t="shared" ref="K671:K675" si="138">I671-J671</f>
      </c>
      <c r="L671" s="115">
        <f t="shared" ref="L671:L675" si="267">(I671-AC671)/12+AC671</f>
      </c>
      <c r="M671" s="116">
        <f t="shared" si="631"/>
      </c>
      <c r="N671" s="117">
        <f t="shared" si="661"/>
      </c>
      <c r="O671" s="118">
        <f t="shared" si="571"/>
      </c>
      <c r="P671" s="119">
        <f t="shared" si="601"/>
      </c>
      <c r="Q671" s="119">
        <f t="shared" si="781"/>
      </c>
      <c r="R671" s="119">
        <f t="shared" si="811"/>
      </c>
      <c r="S671" s="120">
        <f t="shared" si="691"/>
      </c>
      <c r="T671" s="121">
        <f t="shared" si="721"/>
      </c>
      <c r="U671" s="119">
        <f t="shared" si="1000"/>
      </c>
      <c r="V671" s="122">
        <f t="shared" si="751"/>
      </c>
      <c r="W671" s="122">
        <f t="shared" si="1030"/>
      </c>
      <c r="X671" s="119">
        <f t="shared" si="841"/>
      </c>
      <c r="Y671" s="123">
        <f t="shared" ref="Y671:Y675" si="954">Z671+AA671</f>
      </c>
      <c r="Z671" s="123">
        <v>5</v>
      </c>
      <c r="AA671" s="123">
        <v>12</v>
      </c>
      <c r="AB671" s="124">
        <v>16055.160000000033</v>
      </c>
      <c r="AC671" s="124">
        <v>3772</v>
      </c>
      <c r="AD671" s="120">
        <f t="shared" si="25"/>
      </c>
      <c r="AE671" s="125" t="s">
        <v>121</v>
      </c>
      <c r="AF671" s="126" t="s">
        <v>137</v>
      </c>
      <c r="AG671" s="127">
        <v>13</v>
      </c>
      <c r="AH671" s="127">
        <v>231325</v>
      </c>
      <c r="AI671" s="128">
        <v>3663</v>
      </c>
      <c r="AJ671" s="128">
        <v>3884</v>
      </c>
      <c r="AK671" s="127">
        <v>442</v>
      </c>
      <c r="AL671" s="129">
        <v>550</v>
      </c>
    </row>
    <row r="672">
      <c r="A672" s="108"/>
      <c r="B672" s="109" t="s">
        <v>143</v>
      </c>
      <c r="C672" s="110" t="s">
        <v>145</v>
      </c>
      <c r="D672" s="111">
        <f t="shared" si="396"/>
      </c>
      <c r="E672" s="110">
        <v>1898.67</v>
      </c>
      <c r="F672" s="113">
        <v>11369.84</v>
      </c>
      <c r="G672" s="113">
        <v>0</v>
      </c>
      <c r="H672" s="113">
        <v>0</v>
      </c>
      <c r="I672" s="113">
        <f t="shared" si="525"/>
      </c>
      <c r="J672" s="114">
        <v>0</v>
      </c>
      <c r="K672" s="115">
        <f t="shared" si="138"/>
      </c>
      <c r="L672" s="115">
        <f t="shared" si="267"/>
      </c>
      <c r="M672" s="116">
        <f t="shared" si="631"/>
      </c>
      <c r="N672" s="117">
        <f t="shared" si="661"/>
      </c>
      <c r="O672" s="118">
        <f t="shared" si="571"/>
      </c>
      <c r="P672" s="119">
        <f t="shared" si="601"/>
      </c>
      <c r="Q672" s="119">
        <f t="shared" si="781"/>
      </c>
      <c r="R672" s="119">
        <f t="shared" si="811"/>
      </c>
      <c r="S672" s="120">
        <f t="shared" si="691"/>
      </c>
      <c r="T672" s="121">
        <f t="shared" si="721"/>
      </c>
      <c r="U672" s="119">
        <f t="shared" si="1000"/>
      </c>
      <c r="V672" s="122">
        <f t="shared" si="751"/>
      </c>
      <c r="W672" s="122">
        <f t="shared" si="1030"/>
      </c>
      <c r="X672" s="119">
        <f t="shared" si="841"/>
      </c>
      <c r="Y672" s="123">
        <f t="shared" si="954"/>
      </c>
      <c r="Z672" s="123">
        <v>9</v>
      </c>
      <c r="AA672" s="123">
        <v>5</v>
      </c>
      <c r="AB672" s="124">
        <v>15357.959999999963</v>
      </c>
      <c r="AC672" s="124">
        <v>0</v>
      </c>
      <c r="AD672" s="120">
        <f t="shared" si="25"/>
      </c>
      <c r="AE672" s="125" t="s">
        <v>121</v>
      </c>
      <c r="AF672" s="126" t="s">
        <v>137</v>
      </c>
      <c r="AG672" s="127">
        <v>4</v>
      </c>
      <c r="AH672" s="128">
        <v>168294</v>
      </c>
      <c r="AI672" s="128">
        <v>3138</v>
      </c>
      <c r="AJ672" s="128">
        <v>3392</v>
      </c>
      <c r="AK672" s="129">
        <v>347</v>
      </c>
      <c r="AL672" s="129">
        <v>446</v>
      </c>
    </row>
    <row r="673">
      <c r="A673" s="108"/>
      <c r="B673" s="109" t="s">
        <v>143</v>
      </c>
      <c r="C673" s="141" t="s">
        <v>146</v>
      </c>
      <c r="D673" s="111">
        <f t="shared" si="396"/>
      </c>
      <c r="E673" s="110">
        <v>1574.09</v>
      </c>
      <c r="F673" s="110">
        <v>9261.63</v>
      </c>
      <c r="G673" s="113">
        <v>0</v>
      </c>
      <c r="H673" s="113">
        <v>0</v>
      </c>
      <c r="I673" s="113">
        <f t="shared" si="525"/>
      </c>
      <c r="J673" s="114">
        <v>0</v>
      </c>
      <c r="K673" s="115">
        <f t="shared" si="138"/>
      </c>
      <c r="L673" s="115">
        <f t="shared" si="267"/>
      </c>
      <c r="M673" s="116">
        <f t="shared" si="631"/>
      </c>
      <c r="N673" s="117">
        <f t="shared" si="661"/>
      </c>
      <c r="O673" s="118">
        <f t="shared" si="571"/>
      </c>
      <c r="P673" s="119">
        <f t="shared" si="601"/>
      </c>
      <c r="Q673" s="119">
        <f t="shared" si="781"/>
      </c>
      <c r="R673" s="119">
        <f t="shared" si="811"/>
      </c>
      <c r="S673" s="120">
        <f t="shared" si="691"/>
      </c>
      <c r="T673" s="121">
        <f t="shared" si="721"/>
      </c>
      <c r="U673" s="119">
        <f t="shared" si="1000"/>
      </c>
      <c r="V673" s="122">
        <f t="shared" si="751"/>
      </c>
      <c r="W673" s="122">
        <f t="shared" si="1030"/>
      </c>
      <c r="X673" s="119">
        <f t="shared" si="841"/>
      </c>
      <c r="Y673" s="123">
        <f t="shared" si="954"/>
      </c>
      <c r="Z673" s="123">
        <v>9</v>
      </c>
      <c r="AA673" s="123">
        <v>12</v>
      </c>
      <c r="AB673" s="124">
        <v>16174.200000000012</v>
      </c>
      <c r="AC673" s="124">
        <v>1858</v>
      </c>
      <c r="AD673" s="120">
        <f t="shared" si="25"/>
      </c>
      <c r="AE673" s="125" t="s">
        <v>121</v>
      </c>
      <c r="AF673" s="126" t="s">
        <v>137</v>
      </c>
      <c r="AG673" s="129">
        <v>10</v>
      </c>
      <c r="AH673" s="128">
        <v>124397</v>
      </c>
      <c r="AI673" s="128">
        <v>2544</v>
      </c>
      <c r="AJ673" s="128">
        <v>2794</v>
      </c>
      <c r="AK673" s="129">
        <v>300</v>
      </c>
      <c r="AL673" s="129">
        <v>348</v>
      </c>
    </row>
    <row r="674">
      <c r="A674" s="108"/>
      <c r="B674" s="109" t="s">
        <v>143</v>
      </c>
      <c r="C674" s="110" t="s">
        <v>147</v>
      </c>
      <c r="D674" s="111">
        <f t="shared" si="396"/>
      </c>
      <c r="E674" s="110">
        <v>1397.57</v>
      </c>
      <c r="F674" s="113">
        <v>8051.22</v>
      </c>
      <c r="G674" s="113">
        <v>0</v>
      </c>
      <c r="H674" s="113">
        <v>0</v>
      </c>
      <c r="I674" s="162">
        <f t="shared" si="525"/>
      </c>
      <c r="J674" s="114">
        <v>0</v>
      </c>
      <c r="K674" s="115">
        <f t="shared" si="138"/>
      </c>
      <c r="L674" s="115">
        <f t="shared" si="267"/>
      </c>
      <c r="M674" s="116">
        <f t="shared" si="631"/>
      </c>
      <c r="N674" s="117">
        <f t="shared" si="661"/>
      </c>
      <c r="O674" s="118">
        <f t="shared" si="571"/>
      </c>
      <c r="P674" s="119">
        <f t="shared" si="601"/>
      </c>
      <c r="Q674" s="119">
        <f t="shared" si="781"/>
      </c>
      <c r="R674" s="119">
        <f t="shared" si="811"/>
      </c>
      <c r="S674" s="120">
        <f t="shared" si="691"/>
      </c>
      <c r="T674" s="121">
        <f t="shared" si="721"/>
      </c>
      <c r="U674" s="119">
        <f t="shared" si="1000"/>
      </c>
      <c r="V674" s="122">
        <f t="shared" si="751"/>
      </c>
      <c r="W674" s="122">
        <f t="shared" si="1030"/>
      </c>
      <c r="X674" s="119">
        <f t="shared" si="841"/>
      </c>
      <c r="Y674" s="123">
        <f t="shared" si="954"/>
      </c>
      <c r="Z674" s="123">
        <v>3</v>
      </c>
      <c r="AA674" s="123">
        <v>12</v>
      </c>
      <c r="AB674" s="124">
        <v>20427.12</v>
      </c>
      <c r="AC674" s="124">
        <v>0</v>
      </c>
      <c r="AD674" s="120">
        <f t="shared" si="25"/>
      </c>
      <c r="AE674" s="125" t="s">
        <v>121</v>
      </c>
      <c r="AF674" s="126" t="s">
        <v>137</v>
      </c>
      <c r="AG674" s="127">
        <v>10</v>
      </c>
      <c r="AH674" s="128">
        <v>115857</v>
      </c>
      <c r="AI674" s="128">
        <v>3315</v>
      </c>
      <c r="AJ674" s="128">
        <v>3710</v>
      </c>
      <c r="AK674" s="129">
        <v>256</v>
      </c>
      <c r="AL674" s="129">
        <v>278</v>
      </c>
    </row>
    <row r="675">
      <c r="A675" s="108"/>
      <c r="B675" s="109" t="s">
        <v>143</v>
      </c>
      <c r="C675" s="110" t="s">
        <v>148</v>
      </c>
      <c r="D675" s="111">
        <f t="shared" si="396"/>
      </c>
      <c r="E675" s="112">
        <v>668.12</v>
      </c>
      <c r="F675" s="113">
        <v>2532.43</v>
      </c>
      <c r="G675" s="113">
        <v>0</v>
      </c>
      <c r="H675" s="113">
        <v>0</v>
      </c>
      <c r="I675" s="113">
        <f t="shared" si="525"/>
      </c>
      <c r="J675" s="114">
        <v>0</v>
      </c>
      <c r="K675" s="115">
        <f t="shared" si="138"/>
      </c>
      <c r="L675" s="115">
        <f t="shared" si="267"/>
      </c>
      <c r="M675" s="116">
        <f t="shared" si="631"/>
      </c>
      <c r="N675" s="117">
        <f t="shared" si="661"/>
      </c>
      <c r="O675" s="118">
        <f t="shared" si="571"/>
      </c>
      <c r="P675" s="119">
        <f t="shared" si="601"/>
      </c>
      <c r="Q675" s="119">
        <f t="shared" si="781"/>
      </c>
      <c r="R675" s="119">
        <f t="shared" si="811"/>
      </c>
      <c r="S675" s="120">
        <f t="shared" si="691"/>
      </c>
      <c r="T675" s="121">
        <f t="shared" si="721"/>
      </c>
      <c r="U675" s="119">
        <f t="shared" si="1000"/>
      </c>
      <c r="V675" s="122">
        <f t="shared" si="751"/>
      </c>
      <c r="W675" s="122">
        <f t="shared" si="1030"/>
      </c>
      <c r="X675" s="119">
        <f t="shared" si="841"/>
      </c>
      <c r="Y675" s="123">
        <f t="shared" si="954"/>
      </c>
      <c r="Z675" s="123">
        <v>5</v>
      </c>
      <c r="AA675" s="123">
        <v>6</v>
      </c>
      <c r="AB675" s="124">
        <v>13501.079999999998</v>
      </c>
      <c r="AC675" s="124">
        <v>0</v>
      </c>
      <c r="AD675" s="120">
        <f t="shared" si="25"/>
      </c>
      <c r="AE675" s="125" t="s">
        <v>121</v>
      </c>
      <c r="AF675" s="126" t="s">
        <v>137</v>
      </c>
      <c r="AG675" s="127">
        <v>5</v>
      </c>
      <c r="AH675" s="128">
        <v>37586</v>
      </c>
      <c r="AI675" s="128">
        <v>1708</v>
      </c>
      <c r="AJ675" s="128">
        <v>1983</v>
      </c>
      <c r="AK675" s="127">
        <v>139</v>
      </c>
      <c r="AL675" s="127">
        <v>124</v>
      </c>
    </row>
    <row r="676">
      <c r="A676" s="108"/>
      <c r="B676" s="130" t="s">
        <v>127</v>
      </c>
      <c r="C676" s="131">
        <v>5</v>
      </c>
      <c r="D676" s="132">
        <f>SUM(D671:D675)</f>
      </c>
      <c r="E676" s="132">
        <f>SUM(E671:E675)</f>
      </c>
      <c r="F676" s="132">
        <f>SUM(F671:F675)</f>
      </c>
      <c r="G676" s="132">
        <f>SUM(G671:G675)</f>
      </c>
      <c r="H676" s="132">
        <f>SUM(H671:H675)</f>
      </c>
      <c r="I676" s="132">
        <f>SUM(I671:I675)</f>
      </c>
      <c r="J676" s="132">
        <f>SUM(J671:J675)</f>
      </c>
      <c r="K676" s="132">
        <f>SUM(K671:K675)</f>
      </c>
      <c r="L676" s="132">
        <f>SUM(L671:L675)</f>
      </c>
      <c r="M676" s="133">
        <f t="shared" si="631"/>
      </c>
      <c r="N676" s="134">
        <f t="shared" si="661"/>
      </c>
      <c r="O676" s="134">
        <f t="shared" si="571"/>
      </c>
      <c r="P676" s="135">
        <f t="shared" si="601"/>
      </c>
      <c r="Q676" s="135">
        <f t="shared" si="781"/>
      </c>
      <c r="R676" s="135">
        <f t="shared" si="811"/>
      </c>
      <c r="S676" s="136">
        <f t="shared" si="691"/>
      </c>
      <c r="T676" s="136">
        <f t="shared" si="721"/>
      </c>
      <c r="U676" s="135">
        <f t="shared" si="1000"/>
      </c>
      <c r="V676" s="136">
        <f t="shared" si="751"/>
      </c>
      <c r="W676" s="136">
        <f t="shared" si="1030"/>
      </c>
      <c r="X676" s="135">
        <f t="shared" si="841"/>
      </c>
      <c r="Y676" s="132">
        <f>SUM(Y671:Y675)</f>
      </c>
      <c r="Z676" s="132">
        <f>SUM(Z671:Z675)</f>
      </c>
      <c r="AA676" s="132">
        <f>SUM(AA671:AA675)</f>
      </c>
      <c r="AB676" s="132">
        <f>SUM(AB671:AB675)</f>
      </c>
      <c r="AC676" s="132">
        <f>SUM(AC671:AC675)</f>
      </c>
      <c r="AD676" s="150">
        <f t="shared" si="25"/>
      </c>
      <c r="AE676" s="138"/>
      <c r="AF676" s="139"/>
      <c r="AG676" s="132">
        <f>SUM(AG671:AG675)</f>
      </c>
      <c r="AH676" s="132">
        <f>SUM(AH671:AH675)</f>
      </c>
      <c r="AI676" s="132">
        <f>SUM(AI671:AI675)</f>
      </c>
      <c r="AJ676" s="132">
        <f>SUM(AJ671:AJ675)</f>
      </c>
      <c r="AK676" s="132">
        <f>SUM(AK671:AK675)</f>
      </c>
      <c r="AL676" s="132">
        <f>SUM(AL671:AL675)</f>
      </c>
    </row>
    <row r="677">
      <c r="A677" s="108"/>
      <c r="B677" s="152" t="s">
        <v>127</v>
      </c>
      <c r="C677" s="153">
        <f>C657+C662+C665+C670+C676</f>
      </c>
      <c r="D677" s="167">
        <f>D657+D662+D665+D670+D676</f>
      </c>
      <c r="E677" s="153">
        <f>E657+E662+E665+E670+E676</f>
      </c>
      <c r="F677" s="153">
        <f>F657+F662+F665+F670+F676</f>
      </c>
      <c r="G677" s="153">
        <f>G657+G662+G665+G670+G676</f>
      </c>
      <c r="H677" s="153">
        <f>H657+H662+H665+H670+H676</f>
      </c>
      <c r="I677" s="167">
        <f>I657+I662+I665+I670+I676</f>
      </c>
      <c r="J677" s="153">
        <f>J657+J662+J665+J670+J676</f>
      </c>
      <c r="K677" s="153">
        <f>K657+K662+K665+K670+K676</f>
      </c>
      <c r="L677" s="153">
        <f>L657+L662+L665+L670+L676</f>
      </c>
      <c r="M677" s="154">
        <f t="shared" si="631"/>
      </c>
      <c r="N677" s="154">
        <f t="shared" si="661"/>
      </c>
      <c r="O677" s="154">
        <f t="shared" si="571"/>
      </c>
      <c r="P677" s="154">
        <f t="shared" si="601"/>
      </c>
      <c r="Q677" s="154">
        <f t="shared" si="781"/>
      </c>
      <c r="R677" s="154">
        <f t="shared" si="811"/>
      </c>
      <c r="S677" s="155">
        <f t="shared" si="691"/>
      </c>
      <c r="T677" s="155">
        <f t="shared" si="721"/>
      </c>
      <c r="U677" s="154">
        <f t="shared" si="1000"/>
      </c>
      <c r="V677" s="155">
        <f t="shared" si="751"/>
      </c>
      <c r="W677" s="155">
        <f t="shared" si="1030"/>
      </c>
      <c r="X677" s="154">
        <f t="shared" si="841"/>
      </c>
      <c r="Y677" s="153">
        <f>Y657+Y662+Y665+Y670+Y676</f>
      </c>
      <c r="Z677" s="153">
        <f>Z657+Z662+Z665+Z670+Z676</f>
      </c>
      <c r="AA677" s="153">
        <f>AA657+AA662+AA665+AA670+AA676</f>
      </c>
      <c r="AB677" s="153">
        <f>AB657+AB662+AB665+AB670+AB676</f>
      </c>
      <c r="AC677" s="187">
        <f>AC657+AC662+AC665+AC670+AC676</f>
      </c>
      <c r="AD677" s="157">
        <f t="shared" si="25"/>
      </c>
      <c r="AE677" s="159"/>
      <c r="AF677" s="152"/>
      <c r="AG677" s="153">
        <f>AG657+AG662+AG665+AG670+AG676</f>
      </c>
      <c r="AH677" s="153">
        <f>AH657+AH662+AH665+AH670+AH676</f>
      </c>
      <c r="AI677" s="153">
        <f>AI657+AI662+AI665+AI670+AI676</f>
      </c>
      <c r="AJ677" s="153">
        <f>AJ657+AJ662+AJ665+AJ670+AJ676</f>
      </c>
      <c r="AK677" s="153">
        <f>AK657+AK662+AK665+AK670+AK676</f>
      </c>
      <c r="AL677" s="153">
        <f>AL657+AL662+AL665+AL670+AL676</f>
      </c>
    </row>
    <row r="678">
      <c r="A678" s="94" t="s">
        <v>81</v>
      </c>
      <c r="B678" s="95" t="s">
        <v>82</v>
      </c>
      <c r="C678" s="95" t="s">
        <v>83</v>
      </c>
      <c r="D678" s="96" t="s">
        <v>84</v>
      </c>
      <c r="E678" s="95" t="s">
        <v>85</v>
      </c>
      <c r="F678" s="95" t="s">
        <v>86</v>
      </c>
      <c r="G678" s="97" t="s">
        <v>87</v>
      </c>
      <c r="H678" s="97" t="s">
        <v>88</v>
      </c>
      <c r="I678" s="96" t="s">
        <v>89</v>
      </c>
      <c r="J678" s="98" t="s">
        <v>90</v>
      </c>
      <c r="K678" s="99" t="s">
        <v>91</v>
      </c>
      <c r="L678" s="99" t="s">
        <v>92</v>
      </c>
      <c r="M678" s="100" t="s">
        <v>93</v>
      </c>
      <c r="N678" s="99" t="s">
        <v>94</v>
      </c>
      <c r="O678" s="95" t="s">
        <v>95</v>
      </c>
      <c r="P678" s="100" t="s">
        <v>96</v>
      </c>
      <c r="Q678" s="101" t="s">
        <v>97</v>
      </c>
      <c r="R678" s="101" t="s">
        <v>98</v>
      </c>
      <c r="S678" s="96" t="s">
        <v>99</v>
      </c>
      <c r="T678" s="102" t="s">
        <v>100</v>
      </c>
      <c r="U678" s="100" t="s">
        <v>101</v>
      </c>
      <c r="V678" s="103" t="s">
        <v>102</v>
      </c>
      <c r="W678" s="104" t="s">
        <v>103</v>
      </c>
      <c r="X678" s="100" t="s">
        <v>104</v>
      </c>
      <c r="Y678" s="105" t="s">
        <v>105</v>
      </c>
      <c r="Z678" s="106" t="s">
        <v>106</v>
      </c>
      <c r="AA678" s="105" t="s">
        <v>107</v>
      </c>
      <c r="AB678" s="107" t="s">
        <v>108</v>
      </c>
      <c r="AC678" s="107" t="s">
        <v>109</v>
      </c>
      <c r="AD678" s="99" t="s">
        <v>110</v>
      </c>
      <c r="AE678" s="98" t="s">
        <v>111</v>
      </c>
      <c r="AF678" s="99" t="s">
        <v>112</v>
      </c>
      <c r="AG678" s="98" t="s">
        <v>113</v>
      </c>
      <c r="AH678" s="98" t="s">
        <v>114</v>
      </c>
      <c r="AI678" s="99" t="s">
        <v>115</v>
      </c>
      <c r="AJ678" s="98" t="s">
        <v>116</v>
      </c>
      <c r="AK678" s="99" t="s">
        <v>117</v>
      </c>
      <c r="AL678" s="98" t="s">
        <v>118</v>
      </c>
    </row>
    <row r="679">
      <c r="A679" s="108">
        <v>46292</v>
      </c>
      <c r="B679" s="109" t="s">
        <v>119</v>
      </c>
      <c r="C679" s="110" t="s">
        <v>120</v>
      </c>
      <c r="D679" s="111">
        <f t="shared" ref="D679:D683" si="397">E679+F679+G679+H679</f>
      </c>
      <c r="E679" s="112">
        <v>2115.2</v>
      </c>
      <c r="F679" s="113">
        <v>14831.54</v>
      </c>
      <c r="G679" s="113">
        <v>0</v>
      </c>
      <c r="H679" s="113">
        <v>0</v>
      </c>
      <c r="I679" s="113">
        <f t="shared" ref="I679:I683" si="526">AB679+AC679</f>
      </c>
      <c r="J679" s="114">
        <f>3922.56+2464.56+474.12+1863</f>
      </c>
      <c r="K679" s="115">
        <f t="shared" ref="K679:K683" si="139">I679-J679</f>
      </c>
      <c r="L679" s="115">
        <f t="shared" ref="L679:L683" si="268">(I679-AC679)/12+AC679</f>
      </c>
      <c r="M679" s="116">
        <f t="shared" ref="M679:M704" si="632">I679/D679</f>
      </c>
      <c r="N679" s="117">
        <f t="shared" ref="N679:N704" si="662">(I679-J679)/D679</f>
      </c>
      <c r="O679" s="118">
        <f t="shared" ref="O679:O704" si="572">(AC679+AB679/12)/D679</f>
      </c>
      <c r="P679" s="119">
        <f t="shared" ref="P679:P704" si="602">I679/AA679</f>
      </c>
      <c r="Q679" s="119">
        <f t="shared" ref="Q679:Q704" si="782">D679/AA679</f>
      </c>
      <c r="R679" s="119">
        <f t="shared" ref="R679:R704" si="812">D679/AG679</f>
      </c>
      <c r="S679" s="120">
        <f t="shared" ref="S679:S704" si="692">AA679/Y679</f>
      </c>
      <c r="T679" s="121">
        <f t="shared" ref="T679:T704" si="722">AI679/AH679</f>
      </c>
      <c r="U679" s="119">
        <f t="shared" ref="U679:U704" si="1001">D679/AJ679</f>
      </c>
      <c r="V679" s="122">
        <f t="shared" ref="V679:V704" si="752">AK679/AJ679</f>
      </c>
      <c r="W679" s="122">
        <f t="shared" ref="W679:W704" si="1031">AL679/AJ679</f>
      </c>
      <c r="X679" s="119">
        <f t="shared" ref="X679:X704" si="842">D679/AL679</f>
      </c>
      <c r="Y679" s="123">
        <f t="shared" ref="Y679:Y683" si="955">Z679+AA679</f>
      </c>
      <c r="Z679" s="123">
        <v>9</v>
      </c>
      <c r="AA679" s="123">
        <v>10</v>
      </c>
      <c r="AB679" s="124">
        <v>22804.800000000003</v>
      </c>
      <c r="AC679" s="124">
        <v>1371</v>
      </c>
      <c r="AD679" s="120">
        <f t="shared" ref="AD679:AD704" si="26">AC679/I679</f>
      </c>
      <c r="AE679" s="125" t="s">
        <v>121</v>
      </c>
      <c r="AF679" s="126" t="s">
        <v>122</v>
      </c>
      <c r="AG679" s="127">
        <v>7</v>
      </c>
      <c r="AH679" s="127">
        <v>164332</v>
      </c>
      <c r="AI679" s="128">
        <v>6154</v>
      </c>
      <c r="AJ679" s="128">
        <v>6854</v>
      </c>
      <c r="AK679" s="127">
        <v>676</v>
      </c>
      <c r="AL679" s="129">
        <v>561</v>
      </c>
    </row>
    <row r="680">
      <c r="A680" s="108"/>
      <c r="B680" s="109" t="s">
        <v>119</v>
      </c>
      <c r="C680" s="110" t="s">
        <v>123</v>
      </c>
      <c r="D680" s="111">
        <f t="shared" si="397"/>
      </c>
      <c r="E680" s="110">
        <v>3017.08</v>
      </c>
      <c r="F680" s="113">
        <v>9279.51</v>
      </c>
      <c r="G680" s="113">
        <v>0</v>
      </c>
      <c r="H680" s="113">
        <v>0</v>
      </c>
      <c r="I680" s="113">
        <f t="shared" si="526"/>
      </c>
      <c r="J680" s="114">
        <f>4028.04+1559.52+614.52+2771.16+1797.12</f>
      </c>
      <c r="K680" s="115">
        <f t="shared" si="139"/>
      </c>
      <c r="L680" s="115">
        <f t="shared" si="268"/>
      </c>
      <c r="M680" s="116">
        <f t="shared" si="632"/>
      </c>
      <c r="N680" s="117">
        <f t="shared" si="662"/>
      </c>
      <c r="O680" s="118">
        <f t="shared" si="572"/>
      </c>
      <c r="P680" s="119">
        <f t="shared" si="602"/>
      </c>
      <c r="Q680" s="119">
        <f t="shared" si="782"/>
      </c>
      <c r="R680" s="119">
        <f t="shared" si="812"/>
      </c>
      <c r="S680" s="120">
        <f t="shared" si="692"/>
      </c>
      <c r="T680" s="121">
        <f t="shared" si="722"/>
      </c>
      <c r="U680" s="119">
        <f t="shared" si="1001"/>
      </c>
      <c r="V680" s="122">
        <f t="shared" si="752"/>
      </c>
      <c r="W680" s="122">
        <f t="shared" si="1031"/>
      </c>
      <c r="X680" s="119">
        <f t="shared" si="842"/>
      </c>
      <c r="Y680" s="123">
        <f t="shared" si="955"/>
      </c>
      <c r="Z680" s="123">
        <v>3</v>
      </c>
      <c r="AA680" s="123">
        <v>9</v>
      </c>
      <c r="AB680" s="124">
        <v>28250.759999999995</v>
      </c>
      <c r="AC680" s="124">
        <v>0</v>
      </c>
      <c r="AD680" s="120">
        <f t="shared" si="26"/>
      </c>
      <c r="AE680" s="125" t="s">
        <v>121</v>
      </c>
      <c r="AF680" s="126" t="s">
        <v>122</v>
      </c>
      <c r="AG680" s="127">
        <v>8</v>
      </c>
      <c r="AH680" s="128">
        <v>110107</v>
      </c>
      <c r="AI680" s="128">
        <v>4518</v>
      </c>
      <c r="AJ680" s="128">
        <v>5309</v>
      </c>
      <c r="AK680" s="129">
        <v>487</v>
      </c>
      <c r="AL680" s="129">
        <v>382</v>
      </c>
    </row>
    <row r="681">
      <c r="A681" s="108"/>
      <c r="B681" s="109" t="s">
        <v>119</v>
      </c>
      <c r="C681" s="110" t="s">
        <v>124</v>
      </c>
      <c r="D681" s="111">
        <f t="shared" si="397"/>
      </c>
      <c r="E681" s="110">
        <v>2514.87</v>
      </c>
      <c r="F681" s="113">
        <v>5591.05</v>
      </c>
      <c r="G681" s="113">
        <v>0</v>
      </c>
      <c r="H681" s="113">
        <v>0</v>
      </c>
      <c r="I681" s="113">
        <f t="shared" si="526"/>
      </c>
      <c r="J681" s="114">
        <f>484.92+1156.32</f>
      </c>
      <c r="K681" s="115">
        <f t="shared" si="139"/>
      </c>
      <c r="L681" s="115">
        <f t="shared" si="268"/>
      </c>
      <c r="M681" s="116">
        <f t="shared" si="632"/>
      </c>
      <c r="N681" s="117">
        <f t="shared" si="662"/>
      </c>
      <c r="O681" s="118">
        <f t="shared" si="572"/>
      </c>
      <c r="P681" s="119">
        <f t="shared" si="602"/>
      </c>
      <c r="Q681" s="119">
        <f t="shared" si="782"/>
      </c>
      <c r="R681" s="119">
        <f t="shared" si="812"/>
      </c>
      <c r="S681" s="120">
        <f t="shared" si="692"/>
      </c>
      <c r="T681" s="121">
        <f t="shared" si="722"/>
      </c>
      <c r="U681" s="119">
        <f t="shared" si="1001"/>
      </c>
      <c r="V681" s="122">
        <f t="shared" si="752"/>
      </c>
      <c r="W681" s="122">
        <f t="shared" si="1031"/>
      </c>
      <c r="X681" s="119">
        <f t="shared" si="842"/>
      </c>
      <c r="Y681" s="123">
        <f t="shared" si="955"/>
      </c>
      <c r="Z681" s="123">
        <v>5</v>
      </c>
      <c r="AA681" s="123">
        <v>7</v>
      </c>
      <c r="AB681" s="124">
        <v>5872.560000000012</v>
      </c>
      <c r="AC681" s="124">
        <v>0</v>
      </c>
      <c r="AD681" s="120">
        <f t="shared" si="26"/>
      </c>
      <c r="AE681" s="125" t="s">
        <v>121</v>
      </c>
      <c r="AF681" s="126" t="s">
        <v>122</v>
      </c>
      <c r="AG681" s="129">
        <v>4</v>
      </c>
      <c r="AH681" s="128">
        <v>53346</v>
      </c>
      <c r="AI681" s="128">
        <v>1923</v>
      </c>
      <c r="AJ681" s="128">
        <v>2406</v>
      </c>
      <c r="AK681" s="129">
        <v>289</v>
      </c>
      <c r="AL681" s="129">
        <v>253</v>
      </c>
    </row>
    <row r="682">
      <c r="A682" s="108"/>
      <c r="B682" s="109" t="s">
        <v>119</v>
      </c>
      <c r="C682" s="110" t="s">
        <v>125</v>
      </c>
      <c r="D682" s="111">
        <f t="shared" si="397"/>
      </c>
      <c r="E682" s="110">
        <v>1839.93</v>
      </c>
      <c r="F682" s="113">
        <v>4356.12</v>
      </c>
      <c r="G682" s="113">
        <v>0</v>
      </c>
      <c r="H682" s="113">
        <v>0</v>
      </c>
      <c r="I682" s="162">
        <f t="shared" si="526"/>
      </c>
      <c r="J682" s="114">
        <v>0</v>
      </c>
      <c r="K682" s="115">
        <f t="shared" si="139"/>
      </c>
      <c r="L682" s="115">
        <f t="shared" si="268"/>
      </c>
      <c r="M682" s="116">
        <f t="shared" si="632"/>
      </c>
      <c r="N682" s="117">
        <f t="shared" si="662"/>
      </c>
      <c r="O682" s="118">
        <f t="shared" si="572"/>
      </c>
      <c r="P682" s="119">
        <f t="shared" si="602"/>
      </c>
      <c r="Q682" s="119">
        <f t="shared" si="782"/>
      </c>
      <c r="R682" s="119">
        <f t="shared" si="812"/>
      </c>
      <c r="S682" s="120">
        <f t="shared" si="692"/>
      </c>
      <c r="T682" s="121">
        <f t="shared" si="722"/>
      </c>
      <c r="U682" s="119">
        <f t="shared" si="1001"/>
      </c>
      <c r="V682" s="122">
        <f t="shared" si="752"/>
      </c>
      <c r="W682" s="122">
        <f t="shared" si="1031"/>
      </c>
      <c r="X682" s="119">
        <f t="shared" si="842"/>
      </c>
      <c r="Y682" s="123">
        <f t="shared" si="955"/>
      </c>
      <c r="Z682" s="123">
        <v>3</v>
      </c>
      <c r="AA682" s="123">
        <v>3</v>
      </c>
      <c r="AB682" s="124">
        <v>8128.199999999997</v>
      </c>
      <c r="AC682" s="124">
        <v>0</v>
      </c>
      <c r="AD682" s="120">
        <f t="shared" si="26"/>
      </c>
      <c r="AE682" s="125" t="s">
        <v>121</v>
      </c>
      <c r="AF682" s="126" t="s">
        <v>122</v>
      </c>
      <c r="AG682" s="127">
        <v>2</v>
      </c>
      <c r="AH682" s="128">
        <v>43792</v>
      </c>
      <c r="AI682" s="128">
        <v>1164</v>
      </c>
      <c r="AJ682" s="128">
        <v>1369</v>
      </c>
      <c r="AK682" s="129">
        <v>152</v>
      </c>
      <c r="AL682" s="129">
        <v>179</v>
      </c>
    </row>
    <row r="683">
      <c r="A683" s="108"/>
      <c r="B683" s="109" t="s">
        <v>119</v>
      </c>
      <c r="C683" s="110" t="s">
        <v>126</v>
      </c>
      <c r="D683" s="111">
        <f t="shared" si="397"/>
      </c>
      <c r="E683" s="110">
        <v>3068.48</v>
      </c>
      <c r="F683" s="113">
        <v>4896.45</v>
      </c>
      <c r="G683" s="113">
        <v>0</v>
      </c>
      <c r="H683" s="113">
        <v>0</v>
      </c>
      <c r="I683" s="113">
        <f t="shared" si="526"/>
      </c>
      <c r="J683" s="114">
        <f>1591.92+2218.2+1676.76+426.72</f>
      </c>
      <c r="K683" s="115">
        <f t="shared" si="139"/>
      </c>
      <c r="L683" s="115">
        <f t="shared" si="268"/>
      </c>
      <c r="M683" s="116">
        <f t="shared" si="632"/>
      </c>
      <c r="N683" s="117">
        <f t="shared" si="662"/>
      </c>
      <c r="O683" s="118">
        <f t="shared" si="572"/>
      </c>
      <c r="P683" s="119">
        <f t="shared" si="602"/>
      </c>
      <c r="Q683" s="119">
        <f t="shared" si="782"/>
      </c>
      <c r="R683" s="119">
        <f t="shared" si="812"/>
      </c>
      <c r="S683" s="120">
        <f t="shared" si="692"/>
      </c>
      <c r="T683" s="121">
        <f t="shared" si="722"/>
      </c>
      <c r="U683" s="119">
        <f t="shared" si="1001"/>
      </c>
      <c r="V683" s="122">
        <f t="shared" si="752"/>
      </c>
      <c r="W683" s="122">
        <f t="shared" si="1031"/>
      </c>
      <c r="X683" s="119">
        <f t="shared" si="842"/>
      </c>
      <c r="Y683" s="123">
        <f t="shared" si="955"/>
      </c>
      <c r="Z683" s="123">
        <v>8</v>
      </c>
      <c r="AA683" s="123">
        <v>16</v>
      </c>
      <c r="AB683" s="124">
        <f>19019.76+1245.24+568.08</f>
      </c>
      <c r="AC683" s="124">
        <v>2701</v>
      </c>
      <c r="AD683" s="120">
        <f t="shared" si="26"/>
      </c>
      <c r="AE683" s="125" t="s">
        <v>121</v>
      </c>
      <c r="AF683" s="126" t="s">
        <v>122</v>
      </c>
      <c r="AG683" s="127">
        <v>12</v>
      </c>
      <c r="AH683" s="128">
        <v>42566</v>
      </c>
      <c r="AI683" s="128">
        <v>970</v>
      </c>
      <c r="AJ683" s="128">
        <v>1156</v>
      </c>
      <c r="AK683" s="127">
        <v>194</v>
      </c>
      <c r="AL683" s="127">
        <v>196</v>
      </c>
    </row>
    <row r="684">
      <c r="A684" s="108"/>
      <c r="B684" s="130" t="s">
        <v>127</v>
      </c>
      <c r="C684" s="131">
        <v>5</v>
      </c>
      <c r="D684" s="132">
        <f>SUM(D679:D683)</f>
      </c>
      <c r="E684" s="132">
        <f>SUM(E679:E683)</f>
      </c>
      <c r="F684" s="132">
        <f>SUM(F679:F683)</f>
      </c>
      <c r="G684" s="132">
        <f>SUM(G679:G683)</f>
      </c>
      <c r="H684" s="132">
        <f>SUM(H679:H683)</f>
      </c>
      <c r="I684" s="132">
        <f>SUM(I679:I683)</f>
      </c>
      <c r="J684" s="132">
        <f>SUM(J679:J683)</f>
      </c>
      <c r="K684" s="132">
        <f>SUM(K679:K683)</f>
      </c>
      <c r="L684" s="132">
        <f>SUM(L679:L683)</f>
      </c>
      <c r="M684" s="133">
        <f t="shared" si="632"/>
      </c>
      <c r="N684" s="134">
        <f t="shared" si="662"/>
      </c>
      <c r="O684" s="134">
        <f t="shared" si="572"/>
      </c>
      <c r="P684" s="135">
        <f t="shared" si="602"/>
      </c>
      <c r="Q684" s="135">
        <f t="shared" si="782"/>
      </c>
      <c r="R684" s="135">
        <f t="shared" si="812"/>
      </c>
      <c r="S684" s="136">
        <f t="shared" si="692"/>
      </c>
      <c r="T684" s="136">
        <f t="shared" si="722"/>
      </c>
      <c r="U684" s="135">
        <f t="shared" si="1001"/>
      </c>
      <c r="V684" s="136">
        <f t="shared" si="752"/>
      </c>
      <c r="W684" s="136">
        <f t="shared" si="1031"/>
      </c>
      <c r="X684" s="135">
        <f t="shared" si="842"/>
      </c>
      <c r="Y684" s="132">
        <f>SUM(Y679:Y683)</f>
      </c>
      <c r="Z684" s="132">
        <f>SUM(Z679:Z683)</f>
      </c>
      <c r="AA684" s="132">
        <f>SUM(AA679:AA683)</f>
      </c>
      <c r="AB684" s="132">
        <f>SUM(AB679:AB683)</f>
      </c>
      <c r="AC684" s="132">
        <f>SUM(AC679:AC683)</f>
      </c>
      <c r="AD684" s="137">
        <f t="shared" si="26"/>
      </c>
      <c r="AE684" s="138"/>
      <c r="AF684" s="139"/>
      <c r="AG684" s="132">
        <f>SUM(AG679:AG683)</f>
      </c>
      <c r="AH684" s="132">
        <f>SUM(AH679:AH683)</f>
      </c>
      <c r="AI684" s="132">
        <f>SUM(AI679:AI683)</f>
      </c>
      <c r="AJ684" s="132">
        <f>SUM(AJ679:AJ683)</f>
      </c>
      <c r="AK684" s="132">
        <f>SUM(AK679:AK683)</f>
      </c>
      <c r="AL684" s="132">
        <f>SUM(AL679:AL683)</f>
      </c>
    </row>
    <row r="685">
      <c r="A685" s="108"/>
      <c r="B685" s="109" t="s">
        <v>128</v>
      </c>
      <c r="C685" s="110" t="s">
        <v>129</v>
      </c>
      <c r="D685" s="111">
        <f t="shared" ref="D685:D688" si="398">E685+F685+G685+H685</f>
      </c>
      <c r="E685" s="112">
        <v>2252.56</v>
      </c>
      <c r="F685" s="113">
        <v>6649.16</v>
      </c>
      <c r="G685" s="113">
        <v>0</v>
      </c>
      <c r="H685" s="113">
        <v>0</v>
      </c>
      <c r="I685" s="113">
        <f t="shared" ref="I685:I688" si="527">AB685+AC685</f>
      </c>
      <c r="J685" s="114">
        <f>628.56+1105.92+2703.24</f>
      </c>
      <c r="K685" s="115">
        <f t="shared" ref="K685:K688" si="140">I685-J685</f>
      </c>
      <c r="L685" s="115">
        <f t="shared" ref="L685:L688" si="269">(I685-AC685)/12+AC685</f>
      </c>
      <c r="M685" s="116">
        <f t="shared" si="632"/>
      </c>
      <c r="N685" s="117">
        <f t="shared" si="662"/>
      </c>
      <c r="O685" s="118">
        <f t="shared" si="572"/>
      </c>
      <c r="P685" s="119">
        <f t="shared" si="602"/>
      </c>
      <c r="Q685" s="119">
        <f t="shared" si="782"/>
      </c>
      <c r="R685" s="119">
        <f t="shared" si="812"/>
      </c>
      <c r="S685" s="120">
        <f t="shared" si="692"/>
      </c>
      <c r="T685" s="121">
        <f t="shared" si="722"/>
      </c>
      <c r="U685" s="119">
        <f t="shared" si="1001"/>
      </c>
      <c r="V685" s="122">
        <f t="shared" si="752"/>
      </c>
      <c r="W685" s="122">
        <f t="shared" si="1031"/>
      </c>
      <c r="X685" s="119">
        <f t="shared" si="842"/>
      </c>
      <c r="Y685" s="123">
        <f t="shared" ref="Y685:Y688" si="956">Z685+AA685</f>
      </c>
      <c r="Z685" s="123">
        <v>3</v>
      </c>
      <c r="AA685" s="123">
        <v>7</v>
      </c>
      <c r="AB685" s="124">
        <v>9799.919999999998</v>
      </c>
      <c r="AC685" s="124">
        <v>2123.25</v>
      </c>
      <c r="AD685" s="120">
        <f t="shared" si="26"/>
      </c>
      <c r="AE685" s="125" t="s">
        <v>121</v>
      </c>
      <c r="AF685" s="126" t="s">
        <v>122</v>
      </c>
      <c r="AG685" s="127">
        <v>9</v>
      </c>
      <c r="AH685" s="128">
        <v>58423</v>
      </c>
      <c r="AI685" s="128">
        <v>1187</v>
      </c>
      <c r="AJ685" s="128">
        <v>1420</v>
      </c>
      <c r="AK685" s="127">
        <v>221</v>
      </c>
      <c r="AL685" s="127">
        <v>243</v>
      </c>
    </row>
    <row r="686">
      <c r="A686" s="108"/>
      <c r="B686" s="109" t="s">
        <v>128</v>
      </c>
      <c r="C686" s="110" t="s">
        <v>130</v>
      </c>
      <c r="D686" s="111">
        <f t="shared" si="398"/>
      </c>
      <c r="E686" s="110">
        <v>1879.86</v>
      </c>
      <c r="F686" s="113">
        <v>8442.03</v>
      </c>
      <c r="G686" s="113">
        <v>0</v>
      </c>
      <c r="H686" s="113">
        <v>0</v>
      </c>
      <c r="I686" s="113">
        <f t="shared" si="527"/>
      </c>
      <c r="J686" s="114">
        <v>0</v>
      </c>
      <c r="K686" s="115">
        <f t="shared" si="140"/>
      </c>
      <c r="L686" s="115">
        <f t="shared" si="269"/>
      </c>
      <c r="M686" s="116">
        <f t="shared" si="632"/>
      </c>
      <c r="N686" s="117">
        <f t="shared" si="662"/>
      </c>
      <c r="O686" s="118">
        <f t="shared" si="572"/>
      </c>
      <c r="P686" s="119">
        <f t="shared" si="602"/>
      </c>
      <c r="Q686" s="119">
        <f t="shared" si="782"/>
      </c>
      <c r="R686" s="119">
        <f t="shared" si="812"/>
      </c>
      <c r="S686" s="120">
        <f t="shared" si="692"/>
      </c>
      <c r="T686" s="121">
        <f t="shared" si="722"/>
      </c>
      <c r="U686" s="119">
        <f t="shared" si="1001"/>
      </c>
      <c r="V686" s="122">
        <f t="shared" si="752"/>
      </c>
      <c r="W686" s="122">
        <f t="shared" si="1031"/>
      </c>
      <c r="X686" s="119">
        <f t="shared" si="842"/>
      </c>
      <c r="Y686" s="123">
        <f t="shared" si="956"/>
      </c>
      <c r="Z686" s="123">
        <v>6</v>
      </c>
      <c r="AA686" s="123">
        <v>15</v>
      </c>
      <c r="AB686" s="124">
        <v>16305.599999999991</v>
      </c>
      <c r="AC686" s="124">
        <v>1064</v>
      </c>
      <c r="AD686" s="120">
        <f t="shared" si="26"/>
      </c>
      <c r="AE686" s="125" t="s">
        <v>121</v>
      </c>
      <c r="AF686" s="126" t="s">
        <v>122</v>
      </c>
      <c r="AG686" s="127">
        <v>14</v>
      </c>
      <c r="AH686" s="128">
        <v>91108</v>
      </c>
      <c r="AI686" s="128">
        <v>1376</v>
      </c>
      <c r="AJ686" s="128">
        <v>1569</v>
      </c>
      <c r="AK686" s="129">
        <v>239</v>
      </c>
      <c r="AL686" s="129">
        <v>262</v>
      </c>
    </row>
    <row r="687">
      <c r="A687" s="108"/>
      <c r="B687" s="109" t="s">
        <v>128</v>
      </c>
      <c r="C687" s="110" t="s">
        <v>131</v>
      </c>
      <c r="D687" s="111">
        <f t="shared" si="398"/>
      </c>
      <c r="E687" s="110">
        <v>2354.95</v>
      </c>
      <c r="F687" s="110">
        <v>10554.92</v>
      </c>
      <c r="G687" s="113">
        <v>0</v>
      </c>
      <c r="H687" s="113">
        <v>0</v>
      </c>
      <c r="I687" s="113">
        <f t="shared" si="527"/>
      </c>
      <c r="J687" s="114">
        <f>685.8+4725+2611.32+1735.56+1664</f>
      </c>
      <c r="K687" s="115">
        <f t="shared" si="140"/>
      </c>
      <c r="L687" s="115">
        <f t="shared" si="269"/>
      </c>
      <c r="M687" s="116">
        <f t="shared" si="632"/>
      </c>
      <c r="N687" s="117">
        <f t="shared" si="662"/>
      </c>
      <c r="O687" s="118">
        <f t="shared" si="572"/>
      </c>
      <c r="P687" s="119">
        <f t="shared" si="602"/>
      </c>
      <c r="Q687" s="119">
        <f t="shared" si="782"/>
      </c>
      <c r="R687" s="119">
        <f t="shared" si="812"/>
      </c>
      <c r="S687" s="120">
        <f t="shared" si="692"/>
      </c>
      <c r="T687" s="121">
        <f t="shared" si="722"/>
      </c>
      <c r="U687" s="119">
        <f t="shared" si="1001"/>
      </c>
      <c r="V687" s="122">
        <f t="shared" si="752"/>
      </c>
      <c r="W687" s="122">
        <f t="shared" si="1031"/>
      </c>
      <c r="X687" s="119">
        <f t="shared" si="842"/>
      </c>
      <c r="Y687" s="123">
        <f t="shared" si="956"/>
      </c>
      <c r="Z687" s="123">
        <v>13</v>
      </c>
      <c r="AA687" s="123">
        <v>17</v>
      </c>
      <c r="AB687" s="124">
        <v>31023.11999999998</v>
      </c>
      <c r="AC687" s="124">
        <v>2954.1000000000004</v>
      </c>
      <c r="AD687" s="120">
        <f t="shared" si="26"/>
      </c>
      <c r="AE687" s="125" t="s">
        <v>121</v>
      </c>
      <c r="AF687" s="126" t="s">
        <v>122</v>
      </c>
      <c r="AG687" s="129">
        <v>14</v>
      </c>
      <c r="AH687" s="128">
        <v>116145</v>
      </c>
      <c r="AI687" s="128">
        <v>1555</v>
      </c>
      <c r="AJ687" s="128">
        <v>1670</v>
      </c>
      <c r="AK687" s="129">
        <v>268</v>
      </c>
      <c r="AL687" s="129">
        <v>320</v>
      </c>
    </row>
    <row r="688">
      <c r="A688" s="108"/>
      <c r="B688" s="109" t="s">
        <v>128</v>
      </c>
      <c r="C688" s="110" t="s">
        <v>132</v>
      </c>
      <c r="D688" s="111">
        <f t="shared" si="398"/>
      </c>
      <c r="E688" s="110">
        <v>1915.11</v>
      </c>
      <c r="F688" s="113">
        <v>9973.97</v>
      </c>
      <c r="G688" s="113">
        <v>0</v>
      </c>
      <c r="H688" s="113">
        <v>0</v>
      </c>
      <c r="I688" s="113">
        <f t="shared" si="527"/>
      </c>
      <c r="J688" s="114">
        <f>1474.32+1270.2+2059.56+2050.92</f>
      </c>
      <c r="K688" s="115">
        <f t="shared" si="140"/>
      </c>
      <c r="L688" s="115">
        <f t="shared" si="269"/>
      </c>
      <c r="M688" s="116">
        <f t="shared" si="632"/>
      </c>
      <c r="N688" s="117">
        <f t="shared" si="662"/>
      </c>
      <c r="O688" s="118">
        <f t="shared" si="572"/>
      </c>
      <c r="P688" s="119">
        <f t="shared" si="602"/>
      </c>
      <c r="Q688" s="119">
        <f t="shared" si="782"/>
      </c>
      <c r="R688" s="119">
        <f t="shared" si="812"/>
      </c>
      <c r="S688" s="120">
        <f t="shared" si="692"/>
      </c>
      <c r="T688" s="121">
        <f t="shared" si="722"/>
      </c>
      <c r="U688" s="119">
        <f t="shared" si="1001"/>
      </c>
      <c r="V688" s="122">
        <f t="shared" si="752"/>
      </c>
      <c r="W688" s="122">
        <f t="shared" si="1031"/>
      </c>
      <c r="X688" s="119">
        <f t="shared" si="842"/>
      </c>
      <c r="Y688" s="123">
        <f t="shared" si="956"/>
      </c>
      <c r="Z688" s="123">
        <v>9</v>
      </c>
      <c r="AA688" s="123">
        <v>8</v>
      </c>
      <c r="AB688" s="114">
        <f>6336.36000000004+1797.12+2744.52+2603.88</f>
      </c>
      <c r="AC688" s="124">
        <v>0</v>
      </c>
      <c r="AD688" s="120">
        <f t="shared" si="26"/>
      </c>
      <c r="AE688" s="125" t="s">
        <v>121</v>
      </c>
      <c r="AF688" s="126" t="s">
        <v>122</v>
      </c>
      <c r="AG688" s="127">
        <v>5</v>
      </c>
      <c r="AH688" s="128">
        <v>112857</v>
      </c>
      <c r="AI688" s="128">
        <v>1669</v>
      </c>
      <c r="AJ688" s="128">
        <v>1820</v>
      </c>
      <c r="AK688" s="129">
        <v>225</v>
      </c>
      <c r="AL688" s="129">
        <v>292</v>
      </c>
    </row>
    <row r="689">
      <c r="A689" s="108"/>
      <c r="B689" s="130" t="s">
        <v>127</v>
      </c>
      <c r="C689" s="131">
        <v>4</v>
      </c>
      <c r="D689" s="132">
        <f>SUM(D685:D688)</f>
      </c>
      <c r="E689" s="132">
        <f>SUM(E685:E688)</f>
      </c>
      <c r="F689" s="132">
        <f>SUM(F685:F688)</f>
      </c>
      <c r="G689" s="132">
        <f>SUM(G685:G688)</f>
      </c>
      <c r="H689" s="132">
        <f>SUM(H685:H688)</f>
      </c>
      <c r="I689" s="132">
        <f>SUM(I685:I688)</f>
      </c>
      <c r="J689" s="132">
        <f>SUM(J685:J688)</f>
      </c>
      <c r="K689" s="132">
        <f>SUM(K685:K688)</f>
      </c>
      <c r="L689" s="132">
        <f>SUM(L685:L688)</f>
      </c>
      <c r="M689" s="133">
        <f t="shared" si="632"/>
      </c>
      <c r="N689" s="134">
        <f t="shared" si="662"/>
      </c>
      <c r="O689" s="134">
        <f t="shared" si="572"/>
      </c>
      <c r="P689" s="135">
        <f t="shared" si="602"/>
      </c>
      <c r="Q689" s="135">
        <f t="shared" si="782"/>
      </c>
      <c r="R689" s="135">
        <f t="shared" si="812"/>
      </c>
      <c r="S689" s="136">
        <f t="shared" si="692"/>
      </c>
      <c r="T689" s="136">
        <f t="shared" si="722"/>
      </c>
      <c r="U689" s="135">
        <f t="shared" si="1001"/>
      </c>
      <c r="V689" s="136">
        <f t="shared" si="752"/>
      </c>
      <c r="W689" s="136">
        <f t="shared" si="1031"/>
      </c>
      <c r="X689" s="135">
        <f t="shared" si="842"/>
      </c>
      <c r="Y689" s="132">
        <f>SUM(Y685:Y688)</f>
      </c>
      <c r="Z689" s="132">
        <f>SUM(Z685:Z688)</f>
      </c>
      <c r="AA689" s="132">
        <f>SUM(AA685:AA688)</f>
      </c>
      <c r="AB689" s="132">
        <f>SUM(AB685:AB688)</f>
      </c>
      <c r="AC689" s="132">
        <f>SUM(AC685:AC688)</f>
      </c>
      <c r="AD689" s="137">
        <f t="shared" si="26"/>
      </c>
      <c r="AE689" s="138"/>
      <c r="AF689" s="139"/>
      <c r="AG689" s="132">
        <f>SUM(AG685:AG688)</f>
      </c>
      <c r="AH689" s="132">
        <f>SUM(AH685:AH688)</f>
      </c>
      <c r="AI689" s="132">
        <f>SUM(AI685:AI688)</f>
      </c>
      <c r="AJ689" s="132">
        <f>SUM(AJ685:AJ688)</f>
      </c>
      <c r="AK689" s="132">
        <f>SUM(AK685:AK688)</f>
      </c>
      <c r="AL689" s="132">
        <f>SUM(AL685:AL688)</f>
      </c>
    </row>
    <row r="690">
      <c r="A690" s="108"/>
      <c r="B690" s="109" t="s">
        <v>155</v>
      </c>
      <c r="C690" s="110" t="s">
        <v>134</v>
      </c>
      <c r="D690" s="111">
        <f t="shared" ref="D690:D691" si="399">E690+F690+G690+H690</f>
      </c>
      <c r="E690" s="110">
        <v>2019.57</v>
      </c>
      <c r="F690" s="140">
        <v>9661.25</v>
      </c>
      <c r="G690" s="113">
        <v>0</v>
      </c>
      <c r="H690" s="113">
        <v>0</v>
      </c>
      <c r="I690" s="183">
        <f t="shared" ref="I690:I691" si="528">AB690+AC690</f>
      </c>
      <c r="J690" s="160">
        <v>517.32</v>
      </c>
      <c r="K690" s="115">
        <f t="shared" ref="K690:K691" si="141">I690-J690</f>
      </c>
      <c r="L690" s="115">
        <f t="shared" ref="L690:L691" si="270">(I690-AC690)/12+AC690</f>
      </c>
      <c r="M690" s="116">
        <f t="shared" si="632"/>
      </c>
      <c r="N690" s="117">
        <f t="shared" si="662"/>
      </c>
      <c r="O690" s="118">
        <f t="shared" si="572"/>
      </c>
      <c r="P690" s="119">
        <f t="shared" si="602"/>
      </c>
      <c r="Q690" s="119">
        <f t="shared" si="782"/>
      </c>
      <c r="R690" s="119">
        <f t="shared" si="812"/>
      </c>
      <c r="S690" s="120">
        <f t="shared" si="692"/>
      </c>
      <c r="T690" s="121">
        <f t="shared" si="722"/>
      </c>
      <c r="U690" s="119">
        <f t="shared" si="1001"/>
      </c>
      <c r="V690" s="122">
        <f t="shared" si="752"/>
      </c>
      <c r="W690" s="122">
        <f t="shared" si="1031"/>
      </c>
      <c r="X690" s="119">
        <f t="shared" si="842"/>
      </c>
      <c r="Y690" s="123">
        <f t="shared" ref="Y690:Y691" si="957">Z690+AA690</f>
      </c>
      <c r="Z690" s="123">
        <v>2</v>
      </c>
      <c r="AA690" s="123">
        <v>5</v>
      </c>
      <c r="AB690" s="124">
        <v>3584.5199999999604</v>
      </c>
      <c r="AC690" s="124">
        <v>0</v>
      </c>
      <c r="AD690" s="120">
        <f t="shared" si="26"/>
      </c>
      <c r="AE690" s="125" t="s">
        <v>121</v>
      </c>
      <c r="AF690" s="126" t="s">
        <v>122</v>
      </c>
      <c r="AG690" s="127">
        <v>6</v>
      </c>
      <c r="AH690" s="128">
        <v>111441</v>
      </c>
      <c r="AI690" s="128">
        <v>2097</v>
      </c>
      <c r="AJ690" s="128">
        <v>2314</v>
      </c>
      <c r="AK690" s="129">
        <v>281</v>
      </c>
      <c r="AL690" s="129">
        <v>350</v>
      </c>
    </row>
    <row r="691">
      <c r="A691" s="108"/>
      <c r="B691" s="109" t="s">
        <v>155</v>
      </c>
      <c r="C691" s="110" t="s">
        <v>135</v>
      </c>
      <c r="D691" s="111">
        <f t="shared" si="399"/>
      </c>
      <c r="E691" s="141">
        <v>2054.8</v>
      </c>
      <c r="F691" s="142">
        <v>6986.8</v>
      </c>
      <c r="G691" s="171">
        <v>0</v>
      </c>
      <c r="H691" s="113">
        <v>0</v>
      </c>
      <c r="I691" s="184">
        <f t="shared" si="528"/>
      </c>
      <c r="J691" s="160">
        <f>733.32+1656</f>
      </c>
      <c r="K691" s="115">
        <f t="shared" si="141"/>
      </c>
      <c r="L691" s="115">
        <f t="shared" si="270"/>
      </c>
      <c r="M691" s="116">
        <f t="shared" si="632"/>
      </c>
      <c r="N691" s="117">
        <f t="shared" si="662"/>
      </c>
      <c r="O691" s="118">
        <f t="shared" si="572"/>
      </c>
      <c r="P691" s="119">
        <f t="shared" si="602"/>
      </c>
      <c r="Q691" s="119">
        <f t="shared" si="782"/>
      </c>
      <c r="R691" s="119">
        <f t="shared" si="812"/>
      </c>
      <c r="S691" s="120">
        <f t="shared" si="692"/>
      </c>
      <c r="T691" s="121">
        <f t="shared" si="722"/>
      </c>
      <c r="U691" s="119">
        <f t="shared" si="1001"/>
      </c>
      <c r="V691" s="122">
        <f t="shared" si="752"/>
      </c>
      <c r="W691" s="122">
        <f t="shared" si="1031"/>
      </c>
      <c r="X691" s="119">
        <f t="shared" si="842"/>
      </c>
      <c r="Y691" s="172">
        <f t="shared" si="957"/>
      </c>
      <c r="Z691" s="123">
        <v>8</v>
      </c>
      <c r="AA691" s="123">
        <v>8</v>
      </c>
      <c r="AB691" s="173">
        <v>12548.520000000019</v>
      </c>
      <c r="AC691" s="124">
        <v>1656</v>
      </c>
      <c r="AD691" s="120">
        <f t="shared" si="26"/>
      </c>
      <c r="AE691" s="125" t="s">
        <v>121</v>
      </c>
      <c r="AF691" s="126" t="s">
        <v>137</v>
      </c>
      <c r="AG691" s="129">
        <v>8</v>
      </c>
      <c r="AH691" s="128">
        <v>81490</v>
      </c>
      <c r="AI691" s="128">
        <v>2197</v>
      </c>
      <c r="AJ691" s="128">
        <v>2439</v>
      </c>
      <c r="AK691" s="129">
        <v>240</v>
      </c>
      <c r="AL691" s="129">
        <v>233</v>
      </c>
    </row>
    <row r="692">
      <c r="A692" s="108"/>
      <c r="B692" s="130" t="s">
        <v>127</v>
      </c>
      <c r="C692" s="131">
        <v>2</v>
      </c>
      <c r="D692" s="185">
        <f>SUM(D690:D691)</f>
      </c>
      <c r="E692" s="185">
        <f>SUM(E690:E691)</f>
      </c>
      <c r="F692" s="185">
        <f>SUM(F690:F691)</f>
      </c>
      <c r="G692" s="185">
        <f>SUM(G690:G691)</f>
      </c>
      <c r="H692" s="185">
        <f>SUM(H690:H691)</f>
      </c>
      <c r="I692" s="185">
        <f>SUM(I690:I691)</f>
      </c>
      <c r="J692" s="185">
        <f>SUM(J690:J691)</f>
      </c>
      <c r="K692" s="185">
        <f>SUM(K690:K691)</f>
      </c>
      <c r="L692" s="185">
        <f>SUM(L690:L691)</f>
      </c>
      <c r="M692" s="133">
        <f t="shared" si="632"/>
      </c>
      <c r="N692" s="134">
        <f t="shared" si="662"/>
      </c>
      <c r="O692" s="134">
        <f t="shared" si="572"/>
      </c>
      <c r="P692" s="135">
        <f t="shared" si="602"/>
      </c>
      <c r="Q692" s="135">
        <f t="shared" si="782"/>
      </c>
      <c r="R692" s="135">
        <f t="shared" si="812"/>
      </c>
      <c r="S692" s="136">
        <f t="shared" si="692"/>
      </c>
      <c r="T692" s="136">
        <f t="shared" si="722"/>
      </c>
      <c r="U692" s="135">
        <f t="shared" si="1001"/>
      </c>
      <c r="V692" s="136">
        <f t="shared" si="752"/>
      </c>
      <c r="W692" s="136">
        <f t="shared" si="1031"/>
      </c>
      <c r="X692" s="135">
        <f t="shared" si="842"/>
      </c>
      <c r="Y692" s="185">
        <f>SUM(Y690:Y691)</f>
      </c>
      <c r="Z692" s="185">
        <f>SUM(Z690:Z691)</f>
      </c>
      <c r="AA692" s="185">
        <f>SUM(AA690:AA691)</f>
      </c>
      <c r="AB692" s="185">
        <f>SUM(AB690:AB691)</f>
      </c>
      <c r="AC692" s="185">
        <f>SUM(AC690:AC691)</f>
      </c>
      <c r="AD692" s="137">
        <f t="shared" si="26"/>
      </c>
      <c r="AE692" s="138"/>
      <c r="AF692" s="139"/>
      <c r="AG692" s="185">
        <f>SUM(AG690:AG691)</f>
      </c>
      <c r="AH692" s="185">
        <f>SUM(AH690:AH691)</f>
      </c>
      <c r="AI692" s="185">
        <f>SUM(AI690:AI691)</f>
      </c>
      <c r="AJ692" s="185">
        <f>SUM(AJ690:AJ691)</f>
      </c>
      <c r="AK692" s="185">
        <f>SUM(AK690:AK691)</f>
      </c>
      <c r="AL692" s="185">
        <f>SUM(AL690:AL691)</f>
      </c>
    </row>
    <row r="693">
      <c r="A693" s="108"/>
      <c r="B693" s="109" t="s">
        <v>139</v>
      </c>
      <c r="C693" s="110" t="s">
        <v>138</v>
      </c>
      <c r="D693" s="111">
        <f t="shared" ref="D693:D696" si="400">E693+F693+G693+H693</f>
      </c>
      <c r="E693" s="110">
        <v>2173.61</v>
      </c>
      <c r="F693" s="140">
        <v>4728.36</v>
      </c>
      <c r="G693" s="113">
        <v>0</v>
      </c>
      <c r="H693" s="113">
        <v>0</v>
      </c>
      <c r="I693" s="183">
        <f t="shared" ref="I693:I696" si="529">AB693+AC693</f>
      </c>
      <c r="J693" s="160">
        <v>0</v>
      </c>
      <c r="K693" s="115">
        <f t="shared" ref="K693:K696" si="142">I693-J693</f>
      </c>
      <c r="L693" s="115">
        <f t="shared" ref="L693:L696" si="271">(I693-AC693)/12+AC693</f>
      </c>
      <c r="M693" s="116">
        <f t="shared" si="632"/>
      </c>
      <c r="N693" s="117">
        <f t="shared" si="662"/>
      </c>
      <c r="O693" s="118">
        <f t="shared" si="572"/>
      </c>
      <c r="P693" s="119">
        <f t="shared" si="602"/>
      </c>
      <c r="Q693" s="119">
        <f t="shared" si="782"/>
      </c>
      <c r="R693" s="119">
        <f t="shared" si="812"/>
      </c>
      <c r="S693" s="120">
        <f t="shared" si="692"/>
      </c>
      <c r="T693" s="121">
        <f t="shared" si="722"/>
      </c>
      <c r="U693" s="119">
        <f t="shared" si="1001"/>
      </c>
      <c r="V693" s="122">
        <f t="shared" si="752"/>
      </c>
      <c r="W693" s="122">
        <f t="shared" si="1031"/>
      </c>
      <c r="X693" s="119">
        <f t="shared" si="842"/>
      </c>
      <c r="Y693" s="123">
        <f t="shared" ref="Y693:Y696" si="958">Z693+AA693</f>
      </c>
      <c r="Z693" s="123">
        <v>4</v>
      </c>
      <c r="AA693" s="123">
        <v>6</v>
      </c>
      <c r="AB693" s="124">
        <v>7329.959999999963</v>
      </c>
      <c r="AC693" s="124">
        <v>656</v>
      </c>
      <c r="AD693" s="120">
        <f t="shared" si="26"/>
      </c>
      <c r="AE693" s="125" t="s">
        <v>121</v>
      </c>
      <c r="AF693" s="126" t="s">
        <v>137</v>
      </c>
      <c r="AG693" s="127">
        <v>4</v>
      </c>
      <c r="AH693" s="128">
        <v>59306</v>
      </c>
      <c r="AI693" s="128">
        <v>2042</v>
      </c>
      <c r="AJ693" s="128">
        <v>2243</v>
      </c>
      <c r="AK693" s="129">
        <v>192</v>
      </c>
      <c r="AL693" s="129">
        <v>196</v>
      </c>
    </row>
    <row r="694">
      <c r="A694" s="108"/>
      <c r="B694" s="109" t="s">
        <v>139</v>
      </c>
      <c r="C694" s="110" t="s">
        <v>140</v>
      </c>
      <c r="D694" s="111">
        <f t="shared" si="400"/>
      </c>
      <c r="E694" s="110">
        <v>2323.86</v>
      </c>
      <c r="F694" s="140">
        <v>4420.03</v>
      </c>
      <c r="G694" s="113">
        <v>0</v>
      </c>
      <c r="H694" s="113">
        <v>0</v>
      </c>
      <c r="I694" s="183">
        <f t="shared" si="529"/>
      </c>
      <c r="J694" s="160">
        <f>2464.56+628.56+1527.6+1469.65+696.6</f>
      </c>
      <c r="K694" s="115">
        <f t="shared" si="142"/>
      </c>
      <c r="L694" s="115">
        <f t="shared" si="271"/>
      </c>
      <c r="M694" s="116">
        <f t="shared" si="632"/>
      </c>
      <c r="N694" s="117">
        <f t="shared" si="662"/>
      </c>
      <c r="O694" s="118">
        <f t="shared" si="572"/>
      </c>
      <c r="P694" s="119">
        <f t="shared" si="602"/>
      </c>
      <c r="Q694" s="119">
        <f t="shared" si="782"/>
      </c>
      <c r="R694" s="119">
        <f t="shared" si="812"/>
      </c>
      <c r="S694" s="120">
        <f t="shared" si="692"/>
      </c>
      <c r="T694" s="121">
        <f t="shared" si="722"/>
      </c>
      <c r="U694" s="119">
        <f t="shared" si="1001"/>
      </c>
      <c r="V694" s="122">
        <f t="shared" si="752"/>
      </c>
      <c r="W694" s="122">
        <f t="shared" si="1031"/>
      </c>
      <c r="X694" s="119">
        <f t="shared" si="842"/>
      </c>
      <c r="Y694" s="123">
        <f t="shared" si="958"/>
      </c>
      <c r="Z694" s="123">
        <v>6</v>
      </c>
      <c r="AA694" s="123">
        <v>9</v>
      </c>
      <c r="AB694" s="124">
        <v>16142.76000000001</v>
      </c>
      <c r="AC694" s="124">
        <v>2997.25</v>
      </c>
      <c r="AD694" s="120">
        <f t="shared" si="26"/>
      </c>
      <c r="AE694" s="125" t="s">
        <v>121</v>
      </c>
      <c r="AF694" s="126" t="s">
        <v>137</v>
      </c>
      <c r="AG694" s="127">
        <v>7</v>
      </c>
      <c r="AH694" s="128">
        <v>67563</v>
      </c>
      <c r="AI694" s="128">
        <v>2622</v>
      </c>
      <c r="AJ694" s="128">
        <v>2842</v>
      </c>
      <c r="AK694" s="129">
        <v>220</v>
      </c>
      <c r="AL694" s="129">
        <v>185</v>
      </c>
    </row>
    <row r="695">
      <c r="A695" s="108"/>
      <c r="B695" s="109" t="s">
        <v>139</v>
      </c>
      <c r="C695" s="141" t="s">
        <v>141</v>
      </c>
      <c r="D695" s="111">
        <f t="shared" si="400"/>
      </c>
      <c r="E695" s="110">
        <v>1987.19</v>
      </c>
      <c r="F695" s="140">
        <v>4372.13</v>
      </c>
      <c r="G695" s="113">
        <v>0</v>
      </c>
      <c r="H695" s="113">
        <v>0</v>
      </c>
      <c r="I695" s="183">
        <f t="shared" si="529"/>
      </c>
      <c r="J695" s="160">
        <v>5014.44</v>
      </c>
      <c r="K695" s="115">
        <f t="shared" si="142"/>
      </c>
      <c r="L695" s="115">
        <f t="shared" si="271"/>
      </c>
      <c r="M695" s="116">
        <f t="shared" si="632"/>
      </c>
      <c r="N695" s="117">
        <f t="shared" si="662"/>
      </c>
      <c r="O695" s="118">
        <f t="shared" si="572"/>
      </c>
      <c r="P695" s="119">
        <f t="shared" si="602"/>
      </c>
      <c r="Q695" s="119">
        <f t="shared" si="782"/>
      </c>
      <c r="R695" s="119">
        <f t="shared" si="812"/>
      </c>
      <c r="S695" s="120">
        <f t="shared" si="692"/>
      </c>
      <c r="T695" s="121">
        <f t="shared" si="722"/>
      </c>
      <c r="U695" s="119">
        <f t="shared" si="1001"/>
      </c>
      <c r="V695" s="122">
        <f t="shared" si="752"/>
      </c>
      <c r="W695" s="122">
        <f t="shared" si="1031"/>
      </c>
      <c r="X695" s="119">
        <f t="shared" si="842"/>
      </c>
      <c r="Y695" s="123">
        <f t="shared" si="958"/>
      </c>
      <c r="Z695" s="123">
        <v>4</v>
      </c>
      <c r="AA695" s="123">
        <v>6</v>
      </c>
      <c r="AB695" s="124">
        <v>10326.960000000021</v>
      </c>
      <c r="AC695" s="124">
        <v>0</v>
      </c>
      <c r="AD695" s="120">
        <f t="shared" si="26"/>
      </c>
      <c r="AE695" s="125" t="s">
        <v>121</v>
      </c>
      <c r="AF695" s="126" t="s">
        <v>137</v>
      </c>
      <c r="AG695" s="129">
        <v>4</v>
      </c>
      <c r="AH695" s="128">
        <v>62111</v>
      </c>
      <c r="AI695" s="128">
        <v>1854</v>
      </c>
      <c r="AJ695" s="128">
        <v>2036</v>
      </c>
      <c r="AK695" s="129">
        <v>201</v>
      </c>
      <c r="AL695" s="129">
        <v>204</v>
      </c>
    </row>
    <row r="696">
      <c r="A696" s="108"/>
      <c r="B696" s="109" t="s">
        <v>139</v>
      </c>
      <c r="C696" s="141" t="s">
        <v>142</v>
      </c>
      <c r="D696" s="111">
        <f t="shared" si="400"/>
      </c>
      <c r="E696" s="110">
        <v>1618.95</v>
      </c>
      <c r="F696" s="140">
        <v>5120.2</v>
      </c>
      <c r="G696" s="113">
        <v>0</v>
      </c>
      <c r="H696" s="113">
        <v>0</v>
      </c>
      <c r="I696" s="183">
        <f t="shared" si="529"/>
      </c>
      <c r="J696" s="160">
        <v>0</v>
      </c>
      <c r="K696" s="115">
        <f t="shared" si="142"/>
      </c>
      <c r="L696" s="115">
        <f t="shared" si="271"/>
      </c>
      <c r="M696" s="116">
        <f t="shared" si="632"/>
      </c>
      <c r="N696" s="117">
        <f t="shared" si="662"/>
      </c>
      <c r="O696" s="118">
        <f t="shared" si="572"/>
      </c>
      <c r="P696" s="119">
        <f t="shared" si="602"/>
      </c>
      <c r="Q696" s="119">
        <f t="shared" si="782"/>
      </c>
      <c r="R696" s="119">
        <f t="shared" si="812"/>
      </c>
      <c r="S696" s="120">
        <f t="shared" si="692"/>
      </c>
      <c r="T696" s="121">
        <f t="shared" si="722"/>
      </c>
      <c r="U696" s="119">
        <f t="shared" si="1001"/>
      </c>
      <c r="V696" s="122">
        <f t="shared" si="752"/>
      </c>
      <c r="W696" s="122">
        <f t="shared" si="1031"/>
      </c>
      <c r="X696" s="119">
        <f t="shared" si="842"/>
      </c>
      <c r="Y696" s="123">
        <f t="shared" si="958"/>
      </c>
      <c r="Z696" s="123">
        <v>1</v>
      </c>
      <c r="AA696" s="123">
        <v>5</v>
      </c>
      <c r="AB696" s="124">
        <v>10126.080000000016</v>
      </c>
      <c r="AC696" s="124">
        <v>0</v>
      </c>
      <c r="AD696" s="120">
        <f t="shared" si="26"/>
      </c>
      <c r="AE696" s="125" t="s">
        <v>121</v>
      </c>
      <c r="AF696" s="126" t="s">
        <v>137</v>
      </c>
      <c r="AG696" s="127">
        <v>5</v>
      </c>
      <c r="AH696" s="128">
        <v>59091</v>
      </c>
      <c r="AI696" s="128">
        <v>2041</v>
      </c>
      <c r="AJ696" s="128">
        <v>2216</v>
      </c>
      <c r="AK696" s="129">
        <v>177</v>
      </c>
      <c r="AL696" s="127">
        <v>223</v>
      </c>
    </row>
    <row r="697">
      <c r="A697" s="108"/>
      <c r="B697" s="130" t="s">
        <v>127</v>
      </c>
      <c r="C697" s="131">
        <v>4</v>
      </c>
      <c r="D697" s="132">
        <f>SUM(D693:D696)</f>
      </c>
      <c r="E697" s="132">
        <f>SUM(E693:E696)</f>
      </c>
      <c r="F697" s="132">
        <f>SUM(F693:F696)</f>
      </c>
      <c r="G697" s="132">
        <f>SUM(G693:G696)</f>
      </c>
      <c r="H697" s="132">
        <f>SUM(H693:H696)</f>
      </c>
      <c r="I697" s="132">
        <f>SUM(I693:I696)</f>
      </c>
      <c r="J697" s="132">
        <f>SUM(J693:J696)</f>
      </c>
      <c r="K697" s="132">
        <f>SUM(K693:K696)</f>
      </c>
      <c r="L697" s="132">
        <f>SUM(L693:L696)</f>
      </c>
      <c r="M697" s="133">
        <f t="shared" si="632"/>
      </c>
      <c r="N697" s="134">
        <f t="shared" si="662"/>
      </c>
      <c r="O697" s="134">
        <f t="shared" si="572"/>
      </c>
      <c r="P697" s="135">
        <f t="shared" si="602"/>
      </c>
      <c r="Q697" s="135">
        <f t="shared" si="782"/>
      </c>
      <c r="R697" s="135">
        <f t="shared" si="812"/>
      </c>
      <c r="S697" s="136">
        <f t="shared" si="692"/>
      </c>
      <c r="T697" s="136">
        <f t="shared" si="722"/>
      </c>
      <c r="U697" s="135">
        <f t="shared" si="1001"/>
      </c>
      <c r="V697" s="136">
        <f t="shared" si="752"/>
      </c>
      <c r="W697" s="136">
        <f t="shared" si="1031"/>
      </c>
      <c r="X697" s="135">
        <f t="shared" si="842"/>
      </c>
      <c r="Y697" s="132">
        <f>SUM(Y693:Y696)</f>
      </c>
      <c r="Z697" s="132">
        <f>SUM(Z693:Z696)</f>
      </c>
      <c r="AA697" s="132">
        <f>SUM(AA693:AA696)</f>
      </c>
      <c r="AB697" s="132">
        <f>SUM(AB693:AB696)</f>
      </c>
      <c r="AC697" s="132">
        <f>SUM(AC693:AC696)</f>
      </c>
      <c r="AD697" s="137">
        <f t="shared" si="26"/>
      </c>
      <c r="AE697" s="138"/>
      <c r="AF697" s="139"/>
      <c r="AG697" s="132">
        <f>SUM(AG693:AG696)</f>
      </c>
      <c r="AH697" s="132">
        <f>SUM(AH693:AH696)</f>
      </c>
      <c r="AI697" s="132">
        <f>SUM(AI693:AI696)</f>
      </c>
      <c r="AJ697" s="132">
        <f>SUM(AJ693:AJ696)</f>
      </c>
      <c r="AK697" s="132">
        <f>SUM(AK693:AK696)</f>
      </c>
      <c r="AL697" s="132">
        <f>SUM(AL693:AL696)</f>
      </c>
    </row>
    <row r="698">
      <c r="A698" s="108"/>
      <c r="B698" s="109" t="s">
        <v>143</v>
      </c>
      <c r="C698" s="141" t="s">
        <v>144</v>
      </c>
      <c r="D698" s="111">
        <f t="shared" ref="D698:D702" si="401">E698+F698+G698+H698</f>
      </c>
      <c r="E698" s="112">
        <v>2003.56</v>
      </c>
      <c r="F698" s="113">
        <v>6031.27</v>
      </c>
      <c r="G698" s="113">
        <v>0</v>
      </c>
      <c r="H698" s="113">
        <v>0</v>
      </c>
      <c r="I698" s="113">
        <f t="shared" ref="I698:I702" si="530">AB698+AC698</f>
      </c>
      <c r="J698" s="114">
        <v>0</v>
      </c>
      <c r="K698" s="115">
        <f t="shared" ref="K698:K702" si="143">I698-J698</f>
      </c>
      <c r="L698" s="115">
        <f t="shared" ref="L698:L702" si="272">(I698-AC698)/12+AC698</f>
      </c>
      <c r="M698" s="116">
        <f t="shared" si="632"/>
      </c>
      <c r="N698" s="117">
        <f t="shared" si="662"/>
      </c>
      <c r="O698" s="118">
        <f t="shared" si="572"/>
      </c>
      <c r="P698" s="119">
        <f t="shared" si="602"/>
      </c>
      <c r="Q698" s="119">
        <f t="shared" si="782"/>
      </c>
      <c r="R698" s="119">
        <f t="shared" si="812"/>
      </c>
      <c r="S698" s="120">
        <f t="shared" si="692"/>
      </c>
      <c r="T698" s="121">
        <f t="shared" si="722"/>
      </c>
      <c r="U698" s="119">
        <f t="shared" si="1001"/>
      </c>
      <c r="V698" s="122">
        <f t="shared" si="752"/>
      </c>
      <c r="W698" s="122">
        <f t="shared" si="1031"/>
      </c>
      <c r="X698" s="119">
        <f t="shared" si="842"/>
      </c>
      <c r="Y698" s="123">
        <f t="shared" ref="Y698:Y702" si="959">Z698+AA698</f>
      </c>
      <c r="Z698" s="123">
        <v>6</v>
      </c>
      <c r="AA698" s="123">
        <v>6</v>
      </c>
      <c r="AB698" s="124">
        <v>8189.27999999997</v>
      </c>
      <c r="AC698" s="124">
        <v>626</v>
      </c>
      <c r="AD698" s="120">
        <f t="shared" si="26"/>
      </c>
      <c r="AE698" s="125" t="s">
        <v>121</v>
      </c>
      <c r="AF698" s="126" t="s">
        <v>137</v>
      </c>
      <c r="AG698" s="127">
        <v>5</v>
      </c>
      <c r="AH698" s="127">
        <v>59827</v>
      </c>
      <c r="AI698" s="128">
        <v>2307</v>
      </c>
      <c r="AJ698" s="128">
        <v>2569</v>
      </c>
      <c r="AK698" s="127">
        <v>190</v>
      </c>
      <c r="AL698" s="129">
        <v>218</v>
      </c>
    </row>
    <row r="699">
      <c r="A699" s="108"/>
      <c r="B699" s="109" t="s">
        <v>143</v>
      </c>
      <c r="C699" s="110" t="s">
        <v>145</v>
      </c>
      <c r="D699" s="111">
        <f t="shared" si="401"/>
      </c>
      <c r="E699" s="110">
        <v>2325.77</v>
      </c>
      <c r="F699" s="113">
        <v>5535.5</v>
      </c>
      <c r="G699" s="113">
        <v>0</v>
      </c>
      <c r="H699" s="113">
        <v>0</v>
      </c>
      <c r="I699" s="113">
        <f t="shared" si="530"/>
      </c>
      <c r="J699" s="114">
        <v>0</v>
      </c>
      <c r="K699" s="115">
        <f t="shared" si="143"/>
      </c>
      <c r="L699" s="115">
        <f t="shared" si="272"/>
      </c>
      <c r="M699" s="116">
        <f t="shared" si="632"/>
      </c>
      <c r="N699" s="117">
        <f t="shared" si="662"/>
      </c>
      <c r="O699" s="118">
        <f t="shared" si="572"/>
      </c>
      <c r="P699" s="119">
        <f t="shared" si="602"/>
      </c>
      <c r="Q699" s="119">
        <f t="shared" si="782"/>
      </c>
      <c r="R699" s="119">
        <f t="shared" si="812"/>
      </c>
      <c r="S699" s="120">
        <f t="shared" si="692"/>
      </c>
      <c r="T699" s="121">
        <f t="shared" si="722"/>
      </c>
      <c r="U699" s="119">
        <f t="shared" si="1001"/>
      </c>
      <c r="V699" s="122">
        <f t="shared" si="752"/>
      </c>
      <c r="W699" s="122">
        <f t="shared" si="1031"/>
      </c>
      <c r="X699" s="119">
        <f t="shared" si="842"/>
      </c>
      <c r="Y699" s="123">
        <f t="shared" si="959"/>
      </c>
      <c r="Z699" s="123">
        <v>5</v>
      </c>
      <c r="AA699" s="123">
        <v>11</v>
      </c>
      <c r="AB699" s="124">
        <v>16987.320000000007</v>
      </c>
      <c r="AC699" s="124">
        <v>0</v>
      </c>
      <c r="AD699" s="120">
        <f t="shared" si="26"/>
      </c>
      <c r="AE699" s="125" t="s">
        <v>121</v>
      </c>
      <c r="AF699" s="126" t="s">
        <v>137</v>
      </c>
      <c r="AG699" s="127">
        <v>8</v>
      </c>
      <c r="AH699" s="128">
        <v>66570</v>
      </c>
      <c r="AI699" s="128">
        <v>3253</v>
      </c>
      <c r="AJ699" s="128">
        <v>3547</v>
      </c>
      <c r="AK699" s="129">
        <v>243</v>
      </c>
      <c r="AL699" s="129">
        <v>231</v>
      </c>
    </row>
    <row r="700">
      <c r="A700" s="108"/>
      <c r="B700" s="109" t="s">
        <v>143</v>
      </c>
      <c r="C700" s="141" t="s">
        <v>146</v>
      </c>
      <c r="D700" s="111">
        <f t="shared" si="401"/>
      </c>
      <c r="E700" s="110">
        <v>1771.91</v>
      </c>
      <c r="F700" s="110">
        <v>3211.62</v>
      </c>
      <c r="G700" s="113">
        <v>0</v>
      </c>
      <c r="H700" s="113">
        <v>0</v>
      </c>
      <c r="I700" s="113">
        <f t="shared" si="530"/>
      </c>
      <c r="J700" s="114">
        <v>0</v>
      </c>
      <c r="K700" s="115">
        <f t="shared" si="143"/>
      </c>
      <c r="L700" s="115">
        <f t="shared" si="272"/>
      </c>
      <c r="M700" s="116">
        <f t="shared" si="632"/>
      </c>
      <c r="N700" s="117">
        <f t="shared" si="662"/>
      </c>
      <c r="O700" s="118">
        <f t="shared" si="572"/>
      </c>
      <c r="P700" s="119">
        <f t="shared" si="602"/>
      </c>
      <c r="Q700" s="119">
        <f t="shared" si="782"/>
      </c>
      <c r="R700" s="119">
        <f t="shared" si="812"/>
      </c>
      <c r="S700" s="120">
        <f t="shared" si="692"/>
      </c>
      <c r="T700" s="121">
        <f t="shared" si="722"/>
      </c>
      <c r="U700" s="119">
        <f t="shared" si="1001"/>
      </c>
      <c r="V700" s="122">
        <f t="shared" si="752"/>
      </c>
      <c r="W700" s="122">
        <f t="shared" si="1031"/>
      </c>
      <c r="X700" s="119">
        <f t="shared" si="842"/>
      </c>
      <c r="Y700" s="123">
        <f t="shared" si="959"/>
      </c>
      <c r="Z700" s="123">
        <v>1</v>
      </c>
      <c r="AA700" s="123">
        <v>1</v>
      </c>
      <c r="AB700" s="124">
        <v>3110.399999999965</v>
      </c>
      <c r="AC700" s="124">
        <v>0</v>
      </c>
      <c r="AD700" s="120">
        <f t="shared" si="26"/>
      </c>
      <c r="AE700" s="125" t="s">
        <v>121</v>
      </c>
      <c r="AF700" s="126" t="s">
        <v>137</v>
      </c>
      <c r="AG700" s="129">
        <v>1</v>
      </c>
      <c r="AH700" s="128">
        <v>49402</v>
      </c>
      <c r="AI700" s="128">
        <v>2845</v>
      </c>
      <c r="AJ700" s="128">
        <v>3143</v>
      </c>
      <c r="AK700" s="129">
        <v>166</v>
      </c>
      <c r="AL700" s="129">
        <v>145</v>
      </c>
    </row>
    <row r="701">
      <c r="A701" s="108"/>
      <c r="B701" s="109" t="s">
        <v>143</v>
      </c>
      <c r="C701" s="110" t="s">
        <v>147</v>
      </c>
      <c r="D701" s="111">
        <f t="shared" si="401"/>
      </c>
      <c r="E701" s="110">
        <v>672.07</v>
      </c>
      <c r="F701" s="113">
        <v>9605.87</v>
      </c>
      <c r="G701" s="113">
        <v>0</v>
      </c>
      <c r="H701" s="113">
        <v>0</v>
      </c>
      <c r="I701" s="162">
        <f t="shared" si="530"/>
      </c>
      <c r="J701" s="114">
        <v>0</v>
      </c>
      <c r="K701" s="115">
        <f t="shared" si="143"/>
      </c>
      <c r="L701" s="115">
        <f t="shared" si="272"/>
      </c>
      <c r="M701" s="116">
        <f t="shared" si="632"/>
      </c>
      <c r="N701" s="117">
        <f t="shared" si="662"/>
      </c>
      <c r="O701" s="118">
        <f t="shared" si="572"/>
      </c>
      <c r="P701" s="119">
        <f t="shared" si="602"/>
      </c>
      <c r="Q701" s="119">
        <f t="shared" si="782"/>
      </c>
      <c r="R701" s="119">
        <f t="shared" si="812"/>
      </c>
      <c r="S701" s="120">
        <f t="shared" si="692"/>
      </c>
      <c r="T701" s="121">
        <f t="shared" si="722"/>
      </c>
      <c r="U701" s="119">
        <f t="shared" si="1001"/>
      </c>
      <c r="V701" s="122">
        <f t="shared" si="752"/>
      </c>
      <c r="W701" s="122">
        <f t="shared" si="1031"/>
      </c>
      <c r="X701" s="119">
        <f t="shared" si="842"/>
      </c>
      <c r="Y701" s="123">
        <f t="shared" si="959"/>
      </c>
      <c r="Z701" s="123">
        <v>4</v>
      </c>
      <c r="AA701" s="123">
        <v>10</v>
      </c>
      <c r="AB701" s="124">
        <v>20829.48</v>
      </c>
      <c r="AC701" s="124">
        <v>0</v>
      </c>
      <c r="AD701" s="120">
        <f t="shared" si="26"/>
      </c>
      <c r="AE701" s="125" t="s">
        <v>121</v>
      </c>
      <c r="AF701" s="126" t="s">
        <v>137</v>
      </c>
      <c r="AG701" s="127">
        <v>10</v>
      </c>
      <c r="AH701" s="128">
        <v>126693</v>
      </c>
      <c r="AI701" s="128">
        <v>3635</v>
      </c>
      <c r="AJ701" s="128">
        <v>3883</v>
      </c>
      <c r="AK701" s="129">
        <v>240</v>
      </c>
      <c r="AL701" s="129">
        <v>269</v>
      </c>
    </row>
    <row r="702">
      <c r="A702" s="108"/>
      <c r="B702" s="109" t="s">
        <v>143</v>
      </c>
      <c r="C702" s="110" t="s">
        <v>148</v>
      </c>
      <c r="D702" s="111">
        <f t="shared" si="401"/>
      </c>
      <c r="E702" s="112">
        <v>232.18</v>
      </c>
      <c r="F702" s="113">
        <v>4097.48</v>
      </c>
      <c r="G702" s="113">
        <v>0</v>
      </c>
      <c r="H702" s="113">
        <v>0</v>
      </c>
      <c r="I702" s="113">
        <f t="shared" si="530"/>
      </c>
      <c r="J702" s="114">
        <v>0</v>
      </c>
      <c r="K702" s="115">
        <f t="shared" si="143"/>
      </c>
      <c r="L702" s="115">
        <f t="shared" si="272"/>
      </c>
      <c r="M702" s="116">
        <f t="shared" si="632"/>
      </c>
      <c r="N702" s="117">
        <f t="shared" si="662"/>
      </c>
      <c r="O702" s="118">
        <f t="shared" si="572"/>
      </c>
      <c r="P702" s="119">
        <f t="shared" si="602"/>
      </c>
      <c r="Q702" s="119">
        <f t="shared" si="782"/>
      </c>
      <c r="R702" s="119">
        <f t="shared" si="812"/>
      </c>
      <c r="S702" s="120">
        <f t="shared" si="692"/>
      </c>
      <c r="T702" s="121">
        <f t="shared" si="722"/>
      </c>
      <c r="U702" s="119">
        <f t="shared" si="1001"/>
      </c>
      <c r="V702" s="122">
        <f t="shared" si="752"/>
      </c>
      <c r="W702" s="122">
        <f t="shared" si="1031"/>
      </c>
      <c r="X702" s="119">
        <f t="shared" si="842"/>
      </c>
      <c r="Y702" s="123">
        <f t="shared" si="959"/>
      </c>
      <c r="Z702" s="123">
        <v>2</v>
      </c>
      <c r="AA702" s="123">
        <v>4</v>
      </c>
      <c r="AB702" s="124">
        <v>8830.439999999999</v>
      </c>
      <c r="AC702" s="124">
        <v>0</v>
      </c>
      <c r="AD702" s="120">
        <f t="shared" si="26"/>
      </c>
      <c r="AE702" s="125" t="s">
        <v>121</v>
      </c>
      <c r="AF702" s="126" t="s">
        <v>137</v>
      </c>
      <c r="AG702" s="127">
        <v>3</v>
      </c>
      <c r="AH702" s="128">
        <v>51133</v>
      </c>
      <c r="AI702" s="128">
        <v>2590</v>
      </c>
      <c r="AJ702" s="128">
        <v>2906</v>
      </c>
      <c r="AK702" s="127">
        <v>175</v>
      </c>
      <c r="AL702" s="127">
        <v>153</v>
      </c>
    </row>
    <row r="703">
      <c r="A703" s="108"/>
      <c r="B703" s="130" t="s">
        <v>127</v>
      </c>
      <c r="C703" s="131">
        <v>5</v>
      </c>
      <c r="D703" s="132">
        <f>SUM(D698:D702)</f>
      </c>
      <c r="E703" s="132">
        <f>SUM(E698:E702)</f>
      </c>
      <c r="F703" s="132">
        <f>SUM(F698:F702)</f>
      </c>
      <c r="G703" s="132">
        <f>SUM(G698:G702)</f>
      </c>
      <c r="H703" s="132">
        <f>SUM(H698:H702)</f>
      </c>
      <c r="I703" s="132">
        <f>SUM(I698:I702)</f>
      </c>
      <c r="J703" s="132">
        <f>SUM(J698:J702)</f>
      </c>
      <c r="K703" s="132">
        <f>SUM(K698:K702)</f>
      </c>
      <c r="L703" s="132">
        <f>SUM(L698:L702)</f>
      </c>
      <c r="M703" s="133">
        <f t="shared" si="632"/>
      </c>
      <c r="N703" s="134">
        <f t="shared" si="662"/>
      </c>
      <c r="O703" s="134">
        <f t="shared" si="572"/>
      </c>
      <c r="P703" s="135">
        <f t="shared" si="602"/>
      </c>
      <c r="Q703" s="135">
        <f t="shared" si="782"/>
      </c>
      <c r="R703" s="135">
        <f t="shared" si="812"/>
      </c>
      <c r="S703" s="136">
        <f t="shared" si="692"/>
      </c>
      <c r="T703" s="136">
        <f t="shared" si="722"/>
      </c>
      <c r="U703" s="135">
        <f t="shared" si="1001"/>
      </c>
      <c r="V703" s="136">
        <f t="shared" si="752"/>
      </c>
      <c r="W703" s="136">
        <f t="shared" si="1031"/>
      </c>
      <c r="X703" s="135">
        <f t="shared" si="842"/>
      </c>
      <c r="Y703" s="132">
        <f>SUM(Y698:Y702)</f>
      </c>
      <c r="Z703" s="132">
        <f>SUM(Z698:Z702)</f>
      </c>
      <c r="AA703" s="132">
        <f>SUM(AA698:AA702)</f>
      </c>
      <c r="AB703" s="132">
        <f>SUM(AB698:AB702)</f>
      </c>
      <c r="AC703" s="132">
        <f>SUM(AC698:AC702)</f>
      </c>
      <c r="AD703" s="150">
        <f t="shared" si="26"/>
      </c>
      <c r="AE703" s="138"/>
      <c r="AF703" s="139"/>
      <c r="AG703" s="132">
        <f>SUM(AG698:AG702)</f>
      </c>
      <c r="AH703" s="132">
        <f>SUM(AH698:AH702)</f>
      </c>
      <c r="AI703" s="132">
        <f>SUM(AI698:AI702)</f>
      </c>
      <c r="AJ703" s="132">
        <f>SUM(AJ698:AJ702)</f>
      </c>
      <c r="AK703" s="132">
        <f>SUM(AK698:AK702)</f>
      </c>
      <c r="AL703" s="132">
        <f>SUM(AL698:AL702)</f>
      </c>
    </row>
    <row r="704">
      <c r="A704" s="108"/>
      <c r="B704" s="152" t="s">
        <v>127</v>
      </c>
      <c r="C704" s="153">
        <f>C684+C689+C692+C697+C703</f>
      </c>
      <c r="D704" s="167">
        <f>D684+D689+D692+D697+D703</f>
      </c>
      <c r="E704" s="153">
        <f>E684+E689+E692+E697+E703</f>
      </c>
      <c r="F704" s="153">
        <f>F684+F689+F692+F697+F703</f>
      </c>
      <c r="G704" s="153">
        <f>G684+G689+G692+G697+G703</f>
      </c>
      <c r="H704" s="153">
        <f>H684+H689+H692+H697+H703</f>
      </c>
      <c r="I704" s="167">
        <f>I684+I689+I692+I697+I703</f>
      </c>
      <c r="J704" s="153">
        <f>J684+J689+J692+J697+J703</f>
      </c>
      <c r="K704" s="153">
        <f>K684+K689+K692+K697+K703</f>
      </c>
      <c r="L704" s="153">
        <f>L684+L689+L692+L697+L703</f>
      </c>
      <c r="M704" s="154">
        <f t="shared" si="632"/>
      </c>
      <c r="N704" s="154">
        <f t="shared" si="662"/>
      </c>
      <c r="O704" s="154">
        <f t="shared" si="572"/>
      </c>
      <c r="P704" s="154">
        <f t="shared" si="602"/>
      </c>
      <c r="Q704" s="154">
        <f t="shared" si="782"/>
      </c>
      <c r="R704" s="154">
        <f t="shared" si="812"/>
      </c>
      <c r="S704" s="155">
        <f t="shared" si="692"/>
      </c>
      <c r="T704" s="155">
        <f t="shared" si="722"/>
      </c>
      <c r="U704" s="154">
        <f t="shared" si="1001"/>
      </c>
      <c r="V704" s="155">
        <f t="shared" si="752"/>
      </c>
      <c r="W704" s="155">
        <f t="shared" si="1031"/>
      </c>
      <c r="X704" s="154">
        <f t="shared" si="842"/>
      </c>
      <c r="Y704" s="153">
        <f>Y684+Y689+Y692+Y697+Y703</f>
      </c>
      <c r="Z704" s="153">
        <f>Z684+Z689+Z692+Z697+Z703</f>
      </c>
      <c r="AA704" s="153">
        <f>AA684+AA689+AA692+AA697+AA703</f>
      </c>
      <c r="AB704" s="153">
        <f>AB684+AB689+AB692+AB697+AB703</f>
      </c>
      <c r="AC704" s="187">
        <f>AC684+AC689+AC692+AC697+AC703</f>
      </c>
      <c r="AD704" s="157">
        <f t="shared" si="26"/>
      </c>
      <c r="AE704" s="159"/>
      <c r="AF704" s="152"/>
      <c r="AG704" s="153">
        <f>AG684+AG689+AG692+AG697+AG703</f>
      </c>
      <c r="AH704" s="153">
        <f>AH684+AH689+AH692+AH697+AH703</f>
      </c>
      <c r="AI704" s="153">
        <f>AI684+AI689+AI692+AI697+AI703</f>
      </c>
      <c r="AJ704" s="153">
        <f>AJ684+AJ689+AJ692+AJ697+AJ703</f>
      </c>
      <c r="AK704" s="153">
        <f>AK684+AK689+AK692+AK697+AK703</f>
      </c>
      <c r="AL704" s="153">
        <f>AL684+AL689+AL692+AL697+AL703</f>
      </c>
    </row>
    <row r="705">
      <c r="A705" s="94" t="s">
        <v>81</v>
      </c>
      <c r="B705" s="95" t="s">
        <v>82</v>
      </c>
      <c r="C705" s="95" t="s">
        <v>83</v>
      </c>
      <c r="D705" s="96" t="s">
        <v>84</v>
      </c>
      <c r="E705" s="95" t="s">
        <v>85</v>
      </c>
      <c r="F705" s="95" t="s">
        <v>86</v>
      </c>
      <c r="G705" s="97" t="s">
        <v>87</v>
      </c>
      <c r="H705" s="97" t="s">
        <v>88</v>
      </c>
      <c r="I705" s="96" t="s">
        <v>89</v>
      </c>
      <c r="J705" s="98" t="s">
        <v>90</v>
      </c>
      <c r="K705" s="99" t="s">
        <v>91</v>
      </c>
      <c r="L705" s="99" t="s">
        <v>92</v>
      </c>
      <c r="M705" s="100" t="s">
        <v>93</v>
      </c>
      <c r="N705" s="99" t="s">
        <v>94</v>
      </c>
      <c r="O705" s="95" t="s">
        <v>95</v>
      </c>
      <c r="P705" s="100" t="s">
        <v>96</v>
      </c>
      <c r="Q705" s="101" t="s">
        <v>97</v>
      </c>
      <c r="R705" s="101" t="s">
        <v>98</v>
      </c>
      <c r="S705" s="96" t="s">
        <v>99</v>
      </c>
      <c r="T705" s="102" t="s">
        <v>100</v>
      </c>
      <c r="U705" s="100" t="s">
        <v>101</v>
      </c>
      <c r="V705" s="103" t="s">
        <v>102</v>
      </c>
      <c r="W705" s="104" t="s">
        <v>103</v>
      </c>
      <c r="X705" s="100" t="s">
        <v>104</v>
      </c>
      <c r="Y705" s="105" t="s">
        <v>105</v>
      </c>
      <c r="Z705" s="106" t="s">
        <v>106</v>
      </c>
      <c r="AA705" s="105" t="s">
        <v>107</v>
      </c>
      <c r="AB705" s="107" t="s">
        <v>108</v>
      </c>
      <c r="AC705" s="107" t="s">
        <v>109</v>
      </c>
      <c r="AD705" s="99" t="s">
        <v>110</v>
      </c>
      <c r="AE705" s="98" t="s">
        <v>111</v>
      </c>
      <c r="AF705" s="99" t="s">
        <v>112</v>
      </c>
      <c r="AG705" s="98" t="s">
        <v>113</v>
      </c>
      <c r="AH705" s="98" t="s">
        <v>114</v>
      </c>
      <c r="AI705" s="99" t="s">
        <v>115</v>
      </c>
      <c r="AJ705" s="98" t="s">
        <v>116</v>
      </c>
      <c r="AK705" s="99" t="s">
        <v>117</v>
      </c>
      <c r="AL705" s="98" t="s">
        <v>118</v>
      </c>
    </row>
    <row r="706">
      <c r="A706" s="108">
        <v>46293</v>
      </c>
      <c r="B706" s="109" t="s">
        <v>119</v>
      </c>
      <c r="C706" s="110" t="s">
        <v>120</v>
      </c>
      <c r="D706" s="111">
        <f t="shared" ref="D706:D710" si="402">E706+F706+G706+H706</f>
      </c>
      <c r="E706" s="112">
        <v>1657.58</v>
      </c>
      <c r="F706" s="113">
        <v>10738.11</v>
      </c>
      <c r="G706" s="113">
        <v>0</v>
      </c>
      <c r="H706" s="113">
        <v>0</v>
      </c>
      <c r="I706" s="113">
        <f t="shared" ref="I706:I710" si="531">AB706+AC706</f>
      </c>
      <c r="J706" s="114">
        <f>4028.04+1050.48</f>
      </c>
      <c r="K706" s="115">
        <f t="shared" ref="K706:K710" si="144">I706-J706</f>
      </c>
      <c r="L706" s="115">
        <f t="shared" ref="L706:L710" si="273">(I706-AC706)/12+AC706</f>
      </c>
      <c r="M706" s="116">
        <f t="shared" ref="M706:M731" si="633">I706/D706</f>
      </c>
      <c r="N706" s="117">
        <f t="shared" ref="N706:N731" si="663">(I706-J706)/D706</f>
      </c>
      <c r="O706" s="118">
        <f t="shared" ref="O706:O731" si="573">(AC706+AB706/12)/D706</f>
      </c>
      <c r="P706" s="119">
        <f t="shared" ref="P706:P731" si="603">I706/AA706</f>
      </c>
      <c r="Q706" s="119">
        <f t="shared" ref="Q706:Q731" si="783">D706/AA706</f>
      </c>
      <c r="R706" s="119">
        <f t="shared" ref="R706:R731" si="813">D706/AG706</f>
      </c>
      <c r="S706" s="120">
        <f t="shared" ref="S706:S731" si="693">AA706/Y706</f>
      </c>
      <c r="T706" s="121">
        <f t="shared" ref="T706:T731" si="723">AI706/AH706</f>
      </c>
      <c r="U706" s="119">
        <f t="shared" ref="U706:U731" si="1002">D706/AJ706</f>
      </c>
      <c r="V706" s="122">
        <f t="shared" ref="V706:V731" si="753">AK706/AJ706</f>
      </c>
      <c r="W706" s="122">
        <f t="shared" ref="W706:W731" si="1032">AL706/AJ706</f>
      </c>
      <c r="X706" s="119">
        <f t="shared" ref="X706:X731" si="843">D706/AL706</f>
      </c>
      <c r="Y706" s="123">
        <f t="shared" ref="Y706:Y710" si="960">Z706+AA706</f>
      </c>
      <c r="Z706" s="123">
        <v>11</v>
      </c>
      <c r="AA706" s="123">
        <v>9</v>
      </c>
      <c r="AB706" s="124">
        <v>12370.68</v>
      </c>
      <c r="AC706" s="124">
        <v>2454</v>
      </c>
      <c r="AD706" s="120">
        <f t="shared" ref="AD706:AD731" si="27">AC706/I706</f>
      </c>
      <c r="AE706" s="125" t="s">
        <v>121</v>
      </c>
      <c r="AF706" s="126" t="s">
        <v>122</v>
      </c>
      <c r="AG706" s="127">
        <v>8</v>
      </c>
      <c r="AH706" s="127">
        <v>95702</v>
      </c>
      <c r="AI706" s="128">
        <v>4884</v>
      </c>
      <c r="AJ706" s="128">
        <v>5529</v>
      </c>
      <c r="AK706" s="127">
        <v>401</v>
      </c>
      <c r="AL706" s="129">
        <v>381</v>
      </c>
    </row>
    <row r="707">
      <c r="A707" s="108"/>
      <c r="B707" s="109" t="s">
        <v>119</v>
      </c>
      <c r="C707" s="110" t="s">
        <v>123</v>
      </c>
      <c r="D707" s="111">
        <f t="shared" si="402"/>
      </c>
      <c r="E707" s="110">
        <v>2223.29</v>
      </c>
      <c r="F707" s="113">
        <v>21118.77</v>
      </c>
      <c r="G707" s="113">
        <v>0</v>
      </c>
      <c r="H707" s="113">
        <v>0</v>
      </c>
      <c r="I707" s="113">
        <f t="shared" si="531"/>
      </c>
      <c r="J707" s="114">
        <f>3110.4+943.92+1652.4+1551.96+1290.6+3110.4+4729.32+696.6</f>
      </c>
      <c r="K707" s="115">
        <f t="shared" si="144"/>
      </c>
      <c r="L707" s="115">
        <f t="shared" si="273"/>
      </c>
      <c r="M707" s="116">
        <f t="shared" si="633"/>
      </c>
      <c r="N707" s="117">
        <f t="shared" si="663"/>
      </c>
      <c r="O707" s="118">
        <f t="shared" si="573"/>
      </c>
      <c r="P707" s="119">
        <f t="shared" si="603"/>
      </c>
      <c r="Q707" s="119">
        <f t="shared" si="783"/>
      </c>
      <c r="R707" s="119">
        <f t="shared" si="813"/>
      </c>
      <c r="S707" s="120">
        <f t="shared" si="693"/>
      </c>
      <c r="T707" s="121">
        <f t="shared" si="723"/>
      </c>
      <c r="U707" s="119">
        <f t="shared" si="1002"/>
      </c>
      <c r="V707" s="122">
        <f t="shared" si="753"/>
      </c>
      <c r="W707" s="122">
        <f t="shared" si="1032"/>
      </c>
      <c r="X707" s="119">
        <f t="shared" si="843"/>
      </c>
      <c r="Y707" s="123">
        <f t="shared" si="960"/>
      </c>
      <c r="Z707" s="123">
        <v>12</v>
      </c>
      <c r="AA707" s="123">
        <v>22</v>
      </c>
      <c r="AB707" s="124">
        <v>33153.840000000004</v>
      </c>
      <c r="AC707" s="124">
        <v>9525.1</v>
      </c>
      <c r="AD707" s="120">
        <f t="shared" si="27"/>
      </c>
      <c r="AE707" s="125" t="s">
        <v>121</v>
      </c>
      <c r="AF707" s="126" t="s">
        <v>122</v>
      </c>
      <c r="AG707" s="127">
        <v>20</v>
      </c>
      <c r="AH707" s="128">
        <v>203117</v>
      </c>
      <c r="AI707" s="128">
        <v>6122</v>
      </c>
      <c r="AJ707" s="128">
        <v>6974</v>
      </c>
      <c r="AK707" s="129">
        <v>618</v>
      </c>
      <c r="AL707" s="129">
        <v>583</v>
      </c>
    </row>
    <row r="708">
      <c r="A708" s="108"/>
      <c r="B708" s="109" t="s">
        <v>119</v>
      </c>
      <c r="C708" s="110" t="s">
        <v>124</v>
      </c>
      <c r="D708" s="111">
        <f t="shared" si="402"/>
      </c>
      <c r="E708" s="110">
        <v>3151.6</v>
      </c>
      <c r="F708" s="113">
        <v>17972.66</v>
      </c>
      <c r="G708" s="113">
        <v>0</v>
      </c>
      <c r="H708" s="113">
        <v>0</v>
      </c>
      <c r="I708" s="113">
        <f t="shared" si="531"/>
      </c>
      <c r="J708" s="114">
        <f>1591.92+512.05+512.05+442.8+2464.56+1622.16+1863+1736.64+1736.64+3048.84+3697.92+498.96+1641.6</f>
      </c>
      <c r="K708" s="115">
        <f t="shared" si="144"/>
      </c>
      <c r="L708" s="115">
        <f t="shared" si="273"/>
      </c>
      <c r="M708" s="116">
        <f t="shared" si="633"/>
      </c>
      <c r="N708" s="117">
        <f t="shared" si="663"/>
      </c>
      <c r="O708" s="118">
        <f t="shared" si="573"/>
      </c>
      <c r="P708" s="119">
        <f t="shared" si="603"/>
      </c>
      <c r="Q708" s="119">
        <f t="shared" si="783"/>
      </c>
      <c r="R708" s="119">
        <f t="shared" si="813"/>
      </c>
      <c r="S708" s="120">
        <f t="shared" si="693"/>
      </c>
      <c r="T708" s="121">
        <f t="shared" si="723"/>
      </c>
      <c r="U708" s="119">
        <f t="shared" si="1002"/>
      </c>
      <c r="V708" s="122">
        <f t="shared" si="753"/>
      </c>
      <c r="W708" s="122">
        <f t="shared" si="1032"/>
      </c>
      <c r="X708" s="119">
        <f t="shared" si="843"/>
      </c>
      <c r="Y708" s="123">
        <f t="shared" si="960"/>
      </c>
      <c r="Z708" s="123">
        <v>7</v>
      </c>
      <c r="AA708" s="123">
        <v>22</v>
      </c>
      <c r="AB708" s="124">
        <v>32109.119999999995</v>
      </c>
      <c r="AC708" s="124">
        <v>1024.1000000000004</v>
      </c>
      <c r="AD708" s="120">
        <f t="shared" si="27"/>
      </c>
      <c r="AE708" s="125" t="s">
        <v>121</v>
      </c>
      <c r="AF708" s="126" t="s">
        <v>122</v>
      </c>
      <c r="AG708" s="129">
        <v>17</v>
      </c>
      <c r="AH708" s="128">
        <v>191195</v>
      </c>
      <c r="AI708" s="128">
        <v>4577</v>
      </c>
      <c r="AJ708" s="128">
        <v>5238</v>
      </c>
      <c r="AK708" s="129">
        <v>523</v>
      </c>
      <c r="AL708" s="129">
        <v>466</v>
      </c>
    </row>
    <row r="709">
      <c r="A709" s="108"/>
      <c r="B709" s="109" t="s">
        <v>119</v>
      </c>
      <c r="C709" s="110" t="s">
        <v>125</v>
      </c>
      <c r="D709" s="111">
        <f t="shared" si="402"/>
      </c>
      <c r="E709" s="110">
        <v>2221.62</v>
      </c>
      <c r="F709" s="113">
        <v>7474.03</v>
      </c>
      <c r="G709" s="113">
        <v>0</v>
      </c>
      <c r="H709" s="113">
        <v>0</v>
      </c>
      <c r="I709" s="162">
        <f t="shared" si="531"/>
      </c>
      <c r="J709" s="114">
        <f>1562.88+3697.92+608.52+591.96</f>
      </c>
      <c r="K709" s="115">
        <f t="shared" si="144"/>
      </c>
      <c r="L709" s="115">
        <f t="shared" si="273"/>
      </c>
      <c r="M709" s="116">
        <f t="shared" si="633"/>
      </c>
      <c r="N709" s="117">
        <f t="shared" si="663"/>
      </c>
      <c r="O709" s="118">
        <f t="shared" si="573"/>
      </c>
      <c r="P709" s="119">
        <f t="shared" si="603"/>
      </c>
      <c r="Q709" s="119">
        <f t="shared" si="783"/>
      </c>
      <c r="R709" s="119">
        <f t="shared" si="813"/>
      </c>
      <c r="S709" s="120">
        <f t="shared" si="693"/>
      </c>
      <c r="T709" s="121">
        <f t="shared" si="723"/>
      </c>
      <c r="U709" s="119">
        <f t="shared" si="1002"/>
      </c>
      <c r="V709" s="122">
        <f t="shared" si="753"/>
      </c>
      <c r="W709" s="122">
        <f t="shared" si="1032"/>
      </c>
      <c r="X709" s="119">
        <f t="shared" si="843"/>
      </c>
      <c r="Y709" s="123">
        <f t="shared" si="960"/>
      </c>
      <c r="Z709" s="123">
        <v>7</v>
      </c>
      <c r="AA709" s="123">
        <v>9</v>
      </c>
      <c r="AB709" s="124">
        <v>16252.199999999997</v>
      </c>
      <c r="AC709" s="124">
        <v>0</v>
      </c>
      <c r="AD709" s="120">
        <f t="shared" si="27"/>
      </c>
      <c r="AE709" s="125" t="s">
        <v>121</v>
      </c>
      <c r="AF709" s="126" t="s">
        <v>122</v>
      </c>
      <c r="AG709" s="127">
        <v>8</v>
      </c>
      <c r="AH709" s="128">
        <v>72013</v>
      </c>
      <c r="AI709" s="128">
        <v>1669</v>
      </c>
      <c r="AJ709" s="128">
        <v>2141</v>
      </c>
      <c r="AK709" s="129">
        <v>260</v>
      </c>
      <c r="AL709" s="129">
        <v>230</v>
      </c>
    </row>
    <row r="710">
      <c r="A710" s="108"/>
      <c r="B710" s="109" t="s">
        <v>119</v>
      </c>
      <c r="C710" s="110" t="s">
        <v>126</v>
      </c>
      <c r="D710" s="111">
        <f t="shared" si="402"/>
      </c>
      <c r="E710" s="110">
        <v>3355.51</v>
      </c>
      <c r="F710" s="113">
        <v>5289.65</v>
      </c>
      <c r="G710" s="113">
        <v>0</v>
      </c>
      <c r="H710" s="113">
        <v>0</v>
      </c>
      <c r="I710" s="113">
        <f t="shared" si="531"/>
      </c>
      <c r="J710" s="114">
        <v>0</v>
      </c>
      <c r="K710" s="115">
        <f t="shared" si="144"/>
      </c>
      <c r="L710" s="115">
        <f t="shared" si="273"/>
      </c>
      <c r="M710" s="116">
        <f t="shared" si="633"/>
      </c>
      <c r="N710" s="117">
        <f t="shared" si="663"/>
      </c>
      <c r="O710" s="118">
        <f t="shared" si="573"/>
      </c>
      <c r="P710" s="119">
        <f t="shared" si="603"/>
      </c>
      <c r="Q710" s="119">
        <f t="shared" si="783"/>
      </c>
      <c r="R710" s="119">
        <f t="shared" si="813"/>
      </c>
      <c r="S710" s="120">
        <f t="shared" si="693"/>
      </c>
      <c r="T710" s="121">
        <f t="shared" si="723"/>
      </c>
      <c r="U710" s="119">
        <f t="shared" si="1002"/>
      </c>
      <c r="V710" s="122">
        <f t="shared" si="753"/>
      </c>
      <c r="W710" s="122">
        <f t="shared" si="1032"/>
      </c>
      <c r="X710" s="119">
        <f t="shared" si="843"/>
      </c>
      <c r="Y710" s="123">
        <f t="shared" si="960"/>
      </c>
      <c r="Z710" s="123">
        <v>5</v>
      </c>
      <c r="AA710" s="123">
        <v>5</v>
      </c>
      <c r="AB710" s="124">
        <v>3690.3600000000006</v>
      </c>
      <c r="AC710" s="124">
        <v>2503</v>
      </c>
      <c r="AD710" s="120">
        <f t="shared" si="27"/>
      </c>
      <c r="AE710" s="125" t="s">
        <v>121</v>
      </c>
      <c r="AF710" s="126" t="s">
        <v>122</v>
      </c>
      <c r="AG710" s="127">
        <v>3</v>
      </c>
      <c r="AH710" s="128">
        <v>46805</v>
      </c>
      <c r="AI710" s="128">
        <v>1161</v>
      </c>
      <c r="AJ710" s="128">
        <v>1544</v>
      </c>
      <c r="AK710" s="127">
        <v>207</v>
      </c>
      <c r="AL710" s="127">
        <v>224</v>
      </c>
    </row>
    <row r="711">
      <c r="A711" s="108"/>
      <c r="B711" s="130" t="s">
        <v>127</v>
      </c>
      <c r="C711" s="131">
        <v>5</v>
      </c>
      <c r="D711" s="132">
        <f>SUM(D706:D710)</f>
      </c>
      <c r="E711" s="132">
        <f>SUM(E706:E710)</f>
      </c>
      <c r="F711" s="132">
        <f>SUM(F706:F710)</f>
      </c>
      <c r="G711" s="132">
        <f>SUM(G706:G710)</f>
      </c>
      <c r="H711" s="132">
        <f>SUM(H706:H710)</f>
      </c>
      <c r="I711" s="132">
        <f>SUM(I706:I710)</f>
      </c>
      <c r="J711" s="132">
        <f>SUM(J706:J710)</f>
      </c>
      <c r="K711" s="132">
        <f>SUM(K706:K710)</f>
      </c>
      <c r="L711" s="132">
        <f>SUM(L706:L710)</f>
      </c>
      <c r="M711" s="133">
        <f t="shared" si="633"/>
      </c>
      <c r="N711" s="134">
        <f t="shared" si="663"/>
      </c>
      <c r="O711" s="134">
        <f t="shared" si="573"/>
      </c>
      <c r="P711" s="135">
        <f t="shared" si="603"/>
      </c>
      <c r="Q711" s="135">
        <f t="shared" si="783"/>
      </c>
      <c r="R711" s="135">
        <f t="shared" si="813"/>
      </c>
      <c r="S711" s="136">
        <f t="shared" si="693"/>
      </c>
      <c r="T711" s="136">
        <f t="shared" si="723"/>
      </c>
      <c r="U711" s="135">
        <f t="shared" si="1002"/>
      </c>
      <c r="V711" s="136">
        <f t="shared" si="753"/>
      </c>
      <c r="W711" s="136">
        <f t="shared" si="1032"/>
      </c>
      <c r="X711" s="135">
        <f t="shared" si="843"/>
      </c>
      <c r="Y711" s="132">
        <f>SUM(Y706:Y710)</f>
      </c>
      <c r="Z711" s="132">
        <f>SUM(Z706:Z710)</f>
      </c>
      <c r="AA711" s="132">
        <f>SUM(AA706:AA710)</f>
      </c>
      <c r="AB711" s="132">
        <f>SUM(AB706:AB710)</f>
      </c>
      <c r="AC711" s="132">
        <f>SUM(AC706:AC710)</f>
      </c>
      <c r="AD711" s="137">
        <f t="shared" si="27"/>
      </c>
      <c r="AE711" s="138"/>
      <c r="AF711" s="139"/>
      <c r="AG711" s="132">
        <f>SUM(AG706:AG710)</f>
      </c>
      <c r="AH711" s="132">
        <f>SUM(AH706:AH710)</f>
      </c>
      <c r="AI711" s="132">
        <f>SUM(AI706:AI710)</f>
      </c>
      <c r="AJ711" s="132">
        <f>SUM(AJ706:AJ710)</f>
      </c>
      <c r="AK711" s="132">
        <f>SUM(AK706:AK710)</f>
      </c>
      <c r="AL711" s="132">
        <f>SUM(AL706:AL710)</f>
      </c>
    </row>
    <row r="712">
      <c r="A712" s="108"/>
      <c r="B712" s="109" t="s">
        <v>139</v>
      </c>
      <c r="C712" s="110" t="s">
        <v>129</v>
      </c>
      <c r="D712" s="111">
        <f t="shared" ref="D712:D715" si="403">E712+F712+G712+H712</f>
      </c>
      <c r="E712" s="112">
        <v>1755.08</v>
      </c>
      <c r="F712" s="113">
        <v>5629.03</v>
      </c>
      <c r="G712" s="113">
        <v>0</v>
      </c>
      <c r="H712" s="113">
        <v>0</v>
      </c>
      <c r="I712" s="113">
        <f t="shared" ref="I712:I715" si="532">AB712+AC712</f>
      </c>
      <c r="J712" s="114">
        <v>0</v>
      </c>
      <c r="K712" s="115">
        <f t="shared" ref="K712:K715" si="145">I712-J712</f>
      </c>
      <c r="L712" s="115">
        <f t="shared" ref="L712:L715" si="274">(I712-AC712)/12+AC712</f>
      </c>
      <c r="M712" s="116">
        <f t="shared" si="633"/>
      </c>
      <c r="N712" s="117">
        <f t="shared" si="663"/>
      </c>
      <c r="O712" s="118">
        <f t="shared" si="573"/>
      </c>
      <c r="P712" s="119">
        <f t="shared" si="603"/>
      </c>
      <c r="Q712" s="119">
        <f t="shared" si="783"/>
      </c>
      <c r="R712" s="119">
        <f t="shared" si="813"/>
      </c>
      <c r="S712" s="120">
        <f t="shared" si="693"/>
      </c>
      <c r="T712" s="121">
        <f t="shared" si="723"/>
      </c>
      <c r="U712" s="119">
        <f t="shared" si="1002"/>
      </c>
      <c r="V712" s="122">
        <f t="shared" si="753"/>
      </c>
      <c r="W712" s="122">
        <f t="shared" si="1032"/>
      </c>
      <c r="X712" s="119">
        <f t="shared" si="843"/>
      </c>
      <c r="Y712" s="123">
        <f t="shared" ref="Y712:Y715" si="961">Z712+AA712</f>
      </c>
      <c r="Z712" s="123">
        <v>5</v>
      </c>
      <c r="AA712" s="123">
        <v>2</v>
      </c>
      <c r="AB712" s="124">
        <v>4116.959999999992</v>
      </c>
      <c r="AC712" s="124">
        <v>697</v>
      </c>
      <c r="AD712" s="120">
        <f t="shared" si="27"/>
      </c>
      <c r="AE712" s="125" t="s">
        <v>121</v>
      </c>
      <c r="AF712" s="126" t="s">
        <v>122</v>
      </c>
      <c r="AG712" s="127">
        <v>2</v>
      </c>
      <c r="AH712" s="128">
        <v>45881</v>
      </c>
      <c r="AI712" s="128">
        <v>864</v>
      </c>
      <c r="AJ712" s="128">
        <v>1130</v>
      </c>
      <c r="AK712" s="127">
        <v>133</v>
      </c>
      <c r="AL712" s="127">
        <v>159</v>
      </c>
    </row>
    <row r="713">
      <c r="A713" s="108"/>
      <c r="B713" s="109" t="s">
        <v>139</v>
      </c>
      <c r="C713" s="110" t="s">
        <v>130</v>
      </c>
      <c r="D713" s="111">
        <f t="shared" si="403"/>
      </c>
      <c r="E713" s="110">
        <v>1868.96</v>
      </c>
      <c r="F713" s="113">
        <v>5846.53</v>
      </c>
      <c r="G713" s="113">
        <v>0</v>
      </c>
      <c r="H713" s="113">
        <v>0</v>
      </c>
      <c r="I713" s="113">
        <f t="shared" si="532"/>
      </c>
      <c r="J713" s="114">
        <v>2082.24</v>
      </c>
      <c r="K713" s="115">
        <f t="shared" si="145"/>
      </c>
      <c r="L713" s="115">
        <f t="shared" si="274"/>
      </c>
      <c r="M713" s="116">
        <f t="shared" si="633"/>
      </c>
      <c r="N713" s="117">
        <f t="shared" si="663"/>
      </c>
      <c r="O713" s="118">
        <f t="shared" si="573"/>
      </c>
      <c r="P713" s="119">
        <f t="shared" si="603"/>
      </c>
      <c r="Q713" s="119">
        <f t="shared" si="783"/>
      </c>
      <c r="R713" s="119">
        <f t="shared" si="813"/>
      </c>
      <c r="S713" s="120">
        <f t="shared" si="693"/>
      </c>
      <c r="T713" s="121">
        <f t="shared" si="723"/>
      </c>
      <c r="U713" s="119">
        <f t="shared" si="1002"/>
      </c>
      <c r="V713" s="122">
        <f t="shared" si="753"/>
      </c>
      <c r="W713" s="122">
        <f t="shared" si="1032"/>
      </c>
      <c r="X713" s="119">
        <f t="shared" si="843"/>
      </c>
      <c r="Y713" s="123">
        <f t="shared" si="961"/>
      </c>
      <c r="Z713" s="123">
        <v>2</v>
      </c>
      <c r="AA713" s="123">
        <v>6</v>
      </c>
      <c r="AB713" s="124">
        <v>5379.4800000000105</v>
      </c>
      <c r="AC713" s="124">
        <v>1223</v>
      </c>
      <c r="AD713" s="120">
        <f t="shared" si="27"/>
      </c>
      <c r="AE713" s="125" t="s">
        <v>121</v>
      </c>
      <c r="AF713" s="126" t="s">
        <v>122</v>
      </c>
      <c r="AG713" s="127">
        <v>5</v>
      </c>
      <c r="AH713" s="128">
        <v>62047</v>
      </c>
      <c r="AI713" s="128">
        <v>1159</v>
      </c>
      <c r="AJ713" s="128">
        <v>1620</v>
      </c>
      <c r="AK713" s="129">
        <v>167</v>
      </c>
      <c r="AL713" s="129">
        <v>168</v>
      </c>
    </row>
    <row r="714">
      <c r="A714" s="108"/>
      <c r="B714" s="109" t="s">
        <v>139</v>
      </c>
      <c r="C714" s="110" t="s">
        <v>131</v>
      </c>
      <c r="D714" s="111">
        <f t="shared" si="403"/>
      </c>
      <c r="E714" s="110">
        <v>1174.27</v>
      </c>
      <c r="F714" s="110">
        <v>4357.59</v>
      </c>
      <c r="G714" s="113">
        <v>0</v>
      </c>
      <c r="H714" s="113">
        <v>0</v>
      </c>
      <c r="I714" s="113">
        <f t="shared" si="532"/>
      </c>
      <c r="J714" s="114">
        <f>1591.92+2603.88</f>
      </c>
      <c r="K714" s="115">
        <f t="shared" si="145"/>
      </c>
      <c r="L714" s="115">
        <f t="shared" si="274"/>
      </c>
      <c r="M714" s="116">
        <f t="shared" si="633"/>
      </c>
      <c r="N714" s="117">
        <f t="shared" si="663"/>
      </c>
      <c r="O714" s="118">
        <f t="shared" si="573"/>
      </c>
      <c r="P714" s="119">
        <f t="shared" si="603"/>
      </c>
      <c r="Q714" s="119">
        <f t="shared" si="783"/>
      </c>
      <c r="R714" s="119">
        <f t="shared" si="813"/>
      </c>
      <c r="S714" s="120">
        <f t="shared" si="693"/>
      </c>
      <c r="T714" s="121">
        <f t="shared" si="723"/>
      </c>
      <c r="U714" s="119">
        <f t="shared" si="1002"/>
      </c>
      <c r="V714" s="122">
        <f t="shared" si="753"/>
      </c>
      <c r="W714" s="122">
        <f t="shared" si="1032"/>
      </c>
      <c r="X714" s="119">
        <f t="shared" si="843"/>
      </c>
      <c r="Y714" s="123">
        <f t="shared" si="961"/>
      </c>
      <c r="Z714" s="123">
        <v>6</v>
      </c>
      <c r="AA714" s="123">
        <v>4</v>
      </c>
      <c r="AB714" s="124">
        <v>6286.679999999993</v>
      </c>
      <c r="AC714" s="124">
        <v>0</v>
      </c>
      <c r="AD714" s="120">
        <f t="shared" si="27"/>
      </c>
      <c r="AE714" s="125" t="s">
        <v>121</v>
      </c>
      <c r="AF714" s="126" t="s">
        <v>122</v>
      </c>
      <c r="AG714" s="129">
        <v>1</v>
      </c>
      <c r="AH714" s="128">
        <v>42257</v>
      </c>
      <c r="AI714" s="128">
        <v>803</v>
      </c>
      <c r="AJ714" s="128">
        <v>1043</v>
      </c>
      <c r="AK714" s="129">
        <v>129</v>
      </c>
      <c r="AL714" s="129">
        <v>135</v>
      </c>
    </row>
    <row r="715">
      <c r="A715" s="108"/>
      <c r="B715" s="109" t="s">
        <v>139</v>
      </c>
      <c r="C715" s="110" t="s">
        <v>132</v>
      </c>
      <c r="D715" s="111">
        <f t="shared" si="403"/>
      </c>
      <c r="E715" s="110">
        <v>907.75</v>
      </c>
      <c r="F715" s="113">
        <v>6450.36</v>
      </c>
      <c r="G715" s="113">
        <v>0</v>
      </c>
      <c r="H715" s="113">
        <v>0</v>
      </c>
      <c r="I715" s="113">
        <f t="shared" si="532"/>
      </c>
      <c r="J715" s="114">
        <f>638.28+777.72+2262.84+2218.2</f>
      </c>
      <c r="K715" s="115">
        <f t="shared" si="145"/>
      </c>
      <c r="L715" s="115">
        <f t="shared" si="274"/>
      </c>
      <c r="M715" s="116">
        <f t="shared" si="633"/>
      </c>
      <c r="N715" s="117">
        <f t="shared" si="663"/>
      </c>
      <c r="O715" s="118">
        <f t="shared" si="573"/>
      </c>
      <c r="P715" s="119">
        <f t="shared" si="603"/>
      </c>
      <c r="Q715" s="119">
        <f t="shared" si="783"/>
      </c>
      <c r="R715" s="119">
        <f t="shared" si="813"/>
      </c>
      <c r="S715" s="120">
        <f t="shared" si="693"/>
      </c>
      <c r="T715" s="121">
        <f t="shared" si="723"/>
      </c>
      <c r="U715" s="119">
        <f t="shared" si="1002"/>
      </c>
      <c r="V715" s="122">
        <f t="shared" si="753"/>
      </c>
      <c r="W715" s="122">
        <f t="shared" si="1032"/>
      </c>
      <c r="X715" s="119">
        <f t="shared" si="843"/>
      </c>
      <c r="Y715" s="123">
        <f t="shared" si="961"/>
      </c>
      <c r="Z715" s="123">
        <v>4</v>
      </c>
      <c r="AA715" s="123">
        <v>10</v>
      </c>
      <c r="AB715" s="114">
        <f>12784.2+630.72+752.76</f>
      </c>
      <c r="AC715" s="124">
        <v>0</v>
      </c>
      <c r="AD715" s="120">
        <f t="shared" si="27"/>
      </c>
      <c r="AE715" s="125" t="s">
        <v>121</v>
      </c>
      <c r="AF715" s="126" t="s">
        <v>122</v>
      </c>
      <c r="AG715" s="127">
        <v>7</v>
      </c>
      <c r="AH715" s="128">
        <v>54622</v>
      </c>
      <c r="AI715" s="128">
        <v>1097</v>
      </c>
      <c r="AJ715" s="128">
        <v>1309</v>
      </c>
      <c r="AK715" s="129">
        <v>158</v>
      </c>
      <c r="AL715" s="129">
        <v>193</v>
      </c>
    </row>
    <row r="716">
      <c r="A716" s="108"/>
      <c r="B716" s="130" t="s">
        <v>127</v>
      </c>
      <c r="C716" s="131">
        <v>4</v>
      </c>
      <c r="D716" s="132">
        <f>SUM(D712:D715)</f>
      </c>
      <c r="E716" s="132">
        <f>SUM(E712:E715)</f>
      </c>
      <c r="F716" s="132">
        <f>SUM(F712:F715)</f>
      </c>
      <c r="G716" s="132">
        <f>SUM(G712:G715)</f>
      </c>
      <c r="H716" s="132">
        <f>SUM(H712:H715)</f>
      </c>
      <c r="I716" s="132">
        <f>SUM(I712:I715)</f>
      </c>
      <c r="J716" s="132">
        <f>SUM(J712:J715)</f>
      </c>
      <c r="K716" s="132">
        <f>SUM(K712:K715)</f>
      </c>
      <c r="L716" s="132">
        <f>SUM(L712:L715)</f>
      </c>
      <c r="M716" s="133">
        <f t="shared" si="633"/>
      </c>
      <c r="N716" s="134">
        <f t="shared" si="663"/>
      </c>
      <c r="O716" s="134">
        <f t="shared" si="573"/>
      </c>
      <c r="P716" s="135">
        <f t="shared" si="603"/>
      </c>
      <c r="Q716" s="135">
        <f t="shared" si="783"/>
      </c>
      <c r="R716" s="135">
        <f t="shared" si="813"/>
      </c>
      <c r="S716" s="136">
        <f t="shared" si="693"/>
      </c>
      <c r="T716" s="136">
        <f t="shared" si="723"/>
      </c>
      <c r="U716" s="135">
        <f t="shared" si="1002"/>
      </c>
      <c r="V716" s="136">
        <f t="shared" si="753"/>
      </c>
      <c r="W716" s="136">
        <f t="shared" si="1032"/>
      </c>
      <c r="X716" s="135">
        <f t="shared" si="843"/>
      </c>
      <c r="Y716" s="132">
        <f>SUM(Y712:Y715)</f>
      </c>
      <c r="Z716" s="132">
        <f>SUM(Z712:Z715)</f>
      </c>
      <c r="AA716" s="132">
        <f>SUM(AA712:AA715)</f>
      </c>
      <c r="AB716" s="132">
        <f>SUM(AB712:AB715)</f>
      </c>
      <c r="AC716" s="132">
        <f>SUM(AC712:AC715)</f>
      </c>
      <c r="AD716" s="137">
        <f t="shared" si="27"/>
      </c>
      <c r="AE716" s="138"/>
      <c r="AF716" s="139"/>
      <c r="AG716" s="132">
        <f>SUM(AG712:AG715)</f>
      </c>
      <c r="AH716" s="132">
        <f>SUM(AH712:AH715)</f>
      </c>
      <c r="AI716" s="132">
        <f>SUM(AI712:AI715)</f>
      </c>
      <c r="AJ716" s="132">
        <f>SUM(AJ712:AJ715)</f>
      </c>
      <c r="AK716" s="132">
        <f>SUM(AK712:AK715)</f>
      </c>
      <c r="AL716" s="132">
        <f>SUM(AL712:AL715)</f>
      </c>
    </row>
    <row r="717">
      <c r="A717" s="108"/>
      <c r="B717" s="109" t="s">
        <v>155</v>
      </c>
      <c r="C717" s="110" t="s">
        <v>134</v>
      </c>
      <c r="D717" s="111">
        <f t="shared" ref="D717:D718" si="404">E717+F717+G717+H717</f>
      </c>
      <c r="E717" s="110">
        <v>1376.31</v>
      </c>
      <c r="F717" s="140">
        <v>7588.3</v>
      </c>
      <c r="G717" s="113">
        <v>0</v>
      </c>
      <c r="H717" s="113">
        <v>0</v>
      </c>
      <c r="I717" s="183">
        <f t="shared" ref="I717:I718" si="533">AB717+AC717</f>
      </c>
      <c r="J717" s="160">
        <f>6913.08+733.32+1406.52+1156.32+1670.76</f>
      </c>
      <c r="K717" s="115">
        <f t="shared" ref="K717:K718" si="146">I717-J717</f>
      </c>
      <c r="L717" s="115">
        <f t="shared" ref="L717:L718" si="275">(I717-AC717)/12+AC717</f>
      </c>
      <c r="M717" s="116">
        <f t="shared" si="633"/>
      </c>
      <c r="N717" s="117">
        <f t="shared" si="663"/>
      </c>
      <c r="O717" s="118">
        <f t="shared" si="573"/>
      </c>
      <c r="P717" s="119">
        <f t="shared" si="603"/>
      </c>
      <c r="Q717" s="119">
        <f t="shared" si="783"/>
      </c>
      <c r="R717" s="119">
        <f t="shared" si="813"/>
      </c>
      <c r="S717" s="120">
        <f t="shared" si="693"/>
      </c>
      <c r="T717" s="121">
        <f t="shared" si="723"/>
      </c>
      <c r="U717" s="119">
        <f t="shared" si="1002"/>
      </c>
      <c r="V717" s="122">
        <f t="shared" si="753"/>
      </c>
      <c r="W717" s="122">
        <f t="shared" si="1032"/>
      </c>
      <c r="X717" s="119">
        <f t="shared" si="843"/>
      </c>
      <c r="Y717" s="123">
        <f t="shared" ref="Y717:Y718" si="962">Z717+AA717</f>
      </c>
      <c r="Z717" s="123">
        <v>8</v>
      </c>
      <c r="AA717" s="123">
        <v>10</v>
      </c>
      <c r="AB717" s="124">
        <v>18004.20000000001</v>
      </c>
      <c r="AC717" s="124">
        <v>0</v>
      </c>
      <c r="AD717" s="120">
        <f t="shared" si="27"/>
      </c>
      <c r="AE717" s="125" t="s">
        <v>121</v>
      </c>
      <c r="AF717" s="126" t="s">
        <v>122</v>
      </c>
      <c r="AG717" s="127">
        <v>10</v>
      </c>
      <c r="AH717" s="128">
        <v>73995</v>
      </c>
      <c r="AI717" s="128">
        <v>1643</v>
      </c>
      <c r="AJ717" s="128">
        <v>1864</v>
      </c>
      <c r="AK717" s="129">
        <v>203</v>
      </c>
      <c r="AL717" s="129">
        <v>244</v>
      </c>
    </row>
    <row r="718">
      <c r="A718" s="108"/>
      <c r="B718" s="109" t="s">
        <v>155</v>
      </c>
      <c r="C718" s="110" t="s">
        <v>135</v>
      </c>
      <c r="D718" s="111">
        <f t="shared" si="404"/>
      </c>
      <c r="E718" s="141">
        <v>1221.98</v>
      </c>
      <c r="F718" s="142">
        <v>4228.81</v>
      </c>
      <c r="G718" s="171">
        <v>0</v>
      </c>
      <c r="H718" s="113">
        <v>0</v>
      </c>
      <c r="I718" s="184">
        <f t="shared" si="533"/>
      </c>
      <c r="J718" s="160">
        <v>1205.28</v>
      </c>
      <c r="K718" s="115">
        <f t="shared" si="146"/>
      </c>
      <c r="L718" s="115">
        <f t="shared" si="275"/>
      </c>
      <c r="M718" s="116">
        <f t="shared" si="633"/>
      </c>
      <c r="N718" s="117">
        <f t="shared" si="663"/>
      </c>
      <c r="O718" s="118">
        <f t="shared" si="573"/>
      </c>
      <c r="P718" s="119">
        <f t="shared" si="603"/>
      </c>
      <c r="Q718" s="119">
        <f t="shared" si="783"/>
      </c>
      <c r="R718" s="119">
        <f t="shared" si="813"/>
      </c>
      <c r="S718" s="120">
        <f t="shared" si="693"/>
      </c>
      <c r="T718" s="121">
        <f t="shared" si="723"/>
      </c>
      <c r="U718" s="119">
        <f t="shared" si="1002"/>
      </c>
      <c r="V718" s="122">
        <f t="shared" si="753"/>
      </c>
      <c r="W718" s="122">
        <f t="shared" si="1032"/>
      </c>
      <c r="X718" s="119">
        <f t="shared" si="843"/>
      </c>
      <c r="Y718" s="172">
        <f t="shared" si="962"/>
      </c>
      <c r="Z718" s="123">
        <v>7</v>
      </c>
      <c r="AA718" s="123">
        <v>3</v>
      </c>
      <c r="AB718" s="173">
        <v>4214.159999999974</v>
      </c>
      <c r="AC718" s="124">
        <v>1086</v>
      </c>
      <c r="AD718" s="120">
        <f t="shared" si="27"/>
      </c>
      <c r="AE718" s="125" t="s">
        <v>121</v>
      </c>
      <c r="AF718" s="126" t="s">
        <v>137</v>
      </c>
      <c r="AG718" s="129">
        <v>2</v>
      </c>
      <c r="AH718" s="128">
        <v>51236</v>
      </c>
      <c r="AI718" s="128">
        <v>1025</v>
      </c>
      <c r="AJ718" s="128">
        <v>1201</v>
      </c>
      <c r="AK718" s="129">
        <v>147</v>
      </c>
      <c r="AL718" s="129">
        <v>173</v>
      </c>
    </row>
    <row r="719">
      <c r="A719" s="108"/>
      <c r="B719" s="130" t="s">
        <v>127</v>
      </c>
      <c r="C719" s="131">
        <v>2</v>
      </c>
      <c r="D719" s="185">
        <f>SUM(D717:D718)</f>
      </c>
      <c r="E719" s="185">
        <f>SUM(E717:E718)</f>
      </c>
      <c r="F719" s="185">
        <f>SUM(F717:F718)</f>
      </c>
      <c r="G719" s="185">
        <f>SUM(G717:G718)</f>
      </c>
      <c r="H719" s="185">
        <f>SUM(H717:H718)</f>
      </c>
      <c r="I719" s="185">
        <f>SUM(I717:I718)</f>
      </c>
      <c r="J719" s="185">
        <f>SUM(J717:J718)</f>
      </c>
      <c r="K719" s="185">
        <f>SUM(K717:K718)</f>
      </c>
      <c r="L719" s="185">
        <f>SUM(L717:L718)</f>
      </c>
      <c r="M719" s="133">
        <f t="shared" si="633"/>
      </c>
      <c r="N719" s="134">
        <f t="shared" si="663"/>
      </c>
      <c r="O719" s="134">
        <f t="shared" si="573"/>
      </c>
      <c r="P719" s="135">
        <f t="shared" si="603"/>
      </c>
      <c r="Q719" s="135">
        <f t="shared" si="783"/>
      </c>
      <c r="R719" s="135">
        <f t="shared" si="813"/>
      </c>
      <c r="S719" s="136">
        <f t="shared" si="693"/>
      </c>
      <c r="T719" s="136">
        <f t="shared" si="723"/>
      </c>
      <c r="U719" s="135">
        <f t="shared" si="1002"/>
      </c>
      <c r="V719" s="136">
        <f t="shared" si="753"/>
      </c>
      <c r="W719" s="136">
        <f t="shared" si="1032"/>
      </c>
      <c r="X719" s="135">
        <f t="shared" si="843"/>
      </c>
      <c r="Y719" s="185">
        <f>SUM(Y717:Y718)</f>
      </c>
      <c r="Z719" s="185">
        <f>SUM(Z717:Z718)</f>
      </c>
      <c r="AA719" s="185">
        <f>SUM(AA717:AA718)</f>
      </c>
      <c r="AB719" s="185">
        <f>SUM(AB717:AB718)</f>
      </c>
      <c r="AC719" s="185">
        <f>SUM(AC717:AC718)</f>
      </c>
      <c r="AD719" s="137">
        <f t="shared" si="27"/>
      </c>
      <c r="AE719" s="138"/>
      <c r="AF719" s="139"/>
      <c r="AG719" s="185">
        <f>SUM(AG717:AG718)</f>
      </c>
      <c r="AH719" s="185">
        <f>SUM(AH717:AH718)</f>
      </c>
      <c r="AI719" s="185">
        <f>SUM(AI717:AI718)</f>
      </c>
      <c r="AJ719" s="185">
        <f>SUM(AJ717:AJ718)</f>
      </c>
      <c r="AK719" s="185">
        <f>SUM(AK717:AK718)</f>
      </c>
      <c r="AL719" s="185">
        <f>SUM(AL717:AL718)</f>
      </c>
    </row>
    <row r="720">
      <c r="A720" s="108"/>
      <c r="B720" s="109" t="s">
        <v>133</v>
      </c>
      <c r="C720" s="110" t="s">
        <v>138</v>
      </c>
      <c r="D720" s="111">
        <f t="shared" ref="D720:D723" si="405">E720+F720+G720+H720</f>
      </c>
      <c r="E720" s="110">
        <v>1250.19</v>
      </c>
      <c r="F720" s="140">
        <v>4224.48</v>
      </c>
      <c r="G720" s="113">
        <v>0</v>
      </c>
      <c r="H720" s="113">
        <v>0</v>
      </c>
      <c r="I720" s="183">
        <f t="shared" ref="I720:I723" si="534">AB720+AC720</f>
      </c>
      <c r="J720" s="160">
        <v>1509.84</v>
      </c>
      <c r="K720" s="115">
        <f t="shared" ref="K720:K723" si="147">I720-J720</f>
      </c>
      <c r="L720" s="115">
        <f t="shared" ref="L720:L723" si="276">(I720-AC720)/12+AC720</f>
      </c>
      <c r="M720" s="116">
        <f t="shared" si="633"/>
      </c>
      <c r="N720" s="117">
        <f t="shared" si="663"/>
      </c>
      <c r="O720" s="118">
        <f t="shared" si="573"/>
      </c>
      <c r="P720" s="119">
        <f t="shared" si="603"/>
      </c>
      <c r="Q720" s="119">
        <f t="shared" si="783"/>
      </c>
      <c r="R720" s="119">
        <f t="shared" si="813"/>
      </c>
      <c r="S720" s="120">
        <f t="shared" si="693"/>
      </c>
      <c r="T720" s="121">
        <f t="shared" si="723"/>
      </c>
      <c r="U720" s="119">
        <f t="shared" si="1002"/>
      </c>
      <c r="V720" s="122">
        <f t="shared" si="753"/>
      </c>
      <c r="W720" s="122">
        <f t="shared" si="1032"/>
      </c>
      <c r="X720" s="119">
        <f t="shared" si="843"/>
      </c>
      <c r="Y720" s="123">
        <f t="shared" ref="Y720:Y723" si="963">Z720+AA720</f>
      </c>
      <c r="Z720" s="123">
        <v>4</v>
      </c>
      <c r="AA720" s="123">
        <v>4</v>
      </c>
      <c r="AB720" s="124">
        <v>4208.760000000009</v>
      </c>
      <c r="AC720" s="124">
        <v>0</v>
      </c>
      <c r="AD720" s="120">
        <f t="shared" si="27"/>
      </c>
      <c r="AE720" s="125" t="s">
        <v>121</v>
      </c>
      <c r="AF720" s="126" t="s">
        <v>137</v>
      </c>
      <c r="AG720" s="127">
        <v>4</v>
      </c>
      <c r="AH720" s="128">
        <v>44128</v>
      </c>
      <c r="AI720" s="128">
        <v>1162</v>
      </c>
      <c r="AJ720" s="128">
        <v>1337</v>
      </c>
      <c r="AK720" s="129">
        <v>122</v>
      </c>
      <c r="AL720" s="129">
        <v>143</v>
      </c>
    </row>
    <row r="721">
      <c r="A721" s="108"/>
      <c r="B721" s="109" t="s">
        <v>133</v>
      </c>
      <c r="C721" s="110" t="s">
        <v>140</v>
      </c>
      <c r="D721" s="111">
        <f t="shared" si="405"/>
      </c>
      <c r="E721" s="110">
        <v>884.8</v>
      </c>
      <c r="F721" s="140">
        <v>6448.56</v>
      </c>
      <c r="G721" s="113">
        <v>0</v>
      </c>
      <c r="H721" s="113">
        <v>0</v>
      </c>
      <c r="I721" s="183">
        <f t="shared" si="534"/>
      </c>
      <c r="J721" s="160">
        <f>465.48+1591.92</f>
      </c>
      <c r="K721" s="115">
        <f t="shared" si="147"/>
      </c>
      <c r="L721" s="115">
        <f t="shared" si="276"/>
      </c>
      <c r="M721" s="116">
        <f t="shared" si="633"/>
      </c>
      <c r="N721" s="117">
        <f t="shared" si="663"/>
      </c>
      <c r="O721" s="118">
        <f t="shared" si="573"/>
      </c>
      <c r="P721" s="119">
        <f t="shared" si="603"/>
      </c>
      <c r="Q721" s="119">
        <f t="shared" si="783"/>
      </c>
      <c r="R721" s="119">
        <f t="shared" si="813"/>
      </c>
      <c r="S721" s="120">
        <f t="shared" si="693"/>
      </c>
      <c r="T721" s="121">
        <f t="shared" si="723"/>
      </c>
      <c r="U721" s="119">
        <f t="shared" si="1002"/>
      </c>
      <c r="V721" s="122">
        <f t="shared" si="753"/>
      </c>
      <c r="W721" s="122">
        <f t="shared" si="1032"/>
      </c>
      <c r="X721" s="119">
        <f t="shared" si="843"/>
      </c>
      <c r="Y721" s="123">
        <f t="shared" si="963"/>
      </c>
      <c r="Z721" s="123">
        <v>1</v>
      </c>
      <c r="AA721" s="123">
        <v>9</v>
      </c>
      <c r="AB721" s="124">
        <v>8745.840000000026</v>
      </c>
      <c r="AC721" s="124">
        <v>3571</v>
      </c>
      <c r="AD721" s="120">
        <f t="shared" si="27"/>
      </c>
      <c r="AE721" s="125" t="s">
        <v>121</v>
      </c>
      <c r="AF721" s="126" t="s">
        <v>137</v>
      </c>
      <c r="AG721" s="127">
        <v>9</v>
      </c>
      <c r="AH721" s="128">
        <v>86658</v>
      </c>
      <c r="AI721" s="128">
        <v>1510</v>
      </c>
      <c r="AJ721" s="128">
        <v>1677</v>
      </c>
      <c r="AK721" s="129">
        <v>167</v>
      </c>
      <c r="AL721" s="129">
        <v>190</v>
      </c>
    </row>
    <row r="722">
      <c r="A722" s="108"/>
      <c r="B722" s="109" t="s">
        <v>133</v>
      </c>
      <c r="C722" s="141" t="s">
        <v>141</v>
      </c>
      <c r="D722" s="111">
        <f t="shared" si="405"/>
      </c>
      <c r="E722" s="110">
        <v>1057.57</v>
      </c>
      <c r="F722" s="140">
        <v>8733.17</v>
      </c>
      <c r="G722" s="113">
        <v>0</v>
      </c>
      <c r="H722" s="113">
        <v>0</v>
      </c>
      <c r="I722" s="183">
        <f t="shared" si="534"/>
      </c>
      <c r="J722" s="160">
        <v>0</v>
      </c>
      <c r="K722" s="115">
        <f t="shared" si="147"/>
      </c>
      <c r="L722" s="115">
        <f t="shared" si="276"/>
      </c>
      <c r="M722" s="116">
        <f t="shared" si="633"/>
      </c>
      <c r="N722" s="117">
        <f t="shared" si="663"/>
      </c>
      <c r="O722" s="118">
        <f t="shared" si="573"/>
      </c>
      <c r="P722" s="119">
        <f t="shared" si="603"/>
      </c>
      <c r="Q722" s="119">
        <f t="shared" si="783"/>
      </c>
      <c r="R722" s="119">
        <f t="shared" si="813"/>
      </c>
      <c r="S722" s="120">
        <f t="shared" si="693"/>
      </c>
      <c r="T722" s="121">
        <f t="shared" si="723"/>
      </c>
      <c r="U722" s="119">
        <f t="shared" si="1002"/>
      </c>
      <c r="V722" s="122">
        <f t="shared" si="753"/>
      </c>
      <c r="W722" s="122">
        <f t="shared" si="1032"/>
      </c>
      <c r="X722" s="119">
        <f t="shared" si="843"/>
      </c>
      <c r="Y722" s="123">
        <f t="shared" si="963"/>
      </c>
      <c r="Z722" s="123">
        <v>9</v>
      </c>
      <c r="AA722" s="123">
        <v>8</v>
      </c>
      <c r="AB722" s="124">
        <v>13497.839999999967</v>
      </c>
      <c r="AC722" s="124">
        <v>0</v>
      </c>
      <c r="AD722" s="120">
        <f t="shared" si="27"/>
      </c>
      <c r="AE722" s="125" t="s">
        <v>121</v>
      </c>
      <c r="AF722" s="126" t="s">
        <v>137</v>
      </c>
      <c r="AG722" s="129">
        <v>8</v>
      </c>
      <c r="AH722" s="128">
        <v>90029</v>
      </c>
      <c r="AI722" s="128">
        <v>2792</v>
      </c>
      <c r="AJ722" s="128">
        <v>2997</v>
      </c>
      <c r="AK722" s="129">
        <v>198</v>
      </c>
      <c r="AL722" s="129">
        <v>223</v>
      </c>
    </row>
    <row r="723">
      <c r="A723" s="108"/>
      <c r="B723" s="109" t="s">
        <v>133</v>
      </c>
      <c r="C723" s="141" t="s">
        <v>142</v>
      </c>
      <c r="D723" s="111">
        <f t="shared" si="405"/>
      </c>
      <c r="E723" s="110">
        <v>1359.27</v>
      </c>
      <c r="F723" s="140">
        <v>5498.26</v>
      </c>
      <c r="G723" s="113">
        <v>0</v>
      </c>
      <c r="H723" s="113">
        <v>0</v>
      </c>
      <c r="I723" s="183">
        <f t="shared" si="534"/>
      </c>
      <c r="J723" s="160">
        <v>0</v>
      </c>
      <c r="K723" s="115">
        <f t="shared" si="147"/>
      </c>
      <c r="L723" s="115">
        <f t="shared" si="276"/>
      </c>
      <c r="M723" s="116">
        <f t="shared" si="633"/>
      </c>
      <c r="N723" s="117">
        <f t="shared" si="663"/>
      </c>
      <c r="O723" s="118">
        <f t="shared" si="573"/>
      </c>
      <c r="P723" s="119">
        <f t="shared" si="603"/>
      </c>
      <c r="Q723" s="119">
        <f t="shared" si="783"/>
      </c>
      <c r="R723" s="119">
        <f t="shared" si="813"/>
      </c>
      <c r="S723" s="120">
        <f t="shared" si="693"/>
      </c>
      <c r="T723" s="121">
        <f t="shared" si="723"/>
      </c>
      <c r="U723" s="119">
        <f t="shared" si="1002"/>
      </c>
      <c r="V723" s="122">
        <f t="shared" si="753"/>
      </c>
      <c r="W723" s="122">
        <f t="shared" si="1032"/>
      </c>
      <c r="X723" s="119">
        <f t="shared" si="843"/>
      </c>
      <c r="Y723" s="123">
        <f t="shared" si="963"/>
      </c>
      <c r="Z723" s="123">
        <v>7</v>
      </c>
      <c r="AA723" s="123">
        <v>6</v>
      </c>
      <c r="AB723" s="124">
        <v>14009.640000000014</v>
      </c>
      <c r="AC723" s="124">
        <v>0</v>
      </c>
      <c r="AD723" s="120">
        <f t="shared" si="27"/>
      </c>
      <c r="AE723" s="125" t="s">
        <v>121</v>
      </c>
      <c r="AF723" s="126" t="s">
        <v>137</v>
      </c>
      <c r="AG723" s="127">
        <v>5</v>
      </c>
      <c r="AH723" s="128">
        <v>67936</v>
      </c>
      <c r="AI723" s="128">
        <v>2112</v>
      </c>
      <c r="AJ723" s="128">
        <v>2353</v>
      </c>
      <c r="AK723" s="129">
        <v>187</v>
      </c>
      <c r="AL723" s="127">
        <v>206</v>
      </c>
    </row>
    <row r="724">
      <c r="A724" s="108"/>
      <c r="B724" s="130" t="s">
        <v>127</v>
      </c>
      <c r="C724" s="131">
        <v>4</v>
      </c>
      <c r="D724" s="132">
        <f>SUM(D720:D723)</f>
      </c>
      <c r="E724" s="132">
        <f>SUM(E720:E723)</f>
      </c>
      <c r="F724" s="132">
        <f>SUM(F720:F723)</f>
      </c>
      <c r="G724" s="132">
        <f>SUM(G720:G723)</f>
      </c>
      <c r="H724" s="132">
        <f>SUM(H720:H723)</f>
      </c>
      <c r="I724" s="132">
        <f>SUM(I720:I723)</f>
      </c>
      <c r="J724" s="132">
        <f>SUM(J720:J723)</f>
      </c>
      <c r="K724" s="132">
        <f>SUM(K720:K723)</f>
      </c>
      <c r="L724" s="132">
        <f>SUM(L720:L723)</f>
      </c>
      <c r="M724" s="133">
        <f t="shared" si="633"/>
      </c>
      <c r="N724" s="134">
        <f t="shared" si="663"/>
      </c>
      <c r="O724" s="134">
        <f t="shared" si="573"/>
      </c>
      <c r="P724" s="135">
        <f t="shared" si="603"/>
      </c>
      <c r="Q724" s="135">
        <f t="shared" si="783"/>
      </c>
      <c r="R724" s="135">
        <f t="shared" si="813"/>
      </c>
      <c r="S724" s="136">
        <f t="shared" si="693"/>
      </c>
      <c r="T724" s="136">
        <f t="shared" si="723"/>
      </c>
      <c r="U724" s="135">
        <f t="shared" si="1002"/>
      </c>
      <c r="V724" s="136">
        <f t="shared" si="753"/>
      </c>
      <c r="W724" s="136">
        <f t="shared" si="1032"/>
      </c>
      <c r="X724" s="135">
        <f t="shared" si="843"/>
      </c>
      <c r="Y724" s="132">
        <f>SUM(Y720:Y723)</f>
      </c>
      <c r="Z724" s="132">
        <f>SUM(Z720:Z723)</f>
      </c>
      <c r="AA724" s="132">
        <f>SUM(AA720:AA723)</f>
      </c>
      <c r="AB724" s="132">
        <f>SUM(AB720:AB723)</f>
      </c>
      <c r="AC724" s="132">
        <f>SUM(AC720:AC723)</f>
      </c>
      <c r="AD724" s="137">
        <f t="shared" si="27"/>
      </c>
      <c r="AE724" s="138"/>
      <c r="AF724" s="139"/>
      <c r="AG724" s="132">
        <f>SUM(AG720:AG723)</f>
      </c>
      <c r="AH724" s="132">
        <f>SUM(AH720:AH723)</f>
      </c>
      <c r="AI724" s="132">
        <f>SUM(AI720:AI723)</f>
      </c>
      <c r="AJ724" s="132">
        <f>SUM(AJ720:AJ723)</f>
      </c>
      <c r="AK724" s="132">
        <f>SUM(AK720:AK723)</f>
      </c>
      <c r="AL724" s="132">
        <f>SUM(AL720:AL723)</f>
      </c>
    </row>
    <row r="725">
      <c r="A725" s="108"/>
      <c r="B725" s="109" t="s">
        <v>143</v>
      </c>
      <c r="C725" s="141" t="s">
        <v>144</v>
      </c>
      <c r="D725" s="111">
        <f t="shared" ref="D725:D729" si="406">E725+F725+G725+H725</f>
      </c>
      <c r="E725" s="112">
        <v>1478.36</v>
      </c>
      <c r="F725" s="113">
        <v>5274.49</v>
      </c>
      <c r="G725" s="113">
        <v>0</v>
      </c>
      <c r="H725" s="113">
        <v>0</v>
      </c>
      <c r="I725" s="113">
        <f t="shared" ref="I725:I729" si="535">AB725+AC725</f>
      </c>
      <c r="J725" s="114">
        <v>657.72</v>
      </c>
      <c r="K725" s="115">
        <f t="shared" ref="K725:K729" si="148">I725-J725</f>
      </c>
      <c r="L725" s="115">
        <f t="shared" ref="L725:L729" si="277">(I725-AC725)/12+AC725</f>
      </c>
      <c r="M725" s="116">
        <f t="shared" si="633"/>
      </c>
      <c r="N725" s="117">
        <f t="shared" si="663"/>
      </c>
      <c r="O725" s="118">
        <f t="shared" si="573"/>
      </c>
      <c r="P725" s="119">
        <f t="shared" si="603"/>
      </c>
      <c r="Q725" s="119">
        <f t="shared" si="783"/>
      </c>
      <c r="R725" s="119">
        <f t="shared" si="813"/>
      </c>
      <c r="S725" s="120">
        <f t="shared" si="693"/>
      </c>
      <c r="T725" s="121">
        <f t="shared" si="723"/>
      </c>
      <c r="U725" s="119">
        <f t="shared" si="1002"/>
      </c>
      <c r="V725" s="122">
        <f t="shared" si="753"/>
      </c>
      <c r="W725" s="122">
        <f t="shared" si="1032"/>
      </c>
      <c r="X725" s="119">
        <f t="shared" si="843"/>
      </c>
      <c r="Y725" s="123">
        <f t="shared" ref="Y725:Y729" si="964">Z725+AA725</f>
      </c>
      <c r="Z725" s="123">
        <v>9</v>
      </c>
      <c r="AA725" s="123">
        <v>5</v>
      </c>
      <c r="AB725" s="124">
        <v>5251.440000000002</v>
      </c>
      <c r="AC725" s="124">
        <v>0</v>
      </c>
      <c r="AD725" s="120">
        <f t="shared" si="27"/>
      </c>
      <c r="AE725" s="125" t="s">
        <v>121</v>
      </c>
      <c r="AF725" s="126" t="s">
        <v>137</v>
      </c>
      <c r="AG725" s="127">
        <v>5</v>
      </c>
      <c r="AH725" s="127">
        <v>61532</v>
      </c>
      <c r="AI725" s="128">
        <v>2133</v>
      </c>
      <c r="AJ725" s="128">
        <v>2413</v>
      </c>
      <c r="AK725" s="127">
        <v>163</v>
      </c>
      <c r="AL725" s="129">
        <v>184</v>
      </c>
    </row>
    <row r="726">
      <c r="A726" s="108"/>
      <c r="B726" s="109" t="s">
        <v>143</v>
      </c>
      <c r="C726" s="110" t="s">
        <v>145</v>
      </c>
      <c r="D726" s="111">
        <f t="shared" si="406"/>
      </c>
      <c r="E726" s="110">
        <v>2008.44</v>
      </c>
      <c r="F726" s="113">
        <v>5452.99</v>
      </c>
      <c r="G726" s="113">
        <v>0</v>
      </c>
      <c r="H726" s="113">
        <v>0</v>
      </c>
      <c r="I726" s="113">
        <f t="shared" si="535"/>
      </c>
      <c r="J726" s="114">
        <v>0</v>
      </c>
      <c r="K726" s="115">
        <f t="shared" si="148"/>
      </c>
      <c r="L726" s="115">
        <f t="shared" si="277"/>
      </c>
      <c r="M726" s="116">
        <f t="shared" si="633"/>
      </c>
      <c r="N726" s="117">
        <f t="shared" si="663"/>
      </c>
      <c r="O726" s="118">
        <f t="shared" si="573"/>
      </c>
      <c r="P726" s="119">
        <f t="shared" si="603"/>
      </c>
      <c r="Q726" s="119">
        <f t="shared" si="783"/>
      </c>
      <c r="R726" s="119">
        <f t="shared" si="813"/>
      </c>
      <c r="S726" s="120">
        <f t="shared" si="693"/>
      </c>
      <c r="T726" s="121">
        <f t="shared" si="723"/>
      </c>
      <c r="U726" s="119">
        <f t="shared" si="1002"/>
      </c>
      <c r="V726" s="122">
        <f t="shared" si="753"/>
      </c>
      <c r="W726" s="122">
        <f t="shared" si="1032"/>
      </c>
      <c r="X726" s="119">
        <f t="shared" si="843"/>
      </c>
      <c r="Y726" s="123">
        <f t="shared" si="964"/>
      </c>
      <c r="Z726" s="123">
        <v>10</v>
      </c>
      <c r="AA726" s="123">
        <v>7</v>
      </c>
      <c r="AB726" s="124">
        <v>8945.640000000014</v>
      </c>
      <c r="AC726" s="124">
        <v>953</v>
      </c>
      <c r="AD726" s="120">
        <f t="shared" si="27"/>
      </c>
      <c r="AE726" s="125" t="s">
        <v>121</v>
      </c>
      <c r="AF726" s="126" t="s">
        <v>137</v>
      </c>
      <c r="AG726" s="127">
        <v>4</v>
      </c>
      <c r="AH726" s="128">
        <v>69604</v>
      </c>
      <c r="AI726" s="128">
        <v>2016</v>
      </c>
      <c r="AJ726" s="128">
        <v>2287</v>
      </c>
      <c r="AK726" s="129">
        <v>165</v>
      </c>
      <c r="AL726" s="129">
        <v>202</v>
      </c>
    </row>
    <row r="727">
      <c r="A727" s="108"/>
      <c r="B727" s="109" t="s">
        <v>143</v>
      </c>
      <c r="C727" s="141" t="s">
        <v>146</v>
      </c>
      <c r="D727" s="111">
        <f t="shared" si="406"/>
      </c>
      <c r="E727" s="110">
        <v>739.31</v>
      </c>
      <c r="F727" s="110">
        <v>6252.08</v>
      </c>
      <c r="G727" s="113">
        <v>0</v>
      </c>
      <c r="H727" s="113">
        <v>0</v>
      </c>
      <c r="I727" s="113">
        <f t="shared" si="535"/>
      </c>
      <c r="J727" s="114">
        <v>0</v>
      </c>
      <c r="K727" s="115">
        <f t="shared" si="148"/>
      </c>
      <c r="L727" s="115">
        <f t="shared" si="277"/>
      </c>
      <c r="M727" s="116">
        <f t="shared" si="633"/>
      </c>
      <c r="N727" s="117">
        <f t="shared" si="663"/>
      </c>
      <c r="O727" s="118">
        <f t="shared" si="573"/>
      </c>
      <c r="P727" s="119">
        <f t="shared" si="603"/>
      </c>
      <c r="Q727" s="119">
        <f t="shared" si="783"/>
      </c>
      <c r="R727" s="119">
        <f t="shared" si="813"/>
      </c>
      <c r="S727" s="120">
        <f t="shared" si="693"/>
      </c>
      <c r="T727" s="121">
        <f t="shared" si="723"/>
      </c>
      <c r="U727" s="119">
        <f t="shared" si="1002"/>
      </c>
      <c r="V727" s="122">
        <f t="shared" si="753"/>
      </c>
      <c r="W727" s="122">
        <f t="shared" si="1032"/>
      </c>
      <c r="X727" s="119">
        <f t="shared" si="843"/>
      </c>
      <c r="Y727" s="123">
        <f t="shared" si="964"/>
      </c>
      <c r="Z727" s="123">
        <v>9</v>
      </c>
      <c r="AA727" s="123">
        <v>6</v>
      </c>
      <c r="AB727" s="124">
        <v>24558</v>
      </c>
      <c r="AC727" s="124">
        <v>0</v>
      </c>
      <c r="AD727" s="120">
        <f t="shared" si="27"/>
      </c>
      <c r="AE727" s="125" t="s">
        <v>121</v>
      </c>
      <c r="AF727" s="126" t="s">
        <v>137</v>
      </c>
      <c r="AG727" s="129">
        <v>6</v>
      </c>
      <c r="AH727" s="128">
        <v>69257</v>
      </c>
      <c r="AI727" s="128">
        <v>1797</v>
      </c>
      <c r="AJ727" s="128">
        <v>2003</v>
      </c>
      <c r="AK727" s="129">
        <v>159</v>
      </c>
      <c r="AL727" s="129">
        <v>191</v>
      </c>
    </row>
    <row r="728">
      <c r="A728" s="108"/>
      <c r="B728" s="109" t="s">
        <v>143</v>
      </c>
      <c r="C728" s="110" t="s">
        <v>147</v>
      </c>
      <c r="D728" s="111">
        <f t="shared" si="406"/>
      </c>
      <c r="E728" s="110">
        <v>320.9</v>
      </c>
      <c r="F728" s="113">
        <v>5265.67</v>
      </c>
      <c r="G728" s="113">
        <v>0</v>
      </c>
      <c r="H728" s="113">
        <v>0</v>
      </c>
      <c r="I728" s="162">
        <f t="shared" si="535"/>
      </c>
      <c r="J728" s="114">
        <v>0</v>
      </c>
      <c r="K728" s="115">
        <f t="shared" si="148"/>
      </c>
      <c r="L728" s="115">
        <f t="shared" si="277"/>
      </c>
      <c r="M728" s="116">
        <f t="shared" si="633"/>
      </c>
      <c r="N728" s="117">
        <f t="shared" si="663"/>
      </c>
      <c r="O728" s="118">
        <f t="shared" si="573"/>
      </c>
      <c r="P728" s="119">
        <f t="shared" si="603"/>
      </c>
      <c r="Q728" s="119">
        <f t="shared" si="783"/>
      </c>
      <c r="R728" s="119">
        <f t="shared" si="813"/>
      </c>
      <c r="S728" s="120">
        <f t="shared" si="693"/>
      </c>
      <c r="T728" s="121">
        <f t="shared" si="723"/>
      </c>
      <c r="U728" s="119">
        <f t="shared" si="1002"/>
      </c>
      <c r="V728" s="122">
        <f t="shared" si="753"/>
      </c>
      <c r="W728" s="122">
        <f t="shared" si="1032"/>
      </c>
      <c r="X728" s="119">
        <f t="shared" si="843"/>
      </c>
      <c r="Y728" s="123">
        <f t="shared" si="964"/>
      </c>
      <c r="Z728" s="123">
        <v>3</v>
      </c>
      <c r="AA728" s="123">
        <v>4</v>
      </c>
      <c r="AB728" s="124">
        <v>7870.08</v>
      </c>
      <c r="AC728" s="124">
        <v>0</v>
      </c>
      <c r="AD728" s="120">
        <f t="shared" si="27"/>
      </c>
      <c r="AE728" s="125" t="s">
        <v>121</v>
      </c>
      <c r="AF728" s="126" t="s">
        <v>137</v>
      </c>
      <c r="AG728" s="127">
        <v>4</v>
      </c>
      <c r="AH728" s="128">
        <v>69234</v>
      </c>
      <c r="AI728" s="128">
        <v>3115</v>
      </c>
      <c r="AJ728" s="128">
        <v>3502</v>
      </c>
      <c r="AK728" s="129">
        <v>161</v>
      </c>
      <c r="AL728" s="129">
        <v>170</v>
      </c>
    </row>
    <row r="729">
      <c r="A729" s="108"/>
      <c r="B729" s="109" t="s">
        <v>143</v>
      </c>
      <c r="C729" s="110" t="s">
        <v>148</v>
      </c>
      <c r="D729" s="111">
        <f t="shared" si="406"/>
      </c>
      <c r="E729" s="112">
        <v>266.98</v>
      </c>
      <c r="F729" s="113">
        <v>2532.46</v>
      </c>
      <c r="G729" s="113">
        <v>0</v>
      </c>
      <c r="H729" s="113">
        <v>0</v>
      </c>
      <c r="I729" s="113">
        <f t="shared" si="535"/>
      </c>
      <c r="J729" s="114">
        <v>0</v>
      </c>
      <c r="K729" s="115">
        <f t="shared" si="148"/>
      </c>
      <c r="L729" s="115">
        <f t="shared" si="277"/>
      </c>
      <c r="M729" s="116">
        <f t="shared" si="633"/>
      </c>
      <c r="N729" s="117">
        <f t="shared" si="663"/>
      </c>
      <c r="O729" s="118">
        <f t="shared" si="573"/>
      </c>
      <c r="P729" s="119">
        <f t="shared" si="603"/>
      </c>
      <c r="Q729" s="119">
        <f t="shared" si="783"/>
      </c>
      <c r="R729" s="119">
        <f t="shared" si="813"/>
      </c>
      <c r="S729" s="120">
        <f t="shared" si="693"/>
      </c>
      <c r="T729" s="121">
        <f t="shared" si="723"/>
      </c>
      <c r="U729" s="119">
        <f t="shared" si="1002"/>
      </c>
      <c r="V729" s="122">
        <f t="shared" si="753"/>
      </c>
      <c r="W729" s="122">
        <f t="shared" si="1032"/>
      </c>
      <c r="X729" s="119">
        <f t="shared" si="843"/>
      </c>
      <c r="Y729" s="123">
        <f t="shared" si="964"/>
      </c>
      <c r="Z729" s="123">
        <v>3</v>
      </c>
      <c r="AA729" s="123">
        <v>4</v>
      </c>
      <c r="AB729" s="124">
        <v>7720.92</v>
      </c>
      <c r="AC729" s="124">
        <v>0</v>
      </c>
      <c r="AD729" s="120">
        <f t="shared" si="27"/>
      </c>
      <c r="AE729" s="125" t="s">
        <v>121</v>
      </c>
      <c r="AF729" s="126" t="s">
        <v>137</v>
      </c>
      <c r="AG729" s="127">
        <v>3</v>
      </c>
      <c r="AH729" s="128">
        <v>32854</v>
      </c>
      <c r="AI729" s="128">
        <v>1207</v>
      </c>
      <c r="AJ729" s="128">
        <v>1440</v>
      </c>
      <c r="AK729" s="127">
        <v>91</v>
      </c>
      <c r="AL729" s="127">
        <v>82</v>
      </c>
    </row>
    <row r="730">
      <c r="A730" s="108"/>
      <c r="B730" s="130" t="s">
        <v>127</v>
      </c>
      <c r="C730" s="131">
        <v>5</v>
      </c>
      <c r="D730" s="132">
        <f>SUM(D725:D729)</f>
      </c>
      <c r="E730" s="132">
        <f>SUM(E725:E729)</f>
      </c>
      <c r="F730" s="132">
        <f>SUM(F725:F729)</f>
      </c>
      <c r="G730" s="132">
        <f>SUM(G725:G729)</f>
      </c>
      <c r="H730" s="132">
        <f>SUM(H725:H729)</f>
      </c>
      <c r="I730" s="132">
        <f>SUM(I725:I729)</f>
      </c>
      <c r="J730" s="132">
        <f>SUM(J725:J729)</f>
      </c>
      <c r="K730" s="132">
        <f>SUM(K725:K729)</f>
      </c>
      <c r="L730" s="132">
        <f>SUM(L725:L729)</f>
      </c>
      <c r="M730" s="133">
        <f t="shared" si="633"/>
      </c>
      <c r="N730" s="134">
        <f t="shared" si="663"/>
      </c>
      <c r="O730" s="134">
        <f t="shared" si="573"/>
      </c>
      <c r="P730" s="135">
        <f t="shared" si="603"/>
      </c>
      <c r="Q730" s="135">
        <f t="shared" si="783"/>
      </c>
      <c r="R730" s="135">
        <f t="shared" si="813"/>
      </c>
      <c r="S730" s="136">
        <f t="shared" si="693"/>
      </c>
      <c r="T730" s="136">
        <f t="shared" si="723"/>
      </c>
      <c r="U730" s="135">
        <f t="shared" si="1002"/>
      </c>
      <c r="V730" s="136">
        <f t="shared" si="753"/>
      </c>
      <c r="W730" s="136">
        <f t="shared" si="1032"/>
      </c>
      <c r="X730" s="135">
        <f t="shared" si="843"/>
      </c>
      <c r="Y730" s="132">
        <f>SUM(Y725:Y729)</f>
      </c>
      <c r="Z730" s="132">
        <f>SUM(Z725:Z729)</f>
      </c>
      <c r="AA730" s="132">
        <f>SUM(AA725:AA729)</f>
      </c>
      <c r="AB730" s="132">
        <f>SUM(AB725:AB729)</f>
      </c>
      <c r="AC730" s="132">
        <f>SUM(AC725:AC729)</f>
      </c>
      <c r="AD730" s="150">
        <f t="shared" si="27"/>
      </c>
      <c r="AE730" s="138"/>
      <c r="AF730" s="139"/>
      <c r="AG730" s="132">
        <f>SUM(AG725:AG729)</f>
      </c>
      <c r="AH730" s="132">
        <f>SUM(AH725:AH729)</f>
      </c>
      <c r="AI730" s="132">
        <f>SUM(AI725:AI729)</f>
      </c>
      <c r="AJ730" s="132">
        <f>SUM(AJ725:AJ729)</f>
      </c>
      <c r="AK730" s="132">
        <f>SUM(AK725:AK729)</f>
      </c>
      <c r="AL730" s="132">
        <f>SUM(AL725:AL729)</f>
      </c>
    </row>
    <row r="731">
      <c r="A731" s="108"/>
      <c r="B731" s="152" t="s">
        <v>127</v>
      </c>
      <c r="C731" s="153">
        <f>C711+C716+C719+C724+C730</f>
      </c>
      <c r="D731" s="167">
        <f>D711+D716+D719+D724+D730</f>
      </c>
      <c r="E731" s="153">
        <f>E711+E716+E719+E724+E730</f>
      </c>
      <c r="F731" s="153">
        <f>F711+F716+F719+F724+F730</f>
      </c>
      <c r="G731" s="153">
        <f>G711+G716+G719+G724+G730</f>
      </c>
      <c r="H731" s="153">
        <f>H711+H716+H719+H724+H730</f>
      </c>
      <c r="I731" s="167">
        <f>I711+I716+I719+I724+I730</f>
      </c>
      <c r="J731" s="153">
        <f>J711+J716+J719+J724+J730</f>
      </c>
      <c r="K731" s="153">
        <f>K711+K716+K719+K724+K730</f>
      </c>
      <c r="L731" s="153">
        <f>L711+L716+L719+L724+L730</f>
      </c>
      <c r="M731" s="154">
        <f t="shared" si="633"/>
      </c>
      <c r="N731" s="154">
        <f t="shared" si="663"/>
      </c>
      <c r="O731" s="154">
        <f t="shared" si="573"/>
      </c>
      <c r="P731" s="154">
        <f t="shared" si="603"/>
      </c>
      <c r="Q731" s="154">
        <f t="shared" si="783"/>
      </c>
      <c r="R731" s="154">
        <f t="shared" si="813"/>
      </c>
      <c r="S731" s="155">
        <f t="shared" si="693"/>
      </c>
      <c r="T731" s="155">
        <f t="shared" si="723"/>
      </c>
      <c r="U731" s="154">
        <f t="shared" si="1002"/>
      </c>
      <c r="V731" s="155">
        <f t="shared" si="753"/>
      </c>
      <c r="W731" s="155">
        <f t="shared" si="1032"/>
      </c>
      <c r="X731" s="154">
        <f t="shared" si="843"/>
      </c>
      <c r="Y731" s="153">
        <f>Y711+Y716+Y719+Y724+Y730</f>
      </c>
      <c r="Z731" s="153">
        <f>Z711+Z716+Z719+Z724+Z730</f>
      </c>
      <c r="AA731" s="153">
        <f>AA711+AA716+AA719+AA724+AA730</f>
      </c>
      <c r="AB731" s="153">
        <f>AB711+AB716+AB719+AB724+AB730</f>
      </c>
      <c r="AC731" s="187">
        <f>AC711+AC716+AC719+AC724+AC730</f>
      </c>
      <c r="AD731" s="157">
        <f t="shared" si="27"/>
      </c>
      <c r="AE731" s="159"/>
      <c r="AF731" s="152"/>
      <c r="AG731" s="153">
        <f>AG711+AG716+AG719+AG724+AG730</f>
      </c>
      <c r="AH731" s="153">
        <f>AH711+AH716+AH719+AH724+AH730</f>
      </c>
      <c r="AI731" s="153">
        <f>AI711+AI716+AI719+AI724+AI730</f>
      </c>
      <c r="AJ731" s="153">
        <f>AJ711+AJ716+AJ719+AJ724+AJ730</f>
      </c>
      <c r="AK731" s="153">
        <f>AK711+AK716+AK719+AK724+AK730</f>
      </c>
      <c r="AL731" s="153">
        <f>AL711+AL716+AL719+AL724+AL730</f>
      </c>
    </row>
    <row r="732">
      <c r="A732" s="94" t="s">
        <v>81</v>
      </c>
      <c r="B732" s="95" t="s">
        <v>82</v>
      </c>
      <c r="C732" s="95" t="s">
        <v>83</v>
      </c>
      <c r="D732" s="96" t="s">
        <v>84</v>
      </c>
      <c r="E732" s="95" t="s">
        <v>85</v>
      </c>
      <c r="F732" s="95" t="s">
        <v>86</v>
      </c>
      <c r="G732" s="97" t="s">
        <v>87</v>
      </c>
      <c r="H732" s="97" t="s">
        <v>88</v>
      </c>
      <c r="I732" s="96" t="s">
        <v>89</v>
      </c>
      <c r="J732" s="98" t="s">
        <v>90</v>
      </c>
      <c r="K732" s="99" t="s">
        <v>91</v>
      </c>
      <c r="L732" s="99" t="s">
        <v>92</v>
      </c>
      <c r="M732" s="100" t="s">
        <v>93</v>
      </c>
      <c r="N732" s="99" t="s">
        <v>94</v>
      </c>
      <c r="O732" s="95" t="s">
        <v>95</v>
      </c>
      <c r="P732" s="100" t="s">
        <v>96</v>
      </c>
      <c r="Q732" s="101" t="s">
        <v>97</v>
      </c>
      <c r="R732" s="101" t="s">
        <v>98</v>
      </c>
      <c r="S732" s="96" t="s">
        <v>99</v>
      </c>
      <c r="T732" s="102" t="s">
        <v>100</v>
      </c>
      <c r="U732" s="100" t="s">
        <v>101</v>
      </c>
      <c r="V732" s="103" t="s">
        <v>102</v>
      </c>
      <c r="W732" s="104" t="s">
        <v>103</v>
      </c>
      <c r="X732" s="100" t="s">
        <v>104</v>
      </c>
      <c r="Y732" s="105" t="s">
        <v>105</v>
      </c>
      <c r="Z732" s="106" t="s">
        <v>106</v>
      </c>
      <c r="AA732" s="105" t="s">
        <v>107</v>
      </c>
      <c r="AB732" s="107" t="s">
        <v>108</v>
      </c>
      <c r="AC732" s="107" t="s">
        <v>109</v>
      </c>
      <c r="AD732" s="99" t="s">
        <v>110</v>
      </c>
      <c r="AE732" s="98" t="s">
        <v>111</v>
      </c>
      <c r="AF732" s="99" t="s">
        <v>112</v>
      </c>
      <c r="AG732" s="98" t="s">
        <v>113</v>
      </c>
      <c r="AH732" s="98" t="s">
        <v>114</v>
      </c>
      <c r="AI732" s="99" t="s">
        <v>115</v>
      </c>
      <c r="AJ732" s="98" t="s">
        <v>116</v>
      </c>
      <c r="AK732" s="99" t="s">
        <v>117</v>
      </c>
      <c r="AL732" s="98" t="s">
        <v>118</v>
      </c>
    </row>
    <row r="733">
      <c r="A733" s="108">
        <v>46294</v>
      </c>
      <c r="B733" s="109" t="s">
        <v>119</v>
      </c>
      <c r="C733" s="110" t="s">
        <v>120</v>
      </c>
      <c r="D733" s="111">
        <f t="shared" ref="D733:D737" si="407">E733+F733+G733+H733</f>
      </c>
      <c r="E733" s="112">
        <v>1328.09</v>
      </c>
      <c r="F733" s="113">
        <v>6716.32</v>
      </c>
      <c r="G733" s="113">
        <v>0</v>
      </c>
      <c r="H733" s="113">
        <v>0</v>
      </c>
      <c r="I733" s="113">
        <f t="shared" ref="I733:I737" si="536">AB733+AC733</f>
      </c>
      <c r="J733" s="114">
        <v>0</v>
      </c>
      <c r="K733" s="115">
        <f t="shared" ref="K733:K737" si="149">I733-J733</f>
      </c>
      <c r="L733" s="115">
        <f t="shared" ref="L733:L737" si="278">(I733-AC733)/12+AC733</f>
      </c>
      <c r="M733" s="116">
        <f t="shared" ref="M733:M758" si="634">I733/D733</f>
      </c>
      <c r="N733" s="117">
        <f t="shared" ref="N733:N758" si="664">(I733-J733)/D733</f>
      </c>
      <c r="O733" s="118">
        <f t="shared" ref="O733:O758" si="574">(AC733+AB733/12)/D733</f>
      </c>
      <c r="P733" s="119">
        <f t="shared" ref="P733:P758" si="604">I733/AA733</f>
      </c>
      <c r="Q733" s="119">
        <f t="shared" ref="Q733:Q758" si="784">D733/AA733</f>
      </c>
      <c r="R733" s="119">
        <f t="shared" ref="R733:R758" si="814">D733/AG733</f>
      </c>
      <c r="S733" s="120">
        <f t="shared" ref="S733:S758" si="694">AA733/Y733</f>
      </c>
      <c r="T733" s="121">
        <f t="shared" ref="T733:T758" si="724">AI733/AH733</f>
      </c>
      <c r="U733" s="119">
        <f t="shared" ref="U733:U758" si="1003">D733/AJ733</f>
      </c>
      <c r="V733" s="122">
        <f t="shared" ref="V733:V758" si="754">AK733/AJ733</f>
      </c>
      <c r="W733" s="122">
        <f t="shared" ref="W733:W758" si="1033">AL733/AJ733</f>
      </c>
      <c r="X733" s="119">
        <f t="shared" ref="X733:X758" si="844">D733/AL733</f>
      </c>
      <c r="Y733" s="123">
        <f t="shared" ref="Y733:Y737" si="965">Z733+AA733</f>
      </c>
      <c r="Z733" s="123">
        <v>3</v>
      </c>
      <c r="AA733" s="123">
        <v>3</v>
      </c>
      <c r="AB733" s="124">
        <v>4183.919999999998</v>
      </c>
      <c r="AC733" s="124">
        <v>1753.2</v>
      </c>
      <c r="AD733" s="120">
        <f t="shared" ref="AD733:AD758" si="28">AC733/I733</f>
      </c>
      <c r="AE733" s="125" t="s">
        <v>121</v>
      </c>
      <c r="AF733" s="126" t="s">
        <v>122</v>
      </c>
      <c r="AG733" s="127">
        <v>3</v>
      </c>
      <c r="AH733" s="127">
        <v>81207</v>
      </c>
      <c r="AI733" s="128">
        <v>2619</v>
      </c>
      <c r="AJ733" s="128">
        <v>3036</v>
      </c>
      <c r="AK733" s="127">
        <v>278</v>
      </c>
      <c r="AL733" s="129">
        <v>290</v>
      </c>
    </row>
    <row r="734">
      <c r="A734" s="108"/>
      <c r="B734" s="109" t="s">
        <v>119</v>
      </c>
      <c r="C734" s="110" t="s">
        <v>123</v>
      </c>
      <c r="D734" s="111">
        <f t="shared" si="407"/>
      </c>
      <c r="E734" s="110">
        <v>1156.98</v>
      </c>
      <c r="F734" s="113">
        <v>5118.69</v>
      </c>
      <c r="G734" s="113">
        <v>0</v>
      </c>
      <c r="H734" s="113">
        <v>0</v>
      </c>
      <c r="I734" s="113">
        <f t="shared" si="536"/>
      </c>
      <c r="J734" s="114">
        <v>1652.4</v>
      </c>
      <c r="K734" s="115">
        <f t="shared" si="149"/>
      </c>
      <c r="L734" s="115">
        <f t="shared" si="278"/>
      </c>
      <c r="M734" s="116">
        <f t="shared" si="634"/>
      </c>
      <c r="N734" s="117">
        <f t="shared" si="664"/>
      </c>
      <c r="O734" s="118">
        <f t="shared" si="574"/>
      </c>
      <c r="P734" s="119">
        <f t="shared" si="604"/>
      </c>
      <c r="Q734" s="119">
        <f t="shared" si="784"/>
      </c>
      <c r="R734" s="119">
        <f t="shared" si="814"/>
      </c>
      <c r="S734" s="120">
        <f t="shared" si="694"/>
      </c>
      <c r="T734" s="121">
        <f t="shared" si="724"/>
      </c>
      <c r="U734" s="119">
        <f t="shared" si="1003"/>
      </c>
      <c r="V734" s="122">
        <f t="shared" si="754"/>
      </c>
      <c r="W734" s="122">
        <f t="shared" si="1033"/>
      </c>
      <c r="X734" s="119">
        <f t="shared" si="844"/>
      </c>
      <c r="Y734" s="123">
        <f t="shared" si="965"/>
      </c>
      <c r="Z734" s="123">
        <v>4</v>
      </c>
      <c r="AA734" s="123">
        <v>4</v>
      </c>
      <c r="AB734" s="124">
        <v>10483.2</v>
      </c>
      <c r="AC734" s="124">
        <v>0</v>
      </c>
      <c r="AD734" s="120">
        <f t="shared" si="28"/>
      </c>
      <c r="AE734" s="125" t="s">
        <v>121</v>
      </c>
      <c r="AF734" s="126" t="s">
        <v>122</v>
      </c>
      <c r="AG734" s="127">
        <v>4</v>
      </c>
      <c r="AH734" s="128">
        <v>66123</v>
      </c>
      <c r="AI734" s="128">
        <v>1321</v>
      </c>
      <c r="AJ734" s="128">
        <v>1568</v>
      </c>
      <c r="AK734" s="129">
        <v>241</v>
      </c>
      <c r="AL734" s="129">
        <v>224</v>
      </c>
    </row>
    <row r="735">
      <c r="A735" s="108"/>
      <c r="B735" s="109" t="s">
        <v>119</v>
      </c>
      <c r="C735" s="110" t="s">
        <v>124</v>
      </c>
      <c r="D735" s="111">
        <f t="shared" si="407"/>
      </c>
      <c r="E735" s="110">
        <v>900.16</v>
      </c>
      <c r="F735" s="113">
        <v>9585.65</v>
      </c>
      <c r="G735" s="113">
        <v>0</v>
      </c>
      <c r="H735" s="113">
        <v>0</v>
      </c>
      <c r="I735" s="113">
        <f t="shared" si="536"/>
      </c>
      <c r="J735" s="114">
        <v>2918.16</v>
      </c>
      <c r="K735" s="115">
        <f t="shared" si="149"/>
      </c>
      <c r="L735" s="115">
        <f t="shared" si="278"/>
      </c>
      <c r="M735" s="116">
        <f t="shared" si="634"/>
      </c>
      <c r="N735" s="117">
        <f t="shared" si="664"/>
      </c>
      <c r="O735" s="118">
        <f t="shared" si="574"/>
      </c>
      <c r="P735" s="119">
        <f t="shared" si="604"/>
      </c>
      <c r="Q735" s="119">
        <f t="shared" si="784"/>
      </c>
      <c r="R735" s="119">
        <f t="shared" si="814"/>
      </c>
      <c r="S735" s="120">
        <f t="shared" si="694"/>
      </c>
      <c r="T735" s="121">
        <f t="shared" si="724"/>
      </c>
      <c r="U735" s="119">
        <f t="shared" si="1003"/>
      </c>
      <c r="V735" s="122">
        <f t="shared" si="754"/>
      </c>
      <c r="W735" s="122">
        <f t="shared" si="1033"/>
      </c>
      <c r="X735" s="119">
        <f t="shared" si="844"/>
      </c>
      <c r="Y735" s="123">
        <f t="shared" si="965"/>
      </c>
      <c r="Z735" s="123">
        <v>6</v>
      </c>
      <c r="AA735" s="123">
        <v>5</v>
      </c>
      <c r="AB735" s="124">
        <v>8146.799999999999</v>
      </c>
      <c r="AC735" s="124">
        <v>3448.6000000000004</v>
      </c>
      <c r="AD735" s="120">
        <f t="shared" si="28"/>
      </c>
      <c r="AE735" s="125" t="s">
        <v>121</v>
      </c>
      <c r="AF735" s="126" t="s">
        <v>122</v>
      </c>
      <c r="AG735" s="129">
        <v>4</v>
      </c>
      <c r="AH735" s="128">
        <v>89435</v>
      </c>
      <c r="AI735" s="128">
        <v>1211</v>
      </c>
      <c r="AJ735" s="128">
        <v>1400</v>
      </c>
      <c r="AK735" s="129">
        <v>253</v>
      </c>
      <c r="AL735" s="129">
        <v>261</v>
      </c>
    </row>
    <row r="736">
      <c r="A736" s="108"/>
      <c r="B736" s="109" t="s">
        <v>119</v>
      </c>
      <c r="C736" s="110" t="s">
        <v>125</v>
      </c>
      <c r="D736" s="111">
        <f t="shared" si="407"/>
      </c>
      <c r="E736" s="110">
        <v>1026.21</v>
      </c>
      <c r="F736" s="113">
        <v>5215.59</v>
      </c>
      <c r="G736" s="113">
        <v>0</v>
      </c>
      <c r="H736" s="113">
        <v>0</v>
      </c>
      <c r="I736" s="162">
        <f t="shared" si="536"/>
      </c>
      <c r="J736" s="114">
        <f>3754.08+752.76</f>
      </c>
      <c r="K736" s="115">
        <f t="shared" si="149"/>
      </c>
      <c r="L736" s="115">
        <f t="shared" si="278"/>
      </c>
      <c r="M736" s="116">
        <f t="shared" si="634"/>
      </c>
      <c r="N736" s="117">
        <f t="shared" si="664"/>
      </c>
      <c r="O736" s="118">
        <f t="shared" si="574"/>
      </c>
      <c r="P736" s="119">
        <f t="shared" si="604"/>
      </c>
      <c r="Q736" s="119">
        <f t="shared" si="784"/>
      </c>
      <c r="R736" s="119">
        <f t="shared" si="814"/>
      </c>
      <c r="S736" s="120">
        <f t="shared" si="694"/>
      </c>
      <c r="T736" s="121">
        <f t="shared" si="724"/>
      </c>
      <c r="U736" s="119">
        <f t="shared" si="1003"/>
      </c>
      <c r="V736" s="122">
        <f t="shared" si="754"/>
      </c>
      <c r="W736" s="122">
        <f t="shared" si="1033"/>
      </c>
      <c r="X736" s="119">
        <f t="shared" si="844"/>
      </c>
      <c r="Y736" s="123">
        <f t="shared" si="965"/>
      </c>
      <c r="Z736" s="123">
        <v>7</v>
      </c>
      <c r="AA736" s="123">
        <v>5</v>
      </c>
      <c r="AB736" s="124">
        <v>8827.919999999998</v>
      </c>
      <c r="AC736" s="124">
        <v>0</v>
      </c>
      <c r="AD736" s="120">
        <f t="shared" si="28"/>
      </c>
      <c r="AE736" s="125" t="s">
        <v>121</v>
      </c>
      <c r="AF736" s="126" t="s">
        <v>122</v>
      </c>
      <c r="AG736" s="127">
        <v>5</v>
      </c>
      <c r="AH736" s="128">
        <v>55731</v>
      </c>
      <c r="AI736" s="128">
        <v>857</v>
      </c>
      <c r="AJ736" s="128">
        <v>968</v>
      </c>
      <c r="AK736" s="129">
        <v>183</v>
      </c>
      <c r="AL736" s="129">
        <v>193</v>
      </c>
    </row>
    <row r="737">
      <c r="A737" s="108"/>
      <c r="B737" s="109" t="s">
        <v>119</v>
      </c>
      <c r="C737" s="110" t="s">
        <v>126</v>
      </c>
      <c r="D737" s="111">
        <f t="shared" si="407"/>
      </c>
      <c r="E737" s="110">
        <v>749.83</v>
      </c>
      <c r="F737" s="113">
        <v>3958.65</v>
      </c>
      <c r="G737" s="113">
        <v>0</v>
      </c>
      <c r="H737" s="113">
        <v>0</v>
      </c>
      <c r="I737" s="113">
        <f t="shared" si="536"/>
      </c>
      <c r="J737" s="114">
        <v>2036.88</v>
      </c>
      <c r="K737" s="115">
        <f t="shared" si="149"/>
      </c>
      <c r="L737" s="115">
        <f t="shared" si="278"/>
      </c>
      <c r="M737" s="116">
        <f t="shared" si="634"/>
      </c>
      <c r="N737" s="117">
        <f t="shared" si="664"/>
      </c>
      <c r="O737" s="118">
        <f t="shared" si="574"/>
      </c>
      <c r="P737" s="119">
        <f t="shared" si="604"/>
      </c>
      <c r="Q737" s="119">
        <f t="shared" si="784"/>
      </c>
      <c r="R737" s="119">
        <f t="shared" si="814"/>
      </c>
      <c r="S737" s="120">
        <f t="shared" si="694"/>
      </c>
      <c r="T737" s="121">
        <f t="shared" si="724"/>
      </c>
      <c r="U737" s="119">
        <f t="shared" si="1003"/>
      </c>
      <c r="V737" s="122">
        <f t="shared" si="754"/>
      </c>
      <c r="W737" s="122">
        <f t="shared" si="1033"/>
      </c>
      <c r="X737" s="119">
        <f t="shared" si="844"/>
      </c>
      <c r="Y737" s="123">
        <f t="shared" si="965"/>
      </c>
      <c r="Z737" s="123">
        <v>3</v>
      </c>
      <c r="AA737" s="123">
        <v>7</v>
      </c>
      <c r="AB737" s="124">
        <f>6476.76+864</f>
      </c>
      <c r="AC737" s="124">
        <v>0</v>
      </c>
      <c r="AD737" s="120">
        <f t="shared" si="28"/>
      </c>
      <c r="AE737" s="125" t="s">
        <v>121</v>
      </c>
      <c r="AF737" s="126" t="s">
        <v>122</v>
      </c>
      <c r="AG737" s="127">
        <v>5</v>
      </c>
      <c r="AH737" s="128">
        <v>33374</v>
      </c>
      <c r="AI737" s="128">
        <v>661</v>
      </c>
      <c r="AJ737" s="128">
        <v>783</v>
      </c>
      <c r="AK737" s="127">
        <v>104</v>
      </c>
      <c r="AL737" s="127">
        <v>126</v>
      </c>
    </row>
    <row r="738">
      <c r="A738" s="108"/>
      <c r="B738" s="130" t="s">
        <v>127</v>
      </c>
      <c r="C738" s="131">
        <v>5</v>
      </c>
      <c r="D738" s="132">
        <f>SUM(D733:D737)</f>
      </c>
      <c r="E738" s="132">
        <f>SUM(E733:E737)</f>
      </c>
      <c r="F738" s="132">
        <f>SUM(F733:F737)</f>
      </c>
      <c r="G738" s="132">
        <f>SUM(G733:G737)</f>
      </c>
      <c r="H738" s="132">
        <f>SUM(H733:H737)</f>
      </c>
      <c r="I738" s="132">
        <f>SUM(I733:I737)</f>
      </c>
      <c r="J738" s="132">
        <f>SUM(J733:J737)</f>
      </c>
      <c r="K738" s="132">
        <f>SUM(K733:K737)</f>
      </c>
      <c r="L738" s="132">
        <f>SUM(L733:L737)</f>
      </c>
      <c r="M738" s="133">
        <f t="shared" si="634"/>
      </c>
      <c r="N738" s="134">
        <f t="shared" si="664"/>
      </c>
      <c r="O738" s="134">
        <f t="shared" si="574"/>
      </c>
      <c r="P738" s="135">
        <f t="shared" si="604"/>
      </c>
      <c r="Q738" s="135">
        <f t="shared" si="784"/>
      </c>
      <c r="R738" s="135">
        <f t="shared" si="814"/>
      </c>
      <c r="S738" s="136">
        <f t="shared" si="694"/>
      </c>
      <c r="T738" s="136">
        <f t="shared" si="724"/>
      </c>
      <c r="U738" s="135">
        <f t="shared" si="1003"/>
      </c>
      <c r="V738" s="136">
        <f t="shared" si="754"/>
      </c>
      <c r="W738" s="136">
        <f t="shared" si="1033"/>
      </c>
      <c r="X738" s="135">
        <f t="shared" si="844"/>
      </c>
      <c r="Y738" s="132">
        <f>SUM(Y733:Y737)</f>
      </c>
      <c r="Z738" s="132">
        <f>SUM(Z733:Z737)</f>
      </c>
      <c r="AA738" s="132">
        <f>SUM(AA733:AA737)</f>
      </c>
      <c r="AB738" s="132">
        <f>SUM(AB733:AB737)</f>
      </c>
      <c r="AC738" s="132">
        <f>SUM(AC733:AC737)</f>
      </c>
      <c r="AD738" s="137">
        <f t="shared" si="28"/>
      </c>
      <c r="AE738" s="138"/>
      <c r="AF738" s="139"/>
      <c r="AG738" s="132">
        <f>SUM(AG733:AG737)</f>
      </c>
      <c r="AH738" s="132">
        <f>SUM(AH733:AH737)</f>
      </c>
      <c r="AI738" s="132">
        <f>SUM(AI733:AI737)</f>
      </c>
      <c r="AJ738" s="132">
        <f>SUM(AJ733:AJ737)</f>
      </c>
      <c r="AK738" s="132">
        <f>SUM(AK733:AK737)</f>
      </c>
      <c r="AL738" s="132">
        <f>SUM(AL733:AL737)</f>
      </c>
    </row>
    <row r="739">
      <c r="A739" s="108"/>
      <c r="B739" s="109" t="s">
        <v>128</v>
      </c>
      <c r="C739" s="110" t="s">
        <v>129</v>
      </c>
      <c r="D739" s="111">
        <f t="shared" ref="D739:D742" si="408">E739+F739+G739+H739</f>
      </c>
      <c r="E739" s="112">
        <v>669.67</v>
      </c>
      <c r="F739" s="113">
        <v>4942.02</v>
      </c>
      <c r="G739" s="113">
        <v>0</v>
      </c>
      <c r="H739" s="113">
        <v>0</v>
      </c>
      <c r="I739" s="113">
        <f t="shared" ref="I739:I742" si="537">AB739+AC739</f>
      </c>
      <c r="J739" s="114">
        <f>1509.84+1551.96+1480.68</f>
      </c>
      <c r="K739" s="115">
        <f t="shared" ref="K739:K742" si="150">I739-J739</f>
      </c>
      <c r="L739" s="115">
        <f t="shared" ref="L739:L742" si="279">(I739-AC739)/12+AC739</f>
      </c>
      <c r="M739" s="116">
        <f t="shared" si="634"/>
      </c>
      <c r="N739" s="117">
        <f t="shared" si="664"/>
      </c>
      <c r="O739" s="118">
        <f t="shared" si="574"/>
      </c>
      <c r="P739" s="119">
        <f t="shared" si="604"/>
      </c>
      <c r="Q739" s="119">
        <f t="shared" si="784"/>
      </c>
      <c r="R739" s="119">
        <f t="shared" si="814"/>
      </c>
      <c r="S739" s="120">
        <f t="shared" si="694"/>
      </c>
      <c r="T739" s="121">
        <f t="shared" si="724"/>
      </c>
      <c r="U739" s="119">
        <f t="shared" si="1003"/>
      </c>
      <c r="V739" s="122">
        <f t="shared" si="754"/>
      </c>
      <c r="W739" s="122">
        <f t="shared" si="1033"/>
      </c>
      <c r="X739" s="119">
        <f t="shared" si="844"/>
      </c>
      <c r="Y739" s="123">
        <f t="shared" ref="Y739:Y742" si="966">Z739+AA739</f>
      </c>
      <c r="Z739" s="123">
        <v>5</v>
      </c>
      <c r="AA739" s="123">
        <v>7</v>
      </c>
      <c r="AB739" s="124">
        <v>14589.720000000008</v>
      </c>
      <c r="AC739" s="124">
        <v>0</v>
      </c>
      <c r="AD739" s="120">
        <f t="shared" si="28"/>
      </c>
      <c r="AE739" s="125" t="s">
        <v>121</v>
      </c>
      <c r="AF739" s="126" t="s">
        <v>122</v>
      </c>
      <c r="AG739" s="127">
        <v>7</v>
      </c>
      <c r="AH739" s="128">
        <v>41351</v>
      </c>
      <c r="AI739" s="128">
        <v>1014</v>
      </c>
      <c r="AJ739" s="128">
        <v>1191</v>
      </c>
      <c r="AK739" s="127">
        <v>138</v>
      </c>
      <c r="AL739" s="127">
        <v>161</v>
      </c>
    </row>
    <row r="740">
      <c r="A740" s="108"/>
      <c r="B740" s="109" t="s">
        <v>128</v>
      </c>
      <c r="C740" s="110" t="s">
        <v>130</v>
      </c>
      <c r="D740" s="111">
        <f t="shared" si="408"/>
      </c>
      <c r="E740" s="110">
        <v>836.39</v>
      </c>
      <c r="F740" s="113">
        <v>5769.3</v>
      </c>
      <c r="G740" s="113">
        <v>0</v>
      </c>
      <c r="H740" s="113">
        <v>0</v>
      </c>
      <c r="I740" s="113">
        <f t="shared" si="537"/>
      </c>
      <c r="J740" s="114">
        <v>0</v>
      </c>
      <c r="K740" s="115">
        <f t="shared" si="150"/>
      </c>
      <c r="L740" s="115">
        <f t="shared" si="279"/>
      </c>
      <c r="M740" s="116">
        <f t="shared" si="634"/>
      </c>
      <c r="N740" s="117">
        <f t="shared" si="664"/>
      </c>
      <c r="O740" s="118">
        <f t="shared" si="574"/>
      </c>
      <c r="P740" s="119">
        <f t="shared" si="604"/>
      </c>
      <c r="Q740" s="119">
        <f t="shared" si="784"/>
      </c>
      <c r="R740" s="119">
        <f t="shared" si="814"/>
      </c>
      <c r="S740" s="120">
        <f t="shared" si="694"/>
      </c>
      <c r="T740" s="121">
        <f t="shared" si="724"/>
      </c>
      <c r="U740" s="119">
        <f t="shared" si="1003"/>
      </c>
      <c r="V740" s="122">
        <f t="shared" si="754"/>
      </c>
      <c r="W740" s="122">
        <f t="shared" si="1033"/>
      </c>
      <c r="X740" s="119">
        <f t="shared" si="844"/>
      </c>
      <c r="Y740" s="123">
        <f t="shared" si="966"/>
      </c>
      <c r="Z740" s="123">
        <v>10</v>
      </c>
      <c r="AA740" s="123">
        <v>6</v>
      </c>
      <c r="AB740" s="124">
        <v>7528.679999999993</v>
      </c>
      <c r="AC740" s="124">
        <v>0</v>
      </c>
      <c r="AD740" s="120">
        <f t="shared" si="28"/>
      </c>
      <c r="AE740" s="125" t="s">
        <v>121</v>
      </c>
      <c r="AF740" s="126" t="s">
        <v>122</v>
      </c>
      <c r="AG740" s="127">
        <v>6</v>
      </c>
      <c r="AH740" s="128">
        <v>56867</v>
      </c>
      <c r="AI740" s="128">
        <v>1139</v>
      </c>
      <c r="AJ740" s="128">
        <v>1315</v>
      </c>
      <c r="AK740" s="129">
        <v>175</v>
      </c>
      <c r="AL740" s="129">
        <v>205</v>
      </c>
    </row>
    <row r="741">
      <c r="A741" s="108"/>
      <c r="B741" s="109" t="s">
        <v>128</v>
      </c>
      <c r="C741" s="110" t="s">
        <v>131</v>
      </c>
      <c r="D741" s="111">
        <f t="shared" si="408"/>
      </c>
      <c r="E741" s="110">
        <v>620.07</v>
      </c>
      <c r="F741" s="110">
        <v>5403.02</v>
      </c>
      <c r="G741" s="113">
        <v>0</v>
      </c>
      <c r="H741" s="113">
        <v>0</v>
      </c>
      <c r="I741" s="113">
        <f t="shared" si="537"/>
      </c>
      <c r="J741" s="114">
        <f>757.08+4461.48+534.6</f>
      </c>
      <c r="K741" s="115">
        <f t="shared" si="150"/>
      </c>
      <c r="L741" s="115">
        <f t="shared" si="279"/>
      </c>
      <c r="M741" s="116">
        <f t="shared" si="634"/>
      </c>
      <c r="N741" s="117">
        <f t="shared" si="664"/>
      </c>
      <c r="O741" s="118">
        <f t="shared" si="574"/>
      </c>
      <c r="P741" s="119">
        <f t="shared" si="604"/>
      </c>
      <c r="Q741" s="119">
        <f t="shared" si="784"/>
      </c>
      <c r="R741" s="119">
        <f t="shared" si="814"/>
      </c>
      <c r="S741" s="120">
        <f t="shared" si="694"/>
      </c>
      <c r="T741" s="121">
        <f t="shared" si="724"/>
      </c>
      <c r="U741" s="119">
        <f t="shared" si="1003"/>
      </c>
      <c r="V741" s="122">
        <f t="shared" si="754"/>
      </c>
      <c r="W741" s="122">
        <f t="shared" si="1033"/>
      </c>
      <c r="X741" s="119">
        <f t="shared" si="844"/>
      </c>
      <c r="Y741" s="123">
        <f t="shared" si="966"/>
      </c>
      <c r="Z741" s="123">
        <v>1</v>
      </c>
      <c r="AA741" s="123">
        <v>7</v>
      </c>
      <c r="AB741" s="124">
        <v>13681.440000000002</v>
      </c>
      <c r="AC741" s="124">
        <v>0</v>
      </c>
      <c r="AD741" s="120">
        <f t="shared" si="28"/>
      </c>
      <c r="AE741" s="125" t="s">
        <v>121</v>
      </c>
      <c r="AF741" s="126" t="s">
        <v>122</v>
      </c>
      <c r="AG741" s="129">
        <v>6</v>
      </c>
      <c r="AH741" s="128">
        <v>60765</v>
      </c>
      <c r="AI741" s="128">
        <v>808</v>
      </c>
      <c r="AJ741" s="128">
        <v>934</v>
      </c>
      <c r="AK741" s="129">
        <v>141</v>
      </c>
      <c r="AL741" s="129">
        <v>203</v>
      </c>
    </row>
    <row r="742">
      <c r="A742" s="108"/>
      <c r="B742" s="109" t="s">
        <v>128</v>
      </c>
      <c r="C742" s="110" t="s">
        <v>132</v>
      </c>
      <c r="D742" s="111">
        <f t="shared" si="408"/>
      </c>
      <c r="E742" s="110">
        <v>992.23</v>
      </c>
      <c r="F742" s="113">
        <v>5155.65</v>
      </c>
      <c r="G742" s="113">
        <v>0</v>
      </c>
      <c r="H742" s="113">
        <v>0</v>
      </c>
      <c r="I742" s="113">
        <f t="shared" si="537"/>
      </c>
      <c r="J742" s="114">
        <v>0</v>
      </c>
      <c r="K742" s="115">
        <f t="shared" si="150"/>
      </c>
      <c r="L742" s="115">
        <f t="shared" si="279"/>
      </c>
      <c r="M742" s="116">
        <f t="shared" si="634"/>
      </c>
      <c r="N742" s="117">
        <f t="shared" si="664"/>
      </c>
      <c r="O742" s="118">
        <f t="shared" si="574"/>
      </c>
      <c r="P742" s="119">
        <f t="shared" si="604"/>
      </c>
      <c r="Q742" s="119">
        <f t="shared" si="784"/>
      </c>
      <c r="R742" s="119">
        <f t="shared" si="814"/>
      </c>
      <c r="S742" s="120">
        <f t="shared" si="694"/>
      </c>
      <c r="T742" s="121">
        <f t="shared" si="724"/>
      </c>
      <c r="U742" s="119">
        <f t="shared" si="1003"/>
      </c>
      <c r="V742" s="122">
        <f t="shared" si="754"/>
      </c>
      <c r="W742" s="122">
        <f t="shared" si="1033"/>
      </c>
      <c r="X742" s="119">
        <f t="shared" si="844"/>
      </c>
      <c r="Y742" s="123">
        <f t="shared" si="966"/>
      </c>
      <c r="Z742" s="123">
        <v>3</v>
      </c>
      <c r="AA742" s="123">
        <v>6</v>
      </c>
      <c r="AB742" s="114">
        <f>8063.16+3008.88</f>
      </c>
      <c r="AC742" s="124">
        <v>0</v>
      </c>
      <c r="AD742" s="120">
        <f t="shared" si="28"/>
      </c>
      <c r="AE742" s="125" t="s">
        <v>121</v>
      </c>
      <c r="AF742" s="126" t="s">
        <v>122</v>
      </c>
      <c r="AG742" s="127">
        <v>5</v>
      </c>
      <c r="AH742" s="128">
        <v>48632</v>
      </c>
      <c r="AI742" s="128">
        <v>810</v>
      </c>
      <c r="AJ742" s="128">
        <v>985</v>
      </c>
      <c r="AK742" s="129">
        <v>134</v>
      </c>
      <c r="AL742" s="129">
        <v>173</v>
      </c>
    </row>
    <row r="743">
      <c r="A743" s="108"/>
      <c r="B743" s="130" t="s">
        <v>127</v>
      </c>
      <c r="C743" s="131">
        <v>4</v>
      </c>
      <c r="D743" s="132">
        <f>SUM(D739:D742)</f>
      </c>
      <c r="E743" s="132">
        <f>SUM(E739:E742)</f>
      </c>
      <c r="F743" s="132">
        <f>SUM(F739:F742)</f>
      </c>
      <c r="G743" s="132">
        <f>SUM(G739:G742)</f>
      </c>
      <c r="H743" s="132">
        <f>SUM(H739:H742)</f>
      </c>
      <c r="I743" s="132">
        <f>SUM(I739:I742)</f>
      </c>
      <c r="J743" s="132">
        <f>SUM(J739:J742)</f>
      </c>
      <c r="K743" s="132">
        <f>SUM(K739:K742)</f>
      </c>
      <c r="L743" s="132">
        <f>SUM(L739:L742)</f>
      </c>
      <c r="M743" s="133">
        <f t="shared" si="634"/>
      </c>
      <c r="N743" s="134">
        <f t="shared" si="664"/>
      </c>
      <c r="O743" s="134">
        <f t="shared" si="574"/>
      </c>
      <c r="P743" s="135">
        <f t="shared" si="604"/>
      </c>
      <c r="Q743" s="135">
        <f t="shared" si="784"/>
      </c>
      <c r="R743" s="135">
        <f t="shared" si="814"/>
      </c>
      <c r="S743" s="136">
        <f t="shared" si="694"/>
      </c>
      <c r="T743" s="136">
        <f t="shared" si="724"/>
      </c>
      <c r="U743" s="135">
        <f t="shared" si="1003"/>
      </c>
      <c r="V743" s="136">
        <f t="shared" si="754"/>
      </c>
      <c r="W743" s="136">
        <f t="shared" si="1033"/>
      </c>
      <c r="X743" s="135">
        <f t="shared" si="844"/>
      </c>
      <c r="Y743" s="132">
        <f>SUM(Y739:Y742)</f>
      </c>
      <c r="Z743" s="132">
        <f>SUM(Z739:Z742)</f>
      </c>
      <c r="AA743" s="132">
        <f>SUM(AA739:AA742)</f>
      </c>
      <c r="AB743" s="132">
        <f>SUM(AB739:AB742)</f>
      </c>
      <c r="AC743" s="132">
        <f>SUM(AC739:AC742)</f>
      </c>
      <c r="AD743" s="137">
        <f t="shared" si="28"/>
      </c>
      <c r="AE743" s="138"/>
      <c r="AF743" s="139"/>
      <c r="AG743" s="132">
        <f>SUM(AG739:AG742)</f>
      </c>
      <c r="AH743" s="132">
        <f>SUM(AH739:AH742)</f>
      </c>
      <c r="AI743" s="132">
        <f>SUM(AI739:AI742)</f>
      </c>
      <c r="AJ743" s="132">
        <f>SUM(AJ739:AJ742)</f>
      </c>
      <c r="AK743" s="132">
        <f>SUM(AK739:AK742)</f>
      </c>
      <c r="AL743" s="132">
        <f>SUM(AL739:AL742)</f>
      </c>
    </row>
    <row r="744">
      <c r="A744" s="108"/>
      <c r="B744" s="109" t="s">
        <v>155</v>
      </c>
      <c r="C744" s="110" t="s">
        <v>134</v>
      </c>
      <c r="D744" s="111">
        <f t="shared" ref="D744:D745" si="409">E744+F744+G744+H744</f>
      </c>
      <c r="E744" s="110">
        <v>512.47</v>
      </c>
      <c r="F744" s="140">
        <v>4229.86</v>
      </c>
      <c r="G744" s="113">
        <v>0</v>
      </c>
      <c r="H744" s="113">
        <v>0</v>
      </c>
      <c r="I744" s="183">
        <f t="shared" ref="I744:I745" si="538">AB744+AC744</f>
      </c>
      <c r="J744" s="160">
        <v>453.6</v>
      </c>
      <c r="K744" s="115">
        <f t="shared" ref="K744:K745" si="151">I744-J744</f>
      </c>
      <c r="L744" s="115">
        <f t="shared" ref="L744:L745" si="280">(I744-AC744)/12+AC744</f>
      </c>
      <c r="M744" s="116">
        <f t="shared" si="634"/>
      </c>
      <c r="N744" s="117">
        <f t="shared" si="664"/>
      </c>
      <c r="O744" s="118">
        <f t="shared" si="574"/>
      </c>
      <c r="P744" s="119">
        <f t="shared" si="604"/>
      </c>
      <c r="Q744" s="119">
        <f t="shared" si="784"/>
      </c>
      <c r="R744" s="119">
        <f t="shared" si="814"/>
      </c>
      <c r="S744" s="120">
        <f t="shared" si="694"/>
      </c>
      <c r="T744" s="121">
        <f t="shared" si="724"/>
      </c>
      <c r="U744" s="119">
        <f t="shared" si="1003"/>
      </c>
      <c r="V744" s="122">
        <f t="shared" si="754"/>
      </c>
      <c r="W744" s="122">
        <f t="shared" si="1033"/>
      </c>
      <c r="X744" s="119">
        <f t="shared" si="844"/>
      </c>
      <c r="Y744" s="123">
        <f t="shared" ref="Y744:Y745" si="967">Z744+AA744</f>
      </c>
      <c r="Z744" s="123">
        <v>2</v>
      </c>
      <c r="AA744" s="123">
        <v>3</v>
      </c>
      <c r="AB744" s="124">
        <v>2688.1199999999953</v>
      </c>
      <c r="AC744" s="124">
        <v>0</v>
      </c>
      <c r="AD744" s="120">
        <f t="shared" si="28"/>
      </c>
      <c r="AE744" s="125" t="s">
        <v>121</v>
      </c>
      <c r="AF744" s="126" t="s">
        <v>122</v>
      </c>
      <c r="AG744" s="127">
        <v>4</v>
      </c>
      <c r="AH744" s="128">
        <v>44818</v>
      </c>
      <c r="AI744" s="128">
        <v>1194</v>
      </c>
      <c r="AJ744" s="128">
        <v>1357</v>
      </c>
      <c r="AK744" s="129">
        <v>142</v>
      </c>
      <c r="AL744" s="129">
        <v>162</v>
      </c>
    </row>
    <row r="745">
      <c r="A745" s="108"/>
      <c r="B745" s="109" t="s">
        <v>155</v>
      </c>
      <c r="C745" s="110" t="s">
        <v>135</v>
      </c>
      <c r="D745" s="111">
        <f t="shared" si="409"/>
      </c>
      <c r="E745" s="141">
        <v>765.07</v>
      </c>
      <c r="F745" s="142">
        <v>3190.67</v>
      </c>
      <c r="G745" s="171">
        <v>0</v>
      </c>
      <c r="H745" s="113">
        <v>0</v>
      </c>
      <c r="I745" s="184">
        <f t="shared" si="538"/>
      </c>
      <c r="J745" s="160">
        <v>0</v>
      </c>
      <c r="K745" s="115">
        <f t="shared" si="151"/>
      </c>
      <c r="L745" s="115">
        <f t="shared" si="280"/>
      </c>
      <c r="M745" s="116">
        <f t="shared" si="634"/>
      </c>
      <c r="N745" s="117">
        <f t="shared" si="664"/>
      </c>
      <c r="O745" s="118">
        <f t="shared" si="574"/>
      </c>
      <c r="P745" s="119">
        <f t="shared" si="604"/>
      </c>
      <c r="Q745" s="119">
        <f t="shared" si="784"/>
      </c>
      <c r="R745" s="119">
        <f t="shared" si="814"/>
      </c>
      <c r="S745" s="120">
        <f t="shared" si="694"/>
      </c>
      <c r="T745" s="121">
        <f t="shared" si="724"/>
      </c>
      <c r="U745" s="119">
        <f t="shared" si="1003"/>
      </c>
      <c r="V745" s="122">
        <f t="shared" si="754"/>
      </c>
      <c r="W745" s="122">
        <f t="shared" si="1033"/>
      </c>
      <c r="X745" s="119">
        <f t="shared" si="844"/>
      </c>
      <c r="Y745" s="172">
        <f t="shared" si="967"/>
      </c>
      <c r="Z745" s="123">
        <v>4</v>
      </c>
      <c r="AA745" s="123">
        <v>2</v>
      </c>
      <c r="AB745" s="173">
        <v>2118.959999999992</v>
      </c>
      <c r="AC745" s="124">
        <v>0</v>
      </c>
      <c r="AD745" s="120">
        <f t="shared" si="28"/>
      </c>
      <c r="AE745" s="125" t="s">
        <v>121</v>
      </c>
      <c r="AF745" s="126" t="s">
        <v>137</v>
      </c>
      <c r="AG745" s="129">
        <v>2</v>
      </c>
      <c r="AH745" s="128">
        <v>40376</v>
      </c>
      <c r="AI745" s="128">
        <v>1109</v>
      </c>
      <c r="AJ745" s="128">
        <v>1430</v>
      </c>
      <c r="AK745" s="129">
        <v>117</v>
      </c>
      <c r="AL745" s="129">
        <v>115</v>
      </c>
    </row>
    <row r="746">
      <c r="A746" s="108"/>
      <c r="B746" s="130" t="s">
        <v>127</v>
      </c>
      <c r="C746" s="131">
        <v>2</v>
      </c>
      <c r="D746" s="185">
        <f>SUM(D744:D745)</f>
      </c>
      <c r="E746" s="185">
        <f>SUM(E744:E745)</f>
      </c>
      <c r="F746" s="185">
        <f>SUM(F744:F745)</f>
      </c>
      <c r="G746" s="185">
        <f>SUM(G744:G745)</f>
      </c>
      <c r="H746" s="185">
        <f>SUM(H744:H745)</f>
      </c>
      <c r="I746" s="185">
        <f>SUM(I744:I745)</f>
      </c>
      <c r="J746" s="185">
        <f>SUM(J744:J745)</f>
      </c>
      <c r="K746" s="185">
        <f>SUM(K744:K745)</f>
      </c>
      <c r="L746" s="185">
        <f>SUM(L744:L745)</f>
      </c>
      <c r="M746" s="133">
        <f t="shared" si="634"/>
      </c>
      <c r="N746" s="134">
        <f t="shared" si="664"/>
      </c>
      <c r="O746" s="134">
        <f t="shared" si="574"/>
      </c>
      <c r="P746" s="135">
        <f t="shared" si="604"/>
      </c>
      <c r="Q746" s="135">
        <f t="shared" si="784"/>
      </c>
      <c r="R746" s="135">
        <f t="shared" si="814"/>
      </c>
      <c r="S746" s="136">
        <f t="shared" si="694"/>
      </c>
      <c r="T746" s="136">
        <f t="shared" si="724"/>
      </c>
      <c r="U746" s="135">
        <f t="shared" si="1003"/>
      </c>
      <c r="V746" s="136">
        <f t="shared" si="754"/>
      </c>
      <c r="W746" s="136">
        <f t="shared" si="1033"/>
      </c>
      <c r="X746" s="135">
        <f t="shared" si="844"/>
      </c>
      <c r="Y746" s="185">
        <f>SUM(Y744:Y745)</f>
      </c>
      <c r="Z746" s="185">
        <f>SUM(Z744:Z745)</f>
      </c>
      <c r="AA746" s="185">
        <f>SUM(AA744:AA745)</f>
      </c>
      <c r="AB746" s="185">
        <f>SUM(AB744:AB745)</f>
      </c>
      <c r="AC746" s="185">
        <f>SUM(AC744:AC745)</f>
      </c>
      <c r="AD746" s="137">
        <f t="shared" si="28"/>
      </c>
      <c r="AE746" s="138"/>
      <c r="AF746" s="139"/>
      <c r="AG746" s="185">
        <f>SUM(AG744:AG745)</f>
      </c>
      <c r="AH746" s="185">
        <f>SUM(AH744:AH745)</f>
      </c>
      <c r="AI746" s="185">
        <f>SUM(AI744:AI745)</f>
      </c>
      <c r="AJ746" s="185">
        <f>SUM(AJ744:AJ745)</f>
      </c>
      <c r="AK746" s="185">
        <f>SUM(AK744:AK745)</f>
      </c>
      <c r="AL746" s="185">
        <f>SUM(AL744:AL745)</f>
      </c>
    </row>
    <row r="747">
      <c r="A747" s="108"/>
      <c r="B747" s="109" t="s">
        <v>143</v>
      </c>
      <c r="C747" s="110" t="s">
        <v>138</v>
      </c>
      <c r="D747" s="111">
        <f t="shared" ref="D747:D750" si="410">E747+F747+G747+H747</f>
      </c>
      <c r="E747" s="110">
        <v>770.82</v>
      </c>
      <c r="F747" s="140">
        <v>4116.18</v>
      </c>
      <c r="G747" s="113">
        <v>0</v>
      </c>
      <c r="H747" s="113">
        <v>0</v>
      </c>
      <c r="I747" s="183">
        <f t="shared" ref="I747:I750" si="539">AB747+AC747</f>
      </c>
      <c r="J747" s="160">
        <f>923.4+415.8+1105.92</f>
      </c>
      <c r="K747" s="115">
        <f t="shared" ref="K747:K750" si="152">I747-J747</f>
      </c>
      <c r="L747" s="115">
        <f t="shared" ref="L747:L750" si="281">(I747-AC747)/12+AC747</f>
      </c>
      <c r="M747" s="116">
        <f t="shared" si="634"/>
      </c>
      <c r="N747" s="117">
        <f t="shared" si="664"/>
      </c>
      <c r="O747" s="118">
        <f t="shared" si="574"/>
      </c>
      <c r="P747" s="119">
        <f t="shared" si="604"/>
      </c>
      <c r="Q747" s="119">
        <f t="shared" si="784"/>
      </c>
      <c r="R747" s="119">
        <f t="shared" si="814"/>
      </c>
      <c r="S747" s="120">
        <f t="shared" si="694"/>
      </c>
      <c r="T747" s="121">
        <f t="shared" si="724"/>
      </c>
      <c r="U747" s="119">
        <f t="shared" si="1003"/>
      </c>
      <c r="V747" s="122">
        <f t="shared" si="754"/>
      </c>
      <c r="W747" s="122">
        <f t="shared" si="1033"/>
      </c>
      <c r="X747" s="119">
        <f t="shared" si="844"/>
      </c>
      <c r="Y747" s="123">
        <f t="shared" ref="Y747:Y750" si="968">Z747+AA747</f>
      </c>
      <c r="Z747" s="123">
        <v>2</v>
      </c>
      <c r="AA747" s="123">
        <v>4</v>
      </c>
      <c r="AB747" s="124">
        <v>3437.1600000000035</v>
      </c>
      <c r="AC747" s="124">
        <v>0</v>
      </c>
      <c r="AD747" s="120">
        <f t="shared" si="28"/>
      </c>
      <c r="AE747" s="125" t="s">
        <v>121</v>
      </c>
      <c r="AF747" s="126" t="s">
        <v>137</v>
      </c>
      <c r="AG747" s="127">
        <v>3</v>
      </c>
      <c r="AH747" s="128">
        <v>42534</v>
      </c>
      <c r="AI747" s="128">
        <v>1793</v>
      </c>
      <c r="AJ747" s="128">
        <v>2204</v>
      </c>
      <c r="AK747" s="129">
        <v>104</v>
      </c>
      <c r="AL747" s="129">
        <v>98</v>
      </c>
    </row>
    <row r="748">
      <c r="A748" s="108"/>
      <c r="B748" s="109" t="s">
        <v>143</v>
      </c>
      <c r="C748" s="110" t="s">
        <v>140</v>
      </c>
      <c r="D748" s="111">
        <f t="shared" si="410"/>
      </c>
      <c r="E748" s="110">
        <v>936.87</v>
      </c>
      <c r="F748" s="140">
        <v>3688.95</v>
      </c>
      <c r="G748" s="113">
        <v>0</v>
      </c>
      <c r="H748" s="113">
        <v>0</v>
      </c>
      <c r="I748" s="183">
        <f t="shared" si="539"/>
      </c>
      <c r="J748" s="160">
        <v>0</v>
      </c>
      <c r="K748" s="115">
        <f t="shared" si="152"/>
      </c>
      <c r="L748" s="115">
        <f t="shared" si="281"/>
      </c>
      <c r="M748" s="116">
        <f t="shared" si="634"/>
      </c>
      <c r="N748" s="117">
        <f t="shared" si="664"/>
      </c>
      <c r="O748" s="118">
        <f t="shared" si="574"/>
      </c>
      <c r="P748" s="119">
        <f t="shared" si="604"/>
      </c>
      <c r="Q748" s="119">
        <f t="shared" si="784"/>
      </c>
      <c r="R748" s="119">
        <f t="shared" si="814"/>
      </c>
      <c r="S748" s="120">
        <f t="shared" si="694"/>
      </c>
      <c r="T748" s="121">
        <f t="shared" si="724"/>
      </c>
      <c r="U748" s="119">
        <f t="shared" si="1003"/>
      </c>
      <c r="V748" s="122">
        <f t="shared" si="754"/>
      </c>
      <c r="W748" s="122">
        <f t="shared" si="1033"/>
      </c>
      <c r="X748" s="119">
        <f t="shared" si="844"/>
      </c>
      <c r="Y748" s="123">
        <f t="shared" si="968"/>
      </c>
      <c r="Z748" s="123">
        <v>0</v>
      </c>
      <c r="AA748" s="123">
        <v>5</v>
      </c>
      <c r="AB748" s="124">
        <v>8403.839999999997</v>
      </c>
      <c r="AC748" s="124">
        <v>1547</v>
      </c>
      <c r="AD748" s="120">
        <f t="shared" si="28"/>
      </c>
      <c r="AE748" s="125" t="s">
        <v>121</v>
      </c>
      <c r="AF748" s="126" t="s">
        <v>137</v>
      </c>
      <c r="AG748" s="127">
        <v>4</v>
      </c>
      <c r="AH748" s="128">
        <v>40731</v>
      </c>
      <c r="AI748" s="128">
        <v>1284</v>
      </c>
      <c r="AJ748" s="128">
        <v>1625</v>
      </c>
      <c r="AK748" s="129">
        <v>124</v>
      </c>
      <c r="AL748" s="129">
        <v>135</v>
      </c>
    </row>
    <row r="749">
      <c r="A749" s="108"/>
      <c r="B749" s="109" t="s">
        <v>143</v>
      </c>
      <c r="C749" s="141" t="s">
        <v>141</v>
      </c>
      <c r="D749" s="111">
        <f t="shared" si="410"/>
      </c>
      <c r="E749" s="110">
        <v>1359.75</v>
      </c>
      <c r="F749" s="140">
        <v>3219.16</v>
      </c>
      <c r="G749" s="113">
        <v>0</v>
      </c>
      <c r="H749" s="113">
        <v>0</v>
      </c>
      <c r="I749" s="183">
        <f t="shared" si="539"/>
      </c>
      <c r="J749" s="160">
        <v>435.24</v>
      </c>
      <c r="K749" s="115">
        <f t="shared" si="152"/>
      </c>
      <c r="L749" s="115">
        <f t="shared" si="281"/>
      </c>
      <c r="M749" s="116">
        <f t="shared" si="634"/>
      </c>
      <c r="N749" s="117">
        <f t="shared" si="664"/>
      </c>
      <c r="O749" s="118">
        <f t="shared" si="574"/>
      </c>
      <c r="P749" s="119">
        <f t="shared" si="604"/>
      </c>
      <c r="Q749" s="119">
        <f t="shared" si="784"/>
      </c>
      <c r="R749" s="119">
        <f t="shared" si="814"/>
      </c>
      <c r="S749" s="120">
        <f t="shared" si="694"/>
      </c>
      <c r="T749" s="121">
        <f t="shared" si="724"/>
      </c>
      <c r="U749" s="119">
        <f t="shared" si="1003"/>
      </c>
      <c r="V749" s="122">
        <f t="shared" si="754"/>
      </c>
      <c r="W749" s="122">
        <f t="shared" si="1033"/>
      </c>
      <c r="X749" s="119">
        <f t="shared" si="844"/>
      </c>
      <c r="Y749" s="123">
        <f t="shared" si="968"/>
      </c>
      <c r="Z749" s="123">
        <v>1</v>
      </c>
      <c r="AA749" s="123">
        <v>7</v>
      </c>
      <c r="AB749" s="124">
        <v>13962.720000000001</v>
      </c>
      <c r="AC749" s="124">
        <v>582</v>
      </c>
      <c r="AD749" s="120">
        <f t="shared" si="28"/>
      </c>
      <c r="AE749" s="125" t="s">
        <v>121</v>
      </c>
      <c r="AF749" s="126" t="s">
        <v>137</v>
      </c>
      <c r="AG749" s="129">
        <v>6</v>
      </c>
      <c r="AH749" s="128">
        <v>40048</v>
      </c>
      <c r="AI749" s="128">
        <v>1267</v>
      </c>
      <c r="AJ749" s="128">
        <v>1559</v>
      </c>
      <c r="AK749" s="129">
        <v>141</v>
      </c>
      <c r="AL749" s="129">
        <v>170</v>
      </c>
    </row>
    <row r="750">
      <c r="A750" s="108"/>
      <c r="B750" s="109" t="s">
        <v>143</v>
      </c>
      <c r="C750" s="141" t="s">
        <v>142</v>
      </c>
      <c r="D750" s="111">
        <f t="shared" si="410"/>
      </c>
      <c r="E750" s="110">
        <v>1575.64</v>
      </c>
      <c r="F750" s="140">
        <v>4931.31</v>
      </c>
      <c r="G750" s="113">
        <v>0</v>
      </c>
      <c r="H750" s="113">
        <v>0</v>
      </c>
      <c r="I750" s="183">
        <f t="shared" si="539"/>
      </c>
      <c r="J750" s="160">
        <v>1074</v>
      </c>
      <c r="K750" s="115">
        <f t="shared" si="152"/>
      </c>
      <c r="L750" s="115">
        <f t="shared" si="281"/>
      </c>
      <c r="M750" s="116">
        <f t="shared" si="634"/>
      </c>
      <c r="N750" s="117">
        <f t="shared" si="664"/>
      </c>
      <c r="O750" s="118">
        <f t="shared" si="574"/>
      </c>
      <c r="P750" s="119">
        <f t="shared" si="604"/>
      </c>
      <c r="Q750" s="119">
        <f t="shared" si="784"/>
      </c>
      <c r="R750" s="119">
        <f t="shared" si="814"/>
      </c>
      <c r="S750" s="120">
        <f t="shared" si="694"/>
      </c>
      <c r="T750" s="121">
        <f t="shared" si="724"/>
      </c>
      <c r="U750" s="119">
        <f t="shared" si="1003"/>
      </c>
      <c r="V750" s="122">
        <f t="shared" si="754"/>
      </c>
      <c r="W750" s="122">
        <f t="shared" si="1033"/>
      </c>
      <c r="X750" s="119">
        <f t="shared" si="844"/>
      </c>
      <c r="Y750" s="123">
        <f t="shared" si="968"/>
      </c>
      <c r="Z750" s="123">
        <v>5</v>
      </c>
      <c r="AA750" s="123">
        <v>10</v>
      </c>
      <c r="AB750" s="124">
        <f>18289.8+2299.32</f>
      </c>
      <c r="AC750" s="124">
        <v>1073.999999999999</v>
      </c>
      <c r="AD750" s="120">
        <f t="shared" si="28"/>
      </c>
      <c r="AE750" s="125" t="s">
        <v>121</v>
      </c>
      <c r="AF750" s="126" t="s">
        <v>137</v>
      </c>
      <c r="AG750" s="127">
        <v>8</v>
      </c>
      <c r="AH750" s="128">
        <v>68463</v>
      </c>
      <c r="AI750" s="128">
        <v>1682</v>
      </c>
      <c r="AJ750" s="128">
        <v>1909</v>
      </c>
      <c r="AK750" s="129">
        <v>179</v>
      </c>
      <c r="AL750" s="127">
        <v>214</v>
      </c>
    </row>
    <row r="751">
      <c r="A751" s="108"/>
      <c r="B751" s="130" t="s">
        <v>127</v>
      </c>
      <c r="C751" s="131">
        <v>4</v>
      </c>
      <c r="D751" s="132">
        <f>SUM(D747:D750)</f>
      </c>
      <c r="E751" s="132">
        <f>SUM(E747:E750)</f>
      </c>
      <c r="F751" s="132">
        <f>SUM(F747:F750)</f>
      </c>
      <c r="G751" s="132">
        <f>SUM(G747:G750)</f>
      </c>
      <c r="H751" s="132">
        <f>SUM(H747:H750)</f>
      </c>
      <c r="I751" s="132">
        <f>SUM(I747:I750)</f>
      </c>
      <c r="J751" s="132">
        <f>SUM(J747:J750)</f>
      </c>
      <c r="K751" s="132">
        <f>SUM(K747:K750)</f>
      </c>
      <c r="L751" s="132">
        <f>SUM(L747:L750)</f>
      </c>
      <c r="M751" s="133">
        <f t="shared" si="634"/>
      </c>
      <c r="N751" s="134">
        <f t="shared" si="664"/>
      </c>
      <c r="O751" s="134">
        <f t="shared" si="574"/>
      </c>
      <c r="P751" s="135">
        <f t="shared" si="604"/>
      </c>
      <c r="Q751" s="135">
        <f t="shared" si="784"/>
      </c>
      <c r="R751" s="135">
        <f t="shared" si="814"/>
      </c>
      <c r="S751" s="136">
        <f t="shared" si="694"/>
      </c>
      <c r="T751" s="136">
        <f t="shared" si="724"/>
      </c>
      <c r="U751" s="135">
        <f t="shared" si="1003"/>
      </c>
      <c r="V751" s="136">
        <f t="shared" si="754"/>
      </c>
      <c r="W751" s="136">
        <f t="shared" si="1033"/>
      </c>
      <c r="X751" s="135">
        <f t="shared" si="844"/>
      </c>
      <c r="Y751" s="132">
        <f>SUM(Y747:Y750)</f>
      </c>
      <c r="Z751" s="132">
        <f>SUM(Z747:Z750)</f>
      </c>
      <c r="AA751" s="132">
        <f>SUM(AA747:AA750)</f>
      </c>
      <c r="AB751" s="132">
        <f>SUM(AB747:AB750)</f>
      </c>
      <c r="AC751" s="132">
        <f>SUM(AC747:AC750)</f>
      </c>
      <c r="AD751" s="137">
        <f t="shared" si="28"/>
      </c>
      <c r="AE751" s="138"/>
      <c r="AF751" s="139"/>
      <c r="AG751" s="132">
        <f>SUM(AG747:AG750)</f>
      </c>
      <c r="AH751" s="132">
        <f>SUM(AH747:AH750)</f>
      </c>
      <c r="AI751" s="132">
        <f>SUM(AI747:AI750)</f>
      </c>
      <c r="AJ751" s="132">
        <f>SUM(AJ747:AJ750)</f>
      </c>
      <c r="AK751" s="132">
        <f>SUM(AK747:AK750)</f>
      </c>
      <c r="AL751" s="132">
        <f>SUM(AL747:AL750)</f>
      </c>
    </row>
    <row r="752">
      <c r="A752" s="108"/>
      <c r="B752" s="109" t="s">
        <v>139</v>
      </c>
      <c r="C752" s="141" t="s">
        <v>144</v>
      </c>
      <c r="D752" s="111">
        <f t="shared" ref="D752:D756" si="411">E752+F752+G752+H752</f>
      </c>
      <c r="E752" s="112">
        <v>2663.72</v>
      </c>
      <c r="F752" s="113">
        <v>7200.33</v>
      </c>
      <c r="G752" s="113">
        <v>0</v>
      </c>
      <c r="H752" s="113">
        <v>0</v>
      </c>
      <c r="I752" s="113">
        <f t="shared" ref="I752:I756" si="540">AB752+AC752</f>
      </c>
      <c r="J752" s="114">
        <v>0</v>
      </c>
      <c r="K752" s="115">
        <f t="shared" ref="K752:K756" si="153">I752-J752</f>
      </c>
      <c r="L752" s="115">
        <f t="shared" ref="L752:L756" si="282">(I752-AC752)/12+AC752</f>
      </c>
      <c r="M752" s="116">
        <f t="shared" si="634"/>
      </c>
      <c r="N752" s="117">
        <f t="shared" si="664"/>
      </c>
      <c r="O752" s="118">
        <f t="shared" si="574"/>
      </c>
      <c r="P752" s="119">
        <f t="shared" si="604"/>
      </c>
      <c r="Q752" s="119">
        <f t="shared" si="784"/>
      </c>
      <c r="R752" s="119">
        <f t="shared" si="814"/>
      </c>
      <c r="S752" s="120">
        <f t="shared" si="694"/>
      </c>
      <c r="T752" s="121">
        <f t="shared" si="724"/>
      </c>
      <c r="U752" s="119">
        <f t="shared" si="1003"/>
      </c>
      <c r="V752" s="122">
        <f t="shared" si="754"/>
      </c>
      <c r="W752" s="122">
        <f t="shared" si="1033"/>
      </c>
      <c r="X752" s="119">
        <f t="shared" si="844"/>
      </c>
      <c r="Y752" s="123">
        <f t="shared" ref="Y752:Y756" si="969">Z752+AA752</f>
      </c>
      <c r="Z752" s="123">
        <v>17</v>
      </c>
      <c r="AA752" s="123">
        <v>9</v>
      </c>
      <c r="AB752" s="124">
        <v>16551</v>
      </c>
      <c r="AC752" s="124">
        <v>0</v>
      </c>
      <c r="AD752" s="120">
        <f t="shared" si="28"/>
      </c>
      <c r="AE752" s="125" t="s">
        <v>121</v>
      </c>
      <c r="AF752" s="126" t="s">
        <v>137</v>
      </c>
      <c r="AG752" s="127">
        <v>10</v>
      </c>
      <c r="AH752" s="127">
        <v>114423</v>
      </c>
      <c r="AI752" s="128">
        <v>2223</v>
      </c>
      <c r="AJ752" s="128">
        <v>2478</v>
      </c>
      <c r="AK752" s="127">
        <v>260</v>
      </c>
      <c r="AL752" s="129">
        <v>298</v>
      </c>
    </row>
    <row r="753">
      <c r="A753" s="108"/>
      <c r="B753" s="109" t="s">
        <v>139</v>
      </c>
      <c r="C753" s="110" t="s">
        <v>145</v>
      </c>
      <c r="D753" s="111">
        <f t="shared" si="411"/>
      </c>
      <c r="E753" s="110">
        <v>2552.28</v>
      </c>
      <c r="F753" s="113">
        <v>9367.29</v>
      </c>
      <c r="G753" s="113">
        <v>0</v>
      </c>
      <c r="H753" s="113">
        <v>0</v>
      </c>
      <c r="I753" s="113">
        <f t="shared" si="540"/>
      </c>
      <c r="J753" s="114">
        <v>1320.84</v>
      </c>
      <c r="K753" s="115">
        <f t="shared" si="153"/>
      </c>
      <c r="L753" s="115">
        <f t="shared" si="282"/>
      </c>
      <c r="M753" s="116">
        <f t="shared" si="634"/>
      </c>
      <c r="N753" s="117">
        <f t="shared" si="664"/>
      </c>
      <c r="O753" s="118">
        <f t="shared" si="574"/>
      </c>
      <c r="P753" s="119">
        <f t="shared" si="604"/>
      </c>
      <c r="Q753" s="119">
        <f t="shared" si="784"/>
      </c>
      <c r="R753" s="119">
        <f t="shared" si="814"/>
      </c>
      <c r="S753" s="120">
        <f t="shared" si="694"/>
      </c>
      <c r="T753" s="121">
        <f t="shared" si="724"/>
      </c>
      <c r="U753" s="119">
        <f t="shared" si="1003"/>
      </c>
      <c r="V753" s="122">
        <f t="shared" si="754"/>
      </c>
      <c r="W753" s="122">
        <f t="shared" si="1033"/>
      </c>
      <c r="X753" s="119">
        <f t="shared" si="844"/>
      </c>
      <c r="Y753" s="123">
        <f t="shared" si="969"/>
      </c>
      <c r="Z753" s="123">
        <v>8</v>
      </c>
      <c r="AA753" s="123">
        <v>14</v>
      </c>
      <c r="AB753" s="124">
        <v>20323.20000000001</v>
      </c>
      <c r="AC753" s="124">
        <v>591</v>
      </c>
      <c r="AD753" s="120">
        <f t="shared" si="28"/>
      </c>
      <c r="AE753" s="125" t="s">
        <v>121</v>
      </c>
      <c r="AF753" s="126" t="s">
        <v>137</v>
      </c>
      <c r="AG753" s="127">
        <v>10</v>
      </c>
      <c r="AH753" s="128">
        <v>141211</v>
      </c>
      <c r="AI753" s="128">
        <v>2554</v>
      </c>
      <c r="AJ753" s="128">
        <v>2759</v>
      </c>
      <c r="AK753" s="129">
        <v>324</v>
      </c>
      <c r="AL753" s="129">
        <v>357</v>
      </c>
    </row>
    <row r="754">
      <c r="A754" s="108"/>
      <c r="B754" s="109" t="s">
        <v>139</v>
      </c>
      <c r="C754" s="141" t="s">
        <v>146</v>
      </c>
      <c r="D754" s="111">
        <f t="shared" si="411"/>
      </c>
      <c r="E754" s="110">
        <v>1508.03</v>
      </c>
      <c r="F754" s="110">
        <v>9199.28</v>
      </c>
      <c r="G754" s="113">
        <v>0</v>
      </c>
      <c r="H754" s="113">
        <v>0</v>
      </c>
      <c r="I754" s="113">
        <f t="shared" si="540"/>
      </c>
      <c r="J754" s="114">
        <v>421.2</v>
      </c>
      <c r="K754" s="115">
        <f t="shared" si="153"/>
      </c>
      <c r="L754" s="115">
        <f t="shared" si="282"/>
      </c>
      <c r="M754" s="116">
        <f t="shared" si="634"/>
      </c>
      <c r="N754" s="117">
        <f t="shared" si="664"/>
      </c>
      <c r="O754" s="118">
        <f t="shared" si="574"/>
      </c>
      <c r="P754" s="119">
        <f t="shared" si="604"/>
      </c>
      <c r="Q754" s="119">
        <f t="shared" si="784"/>
      </c>
      <c r="R754" s="119">
        <f t="shared" si="814"/>
      </c>
      <c r="S754" s="120">
        <f t="shared" si="694"/>
      </c>
      <c r="T754" s="121">
        <f t="shared" si="724"/>
      </c>
      <c r="U754" s="119">
        <f t="shared" si="1003"/>
      </c>
      <c r="V754" s="122">
        <f t="shared" si="754"/>
      </c>
      <c r="W754" s="122">
        <f t="shared" si="1033"/>
      </c>
      <c r="X754" s="119">
        <f t="shared" si="844"/>
      </c>
      <c r="Y754" s="123">
        <f t="shared" si="969"/>
      </c>
      <c r="Z754" s="123">
        <v>10</v>
      </c>
      <c r="AA754" s="123">
        <v>8</v>
      </c>
      <c r="AB754" s="124">
        <v>17499.119999999995</v>
      </c>
      <c r="AC754" s="124">
        <v>1502</v>
      </c>
      <c r="AD754" s="120">
        <f t="shared" si="28"/>
      </c>
      <c r="AE754" s="125" t="s">
        <v>121</v>
      </c>
      <c r="AF754" s="126" t="s">
        <v>137</v>
      </c>
      <c r="AG754" s="129">
        <v>8</v>
      </c>
      <c r="AH754" s="128">
        <v>133512</v>
      </c>
      <c r="AI754" s="128">
        <v>1983</v>
      </c>
      <c r="AJ754" s="128">
        <v>2227</v>
      </c>
      <c r="AK754" s="129">
        <v>232</v>
      </c>
      <c r="AL754" s="129">
        <v>308</v>
      </c>
    </row>
    <row r="755">
      <c r="A755" s="108"/>
      <c r="B755" s="109" t="s">
        <v>139</v>
      </c>
      <c r="C755" s="110" t="s">
        <v>147</v>
      </c>
      <c r="D755" s="111">
        <f t="shared" si="411"/>
      </c>
      <c r="E755" s="110">
        <v>1126.96</v>
      </c>
      <c r="F755" s="113">
        <v>6755.78</v>
      </c>
      <c r="G755" s="113">
        <v>0</v>
      </c>
      <c r="H755" s="113">
        <v>0</v>
      </c>
      <c r="I755" s="162">
        <f t="shared" si="540"/>
      </c>
      <c r="J755" s="114">
        <v>395.28</v>
      </c>
      <c r="K755" s="115">
        <f t="shared" si="153"/>
      </c>
      <c r="L755" s="115">
        <f t="shared" si="282"/>
      </c>
      <c r="M755" s="116">
        <f t="shared" si="634"/>
      </c>
      <c r="N755" s="117">
        <f t="shared" si="664"/>
      </c>
      <c r="O755" s="118">
        <f t="shared" si="574"/>
      </c>
      <c r="P755" s="119">
        <f t="shared" si="604"/>
      </c>
      <c r="Q755" s="119">
        <f t="shared" si="784"/>
      </c>
      <c r="R755" s="119">
        <f t="shared" si="814"/>
      </c>
      <c r="S755" s="120">
        <f t="shared" si="694"/>
      </c>
      <c r="T755" s="121">
        <f t="shared" si="724"/>
      </c>
      <c r="U755" s="119">
        <f t="shared" si="1003"/>
      </c>
      <c r="V755" s="122">
        <f t="shared" si="754"/>
      </c>
      <c r="W755" s="122">
        <f t="shared" si="1033"/>
      </c>
      <c r="X755" s="119">
        <f t="shared" si="844"/>
      </c>
      <c r="Y755" s="123">
        <f t="shared" si="969"/>
      </c>
      <c r="Z755" s="123">
        <v>4</v>
      </c>
      <c r="AA755" s="123">
        <v>13</v>
      </c>
      <c r="AB755" s="124">
        <v>11715.6</v>
      </c>
      <c r="AC755" s="124">
        <v>0</v>
      </c>
      <c r="AD755" s="120">
        <f t="shared" si="28"/>
      </c>
      <c r="AE755" s="125" t="s">
        <v>121</v>
      </c>
      <c r="AF755" s="126" t="s">
        <v>137</v>
      </c>
      <c r="AG755" s="127">
        <v>9</v>
      </c>
      <c r="AH755" s="128">
        <v>111374</v>
      </c>
      <c r="AI755" s="128">
        <v>1810</v>
      </c>
      <c r="AJ755" s="128">
        <v>2090</v>
      </c>
      <c r="AK755" s="129">
        <v>233</v>
      </c>
      <c r="AL755" s="129">
        <v>259</v>
      </c>
    </row>
    <row r="756">
      <c r="A756" s="108"/>
      <c r="B756" s="109" t="s">
        <v>139</v>
      </c>
      <c r="C756" s="110" t="s">
        <v>148</v>
      </c>
      <c r="D756" s="111">
        <f t="shared" si="411"/>
      </c>
      <c r="E756" s="112">
        <v>372.64</v>
      </c>
      <c r="F756" s="113">
        <v>4354.66</v>
      </c>
      <c r="G756" s="113">
        <v>0</v>
      </c>
      <c r="H756" s="113">
        <v>0</v>
      </c>
      <c r="I756" s="113">
        <f t="shared" si="540"/>
      </c>
      <c r="J756" s="114">
        <v>0</v>
      </c>
      <c r="K756" s="115">
        <f t="shared" si="153"/>
      </c>
      <c r="L756" s="115">
        <f t="shared" si="282"/>
      </c>
      <c r="M756" s="116">
        <f t="shared" si="634"/>
      </c>
      <c r="N756" s="117">
        <f t="shared" si="664"/>
      </c>
      <c r="O756" s="118">
        <f t="shared" si="574"/>
      </c>
      <c r="P756" s="119">
        <f t="shared" si="604"/>
      </c>
      <c r="Q756" s="119">
        <f t="shared" si="784"/>
      </c>
      <c r="R756" s="119">
        <f t="shared" si="814"/>
      </c>
      <c r="S756" s="120">
        <f t="shared" si="694"/>
      </c>
      <c r="T756" s="121">
        <f t="shared" si="724"/>
      </c>
      <c r="U756" s="119">
        <f t="shared" si="1003"/>
      </c>
      <c r="V756" s="122">
        <f t="shared" si="754"/>
      </c>
      <c r="W756" s="122">
        <f t="shared" si="1033"/>
      </c>
      <c r="X756" s="119">
        <f t="shared" si="844"/>
      </c>
      <c r="Y756" s="123">
        <f t="shared" si="969"/>
      </c>
      <c r="Z756" s="123">
        <v>1</v>
      </c>
      <c r="AA756" s="123">
        <v>6</v>
      </c>
      <c r="AB756" s="124">
        <v>8529.839999999998</v>
      </c>
      <c r="AC756" s="124">
        <v>1958</v>
      </c>
      <c r="AD756" s="120">
        <f t="shared" si="28"/>
      </c>
      <c r="AE756" s="125" t="s">
        <v>121</v>
      </c>
      <c r="AF756" s="126" t="s">
        <v>137</v>
      </c>
      <c r="AG756" s="127">
        <v>5</v>
      </c>
      <c r="AH756" s="128">
        <v>57972</v>
      </c>
      <c r="AI756" s="128">
        <v>1561</v>
      </c>
      <c r="AJ756" s="128">
        <v>1785</v>
      </c>
      <c r="AK756" s="127">
        <v>157</v>
      </c>
      <c r="AL756" s="127">
        <v>146</v>
      </c>
    </row>
    <row r="757">
      <c r="A757" s="108"/>
      <c r="B757" s="130" t="s">
        <v>127</v>
      </c>
      <c r="C757" s="131">
        <v>5</v>
      </c>
      <c r="D757" s="132">
        <f>SUM(D752:D756)</f>
      </c>
      <c r="E757" s="132">
        <f>SUM(E752:E756)</f>
      </c>
      <c r="F757" s="132">
        <f>SUM(F752:F756)</f>
      </c>
      <c r="G757" s="132">
        <f>SUM(G752:G756)</f>
      </c>
      <c r="H757" s="132">
        <f>SUM(H752:H756)</f>
      </c>
      <c r="I757" s="132">
        <f>SUM(I752:I756)</f>
      </c>
      <c r="J757" s="132">
        <f>SUM(J752:J756)</f>
      </c>
      <c r="K757" s="132">
        <f>SUM(K752:K756)</f>
      </c>
      <c r="L757" s="132">
        <f>SUM(L752:L756)</f>
      </c>
      <c r="M757" s="133">
        <f t="shared" si="634"/>
      </c>
      <c r="N757" s="134">
        <f t="shared" si="664"/>
      </c>
      <c r="O757" s="134">
        <f t="shared" si="574"/>
      </c>
      <c r="P757" s="135">
        <f t="shared" si="604"/>
      </c>
      <c r="Q757" s="135">
        <f t="shared" si="784"/>
      </c>
      <c r="R757" s="135">
        <f t="shared" si="814"/>
      </c>
      <c r="S757" s="136">
        <f t="shared" si="694"/>
      </c>
      <c r="T757" s="136">
        <f t="shared" si="724"/>
      </c>
      <c r="U757" s="135">
        <f t="shared" si="1003"/>
      </c>
      <c r="V757" s="136">
        <f t="shared" si="754"/>
      </c>
      <c r="W757" s="136">
        <f t="shared" si="1033"/>
      </c>
      <c r="X757" s="135">
        <f t="shared" si="844"/>
      </c>
      <c r="Y757" s="132">
        <f>SUM(Y752:Y756)</f>
      </c>
      <c r="Z757" s="132">
        <f>SUM(Z752:Z756)</f>
      </c>
      <c r="AA757" s="132">
        <f>SUM(AA752:AA756)</f>
      </c>
      <c r="AB757" s="132">
        <f>SUM(AB752:AB756)</f>
      </c>
      <c r="AC757" s="132">
        <f>SUM(AC752:AC756)</f>
      </c>
      <c r="AD757" s="150">
        <f t="shared" si="28"/>
      </c>
      <c r="AE757" s="138"/>
      <c r="AF757" s="139"/>
      <c r="AG757" s="132">
        <f>SUM(AG752:AG756)</f>
      </c>
      <c r="AH757" s="132">
        <f>SUM(AH752:AH756)</f>
      </c>
      <c r="AI757" s="132">
        <f>SUM(AI752:AI756)</f>
      </c>
      <c r="AJ757" s="132">
        <f>SUM(AJ752:AJ756)</f>
      </c>
      <c r="AK757" s="132">
        <f>SUM(AK752:AK756)</f>
      </c>
      <c r="AL757" s="132">
        <f>SUM(AL752:AL756)</f>
      </c>
    </row>
    <row r="758">
      <c r="A758" s="108"/>
      <c r="B758" s="152" t="s">
        <v>127</v>
      </c>
      <c r="C758" s="153">
        <f>C738+C743+C746+C751+C757</f>
      </c>
      <c r="D758" s="167">
        <f>D738+D743+D746+D751+D757</f>
      </c>
      <c r="E758" s="153">
        <f>E738+E743+E746+E751+E757</f>
      </c>
      <c r="F758" s="153">
        <f>F738+F743+F746+F751+F757</f>
      </c>
      <c r="G758" s="153">
        <f>G738+G743+G746+G751+G757</f>
      </c>
      <c r="H758" s="153">
        <f>H738+H743+H746+H751+H757</f>
      </c>
      <c r="I758" s="167">
        <f>I738+I743+I746+I751+I757</f>
      </c>
      <c r="J758" s="153">
        <f>J738+J743+J746+J751+J757</f>
      </c>
      <c r="K758" s="153">
        <f>K738+K743+K746+K751+K757</f>
      </c>
      <c r="L758" s="153">
        <f>L738+L743+L746+L751+L757</f>
      </c>
      <c r="M758" s="154">
        <f t="shared" si="634"/>
      </c>
      <c r="N758" s="154">
        <f t="shared" si="664"/>
      </c>
      <c r="O758" s="154">
        <f t="shared" si="574"/>
      </c>
      <c r="P758" s="154">
        <f t="shared" si="604"/>
      </c>
      <c r="Q758" s="154">
        <f t="shared" si="784"/>
      </c>
      <c r="R758" s="154">
        <f t="shared" si="814"/>
      </c>
      <c r="S758" s="155">
        <f t="shared" si="694"/>
      </c>
      <c r="T758" s="155">
        <f t="shared" si="724"/>
      </c>
      <c r="U758" s="154">
        <f t="shared" si="1003"/>
      </c>
      <c r="V758" s="155">
        <f t="shared" si="754"/>
      </c>
      <c r="W758" s="155">
        <f t="shared" si="1033"/>
      </c>
      <c r="X758" s="154">
        <f t="shared" si="844"/>
      </c>
      <c r="Y758" s="153">
        <f>Y738+Y743+Y746+Y751+Y757</f>
      </c>
      <c r="Z758" s="153">
        <f>Z738+Z743+Z746+Z751+Z757</f>
      </c>
      <c r="AA758" s="153">
        <f>AA738+AA743+AA746+AA751+AA757</f>
      </c>
      <c r="AB758" s="153">
        <f>AB738+AB743+AB746+AB751+AB757</f>
      </c>
      <c r="AC758" s="187">
        <f>AC738+AC743+AC746+AC751+AC757</f>
      </c>
      <c r="AD758" s="157">
        <f t="shared" si="28"/>
      </c>
      <c r="AE758" s="159"/>
      <c r="AF758" s="152"/>
      <c r="AG758" s="153">
        <f>AG738+AG743+AG746+AG751+AG757</f>
      </c>
      <c r="AH758" s="153">
        <f>AH738+AH743+AH746+AH751+AH757</f>
      </c>
      <c r="AI758" s="153">
        <f>AI738+AI743+AI746+AI751+AI757</f>
      </c>
      <c r="AJ758" s="153">
        <f>AJ738+AJ743+AJ746+AJ751+AJ757</f>
      </c>
      <c r="AK758" s="153">
        <f>AK738+AK743+AK746+AK751+AK757</f>
      </c>
      <c r="AL758" s="153">
        <f>AL738+AL743+AL746+AL751+AL757</f>
      </c>
    </row>
    <row r="759">
      <c r="A759" s="94" t="s">
        <v>81</v>
      </c>
      <c r="B759" s="95" t="s">
        <v>82</v>
      </c>
      <c r="C759" s="95" t="s">
        <v>83</v>
      </c>
      <c r="D759" s="96" t="s">
        <v>84</v>
      </c>
      <c r="E759" s="95" t="s">
        <v>85</v>
      </c>
      <c r="F759" s="95" t="s">
        <v>86</v>
      </c>
      <c r="G759" s="97" t="s">
        <v>87</v>
      </c>
      <c r="H759" s="97" t="s">
        <v>88</v>
      </c>
      <c r="I759" s="96" t="s">
        <v>89</v>
      </c>
      <c r="J759" s="98" t="s">
        <v>90</v>
      </c>
      <c r="K759" s="99" t="s">
        <v>91</v>
      </c>
      <c r="L759" s="99" t="s">
        <v>92</v>
      </c>
      <c r="M759" s="100" t="s">
        <v>93</v>
      </c>
      <c r="N759" s="99" t="s">
        <v>94</v>
      </c>
      <c r="O759" s="95" t="s">
        <v>95</v>
      </c>
      <c r="P759" s="100" t="s">
        <v>96</v>
      </c>
      <c r="Q759" s="101" t="s">
        <v>97</v>
      </c>
      <c r="R759" s="101" t="s">
        <v>98</v>
      </c>
      <c r="S759" s="96" t="s">
        <v>99</v>
      </c>
      <c r="T759" s="102" t="s">
        <v>100</v>
      </c>
      <c r="U759" s="100" t="s">
        <v>101</v>
      </c>
      <c r="V759" s="103" t="s">
        <v>102</v>
      </c>
      <c r="W759" s="104" t="s">
        <v>103</v>
      </c>
      <c r="X759" s="100" t="s">
        <v>104</v>
      </c>
      <c r="Y759" s="105" t="s">
        <v>105</v>
      </c>
      <c r="Z759" s="106" t="s">
        <v>106</v>
      </c>
      <c r="AA759" s="105" t="s">
        <v>107</v>
      </c>
      <c r="AB759" s="107" t="s">
        <v>108</v>
      </c>
      <c r="AC759" s="107" t="s">
        <v>109</v>
      </c>
      <c r="AD759" s="99" t="s">
        <v>110</v>
      </c>
      <c r="AE759" s="98" t="s">
        <v>111</v>
      </c>
      <c r="AF759" s="99" t="s">
        <v>112</v>
      </c>
      <c r="AG759" s="98" t="s">
        <v>113</v>
      </c>
      <c r="AH759" s="98" t="s">
        <v>114</v>
      </c>
      <c r="AI759" s="99" t="s">
        <v>115</v>
      </c>
      <c r="AJ759" s="98" t="s">
        <v>116</v>
      </c>
      <c r="AK759" s="99" t="s">
        <v>117</v>
      </c>
      <c r="AL759" s="98" t="s">
        <v>118</v>
      </c>
    </row>
    <row r="760">
      <c r="A760" s="108">
        <v>46295</v>
      </c>
      <c r="B760" s="109" t="s">
        <v>143</v>
      </c>
      <c r="C760" s="110" t="s">
        <v>120</v>
      </c>
      <c r="D760" s="111">
        <f t="shared" ref="D760:D764" si="412">E760+F760+G760+H760</f>
      </c>
      <c r="E760" s="112">
        <v>2250.25</v>
      </c>
      <c r="F760" s="113">
        <v>9221.64</v>
      </c>
      <c r="G760" s="113">
        <v>0</v>
      </c>
      <c r="H760" s="113">
        <v>0</v>
      </c>
      <c r="I760" s="113">
        <f t="shared" ref="I760:I764" si="541">AB760+AC760</f>
      </c>
      <c r="J760" s="114">
        <f>697+2819.88+2136.24</f>
      </c>
      <c r="K760" s="115">
        <f t="shared" ref="K760:K764" si="154">I760-J760</f>
      </c>
      <c r="L760" s="115">
        <f t="shared" ref="L760:L764" si="283">(I760-AC760)/12+AC760</f>
      </c>
      <c r="M760" s="116">
        <f t="shared" ref="M760:M785" si="635">I760/D760</f>
      </c>
      <c r="N760" s="117">
        <f t="shared" ref="N760:N785" si="665">(I760-J760)/D760</f>
      </c>
      <c r="O760" s="118">
        <f t="shared" ref="O760:O785" si="575">(AC760+AB760/12)/D760</f>
      </c>
      <c r="P760" s="119">
        <f t="shared" ref="P760:P785" si="605">I760/AA760</f>
      </c>
      <c r="Q760" s="119">
        <f t="shared" ref="Q760:Q785" si="785">D760/AA760</f>
      </c>
      <c r="R760" s="119">
        <f t="shared" ref="R760:R785" si="815">D760/AG760</f>
      </c>
      <c r="S760" s="120">
        <f t="shared" ref="S760:S785" si="695">AA760/Y760</f>
      </c>
      <c r="T760" s="121">
        <f t="shared" ref="T760:T785" si="725">AI760/AH760</f>
      </c>
      <c r="U760" s="119">
        <f t="shared" ref="U760:U785" si="1004">D760/AJ760</f>
      </c>
      <c r="V760" s="122">
        <f t="shared" ref="V760:V785" si="755">AK760/AJ760</f>
      </c>
      <c r="W760" s="122">
        <f t="shared" ref="W760:W785" si="1034">AL760/AJ760</f>
      </c>
      <c r="X760" s="119">
        <f t="shared" ref="X760:X785" si="845">D760/AL760</f>
      </c>
      <c r="Y760" s="123">
        <f t="shared" ref="Y760:Y764" si="970">Z760+AA760</f>
      </c>
      <c r="Z760" s="123">
        <v>5</v>
      </c>
      <c r="AA760" s="123">
        <v>13</v>
      </c>
      <c r="AB760" s="124">
        <v>21304.56</v>
      </c>
      <c r="AC760" s="124">
        <v>2450</v>
      </c>
      <c r="AD760" s="120">
        <f t="shared" ref="AD760:AD785" si="29">AC760/I760</f>
      </c>
      <c r="AE760" s="125" t="s">
        <v>121</v>
      </c>
      <c r="AF760" s="126" t="s">
        <v>122</v>
      </c>
      <c r="AG760" s="127">
        <v>12</v>
      </c>
      <c r="AH760" s="127">
        <v>125738</v>
      </c>
      <c r="AI760" s="128">
        <v>4575</v>
      </c>
      <c r="AJ760" s="128">
        <v>5230</v>
      </c>
      <c r="AK760" s="127">
        <v>453</v>
      </c>
      <c r="AL760" s="129">
        <v>397</v>
      </c>
    </row>
    <row r="761">
      <c r="A761" s="108"/>
      <c r="B761" s="109" t="s">
        <v>143</v>
      </c>
      <c r="C761" s="110" t="s">
        <v>123</v>
      </c>
      <c r="D761" s="111">
        <f t="shared" si="412"/>
      </c>
      <c r="E761" s="110">
        <v>3310.34</v>
      </c>
      <c r="F761" s="113">
        <v>12340.71</v>
      </c>
      <c r="G761" s="113">
        <v>0</v>
      </c>
      <c r="H761" s="113">
        <v>0</v>
      </c>
      <c r="I761" s="113">
        <f t="shared" si="541"/>
      </c>
      <c r="J761" s="114">
        <f>2026.08+2603.88+1172.88+1320.84+1172.88</f>
      </c>
      <c r="K761" s="115">
        <f t="shared" si="154"/>
      </c>
      <c r="L761" s="115">
        <f t="shared" si="283"/>
      </c>
      <c r="M761" s="116">
        <f t="shared" si="635"/>
      </c>
      <c r="N761" s="117">
        <f t="shared" si="665"/>
      </c>
      <c r="O761" s="118">
        <f t="shared" si="575"/>
      </c>
      <c r="P761" s="119">
        <f t="shared" si="605"/>
      </c>
      <c r="Q761" s="119">
        <f t="shared" si="785"/>
      </c>
      <c r="R761" s="119">
        <f t="shared" si="815"/>
      </c>
      <c r="S761" s="120">
        <f t="shared" si="695"/>
      </c>
      <c r="T761" s="121">
        <f t="shared" si="725"/>
      </c>
      <c r="U761" s="119">
        <f t="shared" si="1004"/>
      </c>
      <c r="V761" s="122">
        <f t="shared" si="755"/>
      </c>
      <c r="W761" s="122">
        <f t="shared" si="1034"/>
      </c>
      <c r="X761" s="119">
        <f t="shared" si="845"/>
      </c>
      <c r="Y761" s="123">
        <f t="shared" si="970"/>
      </c>
      <c r="Z761" s="123">
        <v>10</v>
      </c>
      <c r="AA761" s="123">
        <v>16</v>
      </c>
      <c r="AB761" s="124">
        <v>21955.320000000003</v>
      </c>
      <c r="AC761" s="124">
        <v>0</v>
      </c>
      <c r="AD761" s="120">
        <f t="shared" si="29"/>
      </c>
      <c r="AE761" s="125" t="s">
        <v>121</v>
      </c>
      <c r="AF761" s="126" t="s">
        <v>122</v>
      </c>
      <c r="AG761" s="127">
        <v>12</v>
      </c>
      <c r="AH761" s="128">
        <v>169631</v>
      </c>
      <c r="AI761" s="128">
        <v>5139</v>
      </c>
      <c r="AJ761" s="128">
        <v>6047</v>
      </c>
      <c r="AK761" s="129">
        <v>577</v>
      </c>
      <c r="AL761" s="129">
        <v>447</v>
      </c>
    </row>
    <row r="762">
      <c r="A762" s="108"/>
      <c r="B762" s="109" t="s">
        <v>143</v>
      </c>
      <c r="C762" s="110" t="s">
        <v>124</v>
      </c>
      <c r="D762" s="111">
        <f t="shared" si="412"/>
      </c>
      <c r="E762" s="110">
        <v>4369.07</v>
      </c>
      <c r="F762" s="113">
        <v>14528.18</v>
      </c>
      <c r="G762" s="113">
        <v>0</v>
      </c>
      <c r="H762" s="113">
        <v>0</v>
      </c>
      <c r="I762" s="113">
        <f t="shared" si="541"/>
      </c>
      <c r="J762" s="114">
        <f>5157+2059.56+679+3110.4+1360.8</f>
      </c>
      <c r="K762" s="115">
        <f t="shared" si="154"/>
      </c>
      <c r="L762" s="115">
        <f t="shared" si="283"/>
      </c>
      <c r="M762" s="116">
        <f t="shared" si="635"/>
      </c>
      <c r="N762" s="117">
        <f t="shared" si="665"/>
      </c>
      <c r="O762" s="118">
        <f t="shared" si="575"/>
      </c>
      <c r="P762" s="119">
        <f t="shared" si="605"/>
      </c>
      <c r="Q762" s="119">
        <f t="shared" si="785"/>
      </c>
      <c r="R762" s="119">
        <f t="shared" si="815"/>
      </c>
      <c r="S762" s="120">
        <f t="shared" si="695"/>
      </c>
      <c r="T762" s="121">
        <f t="shared" si="725"/>
      </c>
      <c r="U762" s="119">
        <f t="shared" si="1004"/>
      </c>
      <c r="V762" s="122">
        <f t="shared" si="755"/>
      </c>
      <c r="W762" s="122">
        <f t="shared" si="1034"/>
      </c>
      <c r="X762" s="119">
        <f t="shared" si="845"/>
      </c>
      <c r="Y762" s="123">
        <f t="shared" si="970"/>
      </c>
      <c r="Z762" s="123">
        <v>9</v>
      </c>
      <c r="AA762" s="123">
        <v>20</v>
      </c>
      <c r="AB762" s="124">
        <v>32741.51999999999</v>
      </c>
      <c r="AC762" s="124">
        <v>1476</v>
      </c>
      <c r="AD762" s="120">
        <f t="shared" si="29"/>
      </c>
      <c r="AE762" s="125" t="s">
        <v>121</v>
      </c>
      <c r="AF762" s="126" t="s">
        <v>122</v>
      </c>
      <c r="AG762" s="129">
        <v>17</v>
      </c>
      <c r="AH762" s="128">
        <v>201886</v>
      </c>
      <c r="AI762" s="128">
        <v>5767</v>
      </c>
      <c r="AJ762" s="128">
        <v>6570</v>
      </c>
      <c r="AK762" s="129">
        <v>670</v>
      </c>
      <c r="AL762" s="129">
        <v>563</v>
      </c>
    </row>
    <row r="763">
      <c r="A763" s="108"/>
      <c r="B763" s="109" t="s">
        <v>143</v>
      </c>
      <c r="C763" s="110" t="s">
        <v>125</v>
      </c>
      <c r="D763" s="111">
        <f t="shared" si="412"/>
      </c>
      <c r="E763" s="110">
        <v>3803.27</v>
      </c>
      <c r="F763" s="113">
        <v>20238.06</v>
      </c>
      <c r="G763" s="113">
        <v>0</v>
      </c>
      <c r="H763" s="113">
        <v>0</v>
      </c>
      <c r="I763" s="162">
        <f t="shared" si="541"/>
      </c>
      <c r="J763" s="114">
        <f>3735.36+1058.4+1096.92+3735.36</f>
      </c>
      <c r="K763" s="115">
        <f t="shared" si="154"/>
      </c>
      <c r="L763" s="115">
        <f t="shared" si="283"/>
      </c>
      <c r="M763" s="116">
        <f t="shared" si="635"/>
      </c>
      <c r="N763" s="117">
        <f t="shared" si="665"/>
      </c>
      <c r="O763" s="118">
        <f t="shared" si="575"/>
      </c>
      <c r="P763" s="119">
        <f t="shared" si="605"/>
      </c>
      <c r="Q763" s="119">
        <f t="shared" si="785"/>
      </c>
      <c r="R763" s="119">
        <f t="shared" si="815"/>
      </c>
      <c r="S763" s="120">
        <f t="shared" si="695"/>
      </c>
      <c r="T763" s="121">
        <f t="shared" si="725"/>
      </c>
      <c r="U763" s="119">
        <f t="shared" si="1004"/>
      </c>
      <c r="V763" s="122">
        <f t="shared" si="755"/>
      </c>
      <c r="W763" s="122">
        <f t="shared" si="1034"/>
      </c>
      <c r="X763" s="119">
        <f t="shared" si="845"/>
      </c>
      <c r="Y763" s="123">
        <f t="shared" si="970"/>
      </c>
      <c r="Z763" s="123">
        <v>7</v>
      </c>
      <c r="AA763" s="123">
        <v>19</v>
      </c>
      <c r="AB763" s="124">
        <v>40722.72</v>
      </c>
      <c r="AC763" s="124">
        <v>3134.2000000000007</v>
      </c>
      <c r="AD763" s="120">
        <f t="shared" si="29"/>
      </c>
      <c r="AE763" s="125" t="s">
        <v>121</v>
      </c>
      <c r="AF763" s="126" t="s">
        <v>122</v>
      </c>
      <c r="AG763" s="127">
        <v>14</v>
      </c>
      <c r="AH763" s="128">
        <v>281732</v>
      </c>
      <c r="AI763" s="128">
        <v>6021</v>
      </c>
      <c r="AJ763" s="128">
        <v>6710</v>
      </c>
      <c r="AK763" s="129">
        <v>726</v>
      </c>
      <c r="AL763" s="129">
        <v>704</v>
      </c>
    </row>
    <row r="764">
      <c r="A764" s="108"/>
      <c r="B764" s="109" t="s">
        <v>143</v>
      </c>
      <c r="C764" s="110" t="s">
        <v>126</v>
      </c>
      <c r="D764" s="111">
        <f t="shared" si="412"/>
      </c>
      <c r="E764" s="110">
        <v>2975.69</v>
      </c>
      <c r="F764" s="113">
        <v>13568.71</v>
      </c>
      <c r="G764" s="113">
        <v>0</v>
      </c>
      <c r="H764" s="113">
        <v>0</v>
      </c>
      <c r="I764" s="113">
        <f t="shared" si="541"/>
      </c>
      <c r="J764" s="114">
        <f>453.6+465.48+1149.12+1172.88</f>
      </c>
      <c r="K764" s="115">
        <f t="shared" si="154"/>
      </c>
      <c r="L764" s="115">
        <f t="shared" si="283"/>
      </c>
      <c r="M764" s="116">
        <f t="shared" si="635"/>
      </c>
      <c r="N764" s="117">
        <f t="shared" si="665"/>
      </c>
      <c r="O764" s="118">
        <f t="shared" si="575"/>
      </c>
      <c r="P764" s="119">
        <f t="shared" si="605"/>
      </c>
      <c r="Q764" s="119">
        <f t="shared" si="785"/>
      </c>
      <c r="R764" s="119">
        <f t="shared" si="815"/>
      </c>
      <c r="S764" s="120">
        <f t="shared" si="695"/>
      </c>
      <c r="T764" s="121">
        <f t="shared" si="725"/>
      </c>
      <c r="U764" s="119">
        <f t="shared" si="1004"/>
      </c>
      <c r="V764" s="122">
        <f t="shared" si="755"/>
      </c>
      <c r="W764" s="122">
        <f t="shared" si="1034"/>
      </c>
      <c r="X764" s="119">
        <f t="shared" si="845"/>
      </c>
      <c r="Y764" s="123">
        <f t="shared" si="970"/>
      </c>
      <c r="Z764" s="123">
        <v>11</v>
      </c>
      <c r="AA764" s="123">
        <v>21</v>
      </c>
      <c r="AB764" s="124">
        <f>20250+1622.16+465.48</f>
      </c>
      <c r="AC764" s="124">
        <f>4030+1437</f>
      </c>
      <c r="AD764" s="120">
        <f t="shared" si="29"/>
      </c>
      <c r="AE764" s="125" t="s">
        <v>121</v>
      </c>
      <c r="AF764" s="126" t="s">
        <v>122</v>
      </c>
      <c r="AG764" s="127">
        <v>16</v>
      </c>
      <c r="AH764" s="128">
        <v>182356</v>
      </c>
      <c r="AI764" s="128">
        <v>3407</v>
      </c>
      <c r="AJ764" s="128">
        <v>3963</v>
      </c>
      <c r="AK764" s="127">
        <v>487</v>
      </c>
      <c r="AL764" s="127">
        <v>519</v>
      </c>
    </row>
    <row r="765">
      <c r="A765" s="108"/>
      <c r="B765" s="130" t="s">
        <v>127</v>
      </c>
      <c r="C765" s="131">
        <v>5</v>
      </c>
      <c r="D765" s="132">
        <f>SUM(D760:D764)</f>
      </c>
      <c r="E765" s="132">
        <f>SUM(E760:E764)</f>
      </c>
      <c r="F765" s="132">
        <f>SUM(F760:F764)</f>
      </c>
      <c r="G765" s="132">
        <f>SUM(G760:G764)</f>
      </c>
      <c r="H765" s="132">
        <f>SUM(H760:H764)</f>
      </c>
      <c r="I765" s="132">
        <f>SUM(I760:I764)</f>
      </c>
      <c r="J765" s="132">
        <f>SUM(J760:J764)</f>
      </c>
      <c r="K765" s="132">
        <f>SUM(K760:K764)</f>
      </c>
      <c r="L765" s="132">
        <f>SUM(L760:L764)</f>
      </c>
      <c r="M765" s="133">
        <f t="shared" si="635"/>
      </c>
      <c r="N765" s="134">
        <f t="shared" si="665"/>
      </c>
      <c r="O765" s="134">
        <f t="shared" si="575"/>
      </c>
      <c r="P765" s="135">
        <f t="shared" si="605"/>
      </c>
      <c r="Q765" s="135">
        <f t="shared" si="785"/>
      </c>
      <c r="R765" s="135">
        <f t="shared" si="815"/>
      </c>
      <c r="S765" s="136">
        <f t="shared" si="695"/>
      </c>
      <c r="T765" s="136">
        <f t="shared" si="725"/>
      </c>
      <c r="U765" s="135">
        <f t="shared" si="1004"/>
      </c>
      <c r="V765" s="136">
        <f t="shared" si="755"/>
      </c>
      <c r="W765" s="136">
        <f t="shared" si="1034"/>
      </c>
      <c r="X765" s="135">
        <f t="shared" si="845"/>
      </c>
      <c r="Y765" s="132">
        <f>SUM(Y760:Y764)</f>
      </c>
      <c r="Z765" s="132">
        <f>SUM(Z760:Z764)</f>
      </c>
      <c r="AA765" s="132">
        <f>SUM(AA760:AA764)</f>
      </c>
      <c r="AB765" s="132">
        <f>SUM(AB760:AB764)</f>
      </c>
      <c r="AC765" s="132">
        <f>SUM(AC760:AC764)</f>
      </c>
      <c r="AD765" s="137">
        <f t="shared" si="29"/>
      </c>
      <c r="AE765" s="138"/>
      <c r="AF765" s="139"/>
      <c r="AG765" s="132">
        <f>SUM(AG760:AG764)</f>
      </c>
      <c r="AH765" s="132">
        <f>SUM(AH760:AH764)</f>
      </c>
      <c r="AI765" s="132">
        <f>SUM(AI760:AI764)</f>
      </c>
      <c r="AJ765" s="132">
        <f>SUM(AJ760:AJ764)</f>
      </c>
      <c r="AK765" s="132">
        <f>SUM(AK760:AK764)</f>
      </c>
      <c r="AL765" s="132">
        <f>SUM(AL760:AL764)</f>
      </c>
    </row>
    <row r="766">
      <c r="A766" s="108"/>
      <c r="B766" s="109" t="s">
        <v>128</v>
      </c>
      <c r="C766" s="110" t="s">
        <v>129</v>
      </c>
      <c r="D766" s="111">
        <f t="shared" ref="D766:D769" si="413">E766+F766+G766+H766</f>
      </c>
      <c r="E766" s="112">
        <v>2545.79</v>
      </c>
      <c r="F766" s="113">
        <v>9163.53</v>
      </c>
      <c r="G766" s="113">
        <v>0</v>
      </c>
      <c r="H766" s="113">
        <v>0</v>
      </c>
      <c r="I766" s="113">
        <f t="shared" ref="I766:I769" si="542">AB766+AC766</f>
      </c>
      <c r="J766" s="114">
        <f>1071+421.68+733.32</f>
      </c>
      <c r="K766" s="115">
        <f t="shared" ref="K766:K769" si="155">I766-J766</f>
      </c>
      <c r="L766" s="115">
        <f t="shared" ref="L766:L769" si="284">(I766-AC766)/12+AC766</f>
      </c>
      <c r="M766" s="116">
        <f t="shared" si="635"/>
      </c>
      <c r="N766" s="117">
        <f t="shared" si="665"/>
      </c>
      <c r="O766" s="118">
        <f t="shared" si="575"/>
      </c>
      <c r="P766" s="119">
        <f t="shared" si="605"/>
      </c>
      <c r="Q766" s="119">
        <f t="shared" si="785"/>
      </c>
      <c r="R766" s="119">
        <f t="shared" si="815"/>
      </c>
      <c r="S766" s="120">
        <f t="shared" si="695"/>
      </c>
      <c r="T766" s="121">
        <f t="shared" si="725"/>
      </c>
      <c r="U766" s="119">
        <f t="shared" si="1004"/>
      </c>
      <c r="V766" s="122">
        <f t="shared" si="755"/>
      </c>
      <c r="W766" s="122">
        <f t="shared" si="1034"/>
      </c>
      <c r="X766" s="119">
        <f t="shared" si="845"/>
      </c>
      <c r="Y766" s="123">
        <f t="shared" ref="Y766:Y769" si="971">Z766+AA766</f>
      </c>
      <c r="Z766" s="123">
        <v>7</v>
      </c>
      <c r="AA766" s="123">
        <v>5</v>
      </c>
      <c r="AB766" s="124">
        <v>10858.440000000002</v>
      </c>
      <c r="AC766" s="124">
        <v>0</v>
      </c>
      <c r="AD766" s="120">
        <f t="shared" si="29"/>
      </c>
      <c r="AE766" s="125" t="s">
        <v>121</v>
      </c>
      <c r="AF766" s="126" t="s">
        <v>122</v>
      </c>
      <c r="AG766" s="127">
        <v>6</v>
      </c>
      <c r="AH766" s="128">
        <v>140167</v>
      </c>
      <c r="AI766" s="128">
        <v>2410</v>
      </c>
      <c r="AJ766" s="128">
        <v>2853</v>
      </c>
      <c r="AK766" s="127">
        <v>346</v>
      </c>
      <c r="AL766" s="127">
        <v>346</v>
      </c>
    </row>
    <row r="767">
      <c r="A767" s="108"/>
      <c r="B767" s="109" t="s">
        <v>128</v>
      </c>
      <c r="C767" s="110" t="s">
        <v>130</v>
      </c>
      <c r="D767" s="111">
        <f t="shared" si="413"/>
      </c>
      <c r="E767" s="110">
        <v>1588.01</v>
      </c>
      <c r="F767" s="113">
        <v>7462.23</v>
      </c>
      <c r="G767" s="113">
        <v>0</v>
      </c>
      <c r="H767" s="113">
        <v>0</v>
      </c>
      <c r="I767" s="113">
        <f t="shared" si="542"/>
      </c>
      <c r="J767" s="114">
        <v>1300.32</v>
      </c>
      <c r="K767" s="115">
        <f t="shared" si="155"/>
      </c>
      <c r="L767" s="115">
        <f t="shared" si="284"/>
      </c>
      <c r="M767" s="116">
        <f t="shared" si="635"/>
      </c>
      <c r="N767" s="117">
        <f t="shared" si="665"/>
      </c>
      <c r="O767" s="118">
        <f t="shared" si="575"/>
      </c>
      <c r="P767" s="119">
        <f t="shared" si="605"/>
      </c>
      <c r="Q767" s="119">
        <f t="shared" si="785"/>
      </c>
      <c r="R767" s="119">
        <f t="shared" si="815"/>
      </c>
      <c r="S767" s="120">
        <f t="shared" si="695"/>
      </c>
      <c r="T767" s="121">
        <f t="shared" si="725"/>
      </c>
      <c r="U767" s="119">
        <f t="shared" si="1004"/>
      </c>
      <c r="V767" s="122">
        <f t="shared" si="755"/>
      </c>
      <c r="W767" s="122">
        <f t="shared" si="1034"/>
      </c>
      <c r="X767" s="119">
        <f t="shared" si="845"/>
      </c>
      <c r="Y767" s="123">
        <f t="shared" si="971"/>
      </c>
      <c r="Z767" s="123">
        <v>6</v>
      </c>
      <c r="AA767" s="123">
        <v>11</v>
      </c>
      <c r="AB767" s="124">
        <v>12079.799999999988</v>
      </c>
      <c r="AC767" s="124">
        <v>0</v>
      </c>
      <c r="AD767" s="120">
        <f t="shared" si="29"/>
      </c>
      <c r="AE767" s="125" t="s">
        <v>121</v>
      </c>
      <c r="AF767" s="126" t="s">
        <v>122</v>
      </c>
      <c r="AG767" s="127">
        <v>8</v>
      </c>
      <c r="AH767" s="128">
        <v>111297</v>
      </c>
      <c r="AI767" s="128">
        <v>1715</v>
      </c>
      <c r="AJ767" s="128">
        <v>2152</v>
      </c>
      <c r="AK767" s="129">
        <v>250</v>
      </c>
      <c r="AL767" s="129">
        <v>305</v>
      </c>
    </row>
    <row r="768">
      <c r="A768" s="108"/>
      <c r="B768" s="109" t="s">
        <v>128</v>
      </c>
      <c r="C768" s="110" t="s">
        <v>131</v>
      </c>
      <c r="D768" s="111">
        <f t="shared" si="413"/>
      </c>
      <c r="E768" s="110">
        <v>1407.5</v>
      </c>
      <c r="F768" s="110">
        <v>6065.57</v>
      </c>
      <c r="G768" s="113">
        <v>0</v>
      </c>
      <c r="H768" s="113">
        <v>0</v>
      </c>
      <c r="I768" s="113">
        <f t="shared" si="542"/>
      </c>
      <c r="J768" s="114">
        <v>0</v>
      </c>
      <c r="K768" s="115">
        <f t="shared" si="155"/>
      </c>
      <c r="L768" s="115">
        <f t="shared" si="284"/>
      </c>
      <c r="M768" s="116">
        <f t="shared" si="635"/>
      </c>
      <c r="N768" s="117">
        <f t="shared" si="665"/>
      </c>
      <c r="O768" s="118">
        <f t="shared" si="575"/>
      </c>
      <c r="P768" s="119">
        <f t="shared" si="605"/>
      </c>
      <c r="Q768" s="119">
        <f t="shared" si="785"/>
      </c>
      <c r="R768" s="119">
        <f t="shared" si="815"/>
      </c>
      <c r="S768" s="120">
        <f t="shared" si="695"/>
      </c>
      <c r="T768" s="121">
        <f t="shared" si="725"/>
      </c>
      <c r="U768" s="119">
        <f t="shared" si="1004"/>
      </c>
      <c r="V768" s="122">
        <f t="shared" si="755"/>
      </c>
      <c r="W768" s="122">
        <f t="shared" si="1034"/>
      </c>
      <c r="X768" s="119">
        <f t="shared" si="845"/>
      </c>
      <c r="Y768" s="123">
        <f t="shared" si="971"/>
      </c>
      <c r="Z768" s="123">
        <v>8</v>
      </c>
      <c r="AA768" s="123">
        <v>8</v>
      </c>
      <c r="AB768" s="124">
        <v>13211.639999999985</v>
      </c>
      <c r="AC768" s="124">
        <v>0</v>
      </c>
      <c r="AD768" s="120">
        <f t="shared" si="29"/>
      </c>
      <c r="AE768" s="125" t="s">
        <v>121</v>
      </c>
      <c r="AF768" s="126" t="s">
        <v>122</v>
      </c>
      <c r="AG768" s="129">
        <v>7</v>
      </c>
      <c r="AH768" s="128">
        <v>88910</v>
      </c>
      <c r="AI768" s="128">
        <v>1454</v>
      </c>
      <c r="AJ768" s="128">
        <v>1764</v>
      </c>
      <c r="AK768" s="129">
        <v>244</v>
      </c>
      <c r="AL768" s="129">
        <v>278</v>
      </c>
    </row>
    <row r="769">
      <c r="A769" s="108"/>
      <c r="B769" s="109" t="s">
        <v>128</v>
      </c>
      <c r="C769" s="110" t="s">
        <v>132</v>
      </c>
      <c r="D769" s="111">
        <f t="shared" si="413"/>
      </c>
      <c r="E769" s="110">
        <v>1311.01</v>
      </c>
      <c r="F769" s="113">
        <v>11469.43</v>
      </c>
      <c r="G769" s="113">
        <v>0</v>
      </c>
      <c r="H769" s="113">
        <v>0</v>
      </c>
      <c r="I769" s="113">
        <f t="shared" si="542"/>
      </c>
      <c r="J769" s="114">
        <f>770.04+410.4+4488.6+3687.48</f>
      </c>
      <c r="K769" s="115">
        <f t="shared" si="155"/>
      </c>
      <c r="L769" s="115">
        <f t="shared" si="284"/>
      </c>
      <c r="M769" s="116">
        <f t="shared" si="635"/>
      </c>
      <c r="N769" s="117">
        <f t="shared" si="665"/>
      </c>
      <c r="O769" s="118">
        <f t="shared" si="575"/>
      </c>
      <c r="P769" s="119">
        <f t="shared" si="605"/>
      </c>
      <c r="Q769" s="119">
        <f t="shared" si="785"/>
      </c>
      <c r="R769" s="119">
        <f t="shared" si="815"/>
      </c>
      <c r="S769" s="120">
        <f t="shared" si="695"/>
      </c>
      <c r="T769" s="121">
        <f t="shared" si="725"/>
      </c>
      <c r="U769" s="119">
        <f t="shared" si="1004"/>
      </c>
      <c r="V769" s="122">
        <f t="shared" si="755"/>
      </c>
      <c r="W769" s="122">
        <f t="shared" si="1034"/>
      </c>
      <c r="X769" s="119">
        <f t="shared" si="845"/>
      </c>
      <c r="Y769" s="123">
        <f t="shared" si="971"/>
      </c>
      <c r="Z769" s="123">
        <v>6</v>
      </c>
      <c r="AA769" s="123">
        <v>16</v>
      </c>
      <c r="AB769" s="114">
        <v>39949.080000000016</v>
      </c>
      <c r="AC769" s="124">
        <v>1547</v>
      </c>
      <c r="AD769" s="120">
        <f t="shared" si="29"/>
      </c>
      <c r="AE769" s="125" t="s">
        <v>121</v>
      </c>
      <c r="AF769" s="126" t="s">
        <v>122</v>
      </c>
      <c r="AG769" s="127">
        <v>11</v>
      </c>
      <c r="AH769" s="128">
        <v>189735</v>
      </c>
      <c r="AI769" s="128">
        <v>1908</v>
      </c>
      <c r="AJ769" s="128">
        <v>2120</v>
      </c>
      <c r="AK769" s="129">
        <v>318</v>
      </c>
      <c r="AL769" s="129">
        <v>424</v>
      </c>
    </row>
    <row r="770">
      <c r="A770" s="108"/>
      <c r="B770" s="130" t="s">
        <v>127</v>
      </c>
      <c r="C770" s="131">
        <v>4</v>
      </c>
      <c r="D770" s="132">
        <f>SUM(D766:D769)</f>
      </c>
      <c r="E770" s="132">
        <f>SUM(E766:E769)</f>
      </c>
      <c r="F770" s="132">
        <f>SUM(F766:F769)</f>
      </c>
      <c r="G770" s="132">
        <f>SUM(G766:G769)</f>
      </c>
      <c r="H770" s="132">
        <f>SUM(H766:H769)</f>
      </c>
      <c r="I770" s="132">
        <f>SUM(I766:I769)</f>
      </c>
      <c r="J770" s="132">
        <f>SUM(J766:J769)</f>
      </c>
      <c r="K770" s="132">
        <f>SUM(K766:K769)</f>
      </c>
      <c r="L770" s="132">
        <f>SUM(L766:L769)</f>
      </c>
      <c r="M770" s="133">
        <f t="shared" si="635"/>
      </c>
      <c r="N770" s="134">
        <f t="shared" si="665"/>
      </c>
      <c r="O770" s="134">
        <f t="shared" si="575"/>
      </c>
      <c r="P770" s="135">
        <f t="shared" si="605"/>
      </c>
      <c r="Q770" s="135">
        <f t="shared" si="785"/>
      </c>
      <c r="R770" s="135">
        <f t="shared" si="815"/>
      </c>
      <c r="S770" s="136">
        <f t="shared" si="695"/>
      </c>
      <c r="T770" s="136">
        <f t="shared" si="725"/>
      </c>
      <c r="U770" s="135">
        <f t="shared" si="1004"/>
      </c>
      <c r="V770" s="136">
        <f t="shared" si="755"/>
      </c>
      <c r="W770" s="136">
        <f t="shared" si="1034"/>
      </c>
      <c r="X770" s="135">
        <f t="shared" si="845"/>
      </c>
      <c r="Y770" s="132">
        <f>SUM(Y766:Y769)</f>
      </c>
      <c r="Z770" s="132">
        <f>SUM(Z766:Z769)</f>
      </c>
      <c r="AA770" s="132">
        <f>SUM(AA766:AA769)</f>
      </c>
      <c r="AB770" s="132">
        <f>SUM(AB766:AB769)</f>
      </c>
      <c r="AC770" s="132">
        <f>SUM(AC766:AC769)</f>
      </c>
      <c r="AD770" s="137">
        <f t="shared" si="29"/>
      </c>
      <c r="AE770" s="138"/>
      <c r="AF770" s="139"/>
      <c r="AG770" s="132">
        <f>SUM(AG766:AG769)</f>
      </c>
      <c r="AH770" s="132">
        <f>SUM(AH766:AH769)</f>
      </c>
      <c r="AI770" s="132">
        <f>SUM(AI766:AI769)</f>
      </c>
      <c r="AJ770" s="132">
        <f>SUM(AJ766:AJ769)</f>
      </c>
      <c r="AK770" s="132">
        <f>SUM(AK766:AK769)</f>
      </c>
      <c r="AL770" s="132">
        <f>SUM(AL766:AL769)</f>
      </c>
    </row>
    <row r="771">
      <c r="A771" s="108"/>
      <c r="B771" s="109" t="s">
        <v>155</v>
      </c>
      <c r="C771" s="110" t="s">
        <v>134</v>
      </c>
      <c r="D771" s="111">
        <f t="shared" ref="D771:D772" si="414">E771+F771+G771+H771</f>
      </c>
      <c r="E771" s="110">
        <v>1296.28</v>
      </c>
      <c r="F771" s="140">
        <v>9748.38</v>
      </c>
      <c r="G771" s="113">
        <v>0</v>
      </c>
      <c r="H771" s="113">
        <v>0</v>
      </c>
      <c r="I771" s="183">
        <f t="shared" ref="I771:I772" si="543">AB771+AC771</f>
      </c>
      <c r="J771" s="160">
        <v>1133.76</v>
      </c>
      <c r="K771" s="115">
        <f t="shared" ref="K771:K772" si="156">I771-J771</f>
      </c>
      <c r="L771" s="115">
        <f t="shared" ref="L771:L772" si="285">(I771-AC771)/12+AC771</f>
      </c>
      <c r="M771" s="116">
        <f t="shared" si="635"/>
      </c>
      <c r="N771" s="117">
        <f t="shared" si="665"/>
      </c>
      <c r="O771" s="118">
        <f t="shared" si="575"/>
      </c>
      <c r="P771" s="119">
        <f t="shared" si="605"/>
      </c>
      <c r="Q771" s="119">
        <f t="shared" si="785"/>
      </c>
      <c r="R771" s="119">
        <f t="shared" si="815"/>
      </c>
      <c r="S771" s="120">
        <f t="shared" si="695"/>
      </c>
      <c r="T771" s="121">
        <f t="shared" si="725"/>
      </c>
      <c r="U771" s="119">
        <f t="shared" si="1004"/>
      </c>
      <c r="V771" s="122">
        <f t="shared" si="755"/>
      </c>
      <c r="W771" s="122">
        <f t="shared" si="1034"/>
      </c>
      <c r="X771" s="119">
        <f t="shared" si="845"/>
      </c>
      <c r="Y771" s="123">
        <f t="shared" ref="Y771:Y772" si="972">Z771+AA771</f>
      </c>
      <c r="Z771" s="123">
        <v>12</v>
      </c>
      <c r="AA771" s="123">
        <v>8</v>
      </c>
      <c r="AB771" s="124">
        <v>11931.48000000001</v>
      </c>
      <c r="AC771" s="124">
        <v>941</v>
      </c>
      <c r="AD771" s="120">
        <f t="shared" si="29"/>
      </c>
      <c r="AE771" s="125" t="s">
        <v>121</v>
      </c>
      <c r="AF771" s="126" t="s">
        <v>122</v>
      </c>
      <c r="AG771" s="127">
        <v>6</v>
      </c>
      <c r="AH771" s="128">
        <v>164052</v>
      </c>
      <c r="AI771" s="128">
        <v>1666</v>
      </c>
      <c r="AJ771" s="128">
        <v>1880</v>
      </c>
      <c r="AK771" s="129">
        <v>301</v>
      </c>
      <c r="AL771" s="129">
        <v>361</v>
      </c>
    </row>
    <row r="772">
      <c r="A772" s="108"/>
      <c r="B772" s="109" t="s">
        <v>155</v>
      </c>
      <c r="C772" s="110" t="s">
        <v>135</v>
      </c>
      <c r="D772" s="111">
        <f t="shared" si="414"/>
      </c>
      <c r="E772" s="141">
        <v>1350.42</v>
      </c>
      <c r="F772" s="142">
        <v>5643.98</v>
      </c>
      <c r="G772" s="171">
        <v>0</v>
      </c>
      <c r="H772" s="113">
        <v>0</v>
      </c>
      <c r="I772" s="184">
        <f t="shared" si="543"/>
      </c>
      <c r="J772" s="160">
        <f>618.72+498.96</f>
      </c>
      <c r="K772" s="115">
        <f t="shared" si="156"/>
      </c>
      <c r="L772" s="115">
        <f t="shared" si="285"/>
      </c>
      <c r="M772" s="116">
        <f t="shared" si="635"/>
      </c>
      <c r="N772" s="117">
        <f t="shared" si="665"/>
      </c>
      <c r="O772" s="118">
        <f t="shared" si="575"/>
      </c>
      <c r="P772" s="119">
        <f t="shared" si="605"/>
      </c>
      <c r="Q772" s="119">
        <f t="shared" si="785"/>
      </c>
      <c r="R772" s="119">
        <f t="shared" si="815"/>
      </c>
      <c r="S772" s="120">
        <f t="shared" si="695"/>
      </c>
      <c r="T772" s="121">
        <f t="shared" si="725"/>
      </c>
      <c r="U772" s="119">
        <f t="shared" si="1004"/>
      </c>
      <c r="V772" s="122">
        <f t="shared" si="755"/>
      </c>
      <c r="W772" s="122">
        <f t="shared" si="1034"/>
      </c>
      <c r="X772" s="119">
        <f t="shared" si="845"/>
      </c>
      <c r="Y772" s="172">
        <f t="shared" si="972"/>
      </c>
      <c r="Z772" s="123">
        <v>6</v>
      </c>
      <c r="AA772" s="123">
        <v>6</v>
      </c>
      <c r="AB772" s="173">
        <f>5301.71999999997+4116.96</f>
      </c>
      <c r="AC772" s="124">
        <v>1502</v>
      </c>
      <c r="AD772" s="120">
        <f t="shared" si="29"/>
      </c>
      <c r="AE772" s="125" t="s">
        <v>121</v>
      </c>
      <c r="AF772" s="126" t="s">
        <v>137</v>
      </c>
      <c r="AG772" s="129">
        <v>5</v>
      </c>
      <c r="AH772" s="128">
        <v>91727</v>
      </c>
      <c r="AI772" s="128">
        <v>1263</v>
      </c>
      <c r="AJ772" s="128">
        <v>1498</v>
      </c>
      <c r="AK772" s="129">
        <v>202</v>
      </c>
      <c r="AL772" s="129">
        <v>244</v>
      </c>
    </row>
    <row r="773">
      <c r="A773" s="108"/>
      <c r="B773" s="130" t="s">
        <v>127</v>
      </c>
      <c r="C773" s="131">
        <v>2</v>
      </c>
      <c r="D773" s="185">
        <f>SUM(D771:D772)</f>
      </c>
      <c r="E773" s="185">
        <f>SUM(E771:E772)</f>
      </c>
      <c r="F773" s="185">
        <f>SUM(F771:F772)</f>
      </c>
      <c r="G773" s="185">
        <f>SUM(G771:G772)</f>
      </c>
      <c r="H773" s="185">
        <f>SUM(H771:H772)</f>
      </c>
      <c r="I773" s="185">
        <f>SUM(I771:I772)</f>
      </c>
      <c r="J773" s="185">
        <f>SUM(J771:J772)</f>
      </c>
      <c r="K773" s="185">
        <f>SUM(K771:K772)</f>
      </c>
      <c r="L773" s="185">
        <f>SUM(L771:L772)</f>
      </c>
      <c r="M773" s="133">
        <f t="shared" si="635"/>
      </c>
      <c r="N773" s="134">
        <f t="shared" si="665"/>
      </c>
      <c r="O773" s="134">
        <f t="shared" si="575"/>
      </c>
      <c r="P773" s="135">
        <f t="shared" si="605"/>
      </c>
      <c r="Q773" s="135">
        <f t="shared" si="785"/>
      </c>
      <c r="R773" s="135">
        <f t="shared" si="815"/>
      </c>
      <c r="S773" s="136">
        <f t="shared" si="695"/>
      </c>
      <c r="T773" s="136">
        <f t="shared" si="725"/>
      </c>
      <c r="U773" s="135">
        <f t="shared" si="1004"/>
      </c>
      <c r="V773" s="136">
        <f t="shared" si="755"/>
      </c>
      <c r="W773" s="136">
        <f t="shared" si="1034"/>
      </c>
      <c r="X773" s="135">
        <f t="shared" si="845"/>
      </c>
      <c r="Y773" s="185">
        <f>SUM(Y771:Y772)</f>
      </c>
      <c r="Z773" s="185">
        <f>SUM(Z771:Z772)</f>
      </c>
      <c r="AA773" s="185">
        <f>SUM(AA771:AA772)</f>
      </c>
      <c r="AB773" s="185">
        <f>SUM(AB771:AB772)</f>
      </c>
      <c r="AC773" s="185">
        <f>SUM(AC771:AC772)</f>
      </c>
      <c r="AD773" s="137">
        <f t="shared" si="29"/>
      </c>
      <c r="AE773" s="138"/>
      <c r="AF773" s="139"/>
      <c r="AG773" s="185">
        <f>SUM(AG771:AG772)</f>
      </c>
      <c r="AH773" s="185">
        <f>SUM(AH771:AH772)</f>
      </c>
      <c r="AI773" s="185">
        <f>SUM(AI771:AI772)</f>
      </c>
      <c r="AJ773" s="185">
        <f>SUM(AJ771:AJ772)</f>
      </c>
      <c r="AK773" s="185">
        <f>SUM(AK771:AK772)</f>
      </c>
      <c r="AL773" s="185">
        <f>SUM(AL771:AL772)</f>
      </c>
    </row>
    <row r="774">
      <c r="A774" s="108"/>
      <c r="B774" s="109" t="s">
        <v>133</v>
      </c>
      <c r="C774" s="110" t="s">
        <v>138</v>
      </c>
      <c r="D774" s="111">
        <f t="shared" ref="D774:D777" si="415">E774+F774+G774+H774</f>
      </c>
      <c r="E774" s="110">
        <v>1306.79</v>
      </c>
      <c r="F774" s="140">
        <v>6098.11</v>
      </c>
      <c r="G774" s="113">
        <v>0</v>
      </c>
      <c r="H774" s="113">
        <v>0</v>
      </c>
      <c r="I774" s="183">
        <f t="shared" ref="I774:I777" si="544">AB774+AC774</f>
      </c>
      <c r="J774" s="160">
        <v>1797.12</v>
      </c>
      <c r="K774" s="115">
        <f t="shared" ref="K774:K777" si="157">I774-J774</f>
      </c>
      <c r="L774" s="115">
        <f t="shared" ref="L774:L777" si="286">(I774-AC774)/12+AC774</f>
      </c>
      <c r="M774" s="116">
        <f t="shared" si="635"/>
      </c>
      <c r="N774" s="117">
        <f t="shared" si="665"/>
      </c>
      <c r="O774" s="118">
        <f t="shared" si="575"/>
      </c>
      <c r="P774" s="119">
        <f t="shared" si="605"/>
      </c>
      <c r="Q774" s="119">
        <f t="shared" si="785"/>
      </c>
      <c r="R774" s="119">
        <f t="shared" si="815"/>
      </c>
      <c r="S774" s="120">
        <f t="shared" si="695"/>
      </c>
      <c r="T774" s="121">
        <f t="shared" si="725"/>
      </c>
      <c r="U774" s="119">
        <f t="shared" si="1004"/>
      </c>
      <c r="V774" s="122">
        <f t="shared" si="755"/>
      </c>
      <c r="W774" s="122">
        <f t="shared" si="1034"/>
      </c>
      <c r="X774" s="119">
        <f t="shared" si="845"/>
      </c>
      <c r="Y774" s="123">
        <f t="shared" ref="Y774:Y777" si="973">Z774+AA774</f>
      </c>
      <c r="Z774" s="123">
        <v>2</v>
      </c>
      <c r="AA774" s="123">
        <v>5</v>
      </c>
      <c r="AB774" s="124">
        <v>9982.440000000031</v>
      </c>
      <c r="AC774" s="124">
        <v>800</v>
      </c>
      <c r="AD774" s="120">
        <f t="shared" si="29"/>
      </c>
      <c r="AE774" s="125" t="s">
        <v>121</v>
      </c>
      <c r="AF774" s="126" t="s">
        <v>137</v>
      </c>
      <c r="AG774" s="127">
        <v>6</v>
      </c>
      <c r="AH774" s="128">
        <v>82293</v>
      </c>
      <c r="AI774" s="128">
        <v>1338</v>
      </c>
      <c r="AJ774" s="128">
        <v>1525</v>
      </c>
      <c r="AK774" s="129">
        <v>165</v>
      </c>
      <c r="AL774" s="129">
        <v>187</v>
      </c>
    </row>
    <row r="775">
      <c r="A775" s="108"/>
      <c r="B775" s="109" t="s">
        <v>133</v>
      </c>
      <c r="C775" s="110" t="s">
        <v>140</v>
      </c>
      <c r="D775" s="111">
        <f t="shared" si="415"/>
      </c>
      <c r="E775" s="110">
        <v>1247.2</v>
      </c>
      <c r="F775" s="140">
        <v>6601.33</v>
      </c>
      <c r="G775" s="113">
        <v>0</v>
      </c>
      <c r="H775" s="113">
        <v>0</v>
      </c>
      <c r="I775" s="183">
        <f t="shared" si="544"/>
      </c>
      <c r="J775" s="160">
        <v>0</v>
      </c>
      <c r="K775" s="115">
        <f t="shared" si="157"/>
      </c>
      <c r="L775" s="115">
        <f t="shared" si="286"/>
      </c>
      <c r="M775" s="116">
        <f t="shared" si="635"/>
      </c>
      <c r="N775" s="117">
        <f t="shared" si="665"/>
      </c>
      <c r="O775" s="118">
        <f t="shared" si="575"/>
      </c>
      <c r="P775" s="119">
        <f t="shared" si="605"/>
      </c>
      <c r="Q775" s="119">
        <f t="shared" si="785"/>
      </c>
      <c r="R775" s="119">
        <f t="shared" si="815"/>
      </c>
      <c r="S775" s="120">
        <f t="shared" si="695"/>
      </c>
      <c r="T775" s="121">
        <f t="shared" si="725"/>
      </c>
      <c r="U775" s="119">
        <f t="shared" si="1004"/>
      </c>
      <c r="V775" s="122">
        <f t="shared" si="755"/>
      </c>
      <c r="W775" s="122">
        <f t="shared" si="1034"/>
      </c>
      <c r="X775" s="119">
        <f t="shared" si="845"/>
      </c>
      <c r="Y775" s="123">
        <f t="shared" si="973"/>
      </c>
      <c r="Z775" s="123">
        <v>5</v>
      </c>
      <c r="AA775" s="123">
        <v>6</v>
      </c>
      <c r="AB775" s="124">
        <v>8841.959999999963</v>
      </c>
      <c r="AC775" s="124">
        <v>2504.2000000000007</v>
      </c>
      <c r="AD775" s="120">
        <f t="shared" si="29"/>
      </c>
      <c r="AE775" s="125" t="s">
        <v>121</v>
      </c>
      <c r="AF775" s="126" t="s">
        <v>137</v>
      </c>
      <c r="AG775" s="127">
        <v>5</v>
      </c>
      <c r="AH775" s="128">
        <v>98124</v>
      </c>
      <c r="AI775" s="128">
        <v>1258</v>
      </c>
      <c r="AJ775" s="128">
        <v>1427</v>
      </c>
      <c r="AK775" s="129">
        <v>183</v>
      </c>
      <c r="AL775" s="129">
        <v>212</v>
      </c>
    </row>
    <row r="776">
      <c r="A776" s="108"/>
      <c r="B776" s="109" t="s">
        <v>133</v>
      </c>
      <c r="C776" s="141" t="s">
        <v>141</v>
      </c>
      <c r="D776" s="111">
        <f t="shared" si="415"/>
      </c>
      <c r="E776" s="110">
        <v>1405.67</v>
      </c>
      <c r="F776" s="140">
        <v>5752.23</v>
      </c>
      <c r="G776" s="113">
        <v>0</v>
      </c>
      <c r="H776" s="113">
        <v>0</v>
      </c>
      <c r="I776" s="183">
        <f t="shared" si="544"/>
      </c>
      <c r="J776" s="160">
        <v>0</v>
      </c>
      <c r="K776" s="115">
        <f t="shared" si="157"/>
      </c>
      <c r="L776" s="115">
        <f t="shared" si="286"/>
      </c>
      <c r="M776" s="116">
        <f t="shared" si="635"/>
      </c>
      <c r="N776" s="117">
        <f t="shared" si="665"/>
      </c>
      <c r="O776" s="118">
        <f t="shared" si="575"/>
      </c>
      <c r="P776" s="119">
        <f t="shared" si="605"/>
      </c>
      <c r="Q776" s="119">
        <f t="shared" si="785"/>
      </c>
      <c r="R776" s="119">
        <f t="shared" si="815"/>
      </c>
      <c r="S776" s="120">
        <f t="shared" si="695"/>
      </c>
      <c r="T776" s="121">
        <f t="shared" si="725"/>
      </c>
      <c r="U776" s="119">
        <f t="shared" si="1004"/>
      </c>
      <c r="V776" s="122">
        <f t="shared" si="755"/>
      </c>
      <c r="W776" s="122">
        <f t="shared" si="1034"/>
      </c>
      <c r="X776" s="119">
        <f t="shared" si="845"/>
      </c>
      <c r="Y776" s="123">
        <f t="shared" si="973"/>
      </c>
      <c r="Z776" s="123">
        <v>6</v>
      </c>
      <c r="AA776" s="123">
        <v>5</v>
      </c>
      <c r="AB776" s="124">
        <v>7326.960000000021</v>
      </c>
      <c r="AC776" s="124">
        <v>0</v>
      </c>
      <c r="AD776" s="120">
        <f t="shared" si="29"/>
      </c>
      <c r="AE776" s="125" t="s">
        <v>121</v>
      </c>
      <c r="AF776" s="126" t="s">
        <v>137</v>
      </c>
      <c r="AG776" s="129">
        <v>5</v>
      </c>
      <c r="AH776" s="128">
        <v>93457</v>
      </c>
      <c r="AI776" s="128">
        <v>1431</v>
      </c>
      <c r="AJ776" s="128">
        <v>1670</v>
      </c>
      <c r="AK776" s="129">
        <v>220</v>
      </c>
      <c r="AL776" s="129">
        <v>253</v>
      </c>
    </row>
    <row r="777">
      <c r="A777" s="108"/>
      <c r="B777" s="109" t="s">
        <v>133</v>
      </c>
      <c r="C777" s="141" t="s">
        <v>142</v>
      </c>
      <c r="D777" s="111">
        <f t="shared" si="415"/>
      </c>
      <c r="E777" s="110">
        <v>744.78</v>
      </c>
      <c r="F777" s="140">
        <v>7348.01</v>
      </c>
      <c r="G777" s="113">
        <v>0</v>
      </c>
      <c r="H777" s="113">
        <v>0</v>
      </c>
      <c r="I777" s="183">
        <f t="shared" si="544"/>
      </c>
      <c r="J777" s="160">
        <v>3881.52</v>
      </c>
      <c r="K777" s="115">
        <f t="shared" si="157"/>
      </c>
      <c r="L777" s="115">
        <f t="shared" si="286"/>
      </c>
      <c r="M777" s="116">
        <f t="shared" si="635"/>
      </c>
      <c r="N777" s="117">
        <f t="shared" si="665"/>
      </c>
      <c r="O777" s="118">
        <f t="shared" si="575"/>
      </c>
      <c r="P777" s="119">
        <f t="shared" si="605"/>
      </c>
      <c r="Q777" s="119">
        <f t="shared" si="785"/>
      </c>
      <c r="R777" s="119">
        <f t="shared" si="815"/>
      </c>
      <c r="S777" s="120">
        <f t="shared" si="695"/>
      </c>
      <c r="T777" s="121">
        <f t="shared" si="725"/>
      </c>
      <c r="U777" s="119">
        <f t="shared" si="1004"/>
      </c>
      <c r="V777" s="122">
        <f t="shared" si="755"/>
      </c>
      <c r="W777" s="122">
        <f t="shared" si="1034"/>
      </c>
      <c r="X777" s="119">
        <f t="shared" si="845"/>
      </c>
      <c r="Y777" s="123">
        <f t="shared" si="973"/>
      </c>
      <c r="Z777" s="123">
        <v>7</v>
      </c>
      <c r="AA777" s="123">
        <v>7</v>
      </c>
      <c r="AB777" s="124">
        <v>19941.119999999995</v>
      </c>
      <c r="AC777" s="124">
        <v>0</v>
      </c>
      <c r="AD777" s="120">
        <f t="shared" si="29"/>
      </c>
      <c r="AE777" s="125" t="s">
        <v>121</v>
      </c>
      <c r="AF777" s="126" t="s">
        <v>137</v>
      </c>
      <c r="AG777" s="127">
        <v>7</v>
      </c>
      <c r="AH777" s="128">
        <v>109787</v>
      </c>
      <c r="AI777" s="128">
        <v>1524</v>
      </c>
      <c r="AJ777" s="128">
        <v>1705</v>
      </c>
      <c r="AK777" s="129">
        <v>221</v>
      </c>
      <c r="AL777" s="127">
        <v>262</v>
      </c>
    </row>
    <row r="778">
      <c r="A778" s="108"/>
      <c r="B778" s="130" t="s">
        <v>127</v>
      </c>
      <c r="C778" s="131">
        <v>4</v>
      </c>
      <c r="D778" s="132">
        <f>SUM(D774:D777)</f>
      </c>
      <c r="E778" s="132">
        <f>SUM(E774:E777)</f>
      </c>
      <c r="F778" s="132">
        <f>SUM(F774:F777)</f>
      </c>
      <c r="G778" s="132">
        <f>SUM(G774:G777)</f>
      </c>
      <c r="H778" s="132">
        <f>SUM(H774:H777)</f>
      </c>
      <c r="I778" s="132">
        <f>SUM(I774:I777)</f>
      </c>
      <c r="J778" s="132">
        <f>SUM(J774:J777)</f>
      </c>
      <c r="K778" s="132">
        <f>SUM(K774:K777)</f>
      </c>
      <c r="L778" s="132">
        <f>SUM(L774:L777)</f>
      </c>
      <c r="M778" s="133">
        <f t="shared" si="635"/>
      </c>
      <c r="N778" s="134">
        <f t="shared" si="665"/>
      </c>
      <c r="O778" s="134">
        <f t="shared" si="575"/>
      </c>
      <c r="P778" s="135">
        <f t="shared" si="605"/>
      </c>
      <c r="Q778" s="135">
        <f t="shared" si="785"/>
      </c>
      <c r="R778" s="135">
        <f t="shared" si="815"/>
      </c>
      <c r="S778" s="136">
        <f t="shared" si="695"/>
      </c>
      <c r="T778" s="136">
        <f t="shared" si="725"/>
      </c>
      <c r="U778" s="135">
        <f t="shared" si="1004"/>
      </c>
      <c r="V778" s="136">
        <f t="shared" si="755"/>
      </c>
      <c r="W778" s="136">
        <f t="shared" si="1034"/>
      </c>
      <c r="X778" s="135">
        <f t="shared" si="845"/>
      </c>
      <c r="Y778" s="132">
        <f>SUM(Y774:Y777)</f>
      </c>
      <c r="Z778" s="132">
        <f>SUM(Z774:Z777)</f>
      </c>
      <c r="AA778" s="132">
        <f>SUM(AA774:AA777)</f>
      </c>
      <c r="AB778" s="132">
        <f>SUM(AB774:AB777)</f>
      </c>
      <c r="AC778" s="132">
        <f>SUM(AC774:AC777)</f>
      </c>
      <c r="AD778" s="137">
        <f t="shared" si="29"/>
      </c>
      <c r="AE778" s="138"/>
      <c r="AF778" s="139"/>
      <c r="AG778" s="132">
        <f>SUM(AG774:AG777)</f>
      </c>
      <c r="AH778" s="132">
        <f>SUM(AH774:AH777)</f>
      </c>
      <c r="AI778" s="132">
        <f>SUM(AI774:AI777)</f>
      </c>
      <c r="AJ778" s="132">
        <f>SUM(AJ774:AJ777)</f>
      </c>
      <c r="AK778" s="132">
        <f>SUM(AK774:AK777)</f>
      </c>
      <c r="AL778" s="132">
        <f>SUM(AL774:AL777)</f>
      </c>
    </row>
    <row r="779">
      <c r="A779" s="108"/>
      <c r="B779" s="109" t="s">
        <v>139</v>
      </c>
      <c r="C779" s="141" t="s">
        <v>144</v>
      </c>
      <c r="D779" s="111">
        <f t="shared" ref="D779:D783" si="416">E779+F779+G779+H779</f>
      </c>
      <c r="E779" s="112">
        <v>703.72</v>
      </c>
      <c r="F779" s="113">
        <v>9241.59</v>
      </c>
      <c r="G779" s="113">
        <v>0</v>
      </c>
      <c r="H779" s="113">
        <v>0</v>
      </c>
      <c r="I779" s="113">
        <f t="shared" ref="I779:I783" si="545">AB779+AC779</f>
      </c>
      <c r="J779" s="114">
        <v>696.6</v>
      </c>
      <c r="K779" s="115">
        <f t="shared" ref="K779:K783" si="158">I779-J779</f>
      </c>
      <c r="L779" s="115">
        <f t="shared" ref="L779:L783" si="287">(I779-AC779)/12+AC779</f>
      </c>
      <c r="M779" s="116">
        <f t="shared" si="635"/>
      </c>
      <c r="N779" s="117">
        <f t="shared" si="665"/>
      </c>
      <c r="O779" s="118">
        <f t="shared" si="575"/>
      </c>
      <c r="P779" s="119">
        <f t="shared" si="605"/>
      </c>
      <c r="Q779" s="119">
        <f t="shared" si="785"/>
      </c>
      <c r="R779" s="119">
        <f t="shared" si="815"/>
      </c>
      <c r="S779" s="120">
        <f t="shared" si="695"/>
      </c>
      <c r="T779" s="121">
        <f t="shared" si="725"/>
      </c>
      <c r="U779" s="119">
        <f t="shared" si="1004"/>
      </c>
      <c r="V779" s="122">
        <f t="shared" si="755"/>
      </c>
      <c r="W779" s="122">
        <f t="shared" si="1034"/>
      </c>
      <c r="X779" s="119">
        <f t="shared" si="845"/>
      </c>
      <c r="Y779" s="123">
        <f t="shared" ref="Y779:Y783" si="974">Z779+AA779</f>
      </c>
      <c r="Z779" s="123">
        <v>7</v>
      </c>
      <c r="AA779" s="123">
        <v>9</v>
      </c>
      <c r="AB779" s="124">
        <v>9983.520000000019</v>
      </c>
      <c r="AC779" s="124">
        <v>390</v>
      </c>
      <c r="AD779" s="120">
        <f t="shared" si="29"/>
      </c>
      <c r="AE779" s="125" t="s">
        <v>121</v>
      </c>
      <c r="AF779" s="126" t="s">
        <v>137</v>
      </c>
      <c r="AG779" s="127">
        <v>8</v>
      </c>
      <c r="AH779" s="127">
        <v>132111</v>
      </c>
      <c r="AI779" s="128">
        <v>1922</v>
      </c>
      <c r="AJ779" s="128">
        <v>2043</v>
      </c>
      <c r="AK779" s="127">
        <v>259</v>
      </c>
      <c r="AL779" s="129">
        <v>294</v>
      </c>
    </row>
    <row r="780">
      <c r="A780" s="108"/>
      <c r="B780" s="109" t="s">
        <v>139</v>
      </c>
      <c r="C780" s="110" t="s">
        <v>145</v>
      </c>
      <c r="D780" s="111">
        <f t="shared" si="416"/>
      </c>
      <c r="E780" s="110">
        <v>1387.54</v>
      </c>
      <c r="F780" s="113">
        <v>10937.98</v>
      </c>
      <c r="G780" s="113">
        <v>0</v>
      </c>
      <c r="H780" s="113">
        <v>0</v>
      </c>
      <c r="I780" s="113">
        <f t="shared" si="545"/>
      </c>
      <c r="J780" s="114">
        <v>4394.52</v>
      </c>
      <c r="K780" s="115">
        <f t="shared" si="158"/>
      </c>
      <c r="L780" s="115">
        <f t="shared" si="287"/>
      </c>
      <c r="M780" s="116">
        <f t="shared" si="635"/>
      </c>
      <c r="N780" s="117">
        <f t="shared" si="665"/>
      </c>
      <c r="O780" s="118">
        <f t="shared" si="575"/>
      </c>
      <c r="P780" s="119">
        <f t="shared" si="605"/>
      </c>
      <c r="Q780" s="119">
        <f t="shared" si="785"/>
      </c>
      <c r="R780" s="119">
        <f t="shared" si="815"/>
      </c>
      <c r="S780" s="120">
        <f t="shared" si="695"/>
      </c>
      <c r="T780" s="121">
        <f t="shared" si="725"/>
      </c>
      <c r="U780" s="119">
        <f t="shared" si="1004"/>
      </c>
      <c r="V780" s="122">
        <f t="shared" si="755"/>
      </c>
      <c r="W780" s="122">
        <f t="shared" si="1034"/>
      </c>
      <c r="X780" s="119">
        <f t="shared" si="845"/>
      </c>
      <c r="Y780" s="123">
        <f t="shared" si="974"/>
      </c>
      <c r="Z780" s="123">
        <v>3</v>
      </c>
      <c r="AA780" s="123">
        <v>12</v>
      </c>
      <c r="AB780" s="124">
        <v>24273.719999999972</v>
      </c>
      <c r="AC780" s="124">
        <v>0</v>
      </c>
      <c r="AD780" s="120">
        <f t="shared" si="29"/>
      </c>
      <c r="AE780" s="125" t="s">
        <v>121</v>
      </c>
      <c r="AF780" s="126" t="s">
        <v>137</v>
      </c>
      <c r="AG780" s="127">
        <v>11</v>
      </c>
      <c r="AH780" s="128">
        <v>160672</v>
      </c>
      <c r="AI780" s="128">
        <v>2555</v>
      </c>
      <c r="AJ780" s="128">
        <v>2801</v>
      </c>
      <c r="AK780" s="129">
        <v>279</v>
      </c>
      <c r="AL780" s="129">
        <v>299</v>
      </c>
    </row>
    <row r="781">
      <c r="A781" s="108"/>
      <c r="B781" s="109" t="s">
        <v>139</v>
      </c>
      <c r="C781" s="141" t="s">
        <v>146</v>
      </c>
      <c r="D781" s="111">
        <f t="shared" si="416"/>
      </c>
      <c r="E781" s="110">
        <v>1467.79</v>
      </c>
      <c r="F781" s="110">
        <v>12163.45</v>
      </c>
      <c r="G781" s="113">
        <v>0</v>
      </c>
      <c r="H781" s="113">
        <v>0</v>
      </c>
      <c r="I781" s="113">
        <f t="shared" si="545"/>
      </c>
      <c r="J781" s="114">
        <v>0</v>
      </c>
      <c r="K781" s="115">
        <f t="shared" si="158"/>
      </c>
      <c r="L781" s="115">
        <f t="shared" si="287"/>
      </c>
      <c r="M781" s="116">
        <f t="shared" si="635"/>
      </c>
      <c r="N781" s="117">
        <f t="shared" si="665"/>
      </c>
      <c r="O781" s="118">
        <f t="shared" si="575"/>
      </c>
      <c r="P781" s="119">
        <f t="shared" si="605"/>
      </c>
      <c r="Q781" s="119">
        <f t="shared" si="785"/>
      </c>
      <c r="R781" s="119">
        <f t="shared" si="815"/>
      </c>
      <c r="S781" s="120">
        <f t="shared" si="695"/>
      </c>
      <c r="T781" s="121">
        <f t="shared" si="725"/>
      </c>
      <c r="U781" s="119">
        <f t="shared" si="1004"/>
      </c>
      <c r="V781" s="122">
        <f t="shared" si="755"/>
      </c>
      <c r="W781" s="122">
        <f t="shared" si="1034"/>
      </c>
      <c r="X781" s="119">
        <f t="shared" si="845"/>
      </c>
      <c r="Y781" s="123">
        <f t="shared" si="974"/>
      </c>
      <c r="Z781" s="123">
        <v>10</v>
      </c>
      <c r="AA781" s="123">
        <v>14</v>
      </c>
      <c r="AB781" s="124">
        <v>26070.119999999995</v>
      </c>
      <c r="AC781" s="124">
        <v>439</v>
      </c>
      <c r="AD781" s="120">
        <f t="shared" si="29"/>
      </c>
      <c r="AE781" s="125" t="s">
        <v>121</v>
      </c>
      <c r="AF781" s="126" t="s">
        <v>137</v>
      </c>
      <c r="AG781" s="129">
        <v>12</v>
      </c>
      <c r="AH781" s="128">
        <v>191474</v>
      </c>
      <c r="AI781" s="128">
        <v>3459</v>
      </c>
      <c r="AJ781" s="128">
        <v>3886</v>
      </c>
      <c r="AK781" s="129">
        <v>332</v>
      </c>
      <c r="AL781" s="129">
        <v>383</v>
      </c>
    </row>
    <row r="782">
      <c r="A782" s="108"/>
      <c r="B782" s="109" t="s">
        <v>139</v>
      </c>
      <c r="C782" s="110" t="s">
        <v>147</v>
      </c>
      <c r="D782" s="111">
        <f t="shared" si="416"/>
      </c>
      <c r="E782" s="110">
        <v>1565.54</v>
      </c>
      <c r="F782" s="113">
        <v>5613.44</v>
      </c>
      <c r="G782" s="113">
        <v>0</v>
      </c>
      <c r="H782" s="113">
        <v>0</v>
      </c>
      <c r="I782" s="162">
        <f t="shared" si="545"/>
      </c>
      <c r="J782" s="114">
        <v>0</v>
      </c>
      <c r="K782" s="115">
        <f t="shared" si="158"/>
      </c>
      <c r="L782" s="115">
        <f t="shared" si="287"/>
      </c>
      <c r="M782" s="116">
        <f t="shared" si="635"/>
      </c>
      <c r="N782" s="117">
        <f t="shared" si="665"/>
      </c>
      <c r="O782" s="118">
        <f t="shared" si="575"/>
      </c>
      <c r="P782" s="119">
        <f t="shared" si="605"/>
      </c>
      <c r="Q782" s="119">
        <f t="shared" si="785"/>
      </c>
      <c r="R782" s="119">
        <f t="shared" si="815"/>
      </c>
      <c r="S782" s="120">
        <f t="shared" si="695"/>
      </c>
      <c r="T782" s="121">
        <f t="shared" si="725"/>
      </c>
      <c r="U782" s="119">
        <f t="shared" si="1004"/>
      </c>
      <c r="V782" s="122">
        <f t="shared" si="755"/>
      </c>
      <c r="W782" s="122">
        <f t="shared" si="1034"/>
      </c>
      <c r="X782" s="119">
        <f t="shared" si="845"/>
      </c>
      <c r="Y782" s="123">
        <f t="shared" si="974"/>
      </c>
      <c r="Z782" s="123">
        <v>7</v>
      </c>
      <c r="AA782" s="123">
        <v>12</v>
      </c>
      <c r="AB782" s="124">
        <v>22090.56</v>
      </c>
      <c r="AC782" s="124">
        <v>0</v>
      </c>
      <c r="AD782" s="120">
        <f t="shared" si="29"/>
      </c>
      <c r="AE782" s="125" t="s">
        <v>121</v>
      </c>
      <c r="AF782" s="126" t="s">
        <v>137</v>
      </c>
      <c r="AG782" s="127">
        <v>10</v>
      </c>
      <c r="AH782" s="128">
        <v>102930</v>
      </c>
      <c r="AI782" s="128">
        <v>3892</v>
      </c>
      <c r="AJ782" s="128">
        <v>4374</v>
      </c>
      <c r="AK782" s="129">
        <v>286</v>
      </c>
      <c r="AL782" s="129">
        <v>212</v>
      </c>
    </row>
    <row r="783">
      <c r="A783" s="108"/>
      <c r="B783" s="109" t="s">
        <v>139</v>
      </c>
      <c r="C783" s="110" t="s">
        <v>148</v>
      </c>
      <c r="D783" s="111">
        <f t="shared" si="416"/>
      </c>
      <c r="E783" s="112">
        <v>886.16</v>
      </c>
      <c r="F783" s="113">
        <v>1808.31</v>
      </c>
      <c r="G783" s="113">
        <v>0</v>
      </c>
      <c r="H783" s="113">
        <v>0</v>
      </c>
      <c r="I783" s="113">
        <f t="shared" si="545"/>
      </c>
      <c r="J783" s="114">
        <v>0</v>
      </c>
      <c r="K783" s="115">
        <f t="shared" si="158"/>
      </c>
      <c r="L783" s="115">
        <f t="shared" si="287"/>
      </c>
      <c r="M783" s="116">
        <f t="shared" si="635"/>
      </c>
      <c r="N783" s="117">
        <f t="shared" si="665"/>
      </c>
      <c r="O783" s="118">
        <f t="shared" si="575"/>
      </c>
      <c r="P783" s="119">
        <f t="shared" si="605"/>
      </c>
      <c r="Q783" s="119">
        <f t="shared" si="785"/>
      </c>
      <c r="R783" s="119">
        <f t="shared" si="815"/>
      </c>
      <c r="S783" s="120">
        <f t="shared" si="695"/>
      </c>
      <c r="T783" s="121">
        <f t="shared" si="725"/>
      </c>
      <c r="U783" s="119">
        <f t="shared" si="1004"/>
      </c>
      <c r="V783" s="122">
        <f t="shared" si="755"/>
      </c>
      <c r="W783" s="122">
        <f t="shared" si="1034"/>
      </c>
      <c r="X783" s="119">
        <f t="shared" si="845"/>
      </c>
      <c r="Y783" s="123">
        <f t="shared" si="974"/>
      </c>
      <c r="Z783" s="123">
        <v>2</v>
      </c>
      <c r="AA783" s="123">
        <v>0</v>
      </c>
      <c r="AB783" s="124">
        <v>0</v>
      </c>
      <c r="AC783" s="124">
        <v>0</v>
      </c>
      <c r="AD783" s="120">
        <f t="shared" si="29"/>
      </c>
      <c r="AE783" s="125" t="s">
        <v>121</v>
      </c>
      <c r="AF783" s="126" t="s">
        <v>137</v>
      </c>
      <c r="AG783" s="127">
        <v>0</v>
      </c>
      <c r="AH783" s="128">
        <v>27477</v>
      </c>
      <c r="AI783" s="128">
        <v>2542</v>
      </c>
      <c r="AJ783" s="128">
        <v>2878</v>
      </c>
      <c r="AK783" s="127">
        <v>116</v>
      </c>
      <c r="AL783" s="127">
        <v>69</v>
      </c>
    </row>
    <row r="784">
      <c r="A784" s="108"/>
      <c r="B784" s="130" t="s">
        <v>127</v>
      </c>
      <c r="C784" s="131">
        <v>5</v>
      </c>
      <c r="D784" s="132">
        <f>SUM(D779:D783)</f>
      </c>
      <c r="E784" s="132">
        <f>SUM(E779:E783)</f>
      </c>
      <c r="F784" s="132">
        <f>SUM(F779:F783)</f>
      </c>
      <c r="G784" s="132">
        <f>SUM(G779:G783)</f>
      </c>
      <c r="H784" s="132">
        <f>SUM(H779:H783)</f>
      </c>
      <c r="I784" s="132">
        <f>SUM(I779:I783)</f>
      </c>
      <c r="J784" s="132">
        <f>SUM(J779:J783)</f>
      </c>
      <c r="K784" s="132">
        <f>SUM(K779:K783)</f>
      </c>
      <c r="L784" s="132">
        <f>SUM(L779:L783)</f>
      </c>
      <c r="M784" s="133">
        <f t="shared" si="635"/>
      </c>
      <c r="N784" s="134">
        <f t="shared" si="665"/>
      </c>
      <c r="O784" s="134">
        <f t="shared" si="575"/>
      </c>
      <c r="P784" s="135">
        <f t="shared" si="605"/>
      </c>
      <c r="Q784" s="135">
        <f t="shared" si="785"/>
      </c>
      <c r="R784" s="135">
        <f t="shared" si="815"/>
      </c>
      <c r="S784" s="136">
        <f t="shared" si="695"/>
      </c>
      <c r="T784" s="136">
        <f t="shared" si="725"/>
      </c>
      <c r="U784" s="135">
        <f t="shared" si="1004"/>
      </c>
      <c r="V784" s="136">
        <f t="shared" si="755"/>
      </c>
      <c r="W784" s="136">
        <f t="shared" si="1034"/>
      </c>
      <c r="X784" s="135">
        <f t="shared" si="845"/>
      </c>
      <c r="Y784" s="132">
        <f>SUM(Y779:Y783)</f>
      </c>
      <c r="Z784" s="132">
        <f>SUM(Z779:Z783)</f>
      </c>
      <c r="AA784" s="132">
        <f>SUM(AA779:AA783)</f>
      </c>
      <c r="AB784" s="132">
        <f>SUM(AB779:AB783)</f>
      </c>
      <c r="AC784" s="132">
        <f>SUM(AC779:AC783)</f>
      </c>
      <c r="AD784" s="150">
        <f t="shared" si="29"/>
      </c>
      <c r="AE784" s="138"/>
      <c r="AF784" s="139"/>
      <c r="AG784" s="132">
        <f>SUM(AG779:AG783)</f>
      </c>
      <c r="AH784" s="132">
        <f>SUM(AH779:AH783)</f>
      </c>
      <c r="AI784" s="132">
        <f>SUM(AI779:AI783)</f>
      </c>
      <c r="AJ784" s="132">
        <f>SUM(AJ779:AJ783)</f>
      </c>
      <c r="AK784" s="132">
        <f>SUM(AK779:AK783)</f>
      </c>
      <c r="AL784" s="132">
        <f>SUM(AL779:AL783)</f>
      </c>
    </row>
    <row r="785">
      <c r="A785" s="108"/>
      <c r="B785" s="152" t="s">
        <v>127</v>
      </c>
      <c r="C785" s="153">
        <f>C765+C770+C773+C778+C784</f>
      </c>
      <c r="D785" s="167">
        <f>D765+D770+D773+D778+D784</f>
      </c>
      <c r="E785" s="153">
        <f>E765+E770+E773+E778+E784</f>
      </c>
      <c r="F785" s="153">
        <f>F765+F770+F773+F778+F784</f>
      </c>
      <c r="G785" s="153">
        <f>G765+G770+G773+G778+G784</f>
      </c>
      <c r="H785" s="153">
        <f>H765+H770+H773+H778+H784</f>
      </c>
      <c r="I785" s="167">
        <f>I765+I770+I773+I778+I784</f>
      </c>
      <c r="J785" s="153">
        <f>J765+J770+J773+J778+J784</f>
      </c>
      <c r="K785" s="153">
        <f>K765+K770+K773+K778+K784</f>
      </c>
      <c r="L785" s="153">
        <f>L765+L770+L773+L778+L784</f>
      </c>
      <c r="M785" s="154">
        <f t="shared" si="635"/>
      </c>
      <c r="N785" s="154">
        <f t="shared" si="665"/>
      </c>
      <c r="O785" s="154">
        <f t="shared" si="575"/>
      </c>
      <c r="P785" s="154">
        <f t="shared" si="605"/>
      </c>
      <c r="Q785" s="154">
        <f t="shared" si="785"/>
      </c>
      <c r="R785" s="154">
        <f t="shared" si="815"/>
      </c>
      <c r="S785" s="155">
        <f t="shared" si="695"/>
      </c>
      <c r="T785" s="155">
        <f t="shared" si="725"/>
      </c>
      <c r="U785" s="154">
        <f t="shared" si="1004"/>
      </c>
      <c r="V785" s="155">
        <f t="shared" si="755"/>
      </c>
      <c r="W785" s="155">
        <f t="shared" si="1034"/>
      </c>
      <c r="X785" s="154">
        <f t="shared" si="845"/>
      </c>
      <c r="Y785" s="153">
        <f>Y765+Y770+Y773+Y778+Y784</f>
      </c>
      <c r="Z785" s="153">
        <f>Z765+Z770+Z773+Z778+Z784</f>
      </c>
      <c r="AA785" s="153">
        <f>AA765+AA770+AA773+AA778+AA784</f>
      </c>
      <c r="AB785" s="153">
        <f>AB765+AB770+AB773+AB778+AB784</f>
      </c>
      <c r="AC785" s="187">
        <f>AC765+AC770+AC773+AC778+AC784</f>
      </c>
      <c r="AD785" s="157">
        <f t="shared" si="29"/>
      </c>
      <c r="AE785" s="159"/>
      <c r="AF785" s="152"/>
      <c r="AG785" s="153">
        <f>AG765+AG770+AG773+AG778+AG784</f>
      </c>
      <c r="AH785" s="153">
        <f>AH765+AH770+AH773+AH778+AH784</f>
      </c>
      <c r="AI785" s="153">
        <f>AI765+AI770+AI773+AI778+AI784</f>
      </c>
      <c r="AJ785" s="153">
        <f>AJ765+AJ770+AJ773+AJ778+AJ784</f>
      </c>
      <c r="AK785" s="153">
        <f>AK765+AK770+AK773+AK778+AK784</f>
      </c>
      <c r="AL785" s="153">
        <f>AL765+AL770+AL773+AL778+AL784</f>
      </c>
    </row>
    <row r="786">
      <c r="G786" s="188" t="s">
        <v>156</v>
      </c>
      <c r="H786" s="189" cm="1">
        <f t="array" ref="H786:H786">IMPORTRANGE("https://meimeiwangluo.feishu.cn/sheets/GIXqsFoGxhCeyHtByxwcaWrBnud","'Sheet1'!AA5")</f>
      </c>
      <c r="I786" s="190" cm="1">
        <f t="array" ref="I786:I786">IMPORTRANGE("https://meimeiwangluo.feishu.cn/sheets/GIXqsFoGxhCeyHtByxwcaWrBnud","'Sheet1'!AA1")</f>
      </c>
      <c r="J786" s="191">
        <f>J787-J785-K787</f>
      </c>
      <c r="K786" s="192" t="s">
        <v>157</v>
      </c>
      <c r="Y786" s="193" t="s">
        <v>158</v>
      </c>
      <c r="Z786">
        <f>Z787-Z788-Z785</f>
      </c>
      <c r="AA786">
        <f>AA787-AA788-AA785</f>
      </c>
      <c r="AB786">
        <f>AB787-AB788-AB785</f>
      </c>
      <c r="AC786">
        <f>AC787-AC788-AC785</f>
      </c>
      <c r="AD786" s="182"/>
      <c r="AE786" s="182"/>
      <c r="AG786">
        <f>AG787+AG788</f>
      </c>
      <c r="AH786">
        <f>AH787+AH788</f>
      </c>
      <c r="AI786">
        <f>AI787+AI788</f>
      </c>
      <c r="AJ786">
        <f>AJ787+AJ788</f>
      </c>
      <c r="AK786">
        <f>AK787+AK788</f>
      </c>
      <c r="AL786">
        <f>AL787+AL788</f>
      </c>
    </row>
    <row r="787">
      <c r="A787" s="182"/>
      <c r="F787" s="193"/>
      <c r="I787" s="112"/>
      <c r="J787" s="194">
        <v>69532.88</v>
      </c>
      <c r="K787" s="192">
        <f>395.28+443.88+1551.96+473.04+923.4+657.72</f>
      </c>
      <c r="Y787" s="195" t="s">
        <v>159</v>
      </c>
      <c r="Z787" s="196">
        <v>132</v>
      </c>
      <c r="AA787" s="196">
        <v>220</v>
      </c>
      <c r="AB787" s="196">
        <v>363176.16</v>
      </c>
      <c r="AC787" s="197">
        <v>22608.4</v>
      </c>
      <c r="AE787" s="193"/>
    </row>
    <row r="788">
      <c r="D788" s="193"/>
      <c r="E788" s="193"/>
      <c r="F788" s="193"/>
      <c r="G788" s="193"/>
      <c r="H788" s="193"/>
      <c r="J788" s="106" t="s">
        <v>160</v>
      </c>
      <c r="Y788" s="193" t="s">
        <v>161</v>
      </c>
      <c r="Z788" s="192">
        <v>5</v>
      </c>
      <c r="AA788" s="192">
        <v>19</v>
      </c>
      <c r="AB788" s="192">
        <v>20245.44</v>
      </c>
      <c r="AC788" s="198">
        <v>1958</v>
      </c>
      <c r="AE788" s="199"/>
    </row>
    <row r="789">
      <c r="D789" s="193"/>
      <c r="G789" s="193"/>
      <c r="H789" s="193"/>
      <c r="I789" s="193"/>
      <c r="J789" s="193"/>
      <c r="K789" s="193"/>
      <c r="Z789" s="106" t="s">
        <v>106</v>
      </c>
      <c r="AA789" s="105" t="s">
        <v>107</v>
      </c>
      <c r="AB789" s="107" t="s">
        <v>108</v>
      </c>
      <c r="AC789" s="107" t="s">
        <v>109</v>
      </c>
      <c r="AG789" s="105"/>
    </row>
    <row r="790">
      <c r="F790" s="193"/>
      <c r="G790" s="193"/>
      <c r="H790" s="193"/>
      <c r="I790" s="193"/>
      <c r="Z790" s="193">
        <v>0</v>
      </c>
      <c r="AA790" s="193">
        <v>0</v>
      </c>
      <c r="AB790" s="193">
        <v>0</v>
      </c>
      <c r="AC790" s="193">
        <v>0</v>
      </c>
    </row>
    <row r="791">
      <c r="A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>
        <f>Z790-Z782</f>
      </c>
      <c r="AA791">
        <f>AA790-AA782</f>
      </c>
      <c r="AB791">
        <f>AB790-AB782</f>
      </c>
      <c r="AC791">
        <f>AC790-AC782</f>
      </c>
      <c r="AD791" s="201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</row>
    <row r="792">
      <c r="A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1"/>
      <c r="AA792" s="201"/>
      <c r="AB792" s="201"/>
      <c r="AC792" s="201"/>
      <c r="AD792" s="201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</row>
    <row r="793">
      <c r="A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1"/>
      <c r="AA793" s="201"/>
      <c r="AB793" s="201"/>
      <c r="AC793" s="201"/>
      <c r="AD793" s="201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</row>
    <row r="794">
      <c r="A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1"/>
      <c r="AA794" s="201"/>
      <c r="AB794" s="201"/>
      <c r="AC794" s="201"/>
      <c r="AD794" s="201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</row>
    <row r="795">
      <c r="A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1"/>
      <c r="AA795" s="201"/>
      <c r="AB795" s="201"/>
      <c r="AC795" s="201"/>
      <c r="AD795" s="201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</row>
    <row r="796">
      <c r="A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1"/>
      <c r="AA796" s="201"/>
      <c r="AB796" s="201"/>
      <c r="AC796" s="201"/>
      <c r="AD796" s="201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</row>
    <row r="797">
      <c r="A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1"/>
      <c r="AA797" s="201"/>
      <c r="AB797" s="201"/>
      <c r="AC797" s="201"/>
      <c r="AD797" s="201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</row>
    <row r="798">
      <c r="A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1"/>
      <c r="AA798" s="201"/>
      <c r="AB798" s="201"/>
      <c r="AC798" s="201"/>
      <c r="AD798" s="201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</row>
    <row r="799">
      <c r="A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1"/>
      <c r="AA799" s="201"/>
      <c r="AB799" s="201"/>
      <c r="AC799" s="201"/>
      <c r="AD799" s="201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</row>
    <row r="800">
      <c r="A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1"/>
      <c r="AA800" s="201"/>
      <c r="AB800" s="201"/>
      <c r="AC800" s="201"/>
      <c r="AD800" s="201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</row>
    <row r="801">
      <c r="A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1"/>
      <c r="AA801" s="201"/>
      <c r="AB801" s="201"/>
      <c r="AC801" s="201"/>
      <c r="AD801" s="201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</row>
    <row r="802">
      <c r="A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1"/>
      <c r="AA802" s="201"/>
      <c r="AB802" s="201"/>
      <c r="AC802" s="201"/>
      <c r="AD802" s="201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</row>
    <row r="803">
      <c r="A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1"/>
      <c r="AA803" s="201"/>
      <c r="AB803" s="201"/>
      <c r="AC803" s="201"/>
      <c r="AD803" s="201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</row>
    <row r="804">
      <c r="A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1"/>
      <c r="AA804" s="201"/>
      <c r="AB804" s="201"/>
      <c r="AC804" s="201"/>
      <c r="AD804" s="201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</row>
    <row r="805">
      <c r="A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1"/>
      <c r="AA805" s="201"/>
      <c r="AB805" s="201"/>
      <c r="AC805" s="201"/>
      <c r="AD805" s="201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</row>
    <row r="806">
      <c r="A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1"/>
      <c r="AA806" s="201"/>
      <c r="AB806" s="201"/>
      <c r="AC806" s="201"/>
      <c r="AD806" s="201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</row>
    <row r="807">
      <c r="A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1"/>
      <c r="AA807" s="201"/>
      <c r="AB807" s="201"/>
      <c r="AC807" s="201"/>
      <c r="AD807" s="201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</row>
    <row r="808">
      <c r="A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1"/>
      <c r="AA808" s="201"/>
      <c r="AB808" s="201"/>
      <c r="AC808" s="201"/>
      <c r="AD808" s="201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</row>
    <row r="809">
      <c r="A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1"/>
      <c r="AA809" s="201"/>
      <c r="AB809" s="201"/>
      <c r="AC809" s="201"/>
      <c r="AD809" s="201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</row>
    <row r="810">
      <c r="A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1"/>
      <c r="AA810" s="201"/>
      <c r="AB810" s="201"/>
      <c r="AC810" s="201"/>
      <c r="AD810" s="201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</row>
    <row r="811">
      <c r="A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1"/>
      <c r="AA811" s="201"/>
      <c r="AB811" s="201"/>
      <c r="AC811" s="201"/>
      <c r="AD811" s="201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</row>
    <row r="812">
      <c r="A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1"/>
      <c r="AA812" s="201"/>
      <c r="AB812" s="201"/>
      <c r="AC812" s="201"/>
      <c r="AD812" s="201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</row>
    <row r="813">
      <c r="A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1"/>
      <c r="AA813" s="201"/>
      <c r="AB813" s="201"/>
      <c r="AC813" s="201"/>
      <c r="AD813" s="201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</row>
    <row r="814">
      <c r="A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1"/>
      <c r="AA814" s="201"/>
      <c r="AB814" s="201"/>
      <c r="AC814" s="201"/>
      <c r="AD814" s="201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</row>
    <row r="815">
      <c r="A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1"/>
      <c r="AA815" s="201"/>
      <c r="AB815" s="201"/>
      <c r="AC815" s="201"/>
      <c r="AD815" s="201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</row>
    <row r="816">
      <c r="A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1"/>
      <c r="AA816" s="201"/>
      <c r="AB816" s="201"/>
      <c r="AC816" s="201"/>
      <c r="AD816" s="201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</row>
    <row r="817">
      <c r="A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1"/>
      <c r="AA817" s="201"/>
      <c r="AB817" s="201"/>
      <c r="AC817" s="201"/>
      <c r="AD817" s="201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</row>
    <row r="818">
      <c r="A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1"/>
      <c r="AA818" s="201"/>
      <c r="AB818" s="201"/>
      <c r="AC818" s="201"/>
      <c r="AD818" s="201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</row>
    <row r="819">
      <c r="A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1"/>
      <c r="AA819" s="201"/>
      <c r="AB819" s="201"/>
      <c r="AC819" s="201"/>
      <c r="AD819" s="201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</row>
    <row r="820">
      <c r="A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1"/>
      <c r="AA820" s="201"/>
      <c r="AB820" s="201"/>
      <c r="AC820" s="201"/>
      <c r="AD820" s="201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</row>
    <row r="821">
      <c r="A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1"/>
      <c r="AA821" s="201"/>
      <c r="AB821" s="201"/>
      <c r="AC821" s="201"/>
      <c r="AD821" s="201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</row>
    <row r="822">
      <c r="A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1"/>
      <c r="AA822" s="201"/>
      <c r="AB822" s="201"/>
      <c r="AC822" s="201"/>
      <c r="AD822" s="201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</row>
    <row r="823">
      <c r="A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1"/>
      <c r="AA823" s="201"/>
      <c r="AB823" s="201"/>
      <c r="AC823" s="201"/>
      <c r="AD823" s="201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</row>
    <row r="824">
      <c r="A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1"/>
      <c r="AA824" s="201"/>
      <c r="AB824" s="201"/>
      <c r="AC824" s="201"/>
      <c r="AD824" s="201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</row>
    <row r="825">
      <c r="A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1"/>
      <c r="AA825" s="201"/>
      <c r="AB825" s="201"/>
      <c r="AC825" s="201"/>
      <c r="AD825" s="201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</row>
    <row r="826">
      <c r="A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1"/>
      <c r="AA826" s="201"/>
      <c r="AB826" s="201"/>
      <c r="AC826" s="201"/>
      <c r="AD826" s="201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</row>
    <row r="827">
      <c r="A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1"/>
      <c r="AA827" s="201"/>
      <c r="AB827" s="201"/>
      <c r="AC827" s="201"/>
      <c r="AD827" s="201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</row>
    <row r="828">
      <c r="A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1"/>
      <c r="AA828" s="201"/>
      <c r="AB828" s="201"/>
      <c r="AC828" s="201"/>
      <c r="AD828" s="201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</row>
    <row r="829">
      <c r="A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1"/>
      <c r="AA829" s="201"/>
      <c r="AB829" s="201"/>
      <c r="AC829" s="201"/>
      <c r="AD829" s="201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</row>
    <row r="830">
      <c r="A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1"/>
      <c r="AA830" s="201"/>
      <c r="AB830" s="201"/>
      <c r="AC830" s="201"/>
      <c r="AD830" s="201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</row>
    <row r="831">
      <c r="A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1"/>
      <c r="AA831" s="201"/>
      <c r="AB831" s="201"/>
      <c r="AC831" s="201"/>
      <c r="AD831" s="201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</row>
    <row r="832">
      <c r="A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1"/>
      <c r="AA832" s="201"/>
      <c r="AB832" s="201"/>
      <c r="AC832" s="201"/>
      <c r="AD832" s="201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</row>
    <row r="833">
      <c r="A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1"/>
      <c r="AA833" s="201"/>
      <c r="AB833" s="201"/>
      <c r="AC833" s="201"/>
      <c r="AD833" s="201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</row>
    <row r="834">
      <c r="A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1"/>
      <c r="AA834" s="201"/>
      <c r="AB834" s="201"/>
      <c r="AC834" s="201"/>
      <c r="AD834" s="201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</row>
    <row r="835">
      <c r="A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1"/>
      <c r="AA835" s="201"/>
      <c r="AB835" s="201"/>
      <c r="AC835" s="201"/>
      <c r="AD835" s="201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</row>
    <row r="836">
      <c r="A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1"/>
      <c r="AA836" s="201"/>
      <c r="AB836" s="201"/>
      <c r="AC836" s="201"/>
      <c r="AD836" s="201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</row>
    <row r="837">
      <c r="A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1"/>
      <c r="AA837" s="201"/>
      <c r="AB837" s="201"/>
      <c r="AC837" s="201"/>
      <c r="AD837" s="201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</row>
    <row r="838">
      <c r="A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1"/>
      <c r="AA838" s="201"/>
      <c r="AB838" s="201"/>
      <c r="AC838" s="201"/>
      <c r="AD838" s="201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</row>
    <row r="839">
      <c r="A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1"/>
      <c r="AA839" s="201"/>
      <c r="AB839" s="201"/>
      <c r="AC839" s="201"/>
      <c r="AD839" s="201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</row>
    <row r="840">
      <c r="A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1"/>
      <c r="AA840" s="201"/>
      <c r="AB840" s="201"/>
      <c r="AC840" s="201"/>
      <c r="AD840" s="201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</row>
    <row r="841">
      <c r="A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1"/>
      <c r="AA841" s="201"/>
      <c r="AB841" s="201"/>
      <c r="AC841" s="201"/>
      <c r="AD841" s="201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</row>
    <row r="842">
      <c r="A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1"/>
      <c r="AA842" s="201"/>
      <c r="AB842" s="201"/>
      <c r="AC842" s="201"/>
      <c r="AD842" s="201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</row>
    <row r="843">
      <c r="A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1"/>
      <c r="AA843" s="201"/>
      <c r="AB843" s="201"/>
      <c r="AC843" s="201"/>
      <c r="AD843" s="201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</row>
    <row r="844">
      <c r="A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1"/>
      <c r="AA844" s="201"/>
      <c r="AB844" s="201"/>
      <c r="AC844" s="201"/>
      <c r="AD844" s="201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</row>
    <row r="845">
      <c r="A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1"/>
      <c r="AA845" s="201"/>
      <c r="AB845" s="201"/>
      <c r="AC845" s="201"/>
      <c r="AD845" s="201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</row>
    <row r="846">
      <c r="A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1"/>
      <c r="AA846" s="201"/>
      <c r="AB846" s="201"/>
      <c r="AC846" s="201"/>
      <c r="AD846" s="201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</row>
    <row r="847">
      <c r="A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1"/>
      <c r="AA847" s="201"/>
      <c r="AB847" s="201"/>
      <c r="AC847" s="201"/>
      <c r="AD847" s="201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</row>
    <row r="848">
      <c r="A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1"/>
      <c r="AA848" s="201"/>
      <c r="AB848" s="201"/>
      <c r="AC848" s="201"/>
      <c r="AD848" s="201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</row>
    <row r="849">
      <c r="A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1"/>
      <c r="AA849" s="201"/>
      <c r="AB849" s="201"/>
      <c r="AC849" s="201"/>
      <c r="AD849" s="201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</row>
    <row r="850">
      <c r="A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1"/>
      <c r="AA850" s="201"/>
      <c r="AB850" s="201"/>
      <c r="AC850" s="201"/>
      <c r="AD850" s="201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</row>
    <row r="851">
      <c r="A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1"/>
      <c r="AA851" s="201"/>
      <c r="AB851" s="201"/>
      <c r="AC851" s="201"/>
      <c r="AD851" s="201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</row>
    <row r="852">
      <c r="A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1"/>
      <c r="AA852" s="201"/>
      <c r="AB852" s="201"/>
      <c r="AC852" s="201"/>
      <c r="AD852" s="201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</row>
    <row r="853">
      <c r="A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1"/>
      <c r="AA853" s="201"/>
      <c r="AB853" s="201"/>
      <c r="AC853" s="201"/>
      <c r="AD853" s="201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</row>
    <row r="854">
      <c r="A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1"/>
      <c r="AA854" s="201"/>
      <c r="AB854" s="201"/>
      <c r="AC854" s="201"/>
      <c r="AD854" s="201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</row>
    <row r="855">
      <c r="A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1"/>
      <c r="AA855" s="201"/>
      <c r="AB855" s="201"/>
      <c r="AC855" s="201"/>
      <c r="AD855" s="201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</row>
    <row r="856">
      <c r="A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1"/>
      <c r="AA856" s="201"/>
      <c r="AB856" s="201"/>
      <c r="AC856" s="201"/>
      <c r="AD856" s="201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</row>
    <row r="857">
      <c r="A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1"/>
      <c r="AA857" s="201"/>
      <c r="AB857" s="201"/>
      <c r="AC857" s="201"/>
      <c r="AD857" s="201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</row>
    <row r="858">
      <c r="A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1"/>
      <c r="AA858" s="201"/>
      <c r="AB858" s="201"/>
      <c r="AC858" s="201"/>
      <c r="AD858" s="201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</row>
    <row r="859">
      <c r="A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1"/>
      <c r="AA859" s="201"/>
      <c r="AB859" s="201"/>
      <c r="AC859" s="201"/>
      <c r="AD859" s="201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</row>
    <row r="860">
      <c r="A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1"/>
      <c r="AA860" s="201"/>
      <c r="AB860" s="201"/>
      <c r="AC860" s="201"/>
      <c r="AD860" s="201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</row>
    <row r="861">
      <c r="A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1"/>
      <c r="AA861" s="201"/>
      <c r="AB861" s="201"/>
      <c r="AC861" s="201"/>
      <c r="AD861" s="201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</row>
    <row r="862">
      <c r="A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1"/>
      <c r="AA862" s="201"/>
      <c r="AB862" s="201"/>
      <c r="AC862" s="201"/>
      <c r="AD862" s="201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</row>
    <row r="863">
      <c r="A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1"/>
      <c r="AA863" s="201"/>
      <c r="AB863" s="201"/>
      <c r="AC863" s="201"/>
      <c r="AD863" s="201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</row>
    <row r="864">
      <c r="A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1"/>
      <c r="AA864" s="201"/>
      <c r="AB864" s="201"/>
      <c r="AC864" s="201"/>
      <c r="AD864" s="201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</row>
    <row r="865">
      <c r="A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1"/>
      <c r="AA865" s="201"/>
      <c r="AB865" s="201"/>
      <c r="AC865" s="201"/>
      <c r="AD865" s="201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</row>
    <row r="866">
      <c r="A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1"/>
      <c r="AA866" s="201"/>
      <c r="AB866" s="201"/>
      <c r="AC866" s="201"/>
      <c r="AD866" s="201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</row>
    <row r="867">
      <c r="A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1"/>
      <c r="AA867" s="201"/>
      <c r="AB867" s="201"/>
      <c r="AC867" s="201"/>
      <c r="AD867" s="201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</row>
    <row r="868">
      <c r="A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1"/>
      <c r="AA868" s="201"/>
      <c r="AB868" s="201"/>
      <c r="AC868" s="201"/>
      <c r="AD868" s="201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</row>
    <row r="869">
      <c r="A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1"/>
      <c r="AA869" s="201"/>
      <c r="AB869" s="201"/>
      <c r="AC869" s="201"/>
      <c r="AD869" s="201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</row>
    <row r="870">
      <c r="A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1"/>
      <c r="AA870" s="201"/>
      <c r="AB870" s="201"/>
      <c r="AC870" s="201"/>
      <c r="AD870" s="201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</row>
    <row r="871">
      <c r="A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1"/>
      <c r="AA871" s="201"/>
      <c r="AB871" s="201"/>
      <c r="AC871" s="201"/>
      <c r="AD871" s="201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</row>
    <row r="872">
      <c r="A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1"/>
      <c r="AA872" s="201"/>
      <c r="AB872" s="201"/>
      <c r="AC872" s="201"/>
      <c r="AD872" s="201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</row>
    <row r="873">
      <c r="A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1"/>
      <c r="AA873" s="201"/>
      <c r="AB873" s="201"/>
      <c r="AC873" s="201"/>
      <c r="AD873" s="201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</row>
    <row r="874">
      <c r="A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1"/>
      <c r="AA874" s="201"/>
      <c r="AB874" s="201"/>
      <c r="AC874" s="201"/>
      <c r="AD874" s="201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</row>
    <row r="875">
      <c r="A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1"/>
      <c r="AA875" s="201"/>
      <c r="AB875" s="201"/>
      <c r="AC875" s="201"/>
      <c r="AD875" s="201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</row>
    <row r="876">
      <c r="A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1"/>
      <c r="AA876" s="201"/>
      <c r="AB876" s="201"/>
      <c r="AC876" s="201"/>
      <c r="AD876" s="201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</row>
    <row r="877">
      <c r="A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1"/>
      <c r="AA877" s="201"/>
      <c r="AB877" s="201"/>
      <c r="AC877" s="201"/>
      <c r="AD877" s="201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</row>
    <row r="878">
      <c r="A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1"/>
      <c r="AA878" s="201"/>
      <c r="AB878" s="201"/>
      <c r="AC878" s="201"/>
      <c r="AD878" s="201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</row>
    <row r="879">
      <c r="A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1"/>
      <c r="AA879" s="201"/>
      <c r="AB879" s="201"/>
      <c r="AC879" s="201"/>
      <c r="AD879" s="201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</row>
    <row r="880">
      <c r="A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1"/>
      <c r="AA880" s="201"/>
      <c r="AB880" s="201"/>
      <c r="AC880" s="201"/>
      <c r="AD880" s="201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</row>
    <row r="881">
      <c r="A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1"/>
      <c r="AA881" s="201"/>
      <c r="AB881" s="201"/>
      <c r="AC881" s="201"/>
      <c r="AD881" s="201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</row>
    <row r="882">
      <c r="A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1"/>
      <c r="AA882" s="201"/>
      <c r="AB882" s="201"/>
      <c r="AC882" s="201"/>
      <c r="AD882" s="201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</row>
    <row r="883">
      <c r="A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1"/>
      <c r="AA883" s="201"/>
      <c r="AB883" s="201"/>
      <c r="AC883" s="201"/>
      <c r="AD883" s="201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</row>
    <row r="884">
      <c r="A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1"/>
      <c r="AA884" s="201"/>
      <c r="AB884" s="201"/>
      <c r="AC884" s="201"/>
      <c r="AD884" s="201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</row>
    <row r="885">
      <c r="A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1"/>
      <c r="AA885" s="201"/>
      <c r="AB885" s="201"/>
      <c r="AC885" s="201"/>
      <c r="AD885" s="201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</row>
    <row r="886">
      <c r="A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1"/>
      <c r="AA886" s="201"/>
      <c r="AB886" s="201"/>
      <c r="AC886" s="201"/>
      <c r="AD886" s="201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</row>
    <row r="887">
      <c r="A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1"/>
      <c r="AA887" s="201"/>
      <c r="AB887" s="201"/>
      <c r="AC887" s="201"/>
      <c r="AD887" s="201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</row>
    <row r="888">
      <c r="A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1"/>
      <c r="AA888" s="201"/>
      <c r="AB888" s="201"/>
      <c r="AC888" s="201"/>
      <c r="AD888" s="201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</row>
    <row r="889">
      <c r="A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1"/>
      <c r="AA889" s="201"/>
      <c r="AB889" s="201"/>
      <c r="AC889" s="201"/>
      <c r="AD889" s="201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</row>
    <row r="890">
      <c r="A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1"/>
      <c r="AA890" s="201"/>
      <c r="AB890" s="201"/>
      <c r="AC890" s="201"/>
      <c r="AD890" s="201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</row>
  </sheetData>
  <mergeCells>
    <mergeCell ref="A469:A493"/>
    <mergeCell ref="A443:A467"/>
    <mergeCell ref="A417:A441"/>
    <mergeCell ref="A391:A415"/>
    <mergeCell ref="A366:A389"/>
    <mergeCell ref="A340:A364"/>
    <mergeCell ref="A314:A338"/>
    <mergeCell ref="A288:A312"/>
    <mergeCell ref="A262:A286"/>
    <mergeCell ref="A236:A260"/>
    <mergeCell ref="A210:A234"/>
    <mergeCell ref="A184:A208"/>
    <mergeCell ref="A158:A182"/>
    <mergeCell ref="A132:A156"/>
    <mergeCell ref="A106:A130"/>
    <mergeCell ref="A2:A27"/>
    <mergeCell ref="A29:A54"/>
    <mergeCell ref="A56:A81"/>
    <mergeCell ref="A83:A104"/>
    <mergeCell ref="A495:A519"/>
    <mergeCell ref="A521:A545"/>
    <mergeCell ref="A547:A571"/>
    <mergeCell ref="A573:A597"/>
    <mergeCell ref="A599:A623"/>
    <mergeCell ref="A625:A650"/>
    <mergeCell ref="A652:A677"/>
    <mergeCell ref="A679:A704"/>
    <mergeCell ref="A706:A731"/>
    <mergeCell ref="A733:A758"/>
    <mergeCell ref="A760:A785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7" min="37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29" min="29" style="0" width="11.211267605633802"/>
    <col collapsed="false" customWidth="true" hidden="false" max="36" min="36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28" min="28" style="0" width="11.211267605633802"/>
    <col collapsed="false" customWidth="true" hidden="false" max="39" min="39" style="0" width="11.211267605633802"/>
    <col collapsed="false" customWidth="true" hidden="false" max="7" min="7" style="0" width="11.211267605633802"/>
    <col collapsed="false" customWidth="true" hidden="false" max="27" min="27" style="0" width="11.211267605633802"/>
    <col collapsed="false" customWidth="true" hidden="false" max="35" min="35" style="0" width="11.211267605633802"/>
    <col collapsed="false" customWidth="true" hidden="false" max="38" min="38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34" min="34" style="0" width="11.211267605633802"/>
  </cols>
  <sheetData>
    <row r="1">
      <c r="A1" s="202" t="s">
        <v>162</v>
      </c>
      <c r="B1" s="203" t="s">
        <v>163</v>
      </c>
      <c r="C1" s="203" t="s">
        <v>164</v>
      </c>
      <c r="D1" s="204" t="s">
        <v>165</v>
      </c>
      <c r="E1" s="203" t="s">
        <v>166</v>
      </c>
      <c r="F1" s="203" t="s">
        <v>167</v>
      </c>
      <c r="G1" s="205" t="s">
        <v>168</v>
      </c>
      <c r="H1" s="205" t="s">
        <v>169</v>
      </c>
      <c r="I1" s="204" t="s">
        <v>170</v>
      </c>
      <c r="J1" s="206" t="s">
        <v>171</v>
      </c>
      <c r="K1" s="207" t="s">
        <v>172</v>
      </c>
      <c r="L1" s="207" t="s">
        <v>173</v>
      </c>
      <c r="M1" s="208" t="s">
        <v>174</v>
      </c>
      <c r="N1" s="207" t="s">
        <v>175</v>
      </c>
      <c r="O1" s="203" t="s">
        <v>176</v>
      </c>
      <c r="P1" s="208" t="s">
        <v>177</v>
      </c>
      <c r="Q1" s="209" t="s">
        <v>178</v>
      </c>
      <c r="R1" s="209" t="s">
        <v>179</v>
      </c>
      <c r="S1" s="204" t="s">
        <v>180</v>
      </c>
      <c r="T1" s="210" t="s">
        <v>181</v>
      </c>
      <c r="U1" s="208" t="s">
        <v>182</v>
      </c>
      <c r="V1" s="211" t="s">
        <v>183</v>
      </c>
      <c r="W1" s="212" t="s">
        <v>184</v>
      </c>
      <c r="X1" s="208" t="s">
        <v>185</v>
      </c>
      <c r="Y1" s="213" t="s">
        <v>186</v>
      </c>
      <c r="Z1" s="214" t="s">
        <v>187</v>
      </c>
      <c r="AA1" s="213" t="s">
        <v>188</v>
      </c>
      <c r="AB1" s="215" t="s">
        <v>189</v>
      </c>
      <c r="AC1" s="215" t="s">
        <v>190</v>
      </c>
      <c r="AD1" s="207" t="s">
        <v>191</v>
      </c>
      <c r="AE1" s="206" t="s">
        <v>192</v>
      </c>
      <c r="AF1" s="207" t="s">
        <v>193</v>
      </c>
      <c r="AG1" s="206" t="s">
        <v>194</v>
      </c>
      <c r="AH1" s="206" t="s">
        <v>195</v>
      </c>
      <c r="AI1" s="207" t="s">
        <v>196</v>
      </c>
      <c r="AJ1" s="206" t="s">
        <v>197</v>
      </c>
      <c r="AK1" s="207" t="s">
        <v>198</v>
      </c>
      <c r="AL1" s="206" t="s">
        <v>199</v>
      </c>
    </row>
    <row r="2">
      <c r="A2" s="216">
        <v>46235</v>
      </c>
      <c r="B2" s="217" t="s">
        <v>200</v>
      </c>
      <c r="C2" s="218" t="s">
        <v>201</v>
      </c>
      <c r="D2" s="219">
        <f t="shared" ref="D2:D6" si="438">E2+F2+G2+H2</f>
      </c>
      <c r="E2" s="220">
        <v>1485.97</v>
      </c>
      <c r="F2" s="221">
        <v>2500</v>
      </c>
      <c r="G2" s="221">
        <v>0</v>
      </c>
      <c r="H2" s="221">
        <v>0</v>
      </c>
      <c r="I2" s="221">
        <f t="shared" ref="I2:I6" si="323">AB2+AC2</f>
      </c>
      <c r="J2" s="222">
        <v>0</v>
      </c>
      <c r="K2" s="223">
        <f t="shared" ref="K2:K6" si="208">I2-J2</f>
      </c>
      <c r="L2" s="223">
        <f t="shared" ref="L2:L6" si="93">(I2-AC2)/12+AC2</f>
      </c>
      <c r="M2" s="224">
        <f t="shared" ref="M2:M14" si="62">I2/D2</f>
      </c>
      <c r="N2" s="225">
        <f t="shared" ref="N2:N14" si="31">(I2-J2)/D2</f>
      </c>
      <c r="O2" s="226">
        <f t="shared" ref="O2:O14" si="0">(AC2+AB2/12)/D2</f>
      </c>
      <c r="P2" s="227">
        <f t="shared" ref="P2:P14" si="935">I2/AA2</f>
      </c>
      <c r="Q2" s="227">
        <f t="shared" ref="Q2:Q14" si="904">D2/AA2</f>
      </c>
      <c r="R2" s="227">
        <f t="shared" ref="R2:R14" si="873">D2/AG2</f>
      </c>
      <c r="S2" s="228">
        <f t="shared" ref="S2:S14" si="842">AA2/Y2</f>
      </c>
      <c r="T2" s="229">
        <f t="shared" ref="T2:T14" si="780">AI2/AH2</f>
      </c>
      <c r="U2" s="227">
        <f t="shared" ref="U2:U14" si="749">D2/AJ2</f>
      </c>
      <c r="V2" s="230">
        <f t="shared" ref="V2:V14" si="811">AK2/AJ2</f>
      </c>
      <c r="W2" s="230">
        <f t="shared" ref="W2:W14" si="718">AL2/AJ2</f>
      </c>
      <c r="X2" s="227">
        <f t="shared" ref="X2:X14" si="687">D2/AL2</f>
      </c>
      <c r="Y2" s="231">
        <v>13</v>
      </c>
      <c r="Z2" s="231">
        <v>7</v>
      </c>
      <c r="AA2" s="231">
        <v>2</v>
      </c>
      <c r="AB2" s="232">
        <v>752.76</v>
      </c>
      <c r="AC2" s="232">
        <v>410</v>
      </c>
      <c r="AD2" s="228">
        <f t="shared" ref="AD2:AD14" si="656">AC2/I2</f>
      </c>
      <c r="AE2" s="233" t="s">
        <v>202</v>
      </c>
      <c r="AF2" s="234" t="s">
        <v>203</v>
      </c>
      <c r="AG2" s="235">
        <v>2</v>
      </c>
      <c r="AH2" s="236">
        <v>44274</v>
      </c>
      <c r="AI2" s="236">
        <v>791</v>
      </c>
      <c r="AJ2" s="236">
        <v>827</v>
      </c>
      <c r="AK2" s="235">
        <v>98</v>
      </c>
      <c r="AL2" s="237">
        <v>131</v>
      </c>
    </row>
    <row r="3">
      <c r="A3" s="216"/>
      <c r="B3" s="217" t="s">
        <v>200</v>
      </c>
      <c r="C3" s="218" t="s">
        <v>204</v>
      </c>
      <c r="D3" s="219">
        <f t="shared" si="438"/>
      </c>
      <c r="E3" s="218">
        <v>1209.01</v>
      </c>
      <c r="F3" s="221">
        <v>2000</v>
      </c>
      <c r="G3" s="221">
        <v>0</v>
      </c>
      <c r="H3" s="221">
        <v>0</v>
      </c>
      <c r="I3" s="221">
        <f t="shared" si="323"/>
      </c>
      <c r="J3" s="222">
        <v>0</v>
      </c>
      <c r="K3" s="223">
        <f t="shared" si="208"/>
      </c>
      <c r="L3" s="223">
        <f t="shared" si="93"/>
      </c>
      <c r="M3" s="224">
        <f t="shared" si="62"/>
      </c>
      <c r="N3" s="225">
        <f t="shared" si="31"/>
      </c>
      <c r="O3" s="226">
        <f t="shared" si="0"/>
      </c>
      <c r="P3" s="227">
        <f t="shared" si="935"/>
      </c>
      <c r="Q3" s="227">
        <f t="shared" si="904"/>
      </c>
      <c r="R3" s="227">
        <f t="shared" si="873"/>
      </c>
      <c r="S3" s="228">
        <f t="shared" si="842"/>
      </c>
      <c r="T3" s="229">
        <f t="shared" si="780"/>
      </c>
      <c r="U3" s="227">
        <f t="shared" si="749"/>
      </c>
      <c r="V3" s="230">
        <f t="shared" si="811"/>
      </c>
      <c r="W3" s="230">
        <f t="shared" si="718"/>
      </c>
      <c r="X3" s="227">
        <f t="shared" si="687"/>
      </c>
      <c r="Y3" s="231">
        <v>7</v>
      </c>
      <c r="Z3" s="231">
        <v>3</v>
      </c>
      <c r="AA3" s="231">
        <v>2</v>
      </c>
      <c r="AB3" s="232">
        <v>4852.92</v>
      </c>
      <c r="AC3" s="232">
        <v>0</v>
      </c>
      <c r="AD3" s="228">
        <f t="shared" si="656"/>
      </c>
      <c r="AE3" s="233" t="s">
        <v>202</v>
      </c>
      <c r="AF3" s="234" t="s">
        <v>203</v>
      </c>
      <c r="AG3" s="235">
        <v>2</v>
      </c>
      <c r="AH3" s="236">
        <v>38470</v>
      </c>
      <c r="AI3" s="236">
        <v>783</v>
      </c>
      <c r="AJ3" s="236">
        <v>817</v>
      </c>
      <c r="AK3" s="237">
        <v>102</v>
      </c>
      <c r="AL3" s="237">
        <v>117</v>
      </c>
    </row>
    <row r="4">
      <c r="A4" s="216"/>
      <c r="B4" s="217" t="s">
        <v>200</v>
      </c>
      <c r="C4" s="218" t="s">
        <v>205</v>
      </c>
      <c r="D4" s="219">
        <f t="shared" si="438"/>
      </c>
      <c r="E4" s="218">
        <v>661.51</v>
      </c>
      <c r="F4" s="218">
        <v>1996.95</v>
      </c>
      <c r="G4" s="218">
        <v>0</v>
      </c>
      <c r="H4" s="218">
        <v>0</v>
      </c>
      <c r="I4" s="221">
        <f t="shared" si="323"/>
      </c>
      <c r="J4" s="222">
        <v>0</v>
      </c>
      <c r="K4" s="223">
        <f t="shared" si="208"/>
      </c>
      <c r="L4" s="223">
        <f t="shared" si="93"/>
      </c>
      <c r="M4" s="224">
        <f t="shared" si="62"/>
      </c>
      <c r="N4" s="225">
        <f t="shared" si="31"/>
      </c>
      <c r="O4" s="226">
        <f t="shared" si="0"/>
      </c>
      <c r="P4" s="227">
        <f t="shared" si="935"/>
      </c>
      <c r="Q4" s="227">
        <f t="shared" si="904"/>
      </c>
      <c r="R4" s="227">
        <f t="shared" si="873"/>
      </c>
      <c r="S4" s="228">
        <f t="shared" si="842"/>
      </c>
      <c r="T4" s="229">
        <f t="shared" si="780"/>
      </c>
      <c r="U4" s="227">
        <f t="shared" si="749"/>
      </c>
      <c r="V4" s="230">
        <f t="shared" si="811"/>
      </c>
      <c r="W4" s="230">
        <f t="shared" si="718"/>
      </c>
      <c r="X4" s="227">
        <f t="shared" si="687"/>
      </c>
      <c r="Y4" s="231">
        <v>4</v>
      </c>
      <c r="Z4" s="231">
        <v>0</v>
      </c>
      <c r="AA4" s="231">
        <v>1</v>
      </c>
      <c r="AB4" s="232">
        <v>0</v>
      </c>
      <c r="AC4" s="232">
        <v>380</v>
      </c>
      <c r="AD4" s="228">
        <f t="shared" si="656"/>
      </c>
      <c r="AE4" s="233" t="s">
        <v>202</v>
      </c>
      <c r="AF4" s="234" t="s">
        <v>203</v>
      </c>
      <c r="AG4" s="237">
        <v>1</v>
      </c>
      <c r="AH4" s="236">
        <v>40175</v>
      </c>
      <c r="AI4" s="236">
        <v>486</v>
      </c>
      <c r="AJ4" s="236">
        <v>505</v>
      </c>
      <c r="AK4" s="237">
        <v>63</v>
      </c>
      <c r="AL4" s="237">
        <v>75</v>
      </c>
    </row>
    <row r="5">
      <c r="A5" s="216"/>
      <c r="B5" s="217" t="s">
        <v>200</v>
      </c>
      <c r="C5" s="218" t="s">
        <v>206</v>
      </c>
      <c r="D5" s="219">
        <f t="shared" si="438"/>
      </c>
      <c r="E5" s="218">
        <v>943.88</v>
      </c>
      <c r="F5" s="221">
        <v>1470.64</v>
      </c>
      <c r="G5" s="221">
        <v>0</v>
      </c>
      <c r="H5" s="221">
        <v>0</v>
      </c>
      <c r="I5" s="221">
        <f t="shared" si="323"/>
      </c>
      <c r="J5" s="222">
        <v>0</v>
      </c>
      <c r="K5" s="223">
        <f t="shared" si="208"/>
      </c>
      <c r="L5" s="223">
        <f t="shared" si="93"/>
      </c>
      <c r="M5" s="224">
        <f t="shared" si="62"/>
      </c>
      <c r="N5" s="225">
        <f t="shared" si="31"/>
      </c>
      <c r="O5" s="226">
        <f t="shared" si="0"/>
      </c>
      <c r="P5" s="227">
        <f t="shared" si="935"/>
      </c>
      <c r="Q5" s="227">
        <f t="shared" si="904"/>
      </c>
      <c r="R5" s="227">
        <f t="shared" si="873"/>
      </c>
      <c r="S5" s="228">
        <f t="shared" si="842"/>
      </c>
      <c r="T5" s="229">
        <f t="shared" si="780"/>
      </c>
      <c r="U5" s="227">
        <f t="shared" si="749"/>
      </c>
      <c r="V5" s="230">
        <f t="shared" si="811"/>
      </c>
      <c r="W5" s="230">
        <f t="shared" si="718"/>
      </c>
      <c r="X5" s="227">
        <f t="shared" si="687"/>
      </c>
      <c r="Y5" s="231">
        <v>3</v>
      </c>
      <c r="Z5" s="231">
        <v>0</v>
      </c>
      <c r="AA5" s="231">
        <v>0</v>
      </c>
      <c r="AB5" s="222">
        <v>0</v>
      </c>
      <c r="AC5" s="232">
        <v>0</v>
      </c>
      <c r="AD5" s="228">
        <f t="shared" si="656"/>
      </c>
      <c r="AE5" s="233" t="s">
        <v>202</v>
      </c>
      <c r="AF5" s="234" t="s">
        <v>203</v>
      </c>
      <c r="AG5" s="235">
        <v>0</v>
      </c>
      <c r="AH5" s="236">
        <v>25842</v>
      </c>
      <c r="AI5" s="236">
        <v>534</v>
      </c>
      <c r="AJ5" s="236">
        <v>572</v>
      </c>
      <c r="AK5" s="237">
        <v>49</v>
      </c>
      <c r="AL5" s="237">
        <v>53</v>
      </c>
    </row>
    <row r="6">
      <c r="A6" s="216"/>
      <c r="B6" s="217" t="s">
        <v>200</v>
      </c>
      <c r="C6" s="218" t="s">
        <v>207</v>
      </c>
      <c r="D6" s="219">
        <f t="shared" si="438"/>
      </c>
      <c r="E6" s="218">
        <v>558.43</v>
      </c>
      <c r="F6" s="221">
        <v>1487.67</v>
      </c>
      <c r="G6" s="221">
        <v>0</v>
      </c>
      <c r="H6" s="221">
        <v>0</v>
      </c>
      <c r="I6" s="238">
        <f t="shared" si="323"/>
      </c>
      <c r="J6" s="222">
        <v>2411.64</v>
      </c>
      <c r="K6" s="223">
        <f t="shared" si="208"/>
      </c>
      <c r="L6" s="223">
        <f t="shared" si="93"/>
      </c>
      <c r="M6" s="224">
        <f t="shared" si="62"/>
      </c>
      <c r="N6" s="225">
        <f t="shared" si="31"/>
      </c>
      <c r="O6" s="226">
        <f t="shared" si="0"/>
      </c>
      <c r="P6" s="227">
        <f t="shared" si="935"/>
      </c>
      <c r="Q6" s="227">
        <f t="shared" si="904"/>
      </c>
      <c r="R6" s="227">
        <f t="shared" si="873"/>
      </c>
      <c r="S6" s="228">
        <f t="shared" si="842"/>
      </c>
      <c r="T6" s="229">
        <f t="shared" si="780"/>
      </c>
      <c r="U6" s="227">
        <f t="shared" si="749"/>
      </c>
      <c r="V6" s="230">
        <f t="shared" si="811"/>
      </c>
      <c r="W6" s="230">
        <f t="shared" si="718"/>
      </c>
      <c r="X6" s="227">
        <f t="shared" si="687"/>
      </c>
      <c r="Y6" s="231">
        <v>2</v>
      </c>
      <c r="Z6" s="231">
        <v>1</v>
      </c>
      <c r="AA6" s="231">
        <v>2</v>
      </c>
      <c r="AB6" s="232">
        <v>2411.6399999999994</v>
      </c>
      <c r="AC6" s="232">
        <v>0</v>
      </c>
      <c r="AD6" s="228">
        <f t="shared" si="656"/>
      </c>
      <c r="AE6" s="233" t="s">
        <v>202</v>
      </c>
      <c r="AF6" s="234" t="s">
        <v>203</v>
      </c>
      <c r="AG6" s="235">
        <v>1</v>
      </c>
      <c r="AH6" s="236">
        <v>23483</v>
      </c>
      <c r="AI6" s="236">
        <v>328</v>
      </c>
      <c r="AJ6" s="236">
        <v>368</v>
      </c>
      <c r="AK6" s="237">
        <v>28</v>
      </c>
      <c r="AL6" s="237">
        <v>36</v>
      </c>
    </row>
    <row r="7">
      <c r="A7" s="216"/>
      <c r="B7" s="239" t="s">
        <v>208</v>
      </c>
      <c r="C7" s="240">
        <v>5</v>
      </c>
      <c r="D7" s="241">
        <f>SUM(D2:D6)</f>
      </c>
      <c r="E7" s="241">
        <f>SUM(E2:E6)</f>
      </c>
      <c r="F7" s="241">
        <f>SUM(F2:F6)</f>
      </c>
      <c r="G7" s="241">
        <f>SUM(G2:G6)</f>
      </c>
      <c r="H7" s="241">
        <f>SUM(H2:H6)</f>
      </c>
      <c r="I7" s="241">
        <f>SUM(I2:I6)</f>
      </c>
      <c r="J7" s="241">
        <f>SUM(J2:J6)</f>
      </c>
      <c r="K7" s="241">
        <f>SUM(K2:K6)</f>
      </c>
      <c r="L7" s="241">
        <f>SUM(L2:L6)</f>
      </c>
      <c r="M7" s="242">
        <f t="shared" si="62"/>
      </c>
      <c r="N7" s="243">
        <f t="shared" si="31"/>
      </c>
      <c r="O7" s="243">
        <f t="shared" si="0"/>
      </c>
      <c r="P7" s="244">
        <f t="shared" si="935"/>
      </c>
      <c r="Q7" s="244">
        <f t="shared" si="904"/>
      </c>
      <c r="R7" s="244">
        <f t="shared" si="873"/>
      </c>
      <c r="S7" s="245">
        <f t="shared" si="842"/>
      </c>
      <c r="T7" s="245">
        <f t="shared" si="780"/>
      </c>
      <c r="U7" s="244">
        <f t="shared" si="749"/>
      </c>
      <c r="V7" s="245">
        <f t="shared" si="811"/>
      </c>
      <c r="W7" s="245">
        <f t="shared" si="718"/>
      </c>
      <c r="X7" s="244">
        <f t="shared" si="687"/>
      </c>
      <c r="Y7" s="241">
        <f>SUM(Y2:Y6)</f>
      </c>
      <c r="Z7" s="241">
        <f>SUM(Z2:Z6)</f>
      </c>
      <c r="AA7" s="241">
        <f>SUM(AA2:AA6)</f>
      </c>
      <c r="AB7" s="241">
        <f>SUM(AB2:AB6)</f>
      </c>
      <c r="AC7" s="241">
        <f>SUM(AC2:AC6)</f>
      </c>
      <c r="AD7" s="246">
        <f t="shared" si="656"/>
      </c>
      <c r="AE7" s="247"/>
      <c r="AF7" s="248"/>
      <c r="AG7" s="241">
        <f>SUM(AG2:AG6)</f>
      </c>
      <c r="AH7" s="241">
        <f>SUM(AH2:AH6)</f>
      </c>
      <c r="AI7" s="241">
        <f>SUM(AI2:AI6)</f>
      </c>
      <c r="AJ7" s="241">
        <f>SUM(AJ2:AJ6)</f>
      </c>
      <c r="AK7" s="241">
        <f>SUM(AK2:AK6)</f>
      </c>
      <c r="AL7" s="241">
        <f>SUM(AL2:AL6)</f>
      </c>
    </row>
    <row r="8">
      <c r="A8" s="216"/>
      <c r="B8" s="217" t="s">
        <v>209</v>
      </c>
      <c r="C8" s="218" t="s">
        <v>210</v>
      </c>
      <c r="D8" s="219">
        <f t="shared" ref="D8:D12" si="439">E8+F8+G8+H8</f>
      </c>
      <c r="E8" s="218">
        <v>518.44</v>
      </c>
      <c r="F8" s="249">
        <v>1504.32</v>
      </c>
      <c r="G8" s="221">
        <v>0</v>
      </c>
      <c r="H8" s="221">
        <v>0</v>
      </c>
      <c r="I8" s="250">
        <f t="shared" ref="I8:I12" si="324">AB8+AC8</f>
      </c>
      <c r="J8" s="251">
        <v>0</v>
      </c>
      <c r="K8" s="223">
        <f t="shared" ref="K8:K12" si="209">I8-J8</f>
      </c>
      <c r="L8" s="223">
        <f t="shared" ref="L8:L12" si="94">(I8-AC8)/12+AC8</f>
      </c>
      <c r="M8" s="224">
        <f t="shared" si="62"/>
      </c>
      <c r="N8" s="225">
        <f t="shared" si="31"/>
      </c>
      <c r="O8" s="226">
        <f t="shared" si="0"/>
      </c>
      <c r="P8" s="227">
        <f t="shared" si="935"/>
      </c>
      <c r="Q8" s="227">
        <f t="shared" si="904"/>
      </c>
      <c r="R8" s="227">
        <f t="shared" si="873"/>
      </c>
      <c r="S8" s="228">
        <f t="shared" si="842"/>
      </c>
      <c r="T8" s="229">
        <f t="shared" si="780"/>
      </c>
      <c r="U8" s="227">
        <f t="shared" si="749"/>
      </c>
      <c r="V8" s="230">
        <f t="shared" si="811"/>
      </c>
      <c r="W8" s="230">
        <f t="shared" si="718"/>
      </c>
      <c r="X8" s="227">
        <f t="shared" si="687"/>
      </c>
      <c r="Y8" s="231">
        <v>3</v>
      </c>
      <c r="Z8" s="231">
        <v>2</v>
      </c>
      <c r="AA8" s="231">
        <v>1</v>
      </c>
      <c r="AB8" s="232">
        <v>716.0400000000009</v>
      </c>
      <c r="AC8" s="232">
        <v>0</v>
      </c>
      <c r="AD8" s="228">
        <f t="shared" si="656"/>
      </c>
      <c r="AE8" s="233" t="s">
        <v>202</v>
      </c>
      <c r="AF8" s="234" t="s">
        <v>203</v>
      </c>
      <c r="AG8" s="235">
        <v>1</v>
      </c>
      <c r="AH8" s="236">
        <v>35734</v>
      </c>
      <c r="AI8" s="236">
        <v>397</v>
      </c>
      <c r="AJ8" s="236">
        <v>380</v>
      </c>
      <c r="AK8" s="237">
        <v>43</v>
      </c>
      <c r="AL8" s="237">
        <v>69</v>
      </c>
    </row>
    <row r="9">
      <c r="A9" s="216"/>
      <c r="B9" s="217" t="s">
        <v>209</v>
      </c>
      <c r="C9" s="252" t="s">
        <v>211</v>
      </c>
      <c r="D9" s="219">
        <f t="shared" si="439"/>
      </c>
      <c r="E9" s="218">
        <v>840.07</v>
      </c>
      <c r="F9" s="249">
        <v>1505.52</v>
      </c>
      <c r="G9" s="221">
        <v>0</v>
      </c>
      <c r="H9" s="221">
        <v>0</v>
      </c>
      <c r="I9" s="250">
        <f t="shared" si="324"/>
      </c>
      <c r="J9" s="251">
        <v>0</v>
      </c>
      <c r="K9" s="223">
        <f t="shared" si="209"/>
      </c>
      <c r="L9" s="223">
        <f t="shared" si="94"/>
      </c>
      <c r="M9" s="224">
        <f t="shared" si="62"/>
      </c>
      <c r="N9" s="225">
        <f t="shared" si="31"/>
      </c>
      <c r="O9" s="226">
        <f t="shared" si="0"/>
      </c>
      <c r="P9" s="227">
        <f t="shared" si="935"/>
      </c>
      <c r="Q9" s="227">
        <f t="shared" si="904"/>
      </c>
      <c r="R9" s="227">
        <f t="shared" si="873"/>
      </c>
      <c r="S9" s="228">
        <f t="shared" si="842"/>
      </c>
      <c r="T9" s="229">
        <f t="shared" si="780"/>
      </c>
      <c r="U9" s="227">
        <f t="shared" si="749"/>
      </c>
      <c r="V9" s="230">
        <f t="shared" si="811"/>
      </c>
      <c r="W9" s="230">
        <f t="shared" si="718"/>
      </c>
      <c r="X9" s="227">
        <f t="shared" si="687"/>
      </c>
      <c r="Y9" s="231">
        <v>7</v>
      </c>
      <c r="Z9" s="231">
        <v>3</v>
      </c>
      <c r="AA9" s="231">
        <v>2</v>
      </c>
      <c r="AB9" s="232">
        <v>1560.5999999999985</v>
      </c>
      <c r="AC9" s="232">
        <v>0</v>
      </c>
      <c r="AD9" s="228">
        <f t="shared" si="656"/>
      </c>
      <c r="AE9" s="233" t="s">
        <v>202</v>
      </c>
      <c r="AF9" s="234" t="s">
        <v>203</v>
      </c>
      <c r="AG9" s="235">
        <v>1</v>
      </c>
      <c r="AH9" s="236">
        <v>33614</v>
      </c>
      <c r="AI9" s="236">
        <v>463</v>
      </c>
      <c r="AJ9" s="236">
        <v>449</v>
      </c>
      <c r="AK9" s="237">
        <v>59</v>
      </c>
      <c r="AL9" s="237">
        <v>69</v>
      </c>
    </row>
    <row r="10">
      <c r="A10" s="216"/>
      <c r="B10" s="217" t="s">
        <v>209</v>
      </c>
      <c r="C10" s="252" t="s">
        <v>212</v>
      </c>
      <c r="D10" s="219">
        <f t="shared" si="439"/>
      </c>
      <c r="E10" s="218">
        <v>1240.36</v>
      </c>
      <c r="F10" s="249">
        <v>1498.81</v>
      </c>
      <c r="G10" s="218">
        <v>0</v>
      </c>
      <c r="H10" s="218">
        <v>0</v>
      </c>
      <c r="I10" s="250">
        <f t="shared" si="324"/>
      </c>
      <c r="J10" s="251">
        <v>1205.28</v>
      </c>
      <c r="K10" s="223">
        <f t="shared" si="209"/>
      </c>
      <c r="L10" s="223">
        <f t="shared" si="94"/>
      </c>
      <c r="M10" s="224">
        <f t="shared" si="62"/>
      </c>
      <c r="N10" s="225">
        <f t="shared" si="31"/>
      </c>
      <c r="O10" s="226">
        <f t="shared" si="0"/>
      </c>
      <c r="P10" s="227">
        <f t="shared" si="935"/>
      </c>
      <c r="Q10" s="227">
        <f t="shared" si="904"/>
      </c>
      <c r="R10" s="227">
        <f t="shared" si="873"/>
      </c>
      <c r="S10" s="228">
        <f t="shared" si="842"/>
      </c>
      <c r="T10" s="229">
        <f t="shared" si="780"/>
      </c>
      <c r="U10" s="227">
        <f t="shared" si="749"/>
      </c>
      <c r="V10" s="230">
        <f t="shared" si="811"/>
      </c>
      <c r="W10" s="230">
        <f t="shared" si="718"/>
      </c>
      <c r="X10" s="227">
        <f t="shared" si="687"/>
      </c>
      <c r="Y10" s="231">
        <v>3</v>
      </c>
      <c r="Z10" s="231">
        <v>2</v>
      </c>
      <c r="AA10" s="231">
        <v>3</v>
      </c>
      <c r="AB10" s="232">
        <v>1958.0400000000009</v>
      </c>
      <c r="AC10" s="232">
        <v>609</v>
      </c>
      <c r="AD10" s="228">
        <f t="shared" si="656"/>
      </c>
      <c r="AE10" s="233" t="s">
        <v>202</v>
      </c>
      <c r="AF10" s="234" t="s">
        <v>203</v>
      </c>
      <c r="AG10" s="237">
        <v>2</v>
      </c>
      <c r="AH10" s="236">
        <v>35142</v>
      </c>
      <c r="AI10" s="236">
        <v>573</v>
      </c>
      <c r="AJ10" s="236">
        <v>590</v>
      </c>
      <c r="AK10" s="237">
        <v>62</v>
      </c>
      <c r="AL10" s="237">
        <v>87</v>
      </c>
    </row>
    <row r="11">
      <c r="A11" s="216"/>
      <c r="B11" s="217" t="s">
        <v>209</v>
      </c>
      <c r="C11" s="218" t="s">
        <v>213</v>
      </c>
      <c r="D11" s="219">
        <f t="shared" si="439"/>
      </c>
      <c r="E11" s="218">
        <v>1526.63</v>
      </c>
      <c r="F11" s="249">
        <v>1056.02</v>
      </c>
      <c r="G11" s="221">
        <v>0</v>
      </c>
      <c r="H11" s="221">
        <v>0</v>
      </c>
      <c r="I11" s="250">
        <f t="shared" si="324"/>
      </c>
      <c r="J11" s="251">
        <v>1290.6</v>
      </c>
      <c r="K11" s="223">
        <f t="shared" si="209"/>
      </c>
      <c r="L11" s="223">
        <f t="shared" si="94"/>
      </c>
      <c r="M11" s="224">
        <f t="shared" si="62"/>
      </c>
      <c r="N11" s="225">
        <f t="shared" si="31"/>
      </c>
      <c r="O11" s="226">
        <f t="shared" si="0"/>
      </c>
      <c r="P11" s="227">
        <f t="shared" si="935"/>
      </c>
      <c r="Q11" s="227">
        <f t="shared" si="904"/>
      </c>
      <c r="R11" s="227">
        <f t="shared" si="873"/>
      </c>
      <c r="S11" s="228">
        <f t="shared" si="842"/>
      </c>
      <c r="T11" s="229">
        <f t="shared" si="780"/>
      </c>
      <c r="U11" s="227">
        <f t="shared" si="749"/>
      </c>
      <c r="V11" s="230">
        <f t="shared" si="811"/>
      </c>
      <c r="W11" s="230">
        <f t="shared" si="718"/>
      </c>
      <c r="X11" s="227">
        <f t="shared" si="687"/>
      </c>
      <c r="Y11" s="231">
        <v>6</v>
      </c>
      <c r="Z11" s="231">
        <v>1</v>
      </c>
      <c r="AA11" s="231">
        <v>3</v>
      </c>
      <c r="AB11" s="222">
        <v>4434.959999999999</v>
      </c>
      <c r="AC11" s="232">
        <v>0</v>
      </c>
      <c r="AD11" s="228">
        <f t="shared" si="656"/>
      </c>
      <c r="AE11" s="233" t="s">
        <v>202</v>
      </c>
      <c r="AF11" s="234" t="s">
        <v>203</v>
      </c>
      <c r="AG11" s="235">
        <v>3</v>
      </c>
      <c r="AH11" s="236">
        <v>38882</v>
      </c>
      <c r="AI11" s="236">
        <v>676</v>
      </c>
      <c r="AJ11" s="236">
        <v>700</v>
      </c>
      <c r="AK11" s="237">
        <v>83</v>
      </c>
      <c r="AL11" s="237">
        <v>91</v>
      </c>
    </row>
    <row r="12">
      <c r="A12" s="216"/>
      <c r="B12" s="217" t="s">
        <v>209</v>
      </c>
      <c r="C12" s="252" t="s">
        <v>214</v>
      </c>
      <c r="D12" s="219">
        <f t="shared" si="439"/>
      </c>
      <c r="E12" s="218">
        <v>693.8</v>
      </c>
      <c r="F12" s="249">
        <v>979.55</v>
      </c>
      <c r="G12" s="221">
        <v>0</v>
      </c>
      <c r="H12" s="221">
        <v>0</v>
      </c>
      <c r="I12" s="250">
        <f t="shared" si="324"/>
      </c>
      <c r="J12" s="251">
        <v>0</v>
      </c>
      <c r="K12" s="223">
        <f t="shared" si="209"/>
      </c>
      <c r="L12" s="223">
        <f t="shared" si="94"/>
      </c>
      <c r="M12" s="224">
        <f t="shared" si="62"/>
      </c>
      <c r="N12" s="225">
        <f t="shared" si="31"/>
      </c>
      <c r="O12" s="226">
        <f t="shared" si="0"/>
      </c>
      <c r="P12" s="227">
        <f t="shared" si="935"/>
      </c>
      <c r="Q12" s="227">
        <f t="shared" si="904"/>
      </c>
      <c r="R12" s="227">
        <f t="shared" si="873"/>
      </c>
      <c r="S12" s="228">
        <f t="shared" si="842"/>
      </c>
      <c r="T12" s="229">
        <f t="shared" si="780"/>
      </c>
      <c r="U12" s="227">
        <f t="shared" si="749"/>
      </c>
      <c r="V12" s="230">
        <f t="shared" si="811"/>
      </c>
      <c r="W12" s="230">
        <f t="shared" si="718"/>
      </c>
      <c r="X12" s="227">
        <f t="shared" si="687"/>
      </c>
      <c r="Y12" s="231">
        <v>4</v>
      </c>
      <c r="Z12" s="231">
        <v>0</v>
      </c>
      <c r="AA12" s="231">
        <v>2</v>
      </c>
      <c r="AB12" s="232">
        <v>2524.7999999999993</v>
      </c>
      <c r="AC12" s="232">
        <v>0</v>
      </c>
      <c r="AD12" s="228">
        <f t="shared" si="656"/>
      </c>
      <c r="AE12" s="233" t="s">
        <v>202</v>
      </c>
      <c r="AF12" s="234" t="s">
        <v>203</v>
      </c>
      <c r="AG12" s="235">
        <v>1</v>
      </c>
      <c r="AH12" s="236">
        <v>24921</v>
      </c>
      <c r="AI12" s="236">
        <v>395</v>
      </c>
      <c r="AJ12" s="236">
        <v>417</v>
      </c>
      <c r="AK12" s="237">
        <v>51</v>
      </c>
      <c r="AL12" s="237">
        <v>66</v>
      </c>
    </row>
    <row r="13">
      <c r="A13" s="216"/>
      <c r="B13" s="239" t="s">
        <v>208</v>
      </c>
      <c r="C13" s="240">
        <v>5</v>
      </c>
      <c r="D13" s="241">
        <f>SUM(D8:D12)</f>
      </c>
      <c r="E13" s="241">
        <f>SUM(E8:E12)</f>
      </c>
      <c r="F13" s="241">
        <f>SUM(F8:F12)</f>
      </c>
      <c r="G13" s="241">
        <f>SUM(G8:G12)</f>
      </c>
      <c r="H13" s="241">
        <f>SUM(H8:H12)</f>
      </c>
      <c r="I13" s="241">
        <f>SUM(I8:I12)</f>
      </c>
      <c r="J13" s="241">
        <f>SUM(J8:J12)</f>
      </c>
      <c r="K13" s="241">
        <f>SUM(K8:K12)</f>
      </c>
      <c r="L13" s="241">
        <f>SUM(L8:L12)</f>
      </c>
      <c r="M13" s="242">
        <f t="shared" si="62"/>
      </c>
      <c r="N13" s="243">
        <f t="shared" si="31"/>
      </c>
      <c r="O13" s="243">
        <f t="shared" si="0"/>
      </c>
      <c r="P13" s="244">
        <f t="shared" si="935"/>
      </c>
      <c r="Q13" s="244">
        <f t="shared" si="904"/>
      </c>
      <c r="R13" s="244">
        <f t="shared" si="873"/>
      </c>
      <c r="S13" s="245">
        <f t="shared" si="842"/>
      </c>
      <c r="T13" s="245">
        <f t="shared" si="780"/>
      </c>
      <c r="U13" s="244">
        <f t="shared" si="749"/>
      </c>
      <c r="V13" s="245">
        <f t="shared" si="811"/>
      </c>
      <c r="W13" s="245">
        <f t="shared" si="718"/>
      </c>
      <c r="X13" s="244">
        <f t="shared" si="687"/>
      </c>
      <c r="Y13" s="241">
        <f>SUM(Y8:Y12)</f>
      </c>
      <c r="Z13" s="241">
        <f>SUM(Z8:Z12)</f>
      </c>
      <c r="AA13" s="241">
        <f>SUM(AA8:AA12)</f>
      </c>
      <c r="AB13" s="241">
        <f>SUM(AB8:AB12)</f>
      </c>
      <c r="AC13" s="241">
        <f>SUM(AC8:AC12)</f>
      </c>
      <c r="AD13" s="246">
        <f t="shared" si="656"/>
      </c>
      <c r="AE13" s="247"/>
      <c r="AF13" s="248"/>
      <c r="AG13" s="241">
        <f>SUM(AG8:AG12)</f>
      </c>
      <c r="AH13" s="241">
        <f>SUM(AH8:AH12)</f>
      </c>
      <c r="AI13" s="241">
        <f>SUM(AI8:AI12)</f>
      </c>
      <c r="AJ13" s="241">
        <f>SUM(AJ8:AJ12)</f>
      </c>
      <c r="AK13" s="241">
        <f>SUM(AK8:AK12)</f>
      </c>
      <c r="AL13" s="241">
        <f>SUM(AL8:AL12)</f>
      </c>
    </row>
    <row r="14">
      <c r="A14" s="216"/>
      <c r="B14" s="253" t="s">
        <v>208</v>
      </c>
      <c r="C14" s="254">
        <f>C13+C7</f>
      </c>
      <c r="D14" s="255">
        <f>D13+D7</f>
      </c>
      <c r="E14" s="255">
        <f>E13+E7</f>
      </c>
      <c r="F14" s="255">
        <f>F13+F7</f>
      </c>
      <c r="G14" s="255">
        <f>G13+G7</f>
      </c>
      <c r="H14" s="255">
        <f>H13+H7</f>
      </c>
      <c r="I14" s="255">
        <f>I13+I7</f>
      </c>
      <c r="J14" s="255">
        <f>J13+J7</f>
      </c>
      <c r="K14" s="255">
        <f>K13+K7</f>
      </c>
      <c r="L14" s="255">
        <f>L13+L7</f>
      </c>
      <c r="M14" s="256">
        <f t="shared" si="62"/>
      </c>
      <c r="N14" s="256">
        <f t="shared" si="31"/>
      </c>
      <c r="O14" s="256">
        <f t="shared" si="0"/>
      </c>
      <c r="P14" s="256">
        <f t="shared" si="935"/>
      </c>
      <c r="Q14" s="256">
        <f t="shared" si="904"/>
      </c>
      <c r="R14" s="256">
        <f t="shared" si="873"/>
      </c>
      <c r="S14" s="257">
        <f t="shared" si="842"/>
      </c>
      <c r="T14" s="257">
        <f t="shared" si="780"/>
      </c>
      <c r="U14" s="256">
        <f t="shared" si="749"/>
      </c>
      <c r="V14" s="257">
        <f t="shared" si="811"/>
      </c>
      <c r="W14" s="257">
        <f t="shared" si="718"/>
      </c>
      <c r="X14" s="256">
        <f t="shared" si="687"/>
      </c>
      <c r="Y14" s="255">
        <f>Y13+Y7</f>
      </c>
      <c r="Z14" s="255">
        <f>Z13+Z7</f>
      </c>
      <c r="AA14" s="255">
        <f>AA13+AA7</f>
      </c>
      <c r="AB14" s="255">
        <f>AB13+AB7</f>
      </c>
      <c r="AC14" s="255">
        <f>AC13+AC7</f>
      </c>
      <c r="AD14" s="258">
        <f t="shared" si="656"/>
      </c>
      <c r="AE14" s="253"/>
      <c r="AF14" s="253"/>
      <c r="AG14" s="255">
        <f>AG13+AG7</f>
      </c>
      <c r="AH14" s="255">
        <f>AH13+AH7</f>
      </c>
      <c r="AI14" s="255">
        <f>AI13+AI7</f>
      </c>
      <c r="AJ14" s="255">
        <f>AJ13+AJ7</f>
      </c>
      <c r="AK14" s="255">
        <f>AK13+AK7</f>
      </c>
      <c r="AL14" s="255">
        <f>AL13+AL7</f>
      </c>
    </row>
    <row r="15">
      <c r="A15" s="202" t="s">
        <v>162</v>
      </c>
      <c r="B15" s="203" t="s">
        <v>163</v>
      </c>
      <c r="C15" s="203" t="s">
        <v>164</v>
      </c>
      <c r="D15" s="204" t="s">
        <v>165</v>
      </c>
      <c r="E15" s="203" t="s">
        <v>166</v>
      </c>
      <c r="F15" s="203" t="s">
        <v>167</v>
      </c>
      <c r="G15" s="205" t="s">
        <v>168</v>
      </c>
      <c r="H15" s="205" t="s">
        <v>169</v>
      </c>
      <c r="I15" s="204" t="s">
        <v>170</v>
      </c>
      <c r="J15" s="206" t="s">
        <v>171</v>
      </c>
      <c r="K15" s="207" t="s">
        <v>172</v>
      </c>
      <c r="L15" s="207" t="s">
        <v>173</v>
      </c>
      <c r="M15" s="208" t="s">
        <v>174</v>
      </c>
      <c r="N15" s="207" t="s">
        <v>175</v>
      </c>
      <c r="O15" s="203" t="s">
        <v>176</v>
      </c>
      <c r="P15" s="208" t="s">
        <v>177</v>
      </c>
      <c r="Q15" s="209" t="s">
        <v>178</v>
      </c>
      <c r="R15" s="209" t="s">
        <v>179</v>
      </c>
      <c r="S15" s="204" t="s">
        <v>180</v>
      </c>
      <c r="T15" s="210" t="s">
        <v>181</v>
      </c>
      <c r="U15" s="208" t="s">
        <v>182</v>
      </c>
      <c r="V15" s="211" t="s">
        <v>183</v>
      </c>
      <c r="W15" s="212" t="s">
        <v>184</v>
      </c>
      <c r="X15" s="208" t="s">
        <v>185</v>
      </c>
      <c r="Y15" s="213" t="s">
        <v>186</v>
      </c>
      <c r="Z15" s="214" t="s">
        <v>187</v>
      </c>
      <c r="AA15" s="213" t="s">
        <v>188</v>
      </c>
      <c r="AB15" s="215" t="s">
        <v>189</v>
      </c>
      <c r="AC15" s="215" t="s">
        <v>190</v>
      </c>
      <c r="AD15" s="207" t="s">
        <v>191</v>
      </c>
      <c r="AE15" s="206" t="s">
        <v>192</v>
      </c>
      <c r="AF15" s="207" t="s">
        <v>193</v>
      </c>
      <c r="AG15" s="206" t="s">
        <v>194</v>
      </c>
      <c r="AH15" s="206" t="s">
        <v>195</v>
      </c>
      <c r="AI15" s="207" t="s">
        <v>196</v>
      </c>
      <c r="AJ15" s="206" t="s">
        <v>197</v>
      </c>
      <c r="AK15" s="207" t="s">
        <v>198</v>
      </c>
      <c r="AL15" s="206" t="s">
        <v>199</v>
      </c>
    </row>
    <row r="16">
      <c r="A16" s="216">
        <v>46236</v>
      </c>
      <c r="B16" s="217" t="s">
        <v>200</v>
      </c>
      <c r="C16" s="218" t="s">
        <v>201</v>
      </c>
      <c r="D16" s="219">
        <f t="shared" ref="D16:D20" si="440">E16+F16+G16+H16</f>
      </c>
      <c r="E16" s="220">
        <v>2002.84</v>
      </c>
      <c r="F16" s="221">
        <v>2000</v>
      </c>
      <c r="G16" s="221">
        <v>0</v>
      </c>
      <c r="H16" s="221">
        <v>0</v>
      </c>
      <c r="I16" s="221">
        <f t="shared" ref="I16:I20" si="325">AB16+AC16</f>
      </c>
      <c r="J16" s="222">
        <v>3851.12</v>
      </c>
      <c r="K16" s="223">
        <f t="shared" ref="K16:K20" si="210">I16-J16</f>
      </c>
      <c r="L16" s="223">
        <f t="shared" ref="L16:L20" si="95">(I16-AC16)/12+AC16</f>
      </c>
      <c r="M16" s="224">
        <f t="shared" ref="M16:M28" si="63">I16/D16</f>
      </c>
      <c r="N16" s="225">
        <f t="shared" ref="N16:N28" si="32">(I16-J16)/D16</f>
      </c>
      <c r="O16" s="226">
        <f t="shared" ref="O16:O28" si="1">(AC16+AB16/12)/D16</f>
      </c>
      <c r="P16" s="227">
        <f t="shared" ref="P16:P28" si="936">I16/AA16</f>
      </c>
      <c r="Q16" s="227">
        <f t="shared" ref="Q16:Q28" si="905">D16/AA16</f>
      </c>
      <c r="R16" s="227">
        <f t="shared" ref="R16:R28" si="874">D16/AG16</f>
      </c>
      <c r="S16" s="228">
        <f t="shared" ref="S16:S28" si="843">AA16/Y16</f>
      </c>
      <c r="T16" s="229">
        <f t="shared" ref="T16:T28" si="781">AI16/AH16</f>
      </c>
      <c r="U16" s="227">
        <f t="shared" ref="U16:U28" si="750">D16/AJ16</f>
      </c>
      <c r="V16" s="230">
        <f t="shared" ref="V16:V28" si="812">AK16/AJ16</f>
      </c>
      <c r="W16" s="230">
        <f t="shared" ref="W16:W28" si="719">AL16/AJ16</f>
      </c>
      <c r="X16" s="227">
        <f t="shared" ref="X16:X28" si="688">D16/AL16</f>
      </c>
      <c r="Y16" s="231">
        <v>11</v>
      </c>
      <c r="Z16" s="231">
        <v>2</v>
      </c>
      <c r="AA16" s="231">
        <v>8</v>
      </c>
      <c r="AB16" s="232">
        <v>8093.64</v>
      </c>
      <c r="AC16" s="232">
        <v>4325</v>
      </c>
      <c r="AD16" s="228">
        <f t="shared" ref="AD16:AD28" si="657">AC16/I16</f>
      </c>
      <c r="AE16" s="233" t="s">
        <v>202</v>
      </c>
      <c r="AF16" s="234" t="s">
        <v>203</v>
      </c>
      <c r="AG16" s="235">
        <v>8</v>
      </c>
      <c r="AH16" s="236">
        <v>44560</v>
      </c>
      <c r="AI16" s="236">
        <v>1027</v>
      </c>
      <c r="AJ16" s="236">
        <v>1065</v>
      </c>
      <c r="AK16" s="235">
        <v>129</v>
      </c>
      <c r="AL16" s="237">
        <v>143</v>
      </c>
    </row>
    <row r="17">
      <c r="A17" s="216"/>
      <c r="B17" s="217" t="s">
        <v>200</v>
      </c>
      <c r="C17" s="218" t="s">
        <v>204</v>
      </c>
      <c r="D17" s="219">
        <f t="shared" si="440"/>
      </c>
      <c r="E17" s="218">
        <v>1514.49</v>
      </c>
      <c r="F17" s="221">
        <v>3000</v>
      </c>
      <c r="G17" s="221">
        <v>0</v>
      </c>
      <c r="H17" s="221">
        <v>0</v>
      </c>
      <c r="I17" s="221">
        <f t="shared" si="325"/>
      </c>
      <c r="J17" s="222">
        <v>3533.76</v>
      </c>
      <c r="K17" s="223">
        <f t="shared" si="210"/>
      </c>
      <c r="L17" s="223">
        <f t="shared" si="95"/>
      </c>
      <c r="M17" s="224">
        <f t="shared" si="63"/>
      </c>
      <c r="N17" s="225">
        <f t="shared" si="32"/>
      </c>
      <c r="O17" s="226">
        <f t="shared" si="1"/>
      </c>
      <c r="P17" s="227">
        <f t="shared" si="936"/>
      </c>
      <c r="Q17" s="227">
        <f t="shared" si="905"/>
      </c>
      <c r="R17" s="227">
        <f t="shared" si="874"/>
      </c>
      <c r="S17" s="228">
        <f t="shared" si="843"/>
      </c>
      <c r="T17" s="229">
        <f t="shared" si="781"/>
      </c>
      <c r="U17" s="227">
        <f t="shared" si="750"/>
      </c>
      <c r="V17" s="230">
        <f t="shared" si="812"/>
      </c>
      <c r="W17" s="230">
        <f t="shared" si="719"/>
      </c>
      <c r="X17" s="227">
        <f t="shared" si="688"/>
      </c>
      <c r="Y17" s="231">
        <v>18</v>
      </c>
      <c r="Z17" s="231">
        <v>9</v>
      </c>
      <c r="AA17" s="231">
        <v>7</v>
      </c>
      <c r="AB17" s="232">
        <v>21328.08</v>
      </c>
      <c r="AC17" s="232">
        <v>0</v>
      </c>
      <c r="AD17" s="228">
        <f t="shared" si="657"/>
      </c>
      <c r="AE17" s="233" t="s">
        <v>202</v>
      </c>
      <c r="AF17" s="234" t="s">
        <v>203</v>
      </c>
      <c r="AG17" s="235">
        <v>7</v>
      </c>
      <c r="AH17" s="236">
        <v>65825</v>
      </c>
      <c r="AI17" s="236">
        <v>1019</v>
      </c>
      <c r="AJ17" s="236">
        <v>1002</v>
      </c>
      <c r="AK17" s="237">
        <v>161</v>
      </c>
      <c r="AL17" s="237">
        <v>197</v>
      </c>
    </row>
    <row r="18">
      <c r="A18" s="216"/>
      <c r="B18" s="217" t="s">
        <v>200</v>
      </c>
      <c r="C18" s="218" t="s">
        <v>205</v>
      </c>
      <c r="D18" s="219">
        <f t="shared" si="440"/>
      </c>
      <c r="E18" s="218">
        <v>2305.57</v>
      </c>
      <c r="F18" s="218">
        <v>5984.08</v>
      </c>
      <c r="G18" s="218">
        <v>0</v>
      </c>
      <c r="H18" s="218">
        <v>0</v>
      </c>
      <c r="I18" s="221">
        <f t="shared" si="325"/>
      </c>
      <c r="J18" s="222">
        <v>4833</v>
      </c>
      <c r="K18" s="223">
        <f t="shared" si="210"/>
      </c>
      <c r="L18" s="223">
        <f t="shared" si="95"/>
      </c>
      <c r="M18" s="224">
        <f t="shared" si="63"/>
      </c>
      <c r="N18" s="225">
        <f t="shared" si="32"/>
      </c>
      <c r="O18" s="226">
        <f t="shared" si="1"/>
      </c>
      <c r="P18" s="227">
        <f t="shared" si="936"/>
      </c>
      <c r="Q18" s="227">
        <f t="shared" si="905"/>
      </c>
      <c r="R18" s="227">
        <f t="shared" si="874"/>
      </c>
      <c r="S18" s="228">
        <f t="shared" si="843"/>
      </c>
      <c r="T18" s="229">
        <f t="shared" si="781"/>
      </c>
      <c r="U18" s="227">
        <f t="shared" si="750"/>
      </c>
      <c r="V18" s="230">
        <f t="shared" si="812"/>
      </c>
      <c r="W18" s="230">
        <f t="shared" si="719"/>
      </c>
      <c r="X18" s="227">
        <f t="shared" si="688"/>
      </c>
      <c r="Y18" s="231">
        <v>9</v>
      </c>
      <c r="Z18" s="231">
        <v>4</v>
      </c>
      <c r="AA18" s="231">
        <v>4</v>
      </c>
      <c r="AB18" s="232">
        <v>6247.799999999996</v>
      </c>
      <c r="AC18" s="232">
        <v>0</v>
      </c>
      <c r="AD18" s="228">
        <f t="shared" si="657"/>
      </c>
      <c r="AE18" s="233" t="s">
        <v>202</v>
      </c>
      <c r="AF18" s="234" t="s">
        <v>203</v>
      </c>
      <c r="AG18" s="237">
        <v>2</v>
      </c>
      <c r="AH18" s="236">
        <v>128308</v>
      </c>
      <c r="AI18" s="236">
        <v>1562</v>
      </c>
      <c r="AJ18" s="236">
        <v>1512</v>
      </c>
      <c r="AK18" s="237">
        <v>199</v>
      </c>
      <c r="AL18" s="237">
        <v>263</v>
      </c>
    </row>
    <row r="19">
      <c r="A19" s="216"/>
      <c r="B19" s="217" t="s">
        <v>200</v>
      </c>
      <c r="C19" s="218" t="s">
        <v>206</v>
      </c>
      <c r="D19" s="219">
        <f t="shared" si="440"/>
      </c>
      <c r="E19" s="218">
        <v>1066</v>
      </c>
      <c r="F19" s="221">
        <v>3979.79</v>
      </c>
      <c r="G19" s="221">
        <v>0</v>
      </c>
      <c r="H19" s="221">
        <v>0</v>
      </c>
      <c r="I19" s="221">
        <f t="shared" si="325"/>
      </c>
      <c r="J19" s="222">
        <v>0</v>
      </c>
      <c r="K19" s="223">
        <f t="shared" si="210"/>
      </c>
      <c r="L19" s="223">
        <f t="shared" si="95"/>
      </c>
      <c r="M19" s="224">
        <f t="shared" si="63"/>
      </c>
      <c r="N19" s="225">
        <f t="shared" si="32"/>
      </c>
      <c r="O19" s="226">
        <f t="shared" si="1"/>
      </c>
      <c r="P19" s="227">
        <f t="shared" si="936"/>
      </c>
      <c r="Q19" s="227">
        <f t="shared" si="905"/>
      </c>
      <c r="R19" s="227">
        <f t="shared" si="874"/>
      </c>
      <c r="S19" s="228">
        <f t="shared" si="843"/>
      </c>
      <c r="T19" s="229">
        <f t="shared" si="781"/>
      </c>
      <c r="U19" s="227">
        <f t="shared" si="750"/>
      </c>
      <c r="V19" s="230">
        <f t="shared" si="812"/>
      </c>
      <c r="W19" s="230">
        <f t="shared" si="719"/>
      </c>
      <c r="X19" s="227">
        <f t="shared" si="688"/>
      </c>
      <c r="Y19" s="231">
        <v>12</v>
      </c>
      <c r="Z19" s="231">
        <v>7</v>
      </c>
      <c r="AA19" s="231">
        <v>5</v>
      </c>
      <c r="AB19" s="222">
        <v>9362.280000000006</v>
      </c>
      <c r="AC19" s="232">
        <v>0</v>
      </c>
      <c r="AD19" s="228">
        <f t="shared" si="657"/>
      </c>
      <c r="AE19" s="233" t="s">
        <v>202</v>
      </c>
      <c r="AF19" s="234" t="s">
        <v>203</v>
      </c>
      <c r="AG19" s="235">
        <v>5</v>
      </c>
      <c r="AH19" s="236">
        <v>77719</v>
      </c>
      <c r="AI19" s="236">
        <v>901</v>
      </c>
      <c r="AJ19" s="236">
        <v>859</v>
      </c>
      <c r="AK19" s="237">
        <v>125</v>
      </c>
      <c r="AL19" s="237">
        <v>184</v>
      </c>
    </row>
    <row r="20">
      <c r="A20" s="216"/>
      <c r="B20" s="217" t="s">
        <v>200</v>
      </c>
      <c r="C20" s="218" t="s">
        <v>207</v>
      </c>
      <c r="D20" s="219">
        <f t="shared" si="440"/>
      </c>
      <c r="E20" s="218">
        <v>1232.12</v>
      </c>
      <c r="F20" s="221">
        <v>4006.11</v>
      </c>
      <c r="G20" s="221">
        <v>0</v>
      </c>
      <c r="H20" s="221">
        <v>0</v>
      </c>
      <c r="I20" s="238">
        <f t="shared" si="325"/>
      </c>
      <c r="J20" s="222">
        <v>3744.24</v>
      </c>
      <c r="K20" s="223">
        <f t="shared" si="210"/>
      </c>
      <c r="L20" s="223">
        <f t="shared" si="95"/>
      </c>
      <c r="M20" s="224">
        <f t="shared" si="63"/>
      </c>
      <c r="N20" s="225">
        <f t="shared" si="32"/>
      </c>
      <c r="O20" s="226">
        <f t="shared" si="1"/>
      </c>
      <c r="P20" s="227">
        <f t="shared" si="936"/>
      </c>
      <c r="Q20" s="227">
        <f t="shared" si="905"/>
      </c>
      <c r="R20" s="227">
        <f t="shared" si="874"/>
      </c>
      <c r="S20" s="228">
        <f t="shared" si="843"/>
      </c>
      <c r="T20" s="229">
        <f t="shared" si="781"/>
      </c>
      <c r="U20" s="227">
        <f t="shared" si="750"/>
      </c>
      <c r="V20" s="230">
        <f t="shared" si="812"/>
      </c>
      <c r="W20" s="230">
        <f t="shared" si="719"/>
      </c>
      <c r="X20" s="227">
        <f t="shared" si="688"/>
      </c>
      <c r="Y20" s="231">
        <v>13</v>
      </c>
      <c r="Z20" s="231">
        <v>4</v>
      </c>
      <c r="AA20" s="231">
        <v>6</v>
      </c>
      <c r="AB20" s="232">
        <v>5977.799999999996</v>
      </c>
      <c r="AC20" s="232">
        <v>663</v>
      </c>
      <c r="AD20" s="228">
        <f t="shared" si="657"/>
      </c>
      <c r="AE20" s="233" t="s">
        <v>202</v>
      </c>
      <c r="AF20" s="234" t="s">
        <v>203</v>
      </c>
      <c r="AG20" s="235">
        <v>6</v>
      </c>
      <c r="AH20" s="236">
        <v>80127</v>
      </c>
      <c r="AI20" s="236">
        <v>738</v>
      </c>
      <c r="AJ20" s="236">
        <v>672</v>
      </c>
      <c r="AK20" s="237">
        <v>128</v>
      </c>
      <c r="AL20" s="237">
        <v>165</v>
      </c>
    </row>
    <row r="21">
      <c r="A21" s="216"/>
      <c r="B21" s="239" t="s">
        <v>208</v>
      </c>
      <c r="C21" s="240">
        <v>5</v>
      </c>
      <c r="D21" s="241">
        <f>SUM(D16:D20)</f>
      </c>
      <c r="E21" s="241">
        <f>SUM(E16:E20)</f>
      </c>
      <c r="F21" s="241">
        <f>SUM(F16:F20)</f>
      </c>
      <c r="G21" s="241">
        <f>SUM(G16:G20)</f>
      </c>
      <c r="H21" s="241">
        <f>SUM(H16:H20)</f>
      </c>
      <c r="I21" s="259">
        <f>SUM(I16:I20)</f>
      </c>
      <c r="J21" s="241">
        <f>SUM(J16:J20)</f>
      </c>
      <c r="K21" s="241">
        <f>SUM(K16:K20)</f>
      </c>
      <c r="L21" s="241">
        <f>SUM(L16:L20)</f>
      </c>
      <c r="M21" s="242">
        <f t="shared" si="63"/>
      </c>
      <c r="N21" s="243">
        <f t="shared" si="32"/>
      </c>
      <c r="O21" s="243">
        <f t="shared" si="1"/>
      </c>
      <c r="P21" s="244">
        <f t="shared" si="936"/>
      </c>
      <c r="Q21" s="244">
        <f t="shared" si="905"/>
      </c>
      <c r="R21" s="244">
        <f t="shared" si="874"/>
      </c>
      <c r="S21" s="245">
        <f t="shared" si="843"/>
      </c>
      <c r="T21" s="245">
        <f t="shared" si="781"/>
      </c>
      <c r="U21" s="244">
        <f t="shared" si="750"/>
      </c>
      <c r="V21" s="245">
        <f t="shared" si="812"/>
      </c>
      <c r="W21" s="245">
        <f t="shared" si="719"/>
      </c>
      <c r="X21" s="244">
        <f t="shared" si="688"/>
      </c>
      <c r="Y21" s="241">
        <f>SUM(Y16:Y20)</f>
      </c>
      <c r="Z21" s="241">
        <f>SUM(Z16:Z20)</f>
      </c>
      <c r="AA21" s="241">
        <f>SUM(AA16:AA20)</f>
      </c>
      <c r="AB21" s="241">
        <f>SUM(AB16:AB20)</f>
      </c>
      <c r="AC21" s="241">
        <f>SUM(AC16:AC20)</f>
      </c>
      <c r="AD21" s="246">
        <f t="shared" si="657"/>
      </c>
      <c r="AE21" s="247"/>
      <c r="AF21" s="248"/>
      <c r="AG21" s="241">
        <f>SUM(AG16:AG20)</f>
      </c>
      <c r="AH21" s="241">
        <f>SUM(AH16:AH20)</f>
      </c>
      <c r="AI21" s="241">
        <f>SUM(AI16:AI20)</f>
      </c>
      <c r="AJ21" s="241">
        <f>SUM(AJ16:AJ20)</f>
      </c>
      <c r="AK21" s="241">
        <f>SUM(AK16:AK20)</f>
      </c>
      <c r="AL21" s="241">
        <f>SUM(AL16:AL20)</f>
      </c>
    </row>
    <row r="22">
      <c r="A22" s="216"/>
      <c r="B22" s="217" t="s">
        <v>209</v>
      </c>
      <c r="C22" s="218" t="s">
        <v>210</v>
      </c>
      <c r="D22" s="219">
        <f t="shared" ref="D22:D26" si="441">E22+F22+G22+H22</f>
      </c>
      <c r="E22" s="218">
        <v>1447.38</v>
      </c>
      <c r="F22" s="249">
        <v>2981.62</v>
      </c>
      <c r="G22" s="221">
        <v>0</v>
      </c>
      <c r="H22" s="221">
        <v>0</v>
      </c>
      <c r="I22" s="250">
        <f t="shared" ref="I22:I26" si="326">AB22+AC22</f>
      </c>
      <c r="J22" s="251">
        <v>0</v>
      </c>
      <c r="K22" s="223">
        <f t="shared" ref="K22:K26" si="211">I22-J22</f>
      </c>
      <c r="L22" s="223">
        <f t="shared" ref="L22:L26" si="96">(I22-AC22)/12+AC22</f>
      </c>
      <c r="M22" s="224">
        <f t="shared" si="63"/>
      </c>
      <c r="N22" s="225">
        <f t="shared" si="32"/>
      </c>
      <c r="O22" s="226">
        <f t="shared" si="1"/>
      </c>
      <c r="P22" s="227">
        <f t="shared" si="936"/>
      </c>
      <c r="Q22" s="227">
        <f t="shared" si="905"/>
      </c>
      <c r="R22" s="227">
        <f t="shared" si="874"/>
      </c>
      <c r="S22" s="228">
        <f t="shared" si="843"/>
      </c>
      <c r="T22" s="229">
        <f t="shared" si="781"/>
      </c>
      <c r="U22" s="227">
        <f t="shared" si="750"/>
      </c>
      <c r="V22" s="230">
        <f t="shared" si="812"/>
      </c>
      <c r="W22" s="230">
        <f t="shared" si="719"/>
      </c>
      <c r="X22" s="227">
        <f t="shared" si="688"/>
      </c>
      <c r="Y22" s="231">
        <v>4</v>
      </c>
      <c r="Z22" s="231">
        <v>1</v>
      </c>
      <c r="AA22" s="231">
        <v>1</v>
      </c>
      <c r="AB22" s="232">
        <v>0</v>
      </c>
      <c r="AC22" s="232">
        <v>2611</v>
      </c>
      <c r="AD22" s="228">
        <f t="shared" si="657"/>
      </c>
      <c r="AE22" s="233" t="s">
        <v>202</v>
      </c>
      <c r="AF22" s="234" t="s">
        <v>203</v>
      </c>
      <c r="AG22" s="235">
        <v>1</v>
      </c>
      <c r="AH22" s="236">
        <v>71476</v>
      </c>
      <c r="AI22" s="236">
        <v>722</v>
      </c>
      <c r="AJ22" s="236">
        <v>691</v>
      </c>
      <c r="AK22" s="237">
        <v>92</v>
      </c>
      <c r="AL22" s="237">
        <v>120</v>
      </c>
    </row>
    <row r="23">
      <c r="A23" s="216"/>
      <c r="B23" s="217" t="s">
        <v>209</v>
      </c>
      <c r="C23" s="252" t="s">
        <v>211</v>
      </c>
      <c r="D23" s="219">
        <f t="shared" si="441"/>
      </c>
      <c r="E23" s="218">
        <v>1981.24</v>
      </c>
      <c r="F23" s="249">
        <v>3048.4</v>
      </c>
      <c r="G23" s="221">
        <v>0</v>
      </c>
      <c r="H23" s="221">
        <v>0</v>
      </c>
      <c r="I23" s="250">
        <f t="shared" si="326"/>
      </c>
      <c r="J23" s="251">
        <v>0</v>
      </c>
      <c r="K23" s="223">
        <f t="shared" si="211"/>
      </c>
      <c r="L23" s="223">
        <f t="shared" si="96"/>
      </c>
      <c r="M23" s="224">
        <f t="shared" si="63"/>
      </c>
      <c r="N23" s="225">
        <f t="shared" si="32"/>
      </c>
      <c r="O23" s="226">
        <f t="shared" si="1"/>
      </c>
      <c r="P23" s="227">
        <f t="shared" si="936"/>
      </c>
      <c r="Q23" s="227">
        <f t="shared" si="905"/>
      </c>
      <c r="R23" s="227">
        <f t="shared" si="874"/>
      </c>
      <c r="S23" s="228">
        <f t="shared" si="843"/>
      </c>
      <c r="T23" s="229">
        <f t="shared" si="781"/>
      </c>
      <c r="U23" s="227">
        <f t="shared" si="750"/>
      </c>
      <c r="V23" s="230">
        <f t="shared" si="812"/>
      </c>
      <c r="W23" s="230">
        <f t="shared" si="719"/>
      </c>
      <c r="X23" s="227">
        <f t="shared" si="688"/>
      </c>
      <c r="Y23" s="231">
        <v>8</v>
      </c>
      <c r="Z23" s="231">
        <v>4</v>
      </c>
      <c r="AA23" s="231">
        <v>3</v>
      </c>
      <c r="AB23" s="232">
        <v>5288.760000000002</v>
      </c>
      <c r="AC23" s="232">
        <v>0</v>
      </c>
      <c r="AD23" s="228">
        <f t="shared" si="657"/>
      </c>
      <c r="AE23" s="233" t="s">
        <v>202</v>
      </c>
      <c r="AF23" s="234" t="s">
        <v>203</v>
      </c>
      <c r="AG23" s="235">
        <v>3</v>
      </c>
      <c r="AH23" s="236">
        <v>86619</v>
      </c>
      <c r="AI23" s="236">
        <v>987</v>
      </c>
      <c r="AJ23" s="236">
        <v>949</v>
      </c>
      <c r="AK23" s="237">
        <v>115</v>
      </c>
      <c r="AL23" s="237">
        <v>149</v>
      </c>
    </row>
    <row r="24">
      <c r="A24" s="216"/>
      <c r="B24" s="217" t="s">
        <v>209</v>
      </c>
      <c r="C24" s="252" t="s">
        <v>212</v>
      </c>
      <c r="D24" s="219">
        <f t="shared" si="441"/>
      </c>
      <c r="E24" s="218">
        <v>2494.54</v>
      </c>
      <c r="F24" s="249">
        <v>3001.96</v>
      </c>
      <c r="G24" s="218">
        <v>0</v>
      </c>
      <c r="H24" s="218">
        <v>0</v>
      </c>
      <c r="I24" s="250">
        <f t="shared" si="326"/>
      </c>
      <c r="J24" s="251">
        <v>0</v>
      </c>
      <c r="K24" s="223">
        <f t="shared" si="211"/>
      </c>
      <c r="L24" s="223">
        <f t="shared" si="96"/>
      </c>
      <c r="M24" s="224">
        <f t="shared" si="63"/>
      </c>
      <c r="N24" s="225">
        <f t="shared" si="32"/>
      </c>
      <c r="O24" s="226">
        <f t="shared" si="1"/>
      </c>
      <c r="P24" s="227">
        <f t="shared" si="936"/>
      </c>
      <c r="Q24" s="227">
        <f t="shared" si="905"/>
      </c>
      <c r="R24" s="227">
        <f t="shared" si="874"/>
      </c>
      <c r="S24" s="228">
        <f t="shared" si="843"/>
      </c>
      <c r="T24" s="229">
        <f t="shared" si="781"/>
      </c>
      <c r="U24" s="227">
        <f t="shared" si="750"/>
      </c>
      <c r="V24" s="230">
        <f t="shared" si="812"/>
      </c>
      <c r="W24" s="230">
        <f t="shared" si="719"/>
      </c>
      <c r="X24" s="227">
        <f t="shared" si="688"/>
      </c>
      <c r="Y24" s="231">
        <v>4</v>
      </c>
      <c r="Z24" s="231">
        <v>0</v>
      </c>
      <c r="AA24" s="231">
        <v>5</v>
      </c>
      <c r="AB24" s="232">
        <v>6301.68</v>
      </c>
      <c r="AC24" s="232">
        <v>656</v>
      </c>
      <c r="AD24" s="228">
        <f t="shared" si="657"/>
      </c>
      <c r="AE24" s="233" t="s">
        <v>202</v>
      </c>
      <c r="AF24" s="234" t="s">
        <v>203</v>
      </c>
      <c r="AG24" s="237">
        <v>3</v>
      </c>
      <c r="AH24" s="236">
        <v>77327</v>
      </c>
      <c r="AI24" s="236">
        <v>1027</v>
      </c>
      <c r="AJ24" s="236">
        <v>1008</v>
      </c>
      <c r="AK24" s="237">
        <v>125</v>
      </c>
      <c r="AL24" s="237">
        <v>148</v>
      </c>
    </row>
    <row r="25">
      <c r="A25" s="216"/>
      <c r="B25" s="217" t="s">
        <v>209</v>
      </c>
      <c r="C25" s="218" t="s">
        <v>213</v>
      </c>
      <c r="D25" s="219">
        <f t="shared" si="441"/>
      </c>
      <c r="E25" s="218">
        <v>1788.01</v>
      </c>
      <c r="F25" s="249">
        <v>2998.04</v>
      </c>
      <c r="G25" s="221">
        <v>0</v>
      </c>
      <c r="H25" s="221">
        <v>0</v>
      </c>
      <c r="I25" s="250">
        <f t="shared" si="326"/>
      </c>
      <c r="J25" s="251">
        <v>0</v>
      </c>
      <c r="K25" s="223">
        <f t="shared" si="211"/>
      </c>
      <c r="L25" s="223">
        <f t="shared" si="96"/>
      </c>
      <c r="M25" s="224">
        <f t="shared" si="63"/>
      </c>
      <c r="N25" s="225">
        <f t="shared" si="32"/>
      </c>
      <c r="O25" s="226">
        <f t="shared" si="1"/>
      </c>
      <c r="P25" s="227">
        <f t="shared" si="936"/>
      </c>
      <c r="Q25" s="227">
        <f t="shared" si="905"/>
      </c>
      <c r="R25" s="227">
        <f t="shared" si="874"/>
      </c>
      <c r="S25" s="228">
        <f t="shared" si="843"/>
      </c>
      <c r="T25" s="229">
        <f t="shared" si="781"/>
      </c>
      <c r="U25" s="227">
        <f t="shared" si="750"/>
      </c>
      <c r="V25" s="230">
        <f t="shared" si="812"/>
      </c>
      <c r="W25" s="230">
        <f t="shared" si="719"/>
      </c>
      <c r="X25" s="227">
        <f t="shared" si="688"/>
      </c>
      <c r="Y25" s="231">
        <v>9</v>
      </c>
      <c r="Z25" s="231">
        <v>4</v>
      </c>
      <c r="AA25" s="231">
        <v>1</v>
      </c>
      <c r="AB25" s="222">
        <v>2918.159999999996</v>
      </c>
      <c r="AC25" s="232">
        <v>0</v>
      </c>
      <c r="AD25" s="228">
        <f t="shared" si="657"/>
      </c>
      <c r="AE25" s="233" t="s">
        <v>202</v>
      </c>
      <c r="AF25" s="234" t="s">
        <v>203</v>
      </c>
      <c r="AG25" s="235">
        <v>1</v>
      </c>
      <c r="AH25" s="236">
        <v>73818</v>
      </c>
      <c r="AI25" s="236">
        <v>736</v>
      </c>
      <c r="AJ25" s="236">
        <v>748</v>
      </c>
      <c r="AK25" s="237">
        <v>103</v>
      </c>
      <c r="AL25" s="237">
        <v>146</v>
      </c>
    </row>
    <row r="26">
      <c r="A26" s="216"/>
      <c r="B26" s="217" t="s">
        <v>209</v>
      </c>
      <c r="C26" s="252" t="s">
        <v>214</v>
      </c>
      <c r="D26" s="219">
        <f t="shared" si="441"/>
      </c>
      <c r="E26" s="218">
        <v>865.4</v>
      </c>
      <c r="F26" s="249">
        <v>1492.05</v>
      </c>
      <c r="G26" s="221">
        <v>0</v>
      </c>
      <c r="H26" s="221">
        <v>0</v>
      </c>
      <c r="I26" s="250">
        <f t="shared" si="326"/>
      </c>
      <c r="J26" s="251">
        <v>465.48</v>
      </c>
      <c r="K26" s="223">
        <f t="shared" si="211"/>
      </c>
      <c r="L26" s="223">
        <f t="shared" si="96"/>
      </c>
      <c r="M26" s="224">
        <f t="shared" si="63"/>
      </c>
      <c r="N26" s="225">
        <f t="shared" si="32"/>
      </c>
      <c r="O26" s="226">
        <f t="shared" si="1"/>
      </c>
      <c r="P26" s="227">
        <f t="shared" si="936"/>
      </c>
      <c r="Q26" s="227">
        <f t="shared" si="905"/>
      </c>
      <c r="R26" s="227">
        <f t="shared" si="874"/>
      </c>
      <c r="S26" s="228">
        <f t="shared" si="843"/>
      </c>
      <c r="T26" s="229">
        <f t="shared" si="781"/>
      </c>
      <c r="U26" s="227">
        <f t="shared" si="750"/>
      </c>
      <c r="V26" s="230">
        <f t="shared" si="812"/>
      </c>
      <c r="W26" s="230">
        <f t="shared" si="719"/>
      </c>
      <c r="X26" s="227">
        <f t="shared" si="688"/>
      </c>
      <c r="Y26" s="231">
        <v>9</v>
      </c>
      <c r="Z26" s="231">
        <v>4</v>
      </c>
      <c r="AA26" s="231">
        <v>6</v>
      </c>
      <c r="AB26" s="232">
        <v>23034.72</v>
      </c>
      <c r="AC26" s="232">
        <v>0</v>
      </c>
      <c r="AD26" s="228">
        <f t="shared" si="657"/>
      </c>
      <c r="AE26" s="233" t="s">
        <v>202</v>
      </c>
      <c r="AF26" s="234" t="s">
        <v>203</v>
      </c>
      <c r="AG26" s="235">
        <v>6</v>
      </c>
      <c r="AH26" s="236">
        <v>40022</v>
      </c>
      <c r="AI26" s="236">
        <v>404</v>
      </c>
      <c r="AJ26" s="236">
        <v>383</v>
      </c>
      <c r="AK26" s="237">
        <v>53</v>
      </c>
      <c r="AL26" s="237">
        <v>76</v>
      </c>
    </row>
    <row r="27">
      <c r="A27" s="216"/>
      <c r="B27" s="239" t="s">
        <v>208</v>
      </c>
      <c r="C27" s="240">
        <v>5</v>
      </c>
      <c r="D27" s="241">
        <f>SUM(D22:D26)</f>
      </c>
      <c r="E27" s="241">
        <f>SUM(E22:E26)</f>
      </c>
      <c r="F27" s="241">
        <f>SUM(F22:F26)</f>
      </c>
      <c r="G27" s="241">
        <f>SUM(G22:G26)</f>
      </c>
      <c r="H27" s="241">
        <f>SUM(H22:H26)</f>
      </c>
      <c r="I27" s="260">
        <f>SUM(I22:I26)</f>
      </c>
      <c r="J27" s="241">
        <f>SUM(J22:J26)</f>
      </c>
      <c r="K27" s="241">
        <f>SUM(K22:K26)</f>
      </c>
      <c r="L27" s="241">
        <f>SUM(L22:L26)</f>
      </c>
      <c r="M27" s="242">
        <f t="shared" si="63"/>
      </c>
      <c r="N27" s="243">
        <f t="shared" si="32"/>
      </c>
      <c r="O27" s="243">
        <f t="shared" si="1"/>
      </c>
      <c r="P27" s="244">
        <f t="shared" si="936"/>
      </c>
      <c r="Q27" s="244">
        <f t="shared" si="905"/>
      </c>
      <c r="R27" s="244">
        <f t="shared" si="874"/>
      </c>
      <c r="S27" s="245">
        <f t="shared" si="843"/>
      </c>
      <c r="T27" s="245">
        <f t="shared" si="781"/>
      </c>
      <c r="U27" s="244">
        <f t="shared" si="750"/>
      </c>
      <c r="V27" s="245">
        <f t="shared" si="812"/>
      </c>
      <c r="W27" s="245">
        <f t="shared" si="719"/>
      </c>
      <c r="X27" s="244">
        <f t="shared" si="688"/>
      </c>
      <c r="Y27" s="241">
        <f>SUM(Y22:Y26)</f>
      </c>
      <c r="Z27" s="241">
        <f>SUM(Z22:Z26)</f>
      </c>
      <c r="AA27" s="241">
        <f>SUM(AA22:AA26)</f>
      </c>
      <c r="AB27" s="241">
        <f>SUM(AB22:AB26)</f>
      </c>
      <c r="AC27" s="241">
        <f>SUM(AC22:AC26)</f>
      </c>
      <c r="AD27" s="246">
        <f t="shared" si="657"/>
      </c>
      <c r="AE27" s="247"/>
      <c r="AF27" s="248"/>
      <c r="AG27" s="241">
        <f>SUM(AG22:AG26)</f>
      </c>
      <c r="AH27" s="241">
        <f>SUM(AH22:AH26)</f>
      </c>
      <c r="AI27" s="241">
        <f>SUM(AI22:AI26)</f>
      </c>
      <c r="AJ27" s="241">
        <f>SUM(AJ22:AJ26)</f>
      </c>
      <c r="AK27" s="241">
        <f>SUM(AK22:AK26)</f>
      </c>
      <c r="AL27" s="241">
        <f>SUM(AL22:AL26)</f>
      </c>
    </row>
    <row r="28">
      <c r="A28" s="216"/>
      <c r="B28" s="253" t="s">
        <v>208</v>
      </c>
      <c r="C28" s="254">
        <f>C27+C21</f>
      </c>
      <c r="D28" s="255">
        <f>D27+D21</f>
      </c>
      <c r="E28" s="255">
        <f>E27+E21</f>
      </c>
      <c r="F28" s="255">
        <f>F27+F21</f>
      </c>
      <c r="G28" s="255">
        <f>G27+G21</f>
      </c>
      <c r="H28" s="255">
        <f>H27+H21</f>
      </c>
      <c r="I28" s="255">
        <f>I27+I21</f>
      </c>
      <c r="J28" s="255">
        <f>J27+J21</f>
      </c>
      <c r="K28" s="255">
        <f>K27+K21</f>
      </c>
      <c r="L28" s="255">
        <f>L27+L21</f>
      </c>
      <c r="M28" s="256">
        <f t="shared" si="63"/>
      </c>
      <c r="N28" s="256">
        <f t="shared" si="32"/>
      </c>
      <c r="O28" s="256">
        <f t="shared" si="1"/>
      </c>
      <c r="P28" s="256">
        <f t="shared" si="936"/>
      </c>
      <c r="Q28" s="256">
        <f t="shared" si="905"/>
      </c>
      <c r="R28" s="256">
        <f t="shared" si="874"/>
      </c>
      <c r="S28" s="257">
        <f t="shared" si="843"/>
      </c>
      <c r="T28" s="257">
        <f t="shared" si="781"/>
      </c>
      <c r="U28" s="256">
        <f t="shared" si="750"/>
      </c>
      <c r="V28" s="257">
        <f t="shared" si="812"/>
      </c>
      <c r="W28" s="257">
        <f t="shared" si="719"/>
      </c>
      <c r="X28" s="256">
        <f t="shared" si="688"/>
      </c>
      <c r="Y28" s="255">
        <f>Y27+Y21</f>
      </c>
      <c r="Z28" s="255">
        <f>Z27+Z21</f>
      </c>
      <c r="AA28" s="255">
        <f>AA27+AA21</f>
      </c>
      <c r="AB28" s="255">
        <f>AB27+AB21</f>
      </c>
      <c r="AC28" s="255">
        <f>AC27+AC21</f>
      </c>
      <c r="AD28" s="258">
        <f t="shared" si="657"/>
      </c>
      <c r="AE28" s="253"/>
      <c r="AF28" s="253"/>
      <c r="AG28" s="255">
        <f>AG27+AG21</f>
      </c>
      <c r="AH28" s="255">
        <f>AH27+AH21</f>
      </c>
      <c r="AI28" s="255">
        <f>AI27+AI21</f>
      </c>
      <c r="AJ28" s="255">
        <f>AJ27+AJ21</f>
      </c>
      <c r="AK28" s="255">
        <f>AK27+AK21</f>
      </c>
      <c r="AL28" s="255">
        <f>AL27+AL21</f>
      </c>
    </row>
    <row r="29">
      <c r="A29" s="202" t="s">
        <v>162</v>
      </c>
      <c r="B29" s="203" t="s">
        <v>163</v>
      </c>
      <c r="C29" s="203" t="s">
        <v>164</v>
      </c>
      <c r="D29" s="204" t="s">
        <v>165</v>
      </c>
      <c r="E29" s="203" t="s">
        <v>166</v>
      </c>
      <c r="F29" s="203" t="s">
        <v>167</v>
      </c>
      <c r="G29" s="205" t="s">
        <v>168</v>
      </c>
      <c r="H29" s="205" t="s">
        <v>169</v>
      </c>
      <c r="I29" s="204" t="s">
        <v>170</v>
      </c>
      <c r="J29" s="206" t="s">
        <v>171</v>
      </c>
      <c r="K29" s="207" t="s">
        <v>172</v>
      </c>
      <c r="L29" s="207" t="s">
        <v>173</v>
      </c>
      <c r="M29" s="208" t="s">
        <v>174</v>
      </c>
      <c r="N29" s="207" t="s">
        <v>175</v>
      </c>
      <c r="O29" s="203" t="s">
        <v>176</v>
      </c>
      <c r="P29" s="208" t="s">
        <v>177</v>
      </c>
      <c r="Q29" s="209" t="s">
        <v>178</v>
      </c>
      <c r="R29" s="209" t="s">
        <v>179</v>
      </c>
      <c r="S29" s="204" t="s">
        <v>180</v>
      </c>
      <c r="T29" s="210" t="s">
        <v>181</v>
      </c>
      <c r="U29" s="208" t="s">
        <v>182</v>
      </c>
      <c r="V29" s="211" t="s">
        <v>183</v>
      </c>
      <c r="W29" s="212" t="s">
        <v>184</v>
      </c>
      <c r="X29" s="208" t="s">
        <v>185</v>
      </c>
      <c r="Y29" s="213" t="s">
        <v>186</v>
      </c>
      <c r="Z29" s="214" t="s">
        <v>187</v>
      </c>
      <c r="AA29" s="213" t="s">
        <v>188</v>
      </c>
      <c r="AB29" s="215" t="s">
        <v>189</v>
      </c>
      <c r="AC29" s="215" t="s">
        <v>190</v>
      </c>
      <c r="AD29" s="207" t="s">
        <v>191</v>
      </c>
      <c r="AE29" s="206" t="s">
        <v>192</v>
      </c>
      <c r="AF29" s="207" t="s">
        <v>193</v>
      </c>
      <c r="AG29" s="206" t="s">
        <v>194</v>
      </c>
      <c r="AH29" s="206" t="s">
        <v>195</v>
      </c>
      <c r="AI29" s="207" t="s">
        <v>196</v>
      </c>
      <c r="AJ29" s="206" t="s">
        <v>197</v>
      </c>
      <c r="AK29" s="207" t="s">
        <v>198</v>
      </c>
      <c r="AL29" s="206" t="s">
        <v>199</v>
      </c>
    </row>
    <row r="30">
      <c r="A30" s="216">
        <v>46237</v>
      </c>
      <c r="B30" s="217" t="s">
        <v>200</v>
      </c>
      <c r="C30" s="218" t="s">
        <v>201</v>
      </c>
      <c r="D30" s="219">
        <f t="shared" ref="D30:D34" si="442">E30+F30+G30+H30</f>
      </c>
      <c r="E30" s="220">
        <v>1487.2</v>
      </c>
      <c r="F30" s="221">
        <v>2000</v>
      </c>
      <c r="G30" s="221">
        <v>0</v>
      </c>
      <c r="H30" s="221">
        <v>0</v>
      </c>
      <c r="I30" s="221">
        <f t="shared" ref="I30:I34" si="327">AB30+AC30</f>
      </c>
      <c r="J30" s="222">
        <v>2670.84</v>
      </c>
      <c r="K30" s="223">
        <f t="shared" ref="K30:K34" si="212">I30-J30</f>
      </c>
      <c r="L30" s="223">
        <f t="shared" ref="L30:L34" si="97">(I30-AC30)/12+AC30</f>
      </c>
      <c r="M30" s="224">
        <f t="shared" ref="M30:M42" si="64">I30/D30</f>
      </c>
      <c r="N30" s="225">
        <f t="shared" ref="N30:N42" si="33">(I30-J30)/D30</f>
      </c>
      <c r="O30" s="226">
        <f t="shared" ref="O30:O42" si="2">(AC30+AB30/12)/D30</f>
      </c>
      <c r="P30" s="227">
        <f t="shared" ref="P30:P42" si="937">I30/AA30</f>
      </c>
      <c r="Q30" s="227">
        <f t="shared" ref="Q30:Q42" si="906">D30/AA30</f>
      </c>
      <c r="R30" s="227">
        <f t="shared" ref="R30:R42" si="875">D30/AG30</f>
      </c>
      <c r="S30" s="228">
        <f t="shared" ref="S30:S42" si="844">AA30/Y30</f>
      </c>
      <c r="T30" s="229">
        <f t="shared" ref="T30:T42" si="782">AI30/AH30</f>
      </c>
      <c r="U30" s="227">
        <f t="shared" ref="U30:U42" si="751">D30/AJ30</f>
      </c>
      <c r="V30" s="230">
        <f t="shared" ref="V30:V42" si="813">AK30/AJ30</f>
      </c>
      <c r="W30" s="230">
        <f t="shared" ref="W30:W42" si="720">AL30/AJ30</f>
      </c>
      <c r="X30" s="227">
        <f t="shared" ref="X30:X42" si="689">D30/AL30</f>
      </c>
      <c r="Y30" s="231">
        <v>8</v>
      </c>
      <c r="Z30" s="231">
        <v>1</v>
      </c>
      <c r="AA30" s="231">
        <v>5</v>
      </c>
      <c r="AB30" s="232">
        <v>4760.64</v>
      </c>
      <c r="AC30" s="232">
        <v>1161</v>
      </c>
      <c r="AD30" s="228">
        <f t="shared" ref="AD30:AD42" si="658">AC30/I30</f>
      </c>
      <c r="AE30" s="233" t="s">
        <v>202</v>
      </c>
      <c r="AF30" s="234" t="s">
        <v>203</v>
      </c>
      <c r="AG30" s="235">
        <v>4</v>
      </c>
      <c r="AH30" s="236">
        <v>42587</v>
      </c>
      <c r="AI30" s="236">
        <v>843</v>
      </c>
      <c r="AJ30" s="236">
        <v>852</v>
      </c>
      <c r="AK30" s="235">
        <v>102</v>
      </c>
      <c r="AL30" s="237">
        <v>121</v>
      </c>
    </row>
    <row r="31">
      <c r="A31" s="216"/>
      <c r="B31" s="217" t="s">
        <v>200</v>
      </c>
      <c r="C31" s="218" t="s">
        <v>204</v>
      </c>
      <c r="D31" s="219">
        <f t="shared" si="442"/>
      </c>
      <c r="E31" s="218">
        <v>1523.55</v>
      </c>
      <c r="F31" s="221">
        <v>2500</v>
      </c>
      <c r="G31" s="221">
        <v>0</v>
      </c>
      <c r="H31" s="221">
        <v>0</v>
      </c>
      <c r="I31" s="221">
        <f t="shared" si="327"/>
      </c>
      <c r="J31" s="222">
        <v>1736.64</v>
      </c>
      <c r="K31" s="223">
        <f t="shared" si="212"/>
      </c>
      <c r="L31" s="223">
        <f t="shared" si="97"/>
      </c>
      <c r="M31" s="224">
        <f t="shared" si="64"/>
      </c>
      <c r="N31" s="225">
        <f t="shared" si="33"/>
      </c>
      <c r="O31" s="226">
        <f t="shared" si="2"/>
      </c>
      <c r="P31" s="227">
        <f t="shared" si="937"/>
      </c>
      <c r="Q31" s="227">
        <f t="shared" si="906"/>
      </c>
      <c r="R31" s="227">
        <f t="shared" si="875"/>
      </c>
      <c r="S31" s="228">
        <f t="shared" si="844"/>
      </c>
      <c r="T31" s="229">
        <f t="shared" si="782"/>
      </c>
      <c r="U31" s="227">
        <f t="shared" si="751"/>
      </c>
      <c r="V31" s="230">
        <f t="shared" si="813"/>
      </c>
      <c r="W31" s="230">
        <f t="shared" si="720"/>
      </c>
      <c r="X31" s="227">
        <f t="shared" si="689"/>
      </c>
      <c r="Y31" s="231">
        <v>10</v>
      </c>
      <c r="Z31" s="231">
        <v>6</v>
      </c>
      <c r="AA31" s="231">
        <v>5</v>
      </c>
      <c r="AB31" s="232">
        <v>5068.44</v>
      </c>
      <c r="AC31" s="232">
        <v>1937.0500000000002</v>
      </c>
      <c r="AD31" s="228">
        <f t="shared" si="658"/>
      </c>
      <c r="AE31" s="233" t="s">
        <v>202</v>
      </c>
      <c r="AF31" s="234" t="s">
        <v>203</v>
      </c>
      <c r="AG31" s="235">
        <v>4</v>
      </c>
      <c r="AH31" s="236">
        <v>59680</v>
      </c>
      <c r="AI31" s="236">
        <v>830</v>
      </c>
      <c r="AJ31" s="236">
        <v>837</v>
      </c>
      <c r="AK31" s="237">
        <v>135</v>
      </c>
      <c r="AL31" s="237">
        <v>131</v>
      </c>
    </row>
    <row r="32">
      <c r="A32" s="216"/>
      <c r="B32" s="217" t="s">
        <v>200</v>
      </c>
      <c r="C32" s="218" t="s">
        <v>205</v>
      </c>
      <c r="D32" s="219">
        <f t="shared" si="442"/>
      </c>
      <c r="E32" s="218">
        <v>1489.05</v>
      </c>
      <c r="F32" s="218">
        <v>2996.82</v>
      </c>
      <c r="G32" s="218">
        <v>0</v>
      </c>
      <c r="H32" s="218">
        <v>0</v>
      </c>
      <c r="I32" s="221">
        <f t="shared" si="327"/>
      </c>
      <c r="J32" s="222">
        <v>814.32</v>
      </c>
      <c r="K32" s="223">
        <f t="shared" si="212"/>
      </c>
      <c r="L32" s="223">
        <f t="shared" si="97"/>
      </c>
      <c r="M32" s="224">
        <f t="shared" si="64"/>
      </c>
      <c r="N32" s="225">
        <f t="shared" si="33"/>
      </c>
      <c r="O32" s="226">
        <f t="shared" si="2"/>
      </c>
      <c r="P32" s="227">
        <f t="shared" si="937"/>
      </c>
      <c r="Q32" s="227">
        <f t="shared" si="906"/>
      </c>
      <c r="R32" s="227">
        <f t="shared" si="875"/>
      </c>
      <c r="S32" s="228">
        <f t="shared" si="844"/>
      </c>
      <c r="T32" s="229">
        <f t="shared" si="782"/>
      </c>
      <c r="U32" s="227">
        <f t="shared" si="751"/>
      </c>
      <c r="V32" s="230">
        <f t="shared" si="813"/>
      </c>
      <c r="W32" s="230">
        <f t="shared" si="720"/>
      </c>
      <c r="X32" s="227">
        <f t="shared" si="689"/>
      </c>
      <c r="Y32" s="231">
        <v>9</v>
      </c>
      <c r="Z32" s="231">
        <v>2</v>
      </c>
      <c r="AA32" s="231">
        <v>2</v>
      </c>
      <c r="AB32" s="232">
        <v>4032.7199999999993</v>
      </c>
      <c r="AC32" s="232">
        <v>0</v>
      </c>
      <c r="AD32" s="228">
        <f t="shared" si="658"/>
      </c>
      <c r="AE32" s="233" t="s">
        <v>202</v>
      </c>
      <c r="AF32" s="234" t="s">
        <v>203</v>
      </c>
      <c r="AG32" s="237">
        <v>2</v>
      </c>
      <c r="AH32" s="236">
        <v>73524</v>
      </c>
      <c r="AI32" s="236">
        <v>920</v>
      </c>
      <c r="AJ32" s="236">
        <v>930</v>
      </c>
      <c r="AK32" s="237">
        <v>131</v>
      </c>
      <c r="AL32" s="237">
        <v>145</v>
      </c>
    </row>
    <row r="33">
      <c r="A33" s="216"/>
      <c r="B33" s="217" t="s">
        <v>200</v>
      </c>
      <c r="C33" s="218" t="s">
        <v>206</v>
      </c>
      <c r="D33" s="219">
        <f t="shared" si="442"/>
      </c>
      <c r="E33" s="218">
        <v>1308.67</v>
      </c>
      <c r="F33" s="221">
        <v>2451.2</v>
      </c>
      <c r="G33" s="221">
        <v>0</v>
      </c>
      <c r="H33" s="221">
        <v>0</v>
      </c>
      <c r="I33" s="221">
        <f t="shared" si="327"/>
      </c>
      <c r="J33" s="222">
        <v>0</v>
      </c>
      <c r="K33" s="223">
        <f t="shared" si="212"/>
      </c>
      <c r="L33" s="223">
        <f t="shared" si="97"/>
      </c>
      <c r="M33" s="224">
        <f t="shared" si="64"/>
      </c>
      <c r="N33" s="225">
        <f t="shared" si="33"/>
      </c>
      <c r="O33" s="226">
        <f t="shared" si="2"/>
      </c>
      <c r="P33" s="227">
        <f t="shared" si="937"/>
      </c>
      <c r="Q33" s="227">
        <f t="shared" si="906"/>
      </c>
      <c r="R33" s="227">
        <f t="shared" si="875"/>
      </c>
      <c r="S33" s="228">
        <f t="shared" si="844"/>
      </c>
      <c r="T33" s="229">
        <f t="shared" si="782"/>
      </c>
      <c r="U33" s="227">
        <f t="shared" si="751"/>
      </c>
      <c r="V33" s="230">
        <f t="shared" si="813"/>
      </c>
      <c r="W33" s="230">
        <f t="shared" si="720"/>
      </c>
      <c r="X33" s="227">
        <f t="shared" si="689"/>
      </c>
      <c r="Y33" s="231">
        <v>5</v>
      </c>
      <c r="Z33" s="231">
        <v>1</v>
      </c>
      <c r="AA33" s="231">
        <v>1</v>
      </c>
      <c r="AB33" s="222">
        <v>421.2000000000007</v>
      </c>
      <c r="AC33" s="232">
        <v>0</v>
      </c>
      <c r="AD33" s="228">
        <f t="shared" si="658"/>
      </c>
      <c r="AE33" s="233" t="s">
        <v>202</v>
      </c>
      <c r="AF33" s="234" t="s">
        <v>203</v>
      </c>
      <c r="AG33" s="235">
        <v>1</v>
      </c>
      <c r="AH33" s="236">
        <v>61248</v>
      </c>
      <c r="AI33" s="236">
        <v>953</v>
      </c>
      <c r="AJ33" s="236">
        <v>941</v>
      </c>
      <c r="AK33" s="237">
        <v>111</v>
      </c>
      <c r="AL33" s="237">
        <v>125</v>
      </c>
    </row>
    <row r="34">
      <c r="A34" s="216"/>
      <c r="B34" s="217" t="s">
        <v>200</v>
      </c>
      <c r="C34" s="218" t="s">
        <v>207</v>
      </c>
      <c r="D34" s="219">
        <f t="shared" si="442"/>
      </c>
      <c r="E34" s="218">
        <v>1145.62</v>
      </c>
      <c r="F34" s="221">
        <v>1984.88</v>
      </c>
      <c r="G34" s="221">
        <v>0</v>
      </c>
      <c r="H34" s="221">
        <v>0</v>
      </c>
      <c r="I34" s="238">
        <f t="shared" si="327"/>
      </c>
      <c r="J34" s="222">
        <v>0</v>
      </c>
      <c r="K34" s="223">
        <f t="shared" si="212"/>
      </c>
      <c r="L34" s="223">
        <f t="shared" si="97"/>
      </c>
      <c r="M34" s="224">
        <f t="shared" si="64"/>
      </c>
      <c r="N34" s="225">
        <f t="shared" si="33"/>
      </c>
      <c r="O34" s="226">
        <f t="shared" si="2"/>
      </c>
      <c r="P34" s="227">
        <f t="shared" si="937"/>
      </c>
      <c r="Q34" s="227">
        <f t="shared" si="906"/>
      </c>
      <c r="R34" s="227">
        <f t="shared" si="875"/>
      </c>
      <c r="S34" s="228">
        <f t="shared" si="844"/>
      </c>
      <c r="T34" s="229">
        <f t="shared" si="782"/>
      </c>
      <c r="U34" s="227">
        <f t="shared" si="751"/>
      </c>
      <c r="V34" s="230">
        <f t="shared" si="813"/>
      </c>
      <c r="W34" s="230">
        <f t="shared" si="720"/>
      </c>
      <c r="X34" s="227">
        <f t="shared" si="689"/>
      </c>
      <c r="Y34" s="231">
        <v>5</v>
      </c>
      <c r="Z34" s="231">
        <v>0</v>
      </c>
      <c r="AA34" s="231">
        <v>1</v>
      </c>
      <c r="AB34" s="232">
        <v>3754.0800000000017</v>
      </c>
      <c r="AC34" s="232">
        <v>0</v>
      </c>
      <c r="AD34" s="228">
        <f t="shared" si="658"/>
      </c>
      <c r="AE34" s="233" t="s">
        <v>202</v>
      </c>
      <c r="AF34" s="234" t="s">
        <v>203</v>
      </c>
      <c r="AG34" s="235">
        <v>1</v>
      </c>
      <c r="AH34" s="236">
        <v>45967</v>
      </c>
      <c r="AI34" s="236">
        <v>810</v>
      </c>
      <c r="AJ34" s="236">
        <v>822</v>
      </c>
      <c r="AK34" s="237">
        <v>84</v>
      </c>
      <c r="AL34" s="237">
        <v>99</v>
      </c>
    </row>
    <row r="35">
      <c r="A35" s="216"/>
      <c r="B35" s="239" t="s">
        <v>208</v>
      </c>
      <c r="C35" s="240">
        <v>5</v>
      </c>
      <c r="D35" s="241">
        <f>SUM(D30:D34)</f>
      </c>
      <c r="E35" s="241">
        <f>SUM(E30:E34)</f>
      </c>
      <c r="F35" s="241">
        <f>SUM(F30:F34)</f>
      </c>
      <c r="G35" s="241">
        <f>SUM(G30:G34)</f>
      </c>
      <c r="H35" s="241">
        <f>SUM(H30:H34)</f>
      </c>
      <c r="I35" s="259">
        <f>SUM(I30:I34)</f>
      </c>
      <c r="J35" s="241">
        <f>SUM(J30:J34)</f>
      </c>
      <c r="K35" s="241">
        <f>SUM(K30:K34)</f>
      </c>
      <c r="L35" s="241">
        <f>SUM(L30:L34)</f>
      </c>
      <c r="M35" s="242">
        <f t="shared" si="64"/>
      </c>
      <c r="N35" s="243">
        <f t="shared" si="33"/>
      </c>
      <c r="O35" s="243">
        <f t="shared" si="2"/>
      </c>
      <c r="P35" s="244">
        <f t="shared" si="937"/>
      </c>
      <c r="Q35" s="244">
        <f t="shared" si="906"/>
      </c>
      <c r="R35" s="244">
        <f t="shared" si="875"/>
      </c>
      <c r="S35" s="245">
        <f t="shared" si="844"/>
      </c>
      <c r="T35" s="245">
        <f t="shared" si="782"/>
      </c>
      <c r="U35" s="244">
        <f t="shared" si="751"/>
      </c>
      <c r="V35" s="245">
        <f t="shared" si="813"/>
      </c>
      <c r="W35" s="245">
        <f t="shared" si="720"/>
      </c>
      <c r="X35" s="244">
        <f t="shared" si="689"/>
      </c>
      <c r="Y35" s="241">
        <f>SUM(Y30:Y34)</f>
      </c>
      <c r="Z35" s="241">
        <f>SUM(Z30:Z34)</f>
      </c>
      <c r="AA35" s="241">
        <f>SUM(AA30:AA34)</f>
      </c>
      <c r="AB35" s="241">
        <f>SUM(AB30:AB34)</f>
      </c>
      <c r="AC35" s="241">
        <f>SUM(AC30:AC34)</f>
      </c>
      <c r="AD35" s="246">
        <f t="shared" si="658"/>
      </c>
      <c r="AE35" s="247"/>
      <c r="AF35" s="248"/>
      <c r="AG35" s="241">
        <f>SUM(AG30:AG34)</f>
      </c>
      <c r="AH35" s="241">
        <f>SUM(AH30:AH34)</f>
      </c>
      <c r="AI35" s="241">
        <f>SUM(AI30:AI34)</f>
      </c>
      <c r="AJ35" s="241">
        <f>SUM(AJ30:AJ34)</f>
      </c>
      <c r="AK35" s="241">
        <f>SUM(AK30:AK34)</f>
      </c>
      <c r="AL35" s="241">
        <f>SUM(AL30:AL34)</f>
      </c>
    </row>
    <row r="36">
      <c r="A36" s="216"/>
      <c r="B36" s="217" t="s">
        <v>209</v>
      </c>
      <c r="C36" s="218" t="s">
        <v>210</v>
      </c>
      <c r="D36" s="219">
        <f t="shared" ref="D36:D40" si="443">E36+F36+G36+H36</f>
      </c>
      <c r="E36" s="218">
        <v>782.93</v>
      </c>
      <c r="F36" s="249">
        <v>1991.56</v>
      </c>
      <c r="G36" s="221">
        <v>0</v>
      </c>
      <c r="H36" s="221">
        <v>0</v>
      </c>
      <c r="I36" s="250">
        <f t="shared" ref="I36:I40" si="328">AB36+AC36</f>
      </c>
      <c r="J36" s="251">
        <v>0</v>
      </c>
      <c r="K36" s="223">
        <f t="shared" ref="K36:K40" si="213">I36-J36</f>
      </c>
      <c r="L36" s="223">
        <f t="shared" ref="L36:L40" si="98">(I36-AC36)/12+AC36</f>
      </c>
      <c r="M36" s="224">
        <f t="shared" si="64"/>
      </c>
      <c r="N36" s="225">
        <f t="shared" si="33"/>
      </c>
      <c r="O36" s="226">
        <f t="shared" si="2"/>
      </c>
      <c r="P36" s="227">
        <f t="shared" si="937"/>
      </c>
      <c r="Q36" s="227">
        <f t="shared" si="906"/>
      </c>
      <c r="R36" s="227">
        <f t="shared" si="875"/>
      </c>
      <c r="S36" s="228">
        <f t="shared" si="844"/>
      </c>
      <c r="T36" s="229">
        <f t="shared" si="782"/>
      </c>
      <c r="U36" s="227">
        <f t="shared" si="751"/>
      </c>
      <c r="V36" s="230">
        <f t="shared" si="813"/>
      </c>
      <c r="W36" s="230">
        <f t="shared" si="720"/>
      </c>
      <c r="X36" s="227">
        <f t="shared" si="689"/>
      </c>
      <c r="Y36" s="231">
        <v>2</v>
      </c>
      <c r="Z36" s="231">
        <v>0</v>
      </c>
      <c r="AA36" s="231">
        <v>1</v>
      </c>
      <c r="AB36" s="232">
        <v>502.1999999999971</v>
      </c>
      <c r="AC36" s="232">
        <v>0</v>
      </c>
      <c r="AD36" s="228">
        <f t="shared" si="658"/>
      </c>
      <c r="AE36" s="233" t="s">
        <v>202</v>
      </c>
      <c r="AF36" s="234" t="s">
        <v>203</v>
      </c>
      <c r="AG36" s="235">
        <v>1</v>
      </c>
      <c r="AH36" s="236">
        <v>39696</v>
      </c>
      <c r="AI36" s="236">
        <v>587</v>
      </c>
      <c r="AJ36" s="236">
        <v>594</v>
      </c>
      <c r="AK36" s="237">
        <v>69</v>
      </c>
      <c r="AL36" s="237">
        <v>91</v>
      </c>
    </row>
    <row r="37">
      <c r="A37" s="216"/>
      <c r="B37" s="217" t="s">
        <v>209</v>
      </c>
      <c r="C37" s="252" t="s">
        <v>211</v>
      </c>
      <c r="D37" s="219">
        <f t="shared" si="443"/>
      </c>
      <c r="E37" s="218">
        <v>1278.48</v>
      </c>
      <c r="F37" s="249">
        <v>1524.28</v>
      </c>
      <c r="G37" s="221">
        <v>0</v>
      </c>
      <c r="H37" s="221">
        <v>0</v>
      </c>
      <c r="I37" s="250">
        <f t="shared" si="328"/>
      </c>
      <c r="J37" s="251">
        <v>0</v>
      </c>
      <c r="K37" s="223">
        <f t="shared" si="213"/>
      </c>
      <c r="L37" s="223">
        <f t="shared" si="98"/>
      </c>
      <c r="M37" s="224">
        <f t="shared" si="64"/>
      </c>
      <c r="N37" s="225">
        <f t="shared" si="33"/>
      </c>
      <c r="O37" s="226">
        <f t="shared" si="2"/>
      </c>
      <c r="P37" s="227">
        <f t="shared" si="937"/>
      </c>
      <c r="Q37" s="227">
        <f t="shared" si="906"/>
      </c>
      <c r="R37" s="227">
        <f t="shared" si="875"/>
      </c>
      <c r="S37" s="228">
        <f t="shared" si="844"/>
      </c>
      <c r="T37" s="229">
        <f t="shared" si="782"/>
      </c>
      <c r="U37" s="227">
        <f t="shared" si="751"/>
      </c>
      <c r="V37" s="230">
        <f t="shared" si="813"/>
      </c>
      <c r="W37" s="230">
        <f t="shared" si="720"/>
      </c>
      <c r="X37" s="227">
        <f t="shared" si="689"/>
      </c>
      <c r="Y37" s="231">
        <v>6</v>
      </c>
      <c r="Z37" s="231">
        <v>4</v>
      </c>
      <c r="AA37" s="231">
        <v>3</v>
      </c>
      <c r="AB37" s="232">
        <v>3805.3199999999997</v>
      </c>
      <c r="AC37" s="232">
        <v>539</v>
      </c>
      <c r="AD37" s="228">
        <f t="shared" si="658"/>
      </c>
      <c r="AE37" s="233" t="s">
        <v>202</v>
      </c>
      <c r="AF37" s="234" t="s">
        <v>203</v>
      </c>
      <c r="AG37" s="235">
        <v>3</v>
      </c>
      <c r="AH37" s="236">
        <v>28943</v>
      </c>
      <c r="AI37" s="236">
        <v>729</v>
      </c>
      <c r="AJ37" s="236">
        <v>766</v>
      </c>
      <c r="AK37" s="237">
        <v>116</v>
      </c>
      <c r="AL37" s="237">
        <v>86</v>
      </c>
    </row>
    <row r="38">
      <c r="A38" s="216"/>
      <c r="B38" s="217" t="s">
        <v>209</v>
      </c>
      <c r="C38" s="252" t="s">
        <v>212</v>
      </c>
      <c r="D38" s="219">
        <f t="shared" si="443"/>
      </c>
      <c r="E38" s="218">
        <v>1472.65</v>
      </c>
      <c r="F38" s="249">
        <v>1495.32</v>
      </c>
      <c r="G38" s="218">
        <v>0</v>
      </c>
      <c r="H38" s="218">
        <v>0</v>
      </c>
      <c r="I38" s="250">
        <f t="shared" si="328"/>
      </c>
      <c r="J38" s="251">
        <v>0</v>
      </c>
      <c r="K38" s="223">
        <f t="shared" si="213"/>
      </c>
      <c r="L38" s="223">
        <f t="shared" si="98"/>
      </c>
      <c r="M38" s="224">
        <f t="shared" si="64"/>
      </c>
      <c r="N38" s="225">
        <f t="shared" si="33"/>
      </c>
      <c r="O38" s="226">
        <f t="shared" si="2"/>
      </c>
      <c r="P38" s="227">
        <f t="shared" si="937"/>
      </c>
      <c r="Q38" s="227">
        <f t="shared" si="906"/>
      </c>
      <c r="R38" s="227">
        <f t="shared" si="875"/>
      </c>
      <c r="S38" s="228">
        <f t="shared" si="844"/>
      </c>
      <c r="T38" s="229">
        <f t="shared" si="782"/>
      </c>
      <c r="U38" s="227">
        <f t="shared" si="751"/>
      </c>
      <c r="V38" s="230">
        <f t="shared" si="813"/>
      </c>
      <c r="W38" s="230">
        <f t="shared" si="720"/>
      </c>
      <c r="X38" s="227">
        <f t="shared" si="689"/>
      </c>
      <c r="Y38" s="231">
        <v>5</v>
      </c>
      <c r="Z38" s="231">
        <v>2</v>
      </c>
      <c r="AA38" s="231">
        <v>3</v>
      </c>
      <c r="AB38" s="232">
        <v>15156.36</v>
      </c>
      <c r="AC38" s="232">
        <v>0</v>
      </c>
      <c r="AD38" s="228">
        <f t="shared" si="658"/>
      </c>
      <c r="AE38" s="233" t="s">
        <v>202</v>
      </c>
      <c r="AF38" s="234" t="s">
        <v>203</v>
      </c>
      <c r="AG38" s="237">
        <v>3</v>
      </c>
      <c r="AH38" s="236">
        <v>39686</v>
      </c>
      <c r="AI38" s="236">
        <v>790</v>
      </c>
      <c r="AJ38" s="236">
        <v>826</v>
      </c>
      <c r="AK38" s="237">
        <v>94</v>
      </c>
      <c r="AL38" s="237">
        <v>77</v>
      </c>
    </row>
    <row r="39">
      <c r="A39" s="216"/>
      <c r="B39" s="217" t="s">
        <v>209</v>
      </c>
      <c r="C39" s="218" t="s">
        <v>213</v>
      </c>
      <c r="D39" s="219">
        <f t="shared" si="443"/>
      </c>
      <c r="E39" s="218">
        <v>1518.32</v>
      </c>
      <c r="F39" s="249">
        <v>1978.13</v>
      </c>
      <c r="G39" s="221">
        <v>0</v>
      </c>
      <c r="H39" s="221">
        <v>0</v>
      </c>
      <c r="I39" s="250">
        <f t="shared" si="328"/>
      </c>
      <c r="J39" s="251">
        <v>0</v>
      </c>
      <c r="K39" s="223">
        <f t="shared" si="213"/>
      </c>
      <c r="L39" s="223">
        <f t="shared" si="98"/>
      </c>
      <c r="M39" s="224">
        <f t="shared" si="64"/>
      </c>
      <c r="N39" s="225">
        <f t="shared" si="33"/>
      </c>
      <c r="O39" s="226">
        <f t="shared" si="2"/>
      </c>
      <c r="P39" s="227">
        <f t="shared" si="937"/>
      </c>
      <c r="Q39" s="227">
        <f t="shared" si="906"/>
      </c>
      <c r="R39" s="227">
        <f t="shared" si="875"/>
      </c>
      <c r="S39" s="228">
        <f t="shared" si="844"/>
      </c>
      <c r="T39" s="229">
        <f t="shared" si="782"/>
      </c>
      <c r="U39" s="227">
        <f t="shared" si="751"/>
      </c>
      <c r="V39" s="230">
        <f t="shared" si="813"/>
      </c>
      <c r="W39" s="230">
        <f t="shared" si="720"/>
      </c>
      <c r="X39" s="227">
        <f t="shared" si="689"/>
      </c>
      <c r="Y39" s="231">
        <v>6</v>
      </c>
      <c r="Z39" s="231">
        <v>2</v>
      </c>
      <c r="AA39" s="231">
        <v>4</v>
      </c>
      <c r="AB39" s="222">
        <v>9305.400000000001</v>
      </c>
      <c r="AC39" s="232">
        <v>0</v>
      </c>
      <c r="AD39" s="228">
        <f t="shared" si="658"/>
      </c>
      <c r="AE39" s="233" t="s">
        <v>202</v>
      </c>
      <c r="AF39" s="234" t="s">
        <v>203</v>
      </c>
      <c r="AG39" s="235">
        <v>3</v>
      </c>
      <c r="AH39" s="236">
        <v>61383</v>
      </c>
      <c r="AI39" s="236">
        <v>1060</v>
      </c>
      <c r="AJ39" s="236">
        <v>1094</v>
      </c>
      <c r="AK39" s="237">
        <v>95</v>
      </c>
      <c r="AL39" s="237">
        <v>92</v>
      </c>
    </row>
    <row r="40">
      <c r="A40" s="216"/>
      <c r="B40" s="217" t="s">
        <v>209</v>
      </c>
      <c r="C40" s="252" t="s">
        <v>214</v>
      </c>
      <c r="D40" s="219">
        <f t="shared" si="443"/>
      </c>
      <c r="E40" s="218">
        <v>932.78</v>
      </c>
      <c r="F40" s="249">
        <v>2004.11</v>
      </c>
      <c r="G40" s="221">
        <v>0</v>
      </c>
      <c r="H40" s="221">
        <v>0</v>
      </c>
      <c r="I40" s="250">
        <f t="shared" si="328"/>
      </c>
      <c r="J40" s="251">
        <v>0</v>
      </c>
      <c r="K40" s="223">
        <f t="shared" si="213"/>
      </c>
      <c r="L40" s="223">
        <f t="shared" si="98"/>
      </c>
      <c r="M40" s="224">
        <f t="shared" si="64"/>
      </c>
      <c r="N40" s="225">
        <f t="shared" si="33"/>
      </c>
      <c r="O40" s="226">
        <f t="shared" si="2"/>
      </c>
      <c r="P40" s="227">
        <f t="shared" si="937"/>
      </c>
      <c r="Q40" s="227">
        <f t="shared" si="906"/>
      </c>
      <c r="R40" s="227">
        <f t="shared" si="875"/>
      </c>
      <c r="S40" s="228">
        <f t="shared" si="844"/>
      </c>
      <c r="T40" s="229">
        <f t="shared" si="782"/>
      </c>
      <c r="U40" s="227">
        <f t="shared" si="751"/>
      </c>
      <c r="V40" s="230">
        <f t="shared" si="813"/>
      </c>
      <c r="W40" s="230">
        <f t="shared" si="720"/>
      </c>
      <c r="X40" s="227">
        <f t="shared" si="689"/>
      </c>
      <c r="Y40" s="231">
        <v>6</v>
      </c>
      <c r="Z40" s="231">
        <v>0</v>
      </c>
      <c r="AA40" s="231">
        <v>1</v>
      </c>
      <c r="AB40" s="232">
        <v>1290.5999999999985</v>
      </c>
      <c r="AC40" s="232">
        <v>0</v>
      </c>
      <c r="AD40" s="228">
        <f t="shared" si="658"/>
      </c>
      <c r="AE40" s="233" t="s">
        <v>202</v>
      </c>
      <c r="AF40" s="234" t="s">
        <v>203</v>
      </c>
      <c r="AG40" s="235">
        <v>1</v>
      </c>
      <c r="AH40" s="236">
        <v>35620</v>
      </c>
      <c r="AI40" s="236">
        <v>954</v>
      </c>
      <c r="AJ40" s="236">
        <v>990</v>
      </c>
      <c r="AK40" s="237">
        <v>96</v>
      </c>
      <c r="AL40" s="237">
        <v>100</v>
      </c>
    </row>
    <row r="41">
      <c r="A41" s="216"/>
      <c r="B41" s="239" t="s">
        <v>208</v>
      </c>
      <c r="C41" s="240">
        <v>5</v>
      </c>
      <c r="D41" s="241">
        <f>SUM(D36:D40)</f>
      </c>
      <c r="E41" s="241">
        <f>SUM(E36:E40)</f>
      </c>
      <c r="F41" s="241">
        <f>SUM(F36:F40)</f>
      </c>
      <c r="G41" s="241">
        <f>SUM(G36:G40)</f>
      </c>
      <c r="H41" s="241">
        <f>SUM(H36:H40)</f>
      </c>
      <c r="I41" s="260">
        <f>SUM(I36:I40)</f>
      </c>
      <c r="J41" s="241">
        <f>SUM(J36:J40)</f>
      </c>
      <c r="K41" s="241">
        <f>SUM(K36:K40)</f>
      </c>
      <c r="L41" s="241">
        <f>SUM(L36:L40)</f>
      </c>
      <c r="M41" s="242">
        <f t="shared" si="64"/>
      </c>
      <c r="N41" s="243">
        <f t="shared" si="33"/>
      </c>
      <c r="O41" s="243">
        <f t="shared" si="2"/>
      </c>
      <c r="P41" s="244">
        <f t="shared" si="937"/>
      </c>
      <c r="Q41" s="244">
        <f t="shared" si="906"/>
      </c>
      <c r="R41" s="244">
        <f t="shared" si="875"/>
      </c>
      <c r="S41" s="245">
        <f t="shared" si="844"/>
      </c>
      <c r="T41" s="245">
        <f t="shared" si="782"/>
      </c>
      <c r="U41" s="244">
        <f t="shared" si="751"/>
      </c>
      <c r="V41" s="245">
        <f t="shared" si="813"/>
      </c>
      <c r="W41" s="245">
        <f t="shared" si="720"/>
      </c>
      <c r="X41" s="244">
        <f t="shared" si="689"/>
      </c>
      <c r="Y41" s="241">
        <f>SUM(Y36:Y40)</f>
      </c>
      <c r="Z41" s="241">
        <f>SUM(Z36:Z40)</f>
      </c>
      <c r="AA41" s="241">
        <f>SUM(AA36:AA40)</f>
      </c>
      <c r="AB41" s="241">
        <f>SUM(AB36:AB40)</f>
      </c>
      <c r="AC41" s="241">
        <f>SUM(AC36:AC40)</f>
      </c>
      <c r="AD41" s="246">
        <f t="shared" si="658"/>
      </c>
      <c r="AE41" s="247"/>
      <c r="AF41" s="248"/>
      <c r="AG41" s="241">
        <f>SUM(AG36:AG40)</f>
      </c>
      <c r="AH41" s="241">
        <f>SUM(AH36:AH40)</f>
      </c>
      <c r="AI41" s="241">
        <f>SUM(AI36:AI40)</f>
      </c>
      <c r="AJ41" s="241">
        <f>SUM(AJ36:AJ40)</f>
      </c>
      <c r="AK41" s="241">
        <f>SUM(AK36:AK40)</f>
      </c>
      <c r="AL41" s="241">
        <f>SUM(AL36:AL40)</f>
      </c>
    </row>
    <row r="42">
      <c r="A42" s="216"/>
      <c r="B42" s="253" t="s">
        <v>208</v>
      </c>
      <c r="C42" s="254">
        <f>C41+C35</f>
      </c>
      <c r="D42" s="255">
        <f>D41+D35</f>
      </c>
      <c r="E42" s="255">
        <f>E41+E35</f>
      </c>
      <c r="F42" s="255">
        <f>F41+F35</f>
      </c>
      <c r="G42" s="255">
        <f>G41+G35</f>
      </c>
      <c r="H42" s="255">
        <f>H41+H35</f>
      </c>
      <c r="I42" s="255">
        <f>I41+I35</f>
      </c>
      <c r="J42" s="255">
        <f>J41+J35</f>
      </c>
      <c r="K42" s="255">
        <f>K41+K35</f>
      </c>
      <c r="L42" s="255">
        <f>L41+L35</f>
      </c>
      <c r="M42" s="256">
        <f t="shared" si="64"/>
      </c>
      <c r="N42" s="256">
        <f t="shared" si="33"/>
      </c>
      <c r="O42" s="256">
        <f t="shared" si="2"/>
      </c>
      <c r="P42" s="256">
        <f t="shared" si="937"/>
      </c>
      <c r="Q42" s="256">
        <f t="shared" si="906"/>
      </c>
      <c r="R42" s="256">
        <f t="shared" si="875"/>
      </c>
      <c r="S42" s="257">
        <f t="shared" si="844"/>
      </c>
      <c r="T42" s="257">
        <f t="shared" si="782"/>
      </c>
      <c r="U42" s="256">
        <f t="shared" si="751"/>
      </c>
      <c r="V42" s="257">
        <f t="shared" si="813"/>
      </c>
      <c r="W42" s="257">
        <f t="shared" si="720"/>
      </c>
      <c r="X42" s="256">
        <f t="shared" si="689"/>
      </c>
      <c r="Y42" s="255">
        <f>Y41+Y35</f>
      </c>
      <c r="Z42" s="255">
        <f>Z41+Z35</f>
      </c>
      <c r="AA42" s="255">
        <f>AA41+AA35</f>
      </c>
      <c r="AB42" s="255">
        <f>AB41+AB35</f>
      </c>
      <c r="AC42" s="255">
        <f>AC41+AC35</f>
      </c>
      <c r="AD42" s="258">
        <f t="shared" si="658"/>
      </c>
      <c r="AE42" s="253"/>
      <c r="AF42" s="253"/>
      <c r="AG42" s="255">
        <f>AG41+AG35</f>
      </c>
      <c r="AH42" s="255">
        <f>AH41+AH35</f>
      </c>
      <c r="AI42" s="255">
        <f>AI41+AI35</f>
      </c>
      <c r="AJ42" s="255">
        <f>AJ41+AJ35</f>
      </c>
      <c r="AK42" s="255">
        <f>AK41+AK35</f>
      </c>
      <c r="AL42" s="255">
        <f>AL41+AL35</f>
      </c>
    </row>
    <row r="43">
      <c r="A43" s="202" t="s">
        <v>162</v>
      </c>
      <c r="B43" s="203" t="s">
        <v>163</v>
      </c>
      <c r="C43" s="203" t="s">
        <v>164</v>
      </c>
      <c r="D43" s="204" t="s">
        <v>165</v>
      </c>
      <c r="E43" s="203" t="s">
        <v>166</v>
      </c>
      <c r="F43" s="203" t="s">
        <v>167</v>
      </c>
      <c r="G43" s="205" t="s">
        <v>168</v>
      </c>
      <c r="H43" s="205" t="s">
        <v>169</v>
      </c>
      <c r="I43" s="204" t="s">
        <v>170</v>
      </c>
      <c r="J43" s="206" t="s">
        <v>171</v>
      </c>
      <c r="K43" s="207" t="s">
        <v>172</v>
      </c>
      <c r="L43" s="207" t="s">
        <v>173</v>
      </c>
      <c r="M43" s="208" t="s">
        <v>174</v>
      </c>
      <c r="N43" s="207" t="s">
        <v>175</v>
      </c>
      <c r="O43" s="203" t="s">
        <v>176</v>
      </c>
      <c r="P43" s="208" t="s">
        <v>177</v>
      </c>
      <c r="Q43" s="209" t="s">
        <v>178</v>
      </c>
      <c r="R43" s="209" t="s">
        <v>179</v>
      </c>
      <c r="S43" s="204" t="s">
        <v>180</v>
      </c>
      <c r="T43" s="210" t="s">
        <v>181</v>
      </c>
      <c r="U43" s="208" t="s">
        <v>182</v>
      </c>
      <c r="V43" s="211" t="s">
        <v>183</v>
      </c>
      <c r="W43" s="212" t="s">
        <v>184</v>
      </c>
      <c r="X43" s="208" t="s">
        <v>185</v>
      </c>
      <c r="Y43" s="213" t="s">
        <v>186</v>
      </c>
      <c r="Z43" s="214" t="s">
        <v>187</v>
      </c>
      <c r="AA43" s="213" t="s">
        <v>188</v>
      </c>
      <c r="AB43" s="215" t="s">
        <v>189</v>
      </c>
      <c r="AC43" s="215" t="s">
        <v>190</v>
      </c>
      <c r="AD43" s="207" t="s">
        <v>191</v>
      </c>
      <c r="AE43" s="206" t="s">
        <v>192</v>
      </c>
      <c r="AF43" s="207" t="s">
        <v>193</v>
      </c>
      <c r="AG43" s="206" t="s">
        <v>194</v>
      </c>
      <c r="AH43" s="206" t="s">
        <v>195</v>
      </c>
      <c r="AI43" s="207" t="s">
        <v>196</v>
      </c>
      <c r="AJ43" s="206" t="s">
        <v>197</v>
      </c>
      <c r="AK43" s="207" t="s">
        <v>198</v>
      </c>
      <c r="AL43" s="206" t="s">
        <v>199</v>
      </c>
    </row>
    <row r="44">
      <c r="A44" s="216">
        <v>46238</v>
      </c>
      <c r="B44" s="217" t="s">
        <v>209</v>
      </c>
      <c r="C44" s="218" t="s">
        <v>201</v>
      </c>
      <c r="D44" s="219">
        <f t="shared" ref="D44:D48" si="444">E44+F44+G44+H44</f>
      </c>
      <c r="E44" s="220">
        <v>1601.76</v>
      </c>
      <c r="F44" s="221">
        <v>2000</v>
      </c>
      <c r="G44" s="221">
        <v>0</v>
      </c>
      <c r="H44" s="221">
        <v>0</v>
      </c>
      <c r="I44" s="221">
        <f t="shared" ref="I44:I48" si="329">AB44+AC44</f>
      </c>
      <c r="J44" s="222">
        <v>0</v>
      </c>
      <c r="K44" s="223">
        <f t="shared" ref="K44:K48" si="214">I44-J44</f>
      </c>
      <c r="L44" s="223">
        <f t="shared" ref="L44:L48" si="99">(I44-AC44)/12+AC44</f>
      </c>
      <c r="M44" s="224">
        <f t="shared" ref="M44:M56" si="65">I44/D44</f>
      </c>
      <c r="N44" s="225">
        <f t="shared" ref="N44:N56" si="34">(I44-J44)/D44</f>
      </c>
      <c r="O44" s="226">
        <f t="shared" ref="O44:O56" si="3">(AC44+AB44/12)/D44</f>
      </c>
      <c r="P44" s="227">
        <f t="shared" ref="P44:P56" si="938">I44/AA44</f>
      </c>
      <c r="Q44" s="227">
        <f t="shared" ref="Q44:Q56" si="907">D44/AA44</f>
      </c>
      <c r="R44" s="227">
        <f t="shared" ref="R44:R56" si="876">D44/AG44</f>
      </c>
      <c r="S44" s="228">
        <f t="shared" ref="S44:S56" si="845">AA44/Y44</f>
      </c>
      <c r="T44" s="229">
        <f t="shared" ref="T44:T56" si="783">AI44/AH44</f>
      </c>
      <c r="U44" s="227">
        <f t="shared" ref="U44:U56" si="752">D44/AJ44</f>
      </c>
      <c r="V44" s="230">
        <f t="shared" ref="V44:V56" si="814">AK44/AJ44</f>
      </c>
      <c r="W44" s="230">
        <f t="shared" ref="W44:W56" si="721">AL44/AJ44</f>
      </c>
      <c r="X44" s="227">
        <f t="shared" ref="X44:X56" si="690">D44/AL44</f>
      </c>
      <c r="Y44" s="231">
        <v>4</v>
      </c>
      <c r="Z44" s="231">
        <v>1</v>
      </c>
      <c r="AA44" s="231">
        <v>2</v>
      </c>
      <c r="AB44" s="232">
        <v>3190.32</v>
      </c>
      <c r="AC44" s="232">
        <v>0</v>
      </c>
      <c r="AD44" s="228">
        <f t="shared" ref="AD44:AD56" si="659">AC44/I44</f>
      </c>
      <c r="AE44" s="233" t="s">
        <v>202</v>
      </c>
      <c r="AF44" s="234" t="s">
        <v>215</v>
      </c>
      <c r="AG44" s="235">
        <v>2</v>
      </c>
      <c r="AH44" s="236">
        <v>38818</v>
      </c>
      <c r="AI44" s="236">
        <v>753</v>
      </c>
      <c r="AJ44" s="236">
        <v>765</v>
      </c>
      <c r="AK44" s="235">
        <v>90</v>
      </c>
      <c r="AL44" s="237">
        <v>98</v>
      </c>
    </row>
    <row r="45">
      <c r="A45" s="216"/>
      <c r="B45" s="217" t="s">
        <v>209</v>
      </c>
      <c r="C45" s="218" t="s">
        <v>204</v>
      </c>
      <c r="D45" s="219">
        <f t="shared" si="444"/>
      </c>
      <c r="E45" s="218">
        <v>1719.29</v>
      </c>
      <c r="F45" s="221">
        <v>1500</v>
      </c>
      <c r="G45" s="221">
        <v>0</v>
      </c>
      <c r="H45" s="221">
        <v>0</v>
      </c>
      <c r="I45" s="221">
        <f t="shared" si="329"/>
      </c>
      <c r="J45" s="222">
        <v>1987.2000000000003</v>
      </c>
      <c r="K45" s="223">
        <f t="shared" si="214"/>
      </c>
      <c r="L45" s="223">
        <f t="shared" si="99"/>
      </c>
      <c r="M45" s="224">
        <f t="shared" si="65"/>
      </c>
      <c r="N45" s="225">
        <f t="shared" si="34"/>
      </c>
      <c r="O45" s="226">
        <f t="shared" si="3"/>
      </c>
      <c r="P45" s="227">
        <f t="shared" si="938"/>
      </c>
      <c r="Q45" s="227">
        <f t="shared" si="907"/>
      </c>
      <c r="R45" s="227">
        <f t="shared" si="876"/>
      </c>
      <c r="S45" s="228">
        <f t="shared" si="845"/>
      </c>
      <c r="T45" s="229">
        <f t="shared" si="783"/>
      </c>
      <c r="U45" s="227">
        <f t="shared" si="752"/>
      </c>
      <c r="V45" s="230">
        <f t="shared" si="814"/>
      </c>
      <c r="W45" s="230">
        <f t="shared" si="721"/>
      </c>
      <c r="X45" s="227">
        <f t="shared" si="690"/>
      </c>
      <c r="Y45" s="231">
        <v>6</v>
      </c>
      <c r="Z45" s="231">
        <v>3</v>
      </c>
      <c r="AA45" s="231">
        <v>2</v>
      </c>
      <c r="AB45" s="232">
        <v>1987.2000000000003</v>
      </c>
      <c r="AC45" s="232">
        <v>0</v>
      </c>
      <c r="AD45" s="228">
        <f t="shared" si="659"/>
      </c>
      <c r="AE45" s="233" t="s">
        <v>202</v>
      </c>
      <c r="AF45" s="234" t="s">
        <v>215</v>
      </c>
      <c r="AG45" s="235">
        <v>2</v>
      </c>
      <c r="AH45" s="236">
        <v>42190</v>
      </c>
      <c r="AI45" s="236">
        <v>849</v>
      </c>
      <c r="AJ45" s="236">
        <v>875</v>
      </c>
      <c r="AK45" s="237">
        <v>100</v>
      </c>
      <c r="AL45" s="237">
        <v>116</v>
      </c>
    </row>
    <row r="46">
      <c r="A46" s="216"/>
      <c r="B46" s="217" t="s">
        <v>209</v>
      </c>
      <c r="C46" s="218" t="s">
        <v>205</v>
      </c>
      <c r="D46" s="219">
        <f t="shared" si="444"/>
      </c>
      <c r="E46" s="218">
        <v>2047.7</v>
      </c>
      <c r="F46" s="218">
        <v>1500</v>
      </c>
      <c r="G46" s="218">
        <v>0</v>
      </c>
      <c r="H46" s="218">
        <v>0</v>
      </c>
      <c r="I46" s="221">
        <f t="shared" si="329"/>
      </c>
      <c r="J46" s="222">
        <v>0</v>
      </c>
      <c r="K46" s="223">
        <f t="shared" si="214"/>
      </c>
      <c r="L46" s="223">
        <f t="shared" si="99"/>
      </c>
      <c r="M46" s="224">
        <f t="shared" si="65"/>
      </c>
      <c r="N46" s="225">
        <f t="shared" si="34"/>
      </c>
      <c r="O46" s="226">
        <f t="shared" si="3"/>
      </c>
      <c r="P46" s="227">
        <f t="shared" si="938"/>
      </c>
      <c r="Q46" s="227">
        <f t="shared" si="907"/>
      </c>
      <c r="R46" s="227">
        <f t="shared" si="876"/>
      </c>
      <c r="S46" s="228">
        <f t="shared" si="845"/>
      </c>
      <c r="T46" s="229">
        <f t="shared" si="783"/>
      </c>
      <c r="U46" s="227">
        <f t="shared" si="752"/>
      </c>
      <c r="V46" s="230">
        <f t="shared" si="814"/>
      </c>
      <c r="W46" s="230">
        <f t="shared" si="721"/>
      </c>
      <c r="X46" s="227">
        <f t="shared" si="690"/>
      </c>
      <c r="Y46" s="231">
        <v>3</v>
      </c>
      <c r="Z46" s="231">
        <v>0</v>
      </c>
      <c r="AA46" s="231">
        <v>1</v>
      </c>
      <c r="AB46" s="232">
        <v>5229.48</v>
      </c>
      <c r="AC46" s="232">
        <v>0</v>
      </c>
      <c r="AD46" s="228">
        <f t="shared" si="659"/>
      </c>
      <c r="AE46" s="233" t="s">
        <v>202</v>
      </c>
      <c r="AF46" s="234" t="s">
        <v>215</v>
      </c>
      <c r="AG46" s="237">
        <v>1</v>
      </c>
      <c r="AH46" s="236">
        <v>42890</v>
      </c>
      <c r="AI46" s="236">
        <v>954</v>
      </c>
      <c r="AJ46" s="236">
        <v>993</v>
      </c>
      <c r="AK46" s="237">
        <v>100</v>
      </c>
      <c r="AL46" s="237">
        <v>108</v>
      </c>
    </row>
    <row r="47">
      <c r="A47" s="216"/>
      <c r="B47" s="217" t="s">
        <v>209</v>
      </c>
      <c r="C47" s="218" t="s">
        <v>206</v>
      </c>
      <c r="D47" s="219">
        <f t="shared" si="444"/>
      </c>
      <c r="E47" s="218">
        <v>2432.99</v>
      </c>
      <c r="F47" s="221">
        <v>1463.83</v>
      </c>
      <c r="G47" s="221">
        <v>0</v>
      </c>
      <c r="H47" s="221">
        <v>0</v>
      </c>
      <c r="I47" s="221">
        <f t="shared" si="329"/>
      </c>
      <c r="J47" s="222">
        <v>0</v>
      </c>
      <c r="K47" s="223">
        <f t="shared" si="214"/>
      </c>
      <c r="L47" s="223">
        <f t="shared" si="99"/>
      </c>
      <c r="M47" s="224">
        <f t="shared" si="65"/>
      </c>
      <c r="N47" s="225">
        <f t="shared" si="34"/>
      </c>
      <c r="O47" s="226">
        <f t="shared" si="3"/>
      </c>
      <c r="P47" s="227">
        <f t="shared" si="938"/>
      </c>
      <c r="Q47" s="227">
        <f t="shared" si="907"/>
      </c>
      <c r="R47" s="227">
        <f t="shared" si="876"/>
      </c>
      <c r="S47" s="228">
        <f t="shared" si="845"/>
      </c>
      <c r="T47" s="229">
        <f t="shared" si="783"/>
      </c>
      <c r="U47" s="227">
        <f t="shared" si="752"/>
      </c>
      <c r="V47" s="230">
        <f t="shared" si="814"/>
      </c>
      <c r="W47" s="230">
        <f t="shared" si="721"/>
      </c>
      <c r="X47" s="227">
        <f t="shared" si="690"/>
      </c>
      <c r="Y47" s="231">
        <v>11</v>
      </c>
      <c r="Z47" s="231">
        <v>0</v>
      </c>
      <c r="AA47" s="231">
        <v>6</v>
      </c>
      <c r="AB47" s="222">
        <v>10343.759999999998</v>
      </c>
      <c r="AC47" s="232">
        <v>0</v>
      </c>
      <c r="AD47" s="228">
        <f t="shared" si="659"/>
      </c>
      <c r="AE47" s="233" t="s">
        <v>202</v>
      </c>
      <c r="AF47" s="234" t="s">
        <v>215</v>
      </c>
      <c r="AG47" s="235">
        <v>5</v>
      </c>
      <c r="AH47" s="236">
        <v>44671</v>
      </c>
      <c r="AI47" s="236">
        <v>1239</v>
      </c>
      <c r="AJ47" s="236">
        <v>1379</v>
      </c>
      <c r="AK47" s="237">
        <v>118</v>
      </c>
      <c r="AL47" s="237">
        <v>135</v>
      </c>
    </row>
    <row r="48">
      <c r="A48" s="216"/>
      <c r="B48" s="217" t="s">
        <v>209</v>
      </c>
      <c r="C48" s="218" t="s">
        <v>207</v>
      </c>
      <c r="D48" s="219">
        <f t="shared" si="444"/>
      </c>
      <c r="E48" s="218">
        <v>2356.47</v>
      </c>
      <c r="F48" s="221">
        <v>1515.71</v>
      </c>
      <c r="G48" s="221">
        <v>0</v>
      </c>
      <c r="H48" s="221">
        <v>0</v>
      </c>
      <c r="I48" s="238">
        <f t="shared" si="329"/>
      </c>
      <c r="J48" s="222">
        <v>0</v>
      </c>
      <c r="K48" s="223">
        <f t="shared" si="214"/>
      </c>
      <c r="L48" s="223">
        <f t="shared" si="99"/>
      </c>
      <c r="M48" s="224">
        <f t="shared" si="65"/>
      </c>
      <c r="N48" s="225">
        <f t="shared" si="34"/>
      </c>
      <c r="O48" s="226">
        <f t="shared" si="3"/>
      </c>
      <c r="P48" s="227">
        <f t="shared" si="938"/>
      </c>
      <c r="Q48" s="227">
        <f t="shared" si="907"/>
      </c>
      <c r="R48" s="227">
        <f t="shared" si="876"/>
      </c>
      <c r="S48" s="228">
        <f t="shared" si="845"/>
      </c>
      <c r="T48" s="229">
        <f t="shared" si="783"/>
      </c>
      <c r="U48" s="227">
        <f t="shared" si="752"/>
      </c>
      <c r="V48" s="230">
        <f t="shared" si="814"/>
      </c>
      <c r="W48" s="230">
        <f t="shared" si="721"/>
      </c>
      <c r="X48" s="227">
        <f t="shared" si="690"/>
      </c>
      <c r="Y48" s="231">
        <v>6</v>
      </c>
      <c r="Z48" s="231">
        <v>0</v>
      </c>
      <c r="AA48" s="231">
        <v>3</v>
      </c>
      <c r="AB48" s="232">
        <v>5285.52</v>
      </c>
      <c r="AC48" s="232">
        <v>0</v>
      </c>
      <c r="AD48" s="228">
        <f t="shared" si="659"/>
      </c>
      <c r="AE48" s="233" t="s">
        <v>202</v>
      </c>
      <c r="AF48" s="234" t="s">
        <v>215</v>
      </c>
      <c r="AG48" s="235">
        <v>2</v>
      </c>
      <c r="AH48" s="236">
        <v>46088</v>
      </c>
      <c r="AI48" s="236">
        <v>1528</v>
      </c>
      <c r="AJ48" s="236">
        <v>1649</v>
      </c>
      <c r="AK48" s="237">
        <v>117</v>
      </c>
      <c r="AL48" s="237">
        <v>117</v>
      </c>
    </row>
    <row r="49">
      <c r="A49" s="216"/>
      <c r="B49" s="239" t="s">
        <v>208</v>
      </c>
      <c r="C49" s="240">
        <v>5</v>
      </c>
      <c r="D49" s="241">
        <f>SUM(D44:D48)</f>
      </c>
      <c r="E49" s="241">
        <f>SUM(E44:E48)</f>
      </c>
      <c r="F49" s="241">
        <f>SUM(F44:F48)</f>
      </c>
      <c r="G49" s="241">
        <f>SUM(G44:G48)</f>
      </c>
      <c r="H49" s="241">
        <f>SUM(H44:H48)</f>
      </c>
      <c r="I49" s="259">
        <f>SUM(I44:I48)</f>
      </c>
      <c r="J49" s="241">
        <f>SUM(J44:J48)</f>
      </c>
      <c r="K49" s="241">
        <f>SUM(K44:K48)</f>
      </c>
      <c r="L49" s="241">
        <f>SUM(L44:L48)</f>
      </c>
      <c r="M49" s="242">
        <f t="shared" si="65"/>
      </c>
      <c r="N49" s="243">
        <f t="shared" si="34"/>
      </c>
      <c r="O49" s="243">
        <f t="shared" si="3"/>
      </c>
      <c r="P49" s="244">
        <f t="shared" si="938"/>
      </c>
      <c r="Q49" s="244">
        <f t="shared" si="907"/>
      </c>
      <c r="R49" s="244">
        <f t="shared" si="876"/>
      </c>
      <c r="S49" s="245">
        <f t="shared" si="845"/>
      </c>
      <c r="T49" s="245">
        <f t="shared" si="783"/>
      </c>
      <c r="U49" s="244">
        <f t="shared" si="752"/>
      </c>
      <c r="V49" s="245">
        <f t="shared" si="814"/>
      </c>
      <c r="W49" s="245">
        <f t="shared" si="721"/>
      </c>
      <c r="X49" s="244">
        <f t="shared" si="690"/>
      </c>
      <c r="Y49" s="241">
        <f>SUM(Y44:Y48)</f>
      </c>
      <c r="Z49" s="241">
        <f>SUM(Z44:Z48)</f>
      </c>
      <c r="AA49" s="241">
        <f>SUM(AA44:AA48)</f>
      </c>
      <c r="AB49" s="241">
        <f>SUM(AB44:AB48)</f>
      </c>
      <c r="AC49" s="241">
        <f>SUM(AC44:AC48)</f>
      </c>
      <c r="AD49" s="246">
        <f t="shared" si="659"/>
      </c>
      <c r="AE49" s="247"/>
      <c r="AF49" s="248"/>
      <c r="AG49" s="241">
        <f>SUM(AG44:AG48)</f>
      </c>
      <c r="AH49" s="241">
        <f>SUM(AH44:AH48)</f>
      </c>
      <c r="AI49" s="241">
        <f>SUM(AI44:AI48)</f>
      </c>
      <c r="AJ49" s="241">
        <f>SUM(AJ44:AJ48)</f>
      </c>
      <c r="AK49" s="241">
        <f>SUM(AK44:AK48)</f>
      </c>
      <c r="AL49" s="241">
        <f>SUM(AL44:AL48)</f>
      </c>
    </row>
    <row r="50">
      <c r="A50" s="216"/>
      <c r="B50" s="217" t="s">
        <v>200</v>
      </c>
      <c r="C50" s="218" t="s">
        <v>210</v>
      </c>
      <c r="D50" s="219">
        <f t="shared" ref="D50:D54" si="445">E50+F50+G50+H50</f>
      </c>
      <c r="E50" s="218">
        <v>2116.48</v>
      </c>
      <c r="F50" s="249">
        <v>1996.91</v>
      </c>
      <c r="G50" s="221">
        <v>0</v>
      </c>
      <c r="H50" s="221">
        <v>0</v>
      </c>
      <c r="I50" s="250">
        <f t="shared" ref="I50:I54" si="330">AB50+AC50</f>
      </c>
      <c r="J50" s="251">
        <v>0</v>
      </c>
      <c r="K50" s="223">
        <f t="shared" ref="K50:K54" si="215">I50-J50</f>
      </c>
      <c r="L50" s="223">
        <f t="shared" ref="L50:L54" si="100">(I50-AC50)/12+AC50</f>
      </c>
      <c r="M50" s="224">
        <f t="shared" si="65"/>
      </c>
      <c r="N50" s="225">
        <f t="shared" si="34"/>
      </c>
      <c r="O50" s="226">
        <f t="shared" si="3"/>
      </c>
      <c r="P50" s="227">
        <f t="shared" si="938"/>
      </c>
      <c r="Q50" s="227">
        <f t="shared" si="907"/>
      </c>
      <c r="R50" s="227">
        <f t="shared" si="876"/>
      </c>
      <c r="S50" s="228">
        <f t="shared" si="845"/>
      </c>
      <c r="T50" s="229">
        <f t="shared" si="783"/>
      </c>
      <c r="U50" s="227">
        <f t="shared" si="752"/>
      </c>
      <c r="V50" s="230">
        <f t="shared" si="814"/>
      </c>
      <c r="W50" s="230">
        <f t="shared" si="721"/>
      </c>
      <c r="X50" s="227">
        <f t="shared" si="690"/>
      </c>
      <c r="Y50" s="231">
        <v>5</v>
      </c>
      <c r="Z50" s="231">
        <v>1</v>
      </c>
      <c r="AA50" s="231">
        <v>0</v>
      </c>
      <c r="AB50" s="232">
        <v>0</v>
      </c>
      <c r="AC50" s="232">
        <v>0</v>
      </c>
      <c r="AD50" s="228">
        <f t="shared" si="659"/>
      </c>
      <c r="AE50" s="233" t="s">
        <v>202</v>
      </c>
      <c r="AF50" s="234" t="s">
        <v>215</v>
      </c>
      <c r="AG50" s="235">
        <v>0</v>
      </c>
      <c r="AH50" s="236">
        <v>50221</v>
      </c>
      <c r="AI50" s="236">
        <v>1594</v>
      </c>
      <c r="AJ50" s="236">
        <v>1716</v>
      </c>
      <c r="AK50" s="237">
        <v>113</v>
      </c>
      <c r="AL50" s="237">
        <v>114</v>
      </c>
    </row>
    <row r="51">
      <c r="A51" s="216"/>
      <c r="B51" s="217" t="s">
        <v>200</v>
      </c>
      <c r="C51" s="252" t="s">
        <v>211</v>
      </c>
      <c r="D51" s="219">
        <f t="shared" si="445"/>
      </c>
      <c r="E51" s="218">
        <v>1669.35</v>
      </c>
      <c r="F51" s="249">
        <v>1030.85</v>
      </c>
      <c r="G51" s="221">
        <v>0</v>
      </c>
      <c r="H51" s="221">
        <v>0</v>
      </c>
      <c r="I51" s="250">
        <f t="shared" si="330"/>
      </c>
      <c r="J51" s="251">
        <v>0</v>
      </c>
      <c r="K51" s="223">
        <f t="shared" si="215"/>
      </c>
      <c r="L51" s="223">
        <f t="shared" si="100"/>
      </c>
      <c r="M51" s="224">
        <f t="shared" si="65"/>
      </c>
      <c r="N51" s="225">
        <f t="shared" si="34"/>
      </c>
      <c r="O51" s="226">
        <f t="shared" si="3"/>
      </c>
      <c r="P51" s="227">
        <f t="shared" si="938"/>
      </c>
      <c r="Q51" s="227">
        <f t="shared" si="907"/>
      </c>
      <c r="R51" s="227">
        <f t="shared" si="876"/>
      </c>
      <c r="S51" s="228">
        <f t="shared" si="845"/>
      </c>
      <c r="T51" s="229">
        <f t="shared" si="783"/>
      </c>
      <c r="U51" s="227">
        <f t="shared" si="752"/>
      </c>
      <c r="V51" s="230">
        <f t="shared" si="814"/>
      </c>
      <c r="W51" s="230">
        <f t="shared" si="721"/>
      </c>
      <c r="X51" s="227">
        <f t="shared" si="690"/>
      </c>
      <c r="Y51" s="231">
        <v>3</v>
      </c>
      <c r="Z51" s="231">
        <v>1</v>
      </c>
      <c r="AA51" s="231">
        <v>0</v>
      </c>
      <c r="AB51" s="232">
        <v>0</v>
      </c>
      <c r="AC51" s="232">
        <v>0</v>
      </c>
      <c r="AD51" s="228">
        <f t="shared" si="659"/>
      </c>
      <c r="AE51" s="233" t="s">
        <v>202</v>
      </c>
      <c r="AF51" s="234" t="s">
        <v>215</v>
      </c>
      <c r="AG51" s="235">
        <v>0</v>
      </c>
      <c r="AH51" s="236">
        <v>24501</v>
      </c>
      <c r="AI51" s="236">
        <v>733</v>
      </c>
      <c r="AJ51" s="236">
        <v>766</v>
      </c>
      <c r="AK51" s="237">
        <v>64</v>
      </c>
      <c r="AL51" s="237">
        <v>63</v>
      </c>
    </row>
    <row r="52">
      <c r="A52" s="216"/>
      <c r="B52" s="217" t="s">
        <v>200</v>
      </c>
      <c r="C52" s="252" t="s">
        <v>212</v>
      </c>
      <c r="D52" s="219">
        <f t="shared" si="445"/>
      </c>
      <c r="E52" s="218">
        <v>1367.93</v>
      </c>
      <c r="F52" s="249">
        <v>992.7</v>
      </c>
      <c r="G52" s="218">
        <v>0</v>
      </c>
      <c r="H52" s="218">
        <v>0</v>
      </c>
      <c r="I52" s="250">
        <f t="shared" si="330"/>
      </c>
      <c r="J52" s="251">
        <v>0</v>
      </c>
      <c r="K52" s="223">
        <f t="shared" si="215"/>
      </c>
      <c r="L52" s="223">
        <f t="shared" si="100"/>
      </c>
      <c r="M52" s="224">
        <f t="shared" si="65"/>
      </c>
      <c r="N52" s="225">
        <f t="shared" si="34"/>
      </c>
      <c r="O52" s="226">
        <f t="shared" si="3"/>
      </c>
      <c r="P52" s="227">
        <f t="shared" si="938"/>
      </c>
      <c r="Q52" s="227">
        <f t="shared" si="907"/>
      </c>
      <c r="R52" s="227">
        <f t="shared" si="876"/>
      </c>
      <c r="S52" s="228">
        <f t="shared" si="845"/>
      </c>
      <c r="T52" s="229">
        <f t="shared" si="783"/>
      </c>
      <c r="U52" s="227">
        <f t="shared" si="752"/>
      </c>
      <c r="V52" s="230">
        <f t="shared" si="814"/>
      </c>
      <c r="W52" s="230">
        <f t="shared" si="721"/>
      </c>
      <c r="X52" s="227">
        <f t="shared" si="690"/>
      </c>
      <c r="Y52" s="231">
        <v>6</v>
      </c>
      <c r="Z52" s="231">
        <v>3</v>
      </c>
      <c r="AA52" s="231">
        <v>3</v>
      </c>
      <c r="AB52" s="232">
        <v>6873.840000000004</v>
      </c>
      <c r="AC52" s="232">
        <v>0</v>
      </c>
      <c r="AD52" s="228">
        <f t="shared" si="659"/>
      </c>
      <c r="AE52" s="233" t="s">
        <v>202</v>
      </c>
      <c r="AF52" s="234" t="s">
        <v>215</v>
      </c>
      <c r="AG52" s="237">
        <v>3</v>
      </c>
      <c r="AH52" s="236">
        <v>34282</v>
      </c>
      <c r="AI52" s="236">
        <v>574</v>
      </c>
      <c r="AJ52" s="236">
        <v>599</v>
      </c>
      <c r="AK52" s="237">
        <v>70</v>
      </c>
      <c r="AL52" s="237">
        <v>88</v>
      </c>
    </row>
    <row r="53">
      <c r="A53" s="216"/>
      <c r="B53" s="217" t="s">
        <v>200</v>
      </c>
      <c r="C53" s="218" t="s">
        <v>213</v>
      </c>
      <c r="D53" s="219">
        <f t="shared" si="445"/>
      </c>
      <c r="E53" s="218">
        <v>521.06</v>
      </c>
      <c r="F53" s="249">
        <v>2000</v>
      </c>
      <c r="G53" s="221">
        <v>0</v>
      </c>
      <c r="H53" s="221">
        <v>0</v>
      </c>
      <c r="I53" s="250">
        <f t="shared" si="330"/>
      </c>
      <c r="J53" s="251">
        <v>0</v>
      </c>
      <c r="K53" s="223">
        <f t="shared" si="215"/>
      </c>
      <c r="L53" s="223">
        <f t="shared" si="100"/>
      </c>
      <c r="M53" s="224">
        <f t="shared" si="65"/>
      </c>
      <c r="N53" s="225">
        <f t="shared" si="34"/>
      </c>
      <c r="O53" s="226">
        <f t="shared" si="3"/>
      </c>
      <c r="P53" s="227">
        <f t="shared" si="938"/>
      </c>
      <c r="Q53" s="227">
        <f t="shared" si="907"/>
      </c>
      <c r="R53" s="227">
        <f t="shared" si="876"/>
      </c>
      <c r="S53" s="228">
        <f t="shared" si="845"/>
      </c>
      <c r="T53" s="229">
        <f t="shared" si="783"/>
      </c>
      <c r="U53" s="227">
        <f t="shared" si="752"/>
      </c>
      <c r="V53" s="230">
        <f t="shared" si="814"/>
      </c>
      <c r="W53" s="230">
        <f t="shared" si="721"/>
      </c>
      <c r="X53" s="227">
        <f t="shared" si="690"/>
      </c>
      <c r="Y53" s="231">
        <v>3</v>
      </c>
      <c r="Z53" s="231">
        <v>1</v>
      </c>
      <c r="AA53" s="231">
        <v>1</v>
      </c>
      <c r="AB53" s="222">
        <v>848.5199999999968</v>
      </c>
      <c r="AC53" s="232">
        <v>0</v>
      </c>
      <c r="AD53" s="228">
        <f t="shared" si="659"/>
      </c>
      <c r="AE53" s="233" t="s">
        <v>202</v>
      </c>
      <c r="AF53" s="234" t="s">
        <v>215</v>
      </c>
      <c r="AG53" s="235">
        <v>1</v>
      </c>
      <c r="AH53" s="236">
        <v>39467</v>
      </c>
      <c r="AI53" s="236">
        <v>286</v>
      </c>
      <c r="AJ53" s="236">
        <v>280</v>
      </c>
      <c r="AK53" s="237">
        <v>45</v>
      </c>
      <c r="AL53" s="237">
        <v>58</v>
      </c>
    </row>
    <row r="54">
      <c r="A54" s="216"/>
      <c r="B54" s="217" t="s">
        <v>200</v>
      </c>
      <c r="C54" s="252" t="s">
        <v>214</v>
      </c>
      <c r="D54" s="219">
        <f t="shared" si="445"/>
      </c>
      <c r="E54" s="218">
        <v>372.93</v>
      </c>
      <c r="F54" s="249">
        <v>1500</v>
      </c>
      <c r="G54" s="221">
        <v>0</v>
      </c>
      <c r="H54" s="221">
        <v>0</v>
      </c>
      <c r="I54" s="250">
        <f t="shared" si="330"/>
      </c>
      <c r="J54" s="251">
        <v>943.92</v>
      </c>
      <c r="K54" s="223">
        <f t="shared" si="215"/>
      </c>
      <c r="L54" s="223">
        <f t="shared" si="100"/>
      </c>
      <c r="M54" s="224">
        <f t="shared" si="65"/>
      </c>
      <c r="N54" s="225">
        <f t="shared" si="34"/>
      </c>
      <c r="O54" s="226">
        <f t="shared" si="3"/>
      </c>
      <c r="P54" s="227">
        <f t="shared" si="938"/>
      </c>
      <c r="Q54" s="227">
        <f t="shared" si="907"/>
      </c>
      <c r="R54" s="227">
        <f t="shared" si="876"/>
      </c>
      <c r="S54" s="228">
        <f t="shared" si="845"/>
      </c>
      <c r="T54" s="229">
        <f t="shared" si="783"/>
      </c>
      <c r="U54" s="227">
        <f t="shared" si="752"/>
      </c>
      <c r="V54" s="230">
        <f t="shared" si="814"/>
      </c>
      <c r="W54" s="230">
        <f t="shared" si="721"/>
      </c>
      <c r="X54" s="227">
        <f t="shared" si="690"/>
      </c>
      <c r="Y54" s="231">
        <v>6</v>
      </c>
      <c r="Z54" s="231">
        <v>0</v>
      </c>
      <c r="AA54" s="231">
        <v>1</v>
      </c>
      <c r="AB54" s="232">
        <v>943.9199999999983</v>
      </c>
      <c r="AC54" s="232">
        <v>0</v>
      </c>
      <c r="AD54" s="228">
        <f t="shared" si="659"/>
      </c>
      <c r="AE54" s="233" t="s">
        <v>202</v>
      </c>
      <c r="AF54" s="234" t="s">
        <v>215</v>
      </c>
      <c r="AG54" s="235">
        <v>1</v>
      </c>
      <c r="AH54" s="236">
        <v>27792</v>
      </c>
      <c r="AI54" s="236">
        <v>375</v>
      </c>
      <c r="AJ54" s="236">
        <v>355</v>
      </c>
      <c r="AK54" s="237">
        <v>41</v>
      </c>
      <c r="AL54" s="237">
        <v>45</v>
      </c>
    </row>
    <row r="55">
      <c r="A55" s="216"/>
      <c r="B55" s="239" t="s">
        <v>208</v>
      </c>
      <c r="C55" s="240">
        <v>5</v>
      </c>
      <c r="D55" s="241">
        <f>SUM(D50:D54)</f>
      </c>
      <c r="E55" s="241">
        <f>SUM(E50:E54)</f>
      </c>
      <c r="F55" s="241">
        <f>SUM(F50:F54)</f>
      </c>
      <c r="G55" s="241">
        <f>SUM(G50:G54)</f>
      </c>
      <c r="H55" s="241">
        <f>SUM(H50:H54)</f>
      </c>
      <c r="I55" s="260">
        <f>SUM(I50:I54)</f>
      </c>
      <c r="J55" s="241">
        <f>SUM(J50:J54)</f>
      </c>
      <c r="K55" s="241">
        <f>SUM(K50:K54)</f>
      </c>
      <c r="L55" s="241">
        <f>SUM(L50:L54)</f>
      </c>
      <c r="M55" s="242">
        <f t="shared" si="65"/>
      </c>
      <c r="N55" s="243">
        <f t="shared" si="34"/>
      </c>
      <c r="O55" s="243">
        <f t="shared" si="3"/>
      </c>
      <c r="P55" s="244">
        <f t="shared" si="938"/>
      </c>
      <c r="Q55" s="244">
        <f t="shared" si="907"/>
      </c>
      <c r="R55" s="244">
        <f t="shared" si="876"/>
      </c>
      <c r="S55" s="245">
        <f t="shared" si="845"/>
      </c>
      <c r="T55" s="245">
        <f t="shared" si="783"/>
      </c>
      <c r="U55" s="244">
        <f t="shared" si="752"/>
      </c>
      <c r="V55" s="245">
        <f t="shared" si="814"/>
      </c>
      <c r="W55" s="245">
        <f t="shared" si="721"/>
      </c>
      <c r="X55" s="244">
        <f t="shared" si="690"/>
      </c>
      <c r="Y55" s="241">
        <f>SUM(Y50:Y54)</f>
      </c>
      <c r="Z55" s="241">
        <f>SUM(Z50:Z54)</f>
      </c>
      <c r="AA55" s="241">
        <f>SUM(AA50:AA54)</f>
      </c>
      <c r="AB55" s="241">
        <f>SUM(AB50:AB54)</f>
      </c>
      <c r="AC55" s="241">
        <f>SUM(AC50:AC54)</f>
      </c>
      <c r="AD55" s="246">
        <f t="shared" si="659"/>
      </c>
      <c r="AE55" s="247"/>
      <c r="AF55" s="248"/>
      <c r="AG55" s="241">
        <f>SUM(AG50:AG54)</f>
      </c>
      <c r="AH55" s="241">
        <f>SUM(AH50:AH54)</f>
      </c>
      <c r="AI55" s="241">
        <f>SUM(AI50:AI54)</f>
      </c>
      <c r="AJ55" s="241">
        <f>SUM(AJ50:AJ54)</f>
      </c>
      <c r="AK55" s="241">
        <f>SUM(AK50:AK54)</f>
      </c>
      <c r="AL55" s="241">
        <f>SUM(AL50:AL54)</f>
      </c>
    </row>
    <row r="56">
      <c r="A56" s="216"/>
      <c r="B56" s="253" t="s">
        <v>208</v>
      </c>
      <c r="C56" s="254">
        <f>C55+C49</f>
      </c>
      <c r="D56" s="255">
        <f>D55+D49</f>
      </c>
      <c r="E56" s="255">
        <f>E55+E49</f>
      </c>
      <c r="F56" s="255">
        <f>F55+F49</f>
      </c>
      <c r="G56" s="255">
        <f>G55+G49</f>
      </c>
      <c r="H56" s="255">
        <f>H55+H49</f>
      </c>
      <c r="I56" s="255">
        <f>I55+I49</f>
      </c>
      <c r="J56" s="255">
        <f>J55+J49</f>
      </c>
      <c r="K56" s="255">
        <f>K55+K49</f>
      </c>
      <c r="L56" s="255">
        <f>L55+L49</f>
      </c>
      <c r="M56" s="256">
        <f t="shared" si="65"/>
      </c>
      <c r="N56" s="256">
        <f t="shared" si="34"/>
      </c>
      <c r="O56" s="256">
        <f t="shared" si="3"/>
      </c>
      <c r="P56" s="256">
        <f t="shared" si="938"/>
      </c>
      <c r="Q56" s="256">
        <f t="shared" si="907"/>
      </c>
      <c r="R56" s="256">
        <f t="shared" si="876"/>
      </c>
      <c r="S56" s="257">
        <f t="shared" si="845"/>
      </c>
      <c r="T56" s="257">
        <f t="shared" si="783"/>
      </c>
      <c r="U56" s="256">
        <f t="shared" si="752"/>
      </c>
      <c r="V56" s="257">
        <f t="shared" si="814"/>
      </c>
      <c r="W56" s="257">
        <f t="shared" si="721"/>
      </c>
      <c r="X56" s="256">
        <f t="shared" si="690"/>
      </c>
      <c r="Y56" s="255">
        <f>Y55+Y49</f>
      </c>
      <c r="Z56" s="255">
        <f>Z55+Z49</f>
      </c>
      <c r="AA56" s="255">
        <f>AA55+AA49</f>
      </c>
      <c r="AB56" s="255">
        <f>AB55+AB49</f>
      </c>
      <c r="AC56" s="255">
        <f>AC55+AC49</f>
      </c>
      <c r="AD56" s="258">
        <f t="shared" si="659"/>
      </c>
      <c r="AE56" s="253"/>
      <c r="AF56" s="253"/>
      <c r="AG56" s="255">
        <f>AG55+AG49</f>
      </c>
      <c r="AH56" s="255">
        <f>AH55+AH49</f>
      </c>
      <c r="AI56" s="255">
        <f>AI55+AI49</f>
      </c>
      <c r="AJ56" s="255">
        <f>AJ55+AJ49</f>
      </c>
      <c r="AK56" s="255">
        <f>AK55+AK49</f>
      </c>
      <c r="AL56" s="255">
        <f>AL55+AL49</f>
      </c>
    </row>
    <row r="57">
      <c r="A57" s="202" t="s">
        <v>162</v>
      </c>
      <c r="B57" s="203" t="s">
        <v>163</v>
      </c>
      <c r="C57" s="203" t="s">
        <v>164</v>
      </c>
      <c r="D57" s="204" t="s">
        <v>165</v>
      </c>
      <c r="E57" s="203" t="s">
        <v>166</v>
      </c>
      <c r="F57" s="203" t="s">
        <v>167</v>
      </c>
      <c r="G57" s="205" t="s">
        <v>168</v>
      </c>
      <c r="H57" s="205" t="s">
        <v>169</v>
      </c>
      <c r="I57" s="204" t="s">
        <v>170</v>
      </c>
      <c r="J57" s="206" t="s">
        <v>171</v>
      </c>
      <c r="K57" s="207" t="s">
        <v>172</v>
      </c>
      <c r="L57" s="207" t="s">
        <v>173</v>
      </c>
      <c r="M57" s="208" t="s">
        <v>174</v>
      </c>
      <c r="N57" s="207" t="s">
        <v>175</v>
      </c>
      <c r="O57" s="203" t="s">
        <v>176</v>
      </c>
      <c r="P57" s="208" t="s">
        <v>177</v>
      </c>
      <c r="Q57" s="209" t="s">
        <v>178</v>
      </c>
      <c r="R57" s="209" t="s">
        <v>179</v>
      </c>
      <c r="S57" s="204" t="s">
        <v>180</v>
      </c>
      <c r="T57" s="210" t="s">
        <v>181</v>
      </c>
      <c r="U57" s="208" t="s">
        <v>182</v>
      </c>
      <c r="V57" s="211" t="s">
        <v>183</v>
      </c>
      <c r="W57" s="212" t="s">
        <v>184</v>
      </c>
      <c r="X57" s="208" t="s">
        <v>185</v>
      </c>
      <c r="Y57" s="213" t="s">
        <v>186</v>
      </c>
      <c r="Z57" s="214" t="s">
        <v>187</v>
      </c>
      <c r="AA57" s="213" t="s">
        <v>188</v>
      </c>
      <c r="AB57" s="215" t="s">
        <v>189</v>
      </c>
      <c r="AC57" s="215" t="s">
        <v>190</v>
      </c>
      <c r="AD57" s="207" t="s">
        <v>191</v>
      </c>
      <c r="AE57" s="206" t="s">
        <v>192</v>
      </c>
      <c r="AF57" s="207" t="s">
        <v>193</v>
      </c>
      <c r="AG57" s="206" t="s">
        <v>194</v>
      </c>
      <c r="AH57" s="206" t="s">
        <v>195</v>
      </c>
      <c r="AI57" s="207" t="s">
        <v>196</v>
      </c>
      <c r="AJ57" s="206" t="s">
        <v>197</v>
      </c>
      <c r="AK57" s="207" t="s">
        <v>198</v>
      </c>
      <c r="AL57" s="206" t="s">
        <v>199</v>
      </c>
    </row>
    <row r="58">
      <c r="A58" s="216">
        <v>46239</v>
      </c>
      <c r="B58" s="217" t="s">
        <v>209</v>
      </c>
      <c r="C58" s="218" t="s">
        <v>201</v>
      </c>
      <c r="D58" s="219">
        <f t="shared" ref="D58:D62" si="446">E58+F58+G58+H58</f>
      </c>
      <c r="E58" s="220">
        <v>899.87</v>
      </c>
      <c r="F58" s="221">
        <v>2000</v>
      </c>
      <c r="G58" s="221">
        <v>0</v>
      </c>
      <c r="H58" s="221">
        <v>0</v>
      </c>
      <c r="I58" s="221">
        <f t="shared" ref="I58:I62" si="331">AB58+AC58</f>
      </c>
      <c r="J58" s="222">
        <v>4240.08</v>
      </c>
      <c r="K58" s="223">
        <f t="shared" ref="K58:K62" si="216">I58-J58</f>
      </c>
      <c r="L58" s="223">
        <f t="shared" ref="L58:L62" si="101">(I58-AC58)/12+AC58</f>
      </c>
      <c r="M58" s="224">
        <f t="shared" ref="M58:M70" si="66">I58/D58</f>
      </c>
      <c r="N58" s="225">
        <f t="shared" ref="N58:N70" si="35">(I58-J58)/D58</f>
      </c>
      <c r="O58" s="226">
        <f t="shared" ref="O58:O70" si="4">(AC58+AB58/12)/D58</f>
      </c>
      <c r="P58" s="227">
        <f t="shared" ref="P58:P70" si="939">I58/AA58</f>
      </c>
      <c r="Q58" s="227">
        <f t="shared" ref="Q58:Q70" si="908">D58/AA58</f>
      </c>
      <c r="R58" s="227">
        <f t="shared" ref="R58:R70" si="877">D58/AG58</f>
      </c>
      <c r="S58" s="228">
        <f t="shared" ref="S58:S70" si="846">AA58/Y58</f>
      </c>
      <c r="T58" s="229">
        <f t="shared" ref="T58:T70" si="784">AI58/AH58</f>
      </c>
      <c r="U58" s="227">
        <f t="shared" ref="U58:U70" si="753">D58/AJ58</f>
      </c>
      <c r="V58" s="230">
        <f t="shared" ref="V58:V70" si="815">AK58/AJ58</f>
      </c>
      <c r="W58" s="230">
        <f t="shared" ref="W58:W70" si="722">AL58/AJ58</f>
      </c>
      <c r="X58" s="227">
        <f t="shared" ref="X58:X70" si="691">D58/AL58</f>
      </c>
      <c r="Y58" s="231">
        <v>3</v>
      </c>
      <c r="Z58" s="231">
        <v>0</v>
      </c>
      <c r="AA58" s="231">
        <v>3</v>
      </c>
      <c r="AB58" s="232">
        <v>6627.96</v>
      </c>
      <c r="AC58" s="232">
        <v>0</v>
      </c>
      <c r="AD58" s="228">
        <f t="shared" ref="AD58:AD70" si="660">AC58/I58</f>
      </c>
      <c r="AE58" s="233" t="s">
        <v>202</v>
      </c>
      <c r="AF58" s="234" t="s">
        <v>203</v>
      </c>
      <c r="AG58" s="235">
        <v>1</v>
      </c>
      <c r="AH58" s="236">
        <v>31934</v>
      </c>
      <c r="AI58" s="236">
        <v>465</v>
      </c>
      <c r="AJ58" s="236">
        <v>460</v>
      </c>
      <c r="AK58" s="235">
        <v>63</v>
      </c>
      <c r="AL58" s="237">
        <v>85</v>
      </c>
    </row>
    <row r="59">
      <c r="A59" s="216"/>
      <c r="B59" s="217" t="s">
        <v>209</v>
      </c>
      <c r="C59" s="218" t="s">
        <v>204</v>
      </c>
      <c r="D59" s="219">
        <f t="shared" si="446"/>
      </c>
      <c r="E59" s="218">
        <v>769.49</v>
      </c>
      <c r="F59" s="221">
        <v>1935.02</v>
      </c>
      <c r="G59" s="221">
        <v>0</v>
      </c>
      <c r="H59" s="221">
        <v>0</v>
      </c>
      <c r="I59" s="221">
        <f t="shared" si="331"/>
      </c>
      <c r="J59" s="222">
        <v>0</v>
      </c>
      <c r="K59" s="223">
        <f t="shared" si="216"/>
      </c>
      <c r="L59" s="223">
        <f t="shared" si="101"/>
      </c>
      <c r="M59" s="224">
        <f t="shared" si="66"/>
      </c>
      <c r="N59" s="225">
        <f t="shared" si="35"/>
      </c>
      <c r="O59" s="226">
        <f t="shared" si="4"/>
      </c>
      <c r="P59" s="227">
        <f t="shared" si="939"/>
      </c>
      <c r="Q59" s="227">
        <f t="shared" si="908"/>
      </c>
      <c r="R59" s="227">
        <f t="shared" si="877"/>
      </c>
      <c r="S59" s="228">
        <f t="shared" si="846"/>
      </c>
      <c r="T59" s="229">
        <f t="shared" si="784"/>
      </c>
      <c r="U59" s="227">
        <f t="shared" si="753"/>
      </c>
      <c r="V59" s="230">
        <f t="shared" si="815"/>
      </c>
      <c r="W59" s="230">
        <f t="shared" si="722"/>
      </c>
      <c r="X59" s="227">
        <f t="shared" si="691"/>
      </c>
      <c r="Y59" s="231">
        <v>5</v>
      </c>
      <c r="Z59" s="231">
        <v>2</v>
      </c>
      <c r="AA59" s="231">
        <v>2</v>
      </c>
      <c r="AB59" s="232">
        <v>5167.8</v>
      </c>
      <c r="AC59" s="232">
        <v>0</v>
      </c>
      <c r="AD59" s="228">
        <f t="shared" si="660"/>
      </c>
      <c r="AE59" s="233" t="s">
        <v>202</v>
      </c>
      <c r="AF59" s="234" t="s">
        <v>203</v>
      </c>
      <c r="AG59" s="235">
        <v>1</v>
      </c>
      <c r="AH59" s="236">
        <v>30260</v>
      </c>
      <c r="AI59" s="236">
        <v>542</v>
      </c>
      <c r="AJ59" s="236">
        <v>544</v>
      </c>
      <c r="AK59" s="237">
        <v>81</v>
      </c>
      <c r="AL59" s="237">
        <v>103</v>
      </c>
    </row>
    <row r="60">
      <c r="A60" s="216"/>
      <c r="B60" s="217" t="s">
        <v>209</v>
      </c>
      <c r="C60" s="218" t="s">
        <v>205</v>
      </c>
      <c r="D60" s="219">
        <f t="shared" si="446"/>
      </c>
      <c r="E60" s="218">
        <v>746.02</v>
      </c>
      <c r="F60" s="218">
        <v>1501.49</v>
      </c>
      <c r="G60" s="218">
        <v>0</v>
      </c>
      <c r="H60" s="218">
        <v>0</v>
      </c>
      <c r="I60" s="221">
        <f t="shared" si="331"/>
      </c>
      <c r="J60" s="222">
        <v>465.48</v>
      </c>
      <c r="K60" s="223">
        <f t="shared" si="216"/>
      </c>
      <c r="L60" s="223">
        <f t="shared" si="101"/>
      </c>
      <c r="M60" s="224">
        <f t="shared" si="66"/>
      </c>
      <c r="N60" s="225">
        <f t="shared" si="35"/>
      </c>
      <c r="O60" s="226">
        <f t="shared" si="4"/>
      </c>
      <c r="P60" s="227">
        <f t="shared" si="939"/>
      </c>
      <c r="Q60" s="227">
        <f t="shared" si="908"/>
      </c>
      <c r="R60" s="227">
        <f t="shared" si="877"/>
      </c>
      <c r="S60" s="228">
        <f t="shared" si="846"/>
      </c>
      <c r="T60" s="229">
        <f t="shared" si="784"/>
      </c>
      <c r="U60" s="227">
        <f t="shared" si="753"/>
      </c>
      <c r="V60" s="230">
        <f t="shared" si="815"/>
      </c>
      <c r="W60" s="230">
        <f t="shared" si="722"/>
      </c>
      <c r="X60" s="227">
        <f t="shared" si="691"/>
      </c>
      <c r="Y60" s="231">
        <v>6</v>
      </c>
      <c r="Z60" s="231">
        <v>0</v>
      </c>
      <c r="AA60" s="231">
        <v>6</v>
      </c>
      <c r="AB60" s="232">
        <v>8340.839999999998</v>
      </c>
      <c r="AC60" s="232">
        <v>0</v>
      </c>
      <c r="AD60" s="228">
        <f t="shared" si="660"/>
      </c>
      <c r="AE60" s="233" t="s">
        <v>202</v>
      </c>
      <c r="AF60" s="234" t="s">
        <v>203</v>
      </c>
      <c r="AG60" s="237">
        <v>6</v>
      </c>
      <c r="AH60" s="236">
        <v>25876</v>
      </c>
      <c r="AI60" s="236">
        <v>412</v>
      </c>
      <c r="AJ60" s="236">
        <v>414</v>
      </c>
      <c r="AK60" s="237">
        <v>62</v>
      </c>
      <c r="AL60" s="237">
        <v>69</v>
      </c>
    </row>
    <row r="61">
      <c r="A61" s="216"/>
      <c r="B61" s="217" t="s">
        <v>209</v>
      </c>
      <c r="C61" s="218" t="s">
        <v>206</v>
      </c>
      <c r="D61" s="219">
        <f t="shared" si="446"/>
      </c>
      <c r="E61" s="218">
        <v>1180.54</v>
      </c>
      <c r="F61" s="221">
        <v>2563.49</v>
      </c>
      <c r="G61" s="221">
        <v>0</v>
      </c>
      <c r="H61" s="221">
        <v>0</v>
      </c>
      <c r="I61" s="221">
        <f t="shared" si="331"/>
      </c>
      <c r="J61" s="222">
        <v>1863</v>
      </c>
      <c r="K61" s="223">
        <f t="shared" si="216"/>
      </c>
      <c r="L61" s="223">
        <f t="shared" si="101"/>
      </c>
      <c r="M61" s="224">
        <f t="shared" si="66"/>
      </c>
      <c r="N61" s="225">
        <f t="shared" si="35"/>
      </c>
      <c r="O61" s="226">
        <f t="shared" si="4"/>
      </c>
      <c r="P61" s="227">
        <f t="shared" si="939"/>
      </c>
      <c r="Q61" s="227">
        <f t="shared" si="908"/>
      </c>
      <c r="R61" s="227">
        <f t="shared" si="877"/>
      </c>
      <c r="S61" s="228">
        <f t="shared" si="846"/>
      </c>
      <c r="T61" s="229">
        <f t="shared" si="784"/>
      </c>
      <c r="U61" s="227">
        <f t="shared" si="753"/>
      </c>
      <c r="V61" s="230">
        <f t="shared" si="815"/>
      </c>
      <c r="W61" s="230">
        <f t="shared" si="722"/>
      </c>
      <c r="X61" s="227">
        <f t="shared" si="691"/>
      </c>
      <c r="Y61" s="231">
        <v>8</v>
      </c>
      <c r="Z61" s="231">
        <v>1</v>
      </c>
      <c r="AA61" s="231">
        <v>3</v>
      </c>
      <c r="AB61" s="222">
        <v>4790.880000000001</v>
      </c>
      <c r="AC61" s="232">
        <v>0</v>
      </c>
      <c r="AD61" s="228">
        <f t="shared" si="660"/>
      </c>
      <c r="AE61" s="233" t="s">
        <v>202</v>
      </c>
      <c r="AF61" s="234" t="s">
        <v>203</v>
      </c>
      <c r="AG61" s="235">
        <v>3</v>
      </c>
      <c r="AH61" s="236">
        <v>49209</v>
      </c>
      <c r="AI61" s="236">
        <v>797</v>
      </c>
      <c r="AJ61" s="236">
        <v>809</v>
      </c>
      <c r="AK61" s="237">
        <v>102</v>
      </c>
      <c r="AL61" s="237">
        <v>115</v>
      </c>
    </row>
    <row r="62">
      <c r="A62" s="216"/>
      <c r="B62" s="217" t="s">
        <v>209</v>
      </c>
      <c r="C62" s="218" t="s">
        <v>207</v>
      </c>
      <c r="D62" s="219">
        <f t="shared" si="446"/>
      </c>
      <c r="E62" s="218">
        <v>903.36</v>
      </c>
      <c r="F62" s="221">
        <v>1492.94</v>
      </c>
      <c r="G62" s="221">
        <v>0</v>
      </c>
      <c r="H62" s="221">
        <v>0</v>
      </c>
      <c r="I62" s="238">
        <f t="shared" si="331"/>
      </c>
      <c r="J62" s="222">
        <v>0</v>
      </c>
      <c r="K62" s="223">
        <f t="shared" si="216"/>
      </c>
      <c r="L62" s="223">
        <f t="shared" si="101"/>
      </c>
      <c r="M62" s="224">
        <f t="shared" si="66"/>
      </c>
      <c r="N62" s="225">
        <f t="shared" si="35"/>
      </c>
      <c r="O62" s="226">
        <f t="shared" si="4"/>
      </c>
      <c r="P62" s="227">
        <f t="shared" si="939"/>
      </c>
      <c r="Q62" s="227">
        <f t="shared" si="908"/>
      </c>
      <c r="R62" s="227">
        <f t="shared" si="877"/>
      </c>
      <c r="S62" s="228">
        <f t="shared" si="846"/>
      </c>
      <c r="T62" s="229">
        <f t="shared" si="784"/>
      </c>
      <c r="U62" s="227">
        <f t="shared" si="753"/>
      </c>
      <c r="V62" s="230">
        <f t="shared" si="815"/>
      </c>
      <c r="W62" s="230">
        <f t="shared" si="722"/>
      </c>
      <c r="X62" s="227">
        <f t="shared" si="691"/>
      </c>
      <c r="Y62" s="231">
        <v>8</v>
      </c>
      <c r="Z62" s="231">
        <v>5</v>
      </c>
      <c r="AA62" s="231">
        <v>2</v>
      </c>
      <c r="AB62" s="232">
        <v>1361.880000000001</v>
      </c>
      <c r="AC62" s="232">
        <v>0</v>
      </c>
      <c r="AD62" s="228">
        <f t="shared" si="660"/>
      </c>
      <c r="AE62" s="233" t="s">
        <v>202</v>
      </c>
      <c r="AF62" s="234" t="s">
        <v>203</v>
      </c>
      <c r="AG62" s="235">
        <v>2</v>
      </c>
      <c r="AH62" s="236">
        <v>33207</v>
      </c>
      <c r="AI62" s="236">
        <v>513</v>
      </c>
      <c r="AJ62" s="236">
        <v>522</v>
      </c>
      <c r="AK62" s="237">
        <v>63</v>
      </c>
      <c r="AL62" s="237">
        <v>82</v>
      </c>
    </row>
    <row r="63">
      <c r="A63" s="216"/>
      <c r="B63" s="239" t="s">
        <v>208</v>
      </c>
      <c r="C63" s="240">
        <v>5</v>
      </c>
      <c r="D63" s="241">
        <f>SUM(D58:D62)</f>
      </c>
      <c r="E63" s="241">
        <f>SUM(E58:E62)</f>
      </c>
      <c r="F63" s="241">
        <f>SUM(F58:F62)</f>
      </c>
      <c r="G63" s="241">
        <f>SUM(G58:G62)</f>
      </c>
      <c r="H63" s="241">
        <f>SUM(H58:H62)</f>
      </c>
      <c r="I63" s="259">
        <f>SUM(I58:I62)</f>
      </c>
      <c r="J63" s="241">
        <f>SUM(J58:J62)</f>
      </c>
      <c r="K63" s="241">
        <f>SUM(K58:K62)</f>
      </c>
      <c r="L63" s="241">
        <f>SUM(L58:L62)</f>
      </c>
      <c r="M63" s="242">
        <f t="shared" si="66"/>
      </c>
      <c r="N63" s="243">
        <f t="shared" si="35"/>
      </c>
      <c r="O63" s="243">
        <f t="shared" si="4"/>
      </c>
      <c r="P63" s="244">
        <f t="shared" si="939"/>
      </c>
      <c r="Q63" s="244">
        <f t="shared" si="908"/>
      </c>
      <c r="R63" s="244">
        <f t="shared" si="877"/>
      </c>
      <c r="S63" s="245">
        <f t="shared" si="846"/>
      </c>
      <c r="T63" s="245">
        <f t="shared" si="784"/>
      </c>
      <c r="U63" s="244">
        <f t="shared" si="753"/>
      </c>
      <c r="V63" s="245">
        <f t="shared" si="815"/>
      </c>
      <c r="W63" s="245">
        <f t="shared" si="722"/>
      </c>
      <c r="X63" s="244">
        <f t="shared" si="691"/>
      </c>
      <c r="Y63" s="241">
        <f>SUM(Y58:Y62)</f>
      </c>
      <c r="Z63" s="241">
        <f>SUM(Z58:Z62)</f>
      </c>
      <c r="AA63" s="241">
        <f>SUM(AA58:AA62)</f>
      </c>
      <c r="AB63" s="241">
        <f>SUM(AB58:AB62)</f>
      </c>
      <c r="AC63" s="241">
        <f>SUM(AC58:AC62)</f>
      </c>
      <c r="AD63" s="246">
        <f t="shared" si="660"/>
      </c>
      <c r="AE63" s="247"/>
      <c r="AF63" s="248"/>
      <c r="AG63" s="241">
        <f>SUM(AG58:AG62)</f>
      </c>
      <c r="AH63" s="241">
        <f>SUM(AH58:AH62)</f>
      </c>
      <c r="AI63" s="241">
        <f>SUM(AI58:AI62)</f>
      </c>
      <c r="AJ63" s="241">
        <f>SUM(AJ58:AJ62)</f>
      </c>
      <c r="AK63" s="241">
        <f>SUM(AK58:AK62)</f>
      </c>
      <c r="AL63" s="241">
        <f>SUM(AL58:AL62)</f>
      </c>
    </row>
    <row r="64">
      <c r="A64" s="216"/>
      <c r="B64" s="217" t="s">
        <v>200</v>
      </c>
      <c r="C64" s="218" t="s">
        <v>210</v>
      </c>
      <c r="D64" s="219">
        <f t="shared" ref="D64:D68" si="447">E64+F64+G64+H64</f>
      </c>
      <c r="E64" s="218">
        <v>478.34</v>
      </c>
      <c r="F64" s="249">
        <v>2007.06</v>
      </c>
      <c r="G64" s="221">
        <v>0</v>
      </c>
      <c r="H64" s="221">
        <v>0</v>
      </c>
      <c r="I64" s="250">
        <f t="shared" ref="I64:I68" si="332">AB64+AC64</f>
      </c>
      <c r="J64" s="251">
        <v>0</v>
      </c>
      <c r="K64" s="223">
        <f t="shared" ref="K64:K68" si="217">I64-J64</f>
      </c>
      <c r="L64" s="223">
        <f t="shared" ref="L64:L68" si="102">(I64-AC64)/12+AC64</f>
      </c>
      <c r="M64" s="224">
        <f t="shared" si="66"/>
      </c>
      <c r="N64" s="225">
        <f t="shared" si="35"/>
      </c>
      <c r="O64" s="226">
        <f t="shared" si="4"/>
      </c>
      <c r="P64" s="227">
        <f t="shared" si="939"/>
      </c>
      <c r="Q64" s="227">
        <f t="shared" si="908"/>
      </c>
      <c r="R64" s="227">
        <f t="shared" si="877"/>
      </c>
      <c r="S64" s="228">
        <f t="shared" si="846"/>
      </c>
      <c r="T64" s="229">
        <f t="shared" si="784"/>
      </c>
      <c r="U64" s="227">
        <f t="shared" si="753"/>
      </c>
      <c r="V64" s="230">
        <f t="shared" si="815"/>
      </c>
      <c r="W64" s="230">
        <f t="shared" si="722"/>
      </c>
      <c r="X64" s="227">
        <f t="shared" si="691"/>
      </c>
      <c r="Y64" s="231">
        <v>3</v>
      </c>
      <c r="Z64" s="231">
        <v>4</v>
      </c>
      <c r="AA64" s="231">
        <v>2</v>
      </c>
      <c r="AB64" s="232">
        <v>7592.760000000002</v>
      </c>
      <c r="AC64" s="232">
        <v>0</v>
      </c>
      <c r="AD64" s="228">
        <f t="shared" si="660"/>
      </c>
      <c r="AE64" s="233" t="s">
        <v>202</v>
      </c>
      <c r="AF64" s="234" t="s">
        <v>203</v>
      </c>
      <c r="AG64" s="235">
        <v>2</v>
      </c>
      <c r="AH64" s="236">
        <v>41348</v>
      </c>
      <c r="AI64" s="236">
        <v>387</v>
      </c>
      <c r="AJ64" s="236">
        <v>362</v>
      </c>
      <c r="AK64" s="237">
        <v>49</v>
      </c>
      <c r="AL64" s="237">
        <v>74</v>
      </c>
    </row>
    <row r="65">
      <c r="A65" s="216"/>
      <c r="B65" s="217" t="s">
        <v>200</v>
      </c>
      <c r="C65" s="252" t="s">
        <v>211</v>
      </c>
      <c r="D65" s="219">
        <f t="shared" si="447"/>
      </c>
      <c r="E65" s="218">
        <v>711.36</v>
      </c>
      <c r="F65" s="249">
        <v>2500</v>
      </c>
      <c r="G65" s="221">
        <v>0</v>
      </c>
      <c r="H65" s="221">
        <v>0</v>
      </c>
      <c r="I65" s="250">
        <f t="shared" si="332"/>
      </c>
      <c r="J65" s="251">
        <v>0</v>
      </c>
      <c r="K65" s="223">
        <f t="shared" si="217"/>
      </c>
      <c r="L65" s="223">
        <f t="shared" si="102"/>
      </c>
      <c r="M65" s="224">
        <f t="shared" si="66"/>
      </c>
      <c r="N65" s="225">
        <f t="shared" si="35"/>
      </c>
      <c r="O65" s="226">
        <f t="shared" si="4"/>
      </c>
      <c r="P65" s="227">
        <f t="shared" si="939"/>
      </c>
      <c r="Q65" s="227">
        <f t="shared" si="908"/>
      </c>
      <c r="R65" s="227">
        <f t="shared" si="877"/>
      </c>
      <c r="S65" s="228">
        <f t="shared" si="846"/>
      </c>
      <c r="T65" s="229">
        <f t="shared" si="784"/>
      </c>
      <c r="U65" s="227">
        <f t="shared" si="753"/>
      </c>
      <c r="V65" s="230">
        <f t="shared" si="815"/>
      </c>
      <c r="W65" s="230">
        <f t="shared" si="722"/>
      </c>
      <c r="X65" s="227">
        <f t="shared" si="691"/>
      </c>
      <c r="Y65" s="231">
        <v>9</v>
      </c>
      <c r="Z65" s="231">
        <v>7</v>
      </c>
      <c r="AA65" s="231">
        <v>3</v>
      </c>
      <c r="AB65" s="232">
        <v>3117.959999999999</v>
      </c>
      <c r="AC65" s="232">
        <v>0</v>
      </c>
      <c r="AD65" s="228">
        <f t="shared" si="660"/>
      </c>
      <c r="AE65" s="233" t="s">
        <v>202</v>
      </c>
      <c r="AF65" s="234" t="s">
        <v>203</v>
      </c>
      <c r="AG65" s="235">
        <v>3</v>
      </c>
      <c r="AH65" s="236">
        <v>49592</v>
      </c>
      <c r="AI65" s="236">
        <v>444</v>
      </c>
      <c r="AJ65" s="236">
        <v>426</v>
      </c>
      <c r="AK65" s="237">
        <v>68</v>
      </c>
      <c r="AL65" s="237">
        <v>93</v>
      </c>
    </row>
    <row r="66">
      <c r="A66" s="216"/>
      <c r="B66" s="217" t="s">
        <v>200</v>
      </c>
      <c r="C66" s="252" t="s">
        <v>212</v>
      </c>
      <c r="D66" s="219">
        <f t="shared" si="447"/>
      </c>
      <c r="E66" s="218">
        <v>1058.31</v>
      </c>
      <c r="F66" s="249">
        <v>2555</v>
      </c>
      <c r="G66" s="218">
        <v>0</v>
      </c>
      <c r="H66" s="218">
        <v>0</v>
      </c>
      <c r="I66" s="250">
        <f t="shared" si="332"/>
      </c>
      <c r="J66" s="251">
        <v>0</v>
      </c>
      <c r="K66" s="223">
        <f t="shared" si="217"/>
      </c>
      <c r="L66" s="223">
        <f t="shared" si="102"/>
      </c>
      <c r="M66" s="224">
        <f t="shared" si="66"/>
      </c>
      <c r="N66" s="225">
        <f t="shared" si="35"/>
      </c>
      <c r="O66" s="226">
        <f t="shared" si="4"/>
      </c>
      <c r="P66" s="227">
        <f t="shared" si="939"/>
      </c>
      <c r="Q66" s="227">
        <f t="shared" si="908"/>
      </c>
      <c r="R66" s="227">
        <f t="shared" si="877"/>
      </c>
      <c r="S66" s="228">
        <f t="shared" si="846"/>
      </c>
      <c r="T66" s="229">
        <f t="shared" si="784"/>
      </c>
      <c r="U66" s="227">
        <f t="shared" si="753"/>
      </c>
      <c r="V66" s="230">
        <f t="shared" si="815"/>
      </c>
      <c r="W66" s="230">
        <f t="shared" si="722"/>
      </c>
      <c r="X66" s="227">
        <f t="shared" si="691"/>
      </c>
      <c r="Y66" s="231">
        <v>9</v>
      </c>
      <c r="Z66" s="231">
        <v>5</v>
      </c>
      <c r="AA66" s="231">
        <v>3</v>
      </c>
      <c r="AB66" s="232">
        <v>2622.1199999999953</v>
      </c>
      <c r="AC66" s="232">
        <v>1607</v>
      </c>
      <c r="AD66" s="228">
        <f t="shared" si="660"/>
      </c>
      <c r="AE66" s="233" t="s">
        <v>202</v>
      </c>
      <c r="AF66" s="234" t="s">
        <v>203</v>
      </c>
      <c r="AG66" s="237">
        <v>1</v>
      </c>
      <c r="AH66" s="236">
        <v>57308</v>
      </c>
      <c r="AI66" s="236">
        <v>542</v>
      </c>
      <c r="AJ66" s="236">
        <v>513</v>
      </c>
      <c r="AK66" s="237">
        <v>91</v>
      </c>
      <c r="AL66" s="237">
        <v>125</v>
      </c>
    </row>
    <row r="67">
      <c r="A67" s="216"/>
      <c r="B67" s="217" t="s">
        <v>200</v>
      </c>
      <c r="C67" s="218" t="s">
        <v>213</v>
      </c>
      <c r="D67" s="219">
        <f t="shared" si="447"/>
      </c>
      <c r="E67" s="218">
        <v>995.2</v>
      </c>
      <c r="F67" s="249">
        <v>2000</v>
      </c>
      <c r="G67" s="221">
        <v>0</v>
      </c>
      <c r="H67" s="221">
        <v>0</v>
      </c>
      <c r="I67" s="250">
        <f t="shared" si="332"/>
      </c>
      <c r="J67" s="251">
        <v>979.56</v>
      </c>
      <c r="K67" s="223">
        <f t="shared" si="217"/>
      </c>
      <c r="L67" s="223">
        <f t="shared" si="102"/>
      </c>
      <c r="M67" s="224">
        <f t="shared" si="66"/>
      </c>
      <c r="N67" s="225">
        <f t="shared" si="35"/>
      </c>
      <c r="O67" s="226">
        <f t="shared" si="4"/>
      </c>
      <c r="P67" s="227">
        <f t="shared" si="939"/>
      </c>
      <c r="Q67" s="227">
        <f t="shared" si="908"/>
      </c>
      <c r="R67" s="227">
        <f t="shared" si="877"/>
      </c>
      <c r="S67" s="228">
        <f t="shared" si="846"/>
      </c>
      <c r="T67" s="229">
        <f t="shared" si="784"/>
      </c>
      <c r="U67" s="227">
        <f t="shared" si="753"/>
      </c>
      <c r="V67" s="230">
        <f t="shared" si="815"/>
      </c>
      <c r="W67" s="230">
        <f t="shared" si="722"/>
      </c>
      <c r="X67" s="227">
        <f t="shared" si="691"/>
      </c>
      <c r="Y67" s="231">
        <v>6</v>
      </c>
      <c r="Z67" s="231">
        <v>3</v>
      </c>
      <c r="AA67" s="231">
        <v>3</v>
      </c>
      <c r="AB67" s="222">
        <v>3987.3600000000006</v>
      </c>
      <c r="AC67" s="232">
        <v>0</v>
      </c>
      <c r="AD67" s="228">
        <f t="shared" si="660"/>
      </c>
      <c r="AE67" s="233" t="s">
        <v>202</v>
      </c>
      <c r="AF67" s="234" t="s">
        <v>203</v>
      </c>
      <c r="AG67" s="235">
        <v>3</v>
      </c>
      <c r="AH67" s="236">
        <v>39964</v>
      </c>
      <c r="AI67" s="236">
        <v>489</v>
      </c>
      <c r="AJ67" s="236">
        <v>461</v>
      </c>
      <c r="AK67" s="237">
        <v>68</v>
      </c>
      <c r="AL67" s="237">
        <v>79</v>
      </c>
    </row>
    <row r="68">
      <c r="A68" s="216"/>
      <c r="B68" s="217" t="s">
        <v>200</v>
      </c>
      <c r="C68" s="252" t="s">
        <v>214</v>
      </c>
      <c r="D68" s="219">
        <f t="shared" si="447"/>
      </c>
      <c r="E68" s="218">
        <v>683.26</v>
      </c>
      <c r="F68" s="249">
        <v>2420.29</v>
      </c>
      <c r="G68" s="221">
        <v>0</v>
      </c>
      <c r="H68" s="221">
        <v>0</v>
      </c>
      <c r="I68" s="250">
        <f t="shared" si="332"/>
      </c>
      <c r="J68" s="251">
        <v>0</v>
      </c>
      <c r="K68" s="223">
        <f t="shared" si="217"/>
      </c>
      <c r="L68" s="223">
        <f t="shared" si="102"/>
      </c>
      <c r="M68" s="224">
        <f t="shared" si="66"/>
      </c>
      <c r="N68" s="225">
        <f t="shared" si="35"/>
      </c>
      <c r="O68" s="226">
        <f t="shared" si="4"/>
      </c>
      <c r="P68" s="227">
        <f t="shared" si="939"/>
      </c>
      <c r="Q68" s="227">
        <f t="shared" si="908"/>
      </c>
      <c r="R68" s="227">
        <f t="shared" si="877"/>
      </c>
      <c r="S68" s="228">
        <f t="shared" si="846"/>
      </c>
      <c r="T68" s="229">
        <f t="shared" si="784"/>
      </c>
      <c r="U68" s="227">
        <f t="shared" si="753"/>
      </c>
      <c r="V68" s="230">
        <f t="shared" si="815"/>
      </c>
      <c r="W68" s="230">
        <f t="shared" si="722"/>
      </c>
      <c r="X68" s="227">
        <f t="shared" si="691"/>
      </c>
      <c r="Y68" s="231">
        <v>11</v>
      </c>
      <c r="Z68" s="231">
        <v>2</v>
      </c>
      <c r="AA68" s="231">
        <v>6</v>
      </c>
      <c r="AB68" s="232">
        <v>7323.480000000003</v>
      </c>
      <c r="AC68" s="232">
        <v>3594</v>
      </c>
      <c r="AD68" s="228">
        <f t="shared" si="660"/>
      </c>
      <c r="AE68" s="233" t="s">
        <v>202</v>
      </c>
      <c r="AF68" s="234" t="s">
        <v>203</v>
      </c>
      <c r="AG68" s="235">
        <v>6</v>
      </c>
      <c r="AH68" s="236">
        <v>47335</v>
      </c>
      <c r="AI68" s="236">
        <v>594</v>
      </c>
      <c r="AJ68" s="236">
        <v>568</v>
      </c>
      <c r="AK68" s="237">
        <v>75</v>
      </c>
      <c r="AL68" s="237">
        <v>96</v>
      </c>
    </row>
    <row r="69">
      <c r="A69" s="216"/>
      <c r="B69" s="239" t="s">
        <v>208</v>
      </c>
      <c r="C69" s="240">
        <v>5</v>
      </c>
      <c r="D69" s="241">
        <f>SUM(D64:D68)</f>
      </c>
      <c r="E69" s="241">
        <f>SUM(E64:E68)</f>
      </c>
      <c r="F69" s="241">
        <f>SUM(F64:F68)</f>
      </c>
      <c r="G69" s="241">
        <f>SUM(G64:G68)</f>
      </c>
      <c r="H69" s="241">
        <f>SUM(H64:H68)</f>
      </c>
      <c r="I69" s="260">
        <f>SUM(I64:I68)</f>
      </c>
      <c r="J69" s="241">
        <f>SUM(J64:J68)</f>
      </c>
      <c r="K69" s="241">
        <f>SUM(K64:K68)</f>
      </c>
      <c r="L69" s="241">
        <f>SUM(L64:L68)</f>
      </c>
      <c r="M69" s="242">
        <f t="shared" si="66"/>
      </c>
      <c r="N69" s="243">
        <f t="shared" si="35"/>
      </c>
      <c r="O69" s="243">
        <f t="shared" si="4"/>
      </c>
      <c r="P69" s="244">
        <f t="shared" si="939"/>
      </c>
      <c r="Q69" s="244">
        <f t="shared" si="908"/>
      </c>
      <c r="R69" s="244">
        <f t="shared" si="877"/>
      </c>
      <c r="S69" s="245">
        <f t="shared" si="846"/>
      </c>
      <c r="T69" s="245">
        <f t="shared" si="784"/>
      </c>
      <c r="U69" s="244">
        <f t="shared" si="753"/>
      </c>
      <c r="V69" s="245">
        <f t="shared" si="815"/>
      </c>
      <c r="W69" s="245">
        <f t="shared" si="722"/>
      </c>
      <c r="X69" s="244">
        <f t="shared" si="691"/>
      </c>
      <c r="Y69" s="241">
        <f>SUM(Y64:Y68)</f>
      </c>
      <c r="Z69" s="241">
        <f>SUM(Z64:Z68)</f>
      </c>
      <c r="AA69" s="241">
        <f>SUM(AA64:AA68)</f>
      </c>
      <c r="AB69" s="241">
        <f>SUM(AB64:AB68)</f>
      </c>
      <c r="AC69" s="241">
        <f>SUM(AC64:AC68)</f>
      </c>
      <c r="AD69" s="246">
        <f t="shared" si="660"/>
      </c>
      <c r="AE69" s="247"/>
      <c r="AF69" s="248"/>
      <c r="AG69" s="241">
        <f>SUM(AG64:AG68)</f>
      </c>
      <c r="AH69" s="241">
        <f>SUM(AH64:AH68)</f>
      </c>
      <c r="AI69" s="241">
        <f>SUM(AI64:AI68)</f>
      </c>
      <c r="AJ69" s="241">
        <f>SUM(AJ64:AJ68)</f>
      </c>
      <c r="AK69" s="241">
        <f>SUM(AK64:AK68)</f>
      </c>
      <c r="AL69" s="241">
        <f>SUM(AL64:AL68)</f>
      </c>
    </row>
    <row r="70">
      <c r="A70" s="216"/>
      <c r="B70" s="253" t="s">
        <v>208</v>
      </c>
      <c r="C70" s="254">
        <f>C69+C63</f>
      </c>
      <c r="D70" s="255">
        <f>D69+D63</f>
      </c>
      <c r="E70" s="255">
        <f>E69+E63</f>
      </c>
      <c r="F70" s="255">
        <f>F69+F63</f>
      </c>
      <c r="G70" s="255">
        <f>G69+G63</f>
      </c>
      <c r="H70" s="255">
        <f>H69+H63</f>
      </c>
      <c r="I70" s="255">
        <f>I69+I63</f>
      </c>
      <c r="J70" s="255">
        <f>J69+J63</f>
      </c>
      <c r="K70" s="255">
        <f>K69+K63</f>
      </c>
      <c r="L70" s="255">
        <f>L69+L63</f>
      </c>
      <c r="M70" s="256">
        <f t="shared" si="66"/>
      </c>
      <c r="N70" s="256">
        <f t="shared" si="35"/>
      </c>
      <c r="O70" s="256">
        <f t="shared" si="4"/>
      </c>
      <c r="P70" s="256">
        <f t="shared" si="939"/>
      </c>
      <c r="Q70" s="256">
        <f t="shared" si="908"/>
      </c>
      <c r="R70" s="256">
        <f t="shared" si="877"/>
      </c>
      <c r="S70" s="257">
        <f t="shared" si="846"/>
      </c>
      <c r="T70" s="257">
        <f t="shared" si="784"/>
      </c>
      <c r="U70" s="256">
        <f t="shared" si="753"/>
      </c>
      <c r="V70" s="257">
        <f t="shared" si="815"/>
      </c>
      <c r="W70" s="257">
        <f t="shared" si="722"/>
      </c>
      <c r="X70" s="256">
        <f t="shared" si="691"/>
      </c>
      <c r="Y70" s="255">
        <f>Y69+Y63</f>
      </c>
      <c r="Z70" s="255">
        <f>Z69+Z63</f>
      </c>
      <c r="AA70" s="255">
        <f>AA69+AA63</f>
      </c>
      <c r="AB70" s="255">
        <f>AB69+AB63</f>
      </c>
      <c r="AC70" s="255">
        <f>AC69+AC63</f>
      </c>
      <c r="AD70" s="258">
        <f t="shared" si="660"/>
      </c>
      <c r="AE70" s="253"/>
      <c r="AF70" s="253"/>
      <c r="AG70" s="255">
        <f>AG69+AG63</f>
      </c>
      <c r="AH70" s="255">
        <f>AH69+AH63</f>
      </c>
      <c r="AI70" s="255">
        <f>AI69+AI63</f>
      </c>
      <c r="AJ70" s="255">
        <f>AJ69+AJ63</f>
      </c>
      <c r="AK70" s="255">
        <f>AK69+AK63</f>
      </c>
      <c r="AL70" s="255">
        <f>AL69+AL63</f>
      </c>
    </row>
    <row r="71">
      <c r="A71" s="202" t="s">
        <v>162</v>
      </c>
      <c r="B71" s="203" t="s">
        <v>163</v>
      </c>
      <c r="C71" s="203" t="s">
        <v>164</v>
      </c>
      <c r="D71" s="204" t="s">
        <v>165</v>
      </c>
      <c r="E71" s="203" t="s">
        <v>166</v>
      </c>
      <c r="F71" s="203" t="s">
        <v>167</v>
      </c>
      <c r="G71" s="205" t="s">
        <v>168</v>
      </c>
      <c r="H71" s="205" t="s">
        <v>169</v>
      </c>
      <c r="I71" s="204" t="s">
        <v>170</v>
      </c>
      <c r="J71" s="206" t="s">
        <v>171</v>
      </c>
      <c r="K71" s="207" t="s">
        <v>172</v>
      </c>
      <c r="L71" s="207" t="s">
        <v>173</v>
      </c>
      <c r="M71" s="208" t="s">
        <v>174</v>
      </c>
      <c r="N71" s="207" t="s">
        <v>175</v>
      </c>
      <c r="O71" s="203" t="s">
        <v>176</v>
      </c>
      <c r="P71" s="208" t="s">
        <v>177</v>
      </c>
      <c r="Q71" s="209" t="s">
        <v>178</v>
      </c>
      <c r="R71" s="209" t="s">
        <v>179</v>
      </c>
      <c r="S71" s="204" t="s">
        <v>180</v>
      </c>
      <c r="T71" s="210" t="s">
        <v>181</v>
      </c>
      <c r="U71" s="208" t="s">
        <v>182</v>
      </c>
      <c r="V71" s="211" t="s">
        <v>183</v>
      </c>
      <c r="W71" s="212" t="s">
        <v>184</v>
      </c>
      <c r="X71" s="208" t="s">
        <v>185</v>
      </c>
      <c r="Y71" s="213" t="s">
        <v>186</v>
      </c>
      <c r="Z71" s="214" t="s">
        <v>187</v>
      </c>
      <c r="AA71" s="213" t="s">
        <v>188</v>
      </c>
      <c r="AB71" s="215" t="s">
        <v>189</v>
      </c>
      <c r="AC71" s="215" t="s">
        <v>190</v>
      </c>
      <c r="AD71" s="207" t="s">
        <v>191</v>
      </c>
      <c r="AE71" s="206" t="s">
        <v>192</v>
      </c>
      <c r="AF71" s="207" t="s">
        <v>193</v>
      </c>
      <c r="AG71" s="206" t="s">
        <v>194</v>
      </c>
      <c r="AH71" s="206" t="s">
        <v>195</v>
      </c>
      <c r="AI71" s="207" t="s">
        <v>196</v>
      </c>
      <c r="AJ71" s="206" t="s">
        <v>197</v>
      </c>
      <c r="AK71" s="207" t="s">
        <v>198</v>
      </c>
      <c r="AL71" s="206" t="s">
        <v>199</v>
      </c>
    </row>
    <row r="72">
      <c r="A72" s="216">
        <v>46240</v>
      </c>
      <c r="B72" s="217" t="s">
        <v>200</v>
      </c>
      <c r="C72" s="218" t="s">
        <v>201</v>
      </c>
      <c r="D72" s="219">
        <f t="shared" ref="D72:D76" si="448">E72+F72+G72+H72</f>
      </c>
      <c r="E72" s="220">
        <v>921.46</v>
      </c>
      <c r="F72" s="221">
        <v>2000</v>
      </c>
      <c r="G72" s="221">
        <v>0</v>
      </c>
      <c r="H72" s="221">
        <v>0</v>
      </c>
      <c r="I72" s="221">
        <f t="shared" ref="I72:I76" si="333">AB72+AC72</f>
      </c>
      <c r="J72" s="222">
        <v>1245.24</v>
      </c>
      <c r="K72" s="223">
        <f t="shared" ref="K72:K76" si="218">I72-J72</f>
      </c>
      <c r="L72" s="223">
        <f t="shared" ref="L72:L76" si="103">(I72-AC72)/12+AC72</f>
      </c>
      <c r="M72" s="224">
        <f t="shared" ref="M72:M84" si="67">I72/D72</f>
      </c>
      <c r="N72" s="225">
        <f t="shared" ref="N72:N84" si="36">(I72-J72)/D72</f>
      </c>
      <c r="O72" s="226">
        <f t="shared" ref="O72:O84" si="5">(AC72+AB72/12)/D72</f>
      </c>
      <c r="P72" s="227">
        <f t="shared" ref="P72:P84" si="940">I72/AA72</f>
      </c>
      <c r="Q72" s="227">
        <f t="shared" ref="Q72:Q84" si="909">D72/AA72</f>
      </c>
      <c r="R72" s="227">
        <f t="shared" ref="R72:R84" si="878">D72/AG72</f>
      </c>
      <c r="S72" s="228">
        <f t="shared" ref="S72:S84" si="847">AA72/Y72</f>
      </c>
      <c r="T72" s="229">
        <f t="shared" ref="T72:T84" si="785">AI72/AH72</f>
      </c>
      <c r="U72" s="227">
        <f t="shared" ref="U72:U84" si="754">D72/AJ72</f>
      </c>
      <c r="V72" s="230">
        <f t="shared" ref="V72:V84" si="816">AK72/AJ72</f>
      </c>
      <c r="W72" s="230">
        <f t="shared" ref="W72:W84" si="723">AL72/AJ72</f>
      </c>
      <c r="X72" s="227">
        <f t="shared" ref="X72:X84" si="692">D72/AL72</f>
      </c>
      <c r="Y72" s="231">
        <v>6</v>
      </c>
      <c r="Z72" s="231">
        <v>2</v>
      </c>
      <c r="AA72" s="231">
        <v>2</v>
      </c>
      <c r="AB72" s="232">
        <v>1875.96</v>
      </c>
      <c r="AC72" s="232">
        <v>0</v>
      </c>
      <c r="AD72" s="228">
        <f t="shared" ref="AD72:AD84" si="661">AC72/I72</f>
      </c>
      <c r="AE72" s="233" t="s">
        <v>202</v>
      </c>
      <c r="AF72" s="234" t="s">
        <v>203</v>
      </c>
      <c r="AG72" s="235">
        <v>1</v>
      </c>
      <c r="AH72" s="236">
        <v>32434</v>
      </c>
      <c r="AI72" s="236">
        <v>530</v>
      </c>
      <c r="AJ72" s="236">
        <v>533</v>
      </c>
      <c r="AK72" s="235">
        <v>75</v>
      </c>
      <c r="AL72" s="237">
        <v>104</v>
      </c>
    </row>
    <row r="73">
      <c r="A73" s="216"/>
      <c r="B73" s="217" t="s">
        <v>200</v>
      </c>
      <c r="C73" s="218" t="s">
        <v>204</v>
      </c>
      <c r="D73" s="219">
        <f t="shared" si="448"/>
      </c>
      <c r="E73" s="218">
        <v>1007.5</v>
      </c>
      <c r="F73" s="221">
        <v>1989.13</v>
      </c>
      <c r="G73" s="221">
        <v>0</v>
      </c>
      <c r="H73" s="221">
        <v>0</v>
      </c>
      <c r="I73" s="221">
        <f t="shared" si="333"/>
      </c>
      <c r="J73" s="222">
        <v>0</v>
      </c>
      <c r="K73" s="223">
        <f t="shared" si="218"/>
      </c>
      <c r="L73" s="223">
        <f t="shared" si="103"/>
      </c>
      <c r="M73" s="224">
        <f t="shared" si="67"/>
      </c>
      <c r="N73" s="225">
        <f t="shared" si="36"/>
      </c>
      <c r="O73" s="226">
        <f t="shared" si="5"/>
      </c>
      <c r="P73" s="227">
        <f t="shared" si="940"/>
      </c>
      <c r="Q73" s="227">
        <f t="shared" si="909"/>
      </c>
      <c r="R73" s="227">
        <f t="shared" si="878"/>
      </c>
      <c r="S73" s="228">
        <f t="shared" si="847"/>
      </c>
      <c r="T73" s="229">
        <f t="shared" si="785"/>
      </c>
      <c r="U73" s="227">
        <f t="shared" si="754"/>
      </c>
      <c r="V73" s="230">
        <f t="shared" si="816"/>
      </c>
      <c r="W73" s="230">
        <f t="shared" si="723"/>
      </c>
      <c r="X73" s="227">
        <f t="shared" si="692"/>
      </c>
      <c r="Y73" s="231">
        <v>5</v>
      </c>
      <c r="Z73" s="231">
        <v>4</v>
      </c>
      <c r="AA73" s="231">
        <v>2</v>
      </c>
      <c r="AB73" s="232">
        <v>2748.6000000000004</v>
      </c>
      <c r="AC73" s="232">
        <v>1027</v>
      </c>
      <c r="AD73" s="228">
        <f t="shared" si="661"/>
      </c>
      <c r="AE73" s="233" t="s">
        <v>202</v>
      </c>
      <c r="AF73" s="234" t="s">
        <v>203</v>
      </c>
      <c r="AG73" s="235">
        <v>1</v>
      </c>
      <c r="AH73" s="236">
        <v>43610</v>
      </c>
      <c r="AI73" s="236">
        <v>575</v>
      </c>
      <c r="AJ73" s="236">
        <v>565</v>
      </c>
      <c r="AK73" s="237">
        <v>74</v>
      </c>
      <c r="AL73" s="237">
        <v>97</v>
      </c>
    </row>
    <row r="74">
      <c r="A74" s="216"/>
      <c r="B74" s="217" t="s">
        <v>200</v>
      </c>
      <c r="C74" s="218" t="s">
        <v>205</v>
      </c>
      <c r="D74" s="219">
        <f t="shared" si="448"/>
      </c>
      <c r="E74" s="218">
        <v>1076.79</v>
      </c>
      <c r="F74" s="218">
        <v>2000.18</v>
      </c>
      <c r="G74" s="218">
        <v>0</v>
      </c>
      <c r="H74" s="218">
        <v>0</v>
      </c>
      <c r="I74" s="221">
        <f t="shared" si="333"/>
      </c>
      <c r="J74" s="222">
        <v>979.56</v>
      </c>
      <c r="K74" s="223">
        <f t="shared" si="218"/>
      </c>
      <c r="L74" s="223">
        <f t="shared" si="103"/>
      </c>
      <c r="M74" s="224">
        <f t="shared" si="67"/>
      </c>
      <c r="N74" s="225">
        <f t="shared" si="36"/>
      </c>
      <c r="O74" s="226">
        <f t="shared" si="5"/>
      </c>
      <c r="P74" s="227">
        <f t="shared" si="940"/>
      </c>
      <c r="Q74" s="227">
        <f t="shared" si="909"/>
      </c>
      <c r="R74" s="227">
        <f t="shared" si="878"/>
      </c>
      <c r="S74" s="228">
        <f t="shared" si="847"/>
      </c>
      <c r="T74" s="229">
        <f t="shared" si="785"/>
      </c>
      <c r="U74" s="227">
        <f t="shared" si="754"/>
      </c>
      <c r="V74" s="230">
        <f t="shared" si="816"/>
      </c>
      <c r="W74" s="230">
        <f t="shared" si="723"/>
      </c>
      <c r="X74" s="227">
        <f t="shared" si="692"/>
      </c>
      <c r="Y74" s="231">
        <v>10</v>
      </c>
      <c r="Z74" s="231">
        <v>0</v>
      </c>
      <c r="AA74" s="231">
        <v>2</v>
      </c>
      <c r="AB74" s="232">
        <v>2776.6799999999994</v>
      </c>
      <c r="AC74" s="232">
        <v>0</v>
      </c>
      <c r="AD74" s="228">
        <f t="shared" si="661"/>
      </c>
      <c r="AE74" s="233" t="s">
        <v>202</v>
      </c>
      <c r="AF74" s="234" t="s">
        <v>203</v>
      </c>
      <c r="AG74" s="237">
        <v>2</v>
      </c>
      <c r="AH74" s="236">
        <v>46098</v>
      </c>
      <c r="AI74" s="236">
        <v>570</v>
      </c>
      <c r="AJ74" s="236">
        <v>608</v>
      </c>
      <c r="AK74" s="237">
        <v>91</v>
      </c>
      <c r="AL74" s="237">
        <v>121</v>
      </c>
    </row>
    <row r="75">
      <c r="A75" s="216"/>
      <c r="B75" s="217" t="s">
        <v>200</v>
      </c>
      <c r="C75" s="218" t="s">
        <v>206</v>
      </c>
      <c r="D75" s="219">
        <f t="shared" si="448"/>
      </c>
      <c r="E75" s="218">
        <v>1210.68</v>
      </c>
      <c r="F75" s="221">
        <v>1974.6</v>
      </c>
      <c r="G75" s="221">
        <v>0</v>
      </c>
      <c r="H75" s="221">
        <v>0</v>
      </c>
      <c r="I75" s="221">
        <f t="shared" si="333"/>
      </c>
      <c r="J75" s="222">
        <v>0</v>
      </c>
      <c r="K75" s="223">
        <f t="shared" si="218"/>
      </c>
      <c r="L75" s="223">
        <f t="shared" si="103"/>
      </c>
      <c r="M75" s="224">
        <f t="shared" si="67"/>
      </c>
      <c r="N75" s="225">
        <f t="shared" si="36"/>
      </c>
      <c r="O75" s="226">
        <f t="shared" si="5"/>
      </c>
      <c r="P75" s="227">
        <f t="shared" si="940"/>
      </c>
      <c r="Q75" s="227">
        <f t="shared" si="909"/>
      </c>
      <c r="R75" s="227">
        <f t="shared" si="878"/>
      </c>
      <c r="S75" s="228">
        <f t="shared" si="847"/>
      </c>
      <c r="T75" s="229">
        <f t="shared" si="785"/>
      </c>
      <c r="U75" s="227">
        <f t="shared" si="754"/>
      </c>
      <c r="V75" s="230">
        <f t="shared" si="816"/>
      </c>
      <c r="W75" s="230">
        <f t="shared" si="723"/>
      </c>
      <c r="X75" s="227">
        <f t="shared" si="692"/>
      </c>
      <c r="Y75" s="231">
        <v>5</v>
      </c>
      <c r="Z75" s="231">
        <v>3</v>
      </c>
      <c r="AA75" s="231">
        <v>4</v>
      </c>
      <c r="AB75" s="222">
        <v>4497.719999999999</v>
      </c>
      <c r="AC75" s="232">
        <v>0</v>
      </c>
      <c r="AD75" s="228">
        <f t="shared" si="661"/>
      </c>
      <c r="AE75" s="233" t="s">
        <v>202</v>
      </c>
      <c r="AF75" s="234" t="s">
        <v>203</v>
      </c>
      <c r="AG75" s="235">
        <v>3</v>
      </c>
      <c r="AH75" s="236">
        <v>34821</v>
      </c>
      <c r="AI75" s="236">
        <v>559</v>
      </c>
      <c r="AJ75" s="236">
        <v>565</v>
      </c>
      <c r="AK75" s="237">
        <v>73</v>
      </c>
      <c r="AL75" s="237">
        <v>98</v>
      </c>
    </row>
    <row r="76">
      <c r="A76" s="216"/>
      <c r="B76" s="217" t="s">
        <v>200</v>
      </c>
      <c r="C76" s="218" t="s">
        <v>207</v>
      </c>
      <c r="D76" s="219">
        <f t="shared" si="448"/>
      </c>
      <c r="E76" s="218">
        <v>1241.85</v>
      </c>
      <c r="F76" s="221">
        <v>1501.23</v>
      </c>
      <c r="G76" s="221">
        <v>0</v>
      </c>
      <c r="H76" s="221">
        <v>0</v>
      </c>
      <c r="I76" s="238">
        <f t="shared" si="333"/>
      </c>
      <c r="J76" s="222">
        <v>0</v>
      </c>
      <c r="K76" s="223">
        <f t="shared" si="218"/>
      </c>
      <c r="L76" s="223">
        <f t="shared" si="103"/>
      </c>
      <c r="M76" s="224">
        <f t="shared" si="67"/>
      </c>
      <c r="N76" s="225">
        <f t="shared" si="36"/>
      </c>
      <c r="O76" s="226">
        <f t="shared" si="5"/>
      </c>
      <c r="P76" s="227">
        <f t="shared" si="940"/>
      </c>
      <c r="Q76" s="227">
        <f t="shared" si="909"/>
      </c>
      <c r="R76" s="227">
        <f t="shared" si="878"/>
      </c>
      <c r="S76" s="228">
        <f t="shared" si="847"/>
      </c>
      <c r="T76" s="229">
        <f t="shared" si="785"/>
      </c>
      <c r="U76" s="227">
        <f t="shared" si="754"/>
      </c>
      <c r="V76" s="230">
        <f t="shared" si="816"/>
      </c>
      <c r="W76" s="230">
        <f t="shared" si="723"/>
      </c>
      <c r="X76" s="227">
        <f t="shared" si="692"/>
      </c>
      <c r="Y76" s="231">
        <v>5</v>
      </c>
      <c r="Z76" s="231">
        <v>0</v>
      </c>
      <c r="AA76" s="231">
        <v>4</v>
      </c>
      <c r="AB76" s="232">
        <v>6642</v>
      </c>
      <c r="AC76" s="232">
        <v>1547</v>
      </c>
      <c r="AD76" s="228">
        <f t="shared" si="661"/>
      </c>
      <c r="AE76" s="233" t="s">
        <v>202</v>
      </c>
      <c r="AF76" s="234" t="s">
        <v>203</v>
      </c>
      <c r="AG76" s="235">
        <v>3</v>
      </c>
      <c r="AH76" s="236">
        <v>31368</v>
      </c>
      <c r="AI76" s="236">
        <v>427</v>
      </c>
      <c r="AJ76" s="236">
        <v>433</v>
      </c>
      <c r="AK76" s="237">
        <v>50</v>
      </c>
      <c r="AL76" s="237">
        <v>73</v>
      </c>
    </row>
    <row r="77">
      <c r="A77" s="216"/>
      <c r="B77" s="239" t="s">
        <v>208</v>
      </c>
      <c r="C77" s="240">
        <v>5</v>
      </c>
      <c r="D77" s="241">
        <f>SUM(D72:D76)</f>
      </c>
      <c r="E77" s="241">
        <f>SUM(E72:E76)</f>
      </c>
      <c r="F77" s="241">
        <f>SUM(F72:F76)</f>
      </c>
      <c r="G77" s="241">
        <f>SUM(G72:G76)</f>
      </c>
      <c r="H77" s="241">
        <f>SUM(H72:H76)</f>
      </c>
      <c r="I77" s="259">
        <f>SUM(I72:I76)</f>
      </c>
      <c r="J77" s="241">
        <f>SUM(J72:J76)</f>
      </c>
      <c r="K77" s="241">
        <f>SUM(K72:K76)</f>
      </c>
      <c r="L77" s="241">
        <f>SUM(L72:L76)</f>
      </c>
      <c r="M77" s="242">
        <f t="shared" si="67"/>
      </c>
      <c r="N77" s="243">
        <f t="shared" si="36"/>
      </c>
      <c r="O77" s="243">
        <f t="shared" si="5"/>
      </c>
      <c r="P77" s="244">
        <f t="shared" si="940"/>
      </c>
      <c r="Q77" s="244">
        <f t="shared" si="909"/>
      </c>
      <c r="R77" s="244">
        <f t="shared" si="878"/>
      </c>
      <c r="S77" s="245">
        <f t="shared" si="847"/>
      </c>
      <c r="T77" s="245">
        <f t="shared" si="785"/>
      </c>
      <c r="U77" s="244">
        <f t="shared" si="754"/>
      </c>
      <c r="V77" s="245">
        <f t="shared" si="816"/>
      </c>
      <c r="W77" s="245">
        <f t="shared" si="723"/>
      </c>
      <c r="X77" s="244">
        <f t="shared" si="692"/>
      </c>
      <c r="Y77" s="241">
        <f>SUM(Y72:Y76)</f>
      </c>
      <c r="Z77" s="241">
        <f>SUM(Z72:Z76)</f>
      </c>
      <c r="AA77" s="241">
        <f>SUM(AA72:AA76)</f>
      </c>
      <c r="AB77" s="241">
        <f>SUM(AB72:AB76)</f>
      </c>
      <c r="AC77" s="241">
        <f>SUM(AC72:AC76)</f>
      </c>
      <c r="AD77" s="246">
        <f t="shared" si="661"/>
      </c>
      <c r="AE77" s="247"/>
      <c r="AF77" s="248"/>
      <c r="AG77" s="241">
        <f>SUM(AG72:AG76)</f>
      </c>
      <c r="AH77" s="241">
        <f>SUM(AH72:AH76)</f>
      </c>
      <c r="AI77" s="241">
        <f>SUM(AI72:AI76)</f>
      </c>
      <c r="AJ77" s="241">
        <f>SUM(AJ72:AJ76)</f>
      </c>
      <c r="AK77" s="241">
        <f>SUM(AK72:AK76)</f>
      </c>
      <c r="AL77" s="241">
        <f>SUM(AL72:AL76)</f>
      </c>
    </row>
    <row r="78">
      <c r="A78" s="216"/>
      <c r="B78" s="217" t="s">
        <v>209</v>
      </c>
      <c r="C78" s="218" t="s">
        <v>210</v>
      </c>
      <c r="D78" s="219">
        <f t="shared" ref="D78:D82" si="449">E78+F78+G78+H78</f>
      </c>
      <c r="E78" s="218">
        <v>1323.28</v>
      </c>
      <c r="F78" s="249">
        <v>1800</v>
      </c>
      <c r="G78" s="221">
        <v>0</v>
      </c>
      <c r="H78" s="221">
        <v>0</v>
      </c>
      <c r="I78" s="250">
        <f t="shared" ref="I78:I82" si="334">AB78+AC78</f>
      </c>
      <c r="J78" s="251">
        <v>0</v>
      </c>
      <c r="K78" s="223">
        <f t="shared" ref="K78:K82" si="219">I78-J78</f>
      </c>
      <c r="L78" s="223">
        <f t="shared" ref="L78:L82" si="104">(I78-AC78)/12+AC78</f>
      </c>
      <c r="M78" s="224">
        <f t="shared" si="67"/>
      </c>
      <c r="N78" s="225">
        <f t="shared" si="36"/>
      </c>
      <c r="O78" s="226">
        <f t="shared" si="5"/>
      </c>
      <c r="P78" s="227">
        <f t="shared" si="940"/>
      </c>
      <c r="Q78" s="227">
        <f t="shared" si="909"/>
      </c>
      <c r="R78" s="227">
        <f t="shared" si="878"/>
      </c>
      <c r="S78" s="228">
        <f t="shared" si="847"/>
      </c>
      <c r="T78" s="229">
        <f t="shared" si="785"/>
      </c>
      <c r="U78" s="227">
        <f t="shared" si="754"/>
      </c>
      <c r="V78" s="230">
        <f t="shared" si="816"/>
      </c>
      <c r="W78" s="230">
        <f t="shared" si="723"/>
      </c>
      <c r="X78" s="227">
        <f t="shared" si="692"/>
      </c>
      <c r="Y78" s="231">
        <v>2</v>
      </c>
      <c r="Z78" s="231">
        <v>4</v>
      </c>
      <c r="AA78" s="231">
        <v>3</v>
      </c>
      <c r="AB78" s="232">
        <v>3669.84</v>
      </c>
      <c r="AC78" s="232">
        <v>1437</v>
      </c>
      <c r="AD78" s="228">
        <f t="shared" si="661"/>
      </c>
      <c r="AE78" s="233" t="s">
        <v>202</v>
      </c>
      <c r="AF78" s="234" t="s">
        <v>203</v>
      </c>
      <c r="AG78" s="235">
        <v>2</v>
      </c>
      <c r="AH78" s="236">
        <v>42473</v>
      </c>
      <c r="AI78" s="236">
        <v>607</v>
      </c>
      <c r="AJ78" s="236">
        <v>625</v>
      </c>
      <c r="AK78" s="237">
        <v>65</v>
      </c>
      <c r="AL78" s="237">
        <v>107</v>
      </c>
    </row>
    <row r="79">
      <c r="A79" s="216"/>
      <c r="B79" s="217" t="s">
        <v>209</v>
      </c>
      <c r="C79" s="252" t="s">
        <v>211</v>
      </c>
      <c r="D79" s="219">
        <f t="shared" si="449"/>
      </c>
      <c r="E79" s="218">
        <v>1833.34</v>
      </c>
      <c r="F79" s="249">
        <v>2701.09</v>
      </c>
      <c r="G79" s="221">
        <v>0</v>
      </c>
      <c r="H79" s="221">
        <v>0</v>
      </c>
      <c r="I79" s="250">
        <f t="shared" si="334"/>
      </c>
      <c r="J79" s="251">
        <v>1736.64</v>
      </c>
      <c r="K79" s="223">
        <f t="shared" si="219"/>
      </c>
      <c r="L79" s="223">
        <f t="shared" si="104"/>
      </c>
      <c r="M79" s="224">
        <f t="shared" si="67"/>
      </c>
      <c r="N79" s="225">
        <f t="shared" si="36"/>
      </c>
      <c r="O79" s="226">
        <f t="shared" si="5"/>
      </c>
      <c r="P79" s="227">
        <f t="shared" si="940"/>
      </c>
      <c r="Q79" s="227">
        <f t="shared" si="909"/>
      </c>
      <c r="R79" s="227">
        <f t="shared" si="878"/>
      </c>
      <c r="S79" s="228">
        <f t="shared" si="847"/>
      </c>
      <c r="T79" s="229">
        <f t="shared" si="785"/>
      </c>
      <c r="U79" s="227">
        <f t="shared" si="754"/>
      </c>
      <c r="V79" s="230">
        <f t="shared" si="816"/>
      </c>
      <c r="W79" s="230">
        <f t="shared" si="723"/>
      </c>
      <c r="X79" s="227">
        <f t="shared" si="692"/>
      </c>
      <c r="Y79" s="231">
        <v>11</v>
      </c>
      <c r="Z79" s="231">
        <v>2</v>
      </c>
      <c r="AA79" s="231">
        <v>4</v>
      </c>
      <c r="AB79" s="232">
        <v>5366.52</v>
      </c>
      <c r="AC79" s="232">
        <v>0</v>
      </c>
      <c r="AD79" s="228">
        <f t="shared" si="661"/>
      </c>
      <c r="AE79" s="233" t="s">
        <v>202</v>
      </c>
      <c r="AF79" s="234" t="s">
        <v>203</v>
      </c>
      <c r="AG79" s="235">
        <v>4</v>
      </c>
      <c r="AH79" s="236">
        <v>62866</v>
      </c>
      <c r="AI79" s="236">
        <v>780</v>
      </c>
      <c r="AJ79" s="236">
        <v>807</v>
      </c>
      <c r="AK79" s="237">
        <v>108</v>
      </c>
      <c r="AL79" s="237">
        <v>125</v>
      </c>
    </row>
    <row r="80">
      <c r="A80" s="216"/>
      <c r="B80" s="217" t="s">
        <v>209</v>
      </c>
      <c r="C80" s="252" t="s">
        <v>212</v>
      </c>
      <c r="D80" s="219">
        <f t="shared" si="449"/>
      </c>
      <c r="E80" s="218">
        <v>2438.51</v>
      </c>
      <c r="F80" s="249">
        <v>2568.99</v>
      </c>
      <c r="G80" s="218">
        <v>0</v>
      </c>
      <c r="H80" s="218">
        <v>0</v>
      </c>
      <c r="I80" s="250">
        <f t="shared" si="334"/>
      </c>
      <c r="J80" s="251">
        <v>0</v>
      </c>
      <c r="K80" s="223">
        <f t="shared" si="219"/>
      </c>
      <c r="L80" s="223">
        <f t="shared" si="104"/>
      </c>
      <c r="M80" s="224">
        <f t="shared" si="67"/>
      </c>
      <c r="N80" s="225">
        <f t="shared" si="36"/>
      </c>
      <c r="O80" s="226">
        <f t="shared" si="5"/>
      </c>
      <c r="P80" s="227">
        <f t="shared" si="940"/>
      </c>
      <c r="Q80" s="227">
        <f t="shared" si="909"/>
      </c>
      <c r="R80" s="227">
        <f t="shared" si="878"/>
      </c>
      <c r="S80" s="228">
        <f t="shared" si="847"/>
      </c>
      <c r="T80" s="229">
        <f t="shared" si="785"/>
      </c>
      <c r="U80" s="227">
        <f t="shared" si="754"/>
      </c>
      <c r="V80" s="230">
        <f t="shared" si="816"/>
      </c>
      <c r="W80" s="230">
        <f t="shared" si="723"/>
      </c>
      <c r="X80" s="227">
        <f t="shared" si="692"/>
      </c>
      <c r="Y80" s="231">
        <v>6</v>
      </c>
      <c r="Z80" s="231">
        <v>2</v>
      </c>
      <c r="AA80" s="231">
        <v>2</v>
      </c>
      <c r="AB80" s="232">
        <v>465.47999999999956</v>
      </c>
      <c r="AC80" s="232">
        <v>1043</v>
      </c>
      <c r="AD80" s="228">
        <f t="shared" si="661"/>
      </c>
      <c r="AE80" s="233" t="s">
        <v>202</v>
      </c>
      <c r="AF80" s="234" t="s">
        <v>203</v>
      </c>
      <c r="AG80" s="237">
        <v>2</v>
      </c>
      <c r="AH80" s="236">
        <v>72614</v>
      </c>
      <c r="AI80" s="236">
        <v>902</v>
      </c>
      <c r="AJ80" s="236">
        <v>925</v>
      </c>
      <c r="AK80" s="237">
        <v>100</v>
      </c>
      <c r="AL80" s="237">
        <v>156</v>
      </c>
    </row>
    <row r="81">
      <c r="A81" s="216"/>
      <c r="B81" s="217" t="s">
        <v>209</v>
      </c>
      <c r="C81" s="218" t="s">
        <v>213</v>
      </c>
      <c r="D81" s="219">
        <f t="shared" si="449"/>
      </c>
      <c r="E81" s="218">
        <v>1543.06</v>
      </c>
      <c r="F81" s="249">
        <v>1438.14</v>
      </c>
      <c r="G81" s="221">
        <v>0</v>
      </c>
      <c r="H81" s="221">
        <v>0</v>
      </c>
      <c r="I81" s="250">
        <f t="shared" si="334"/>
      </c>
      <c r="J81" s="251">
        <v>0</v>
      </c>
      <c r="K81" s="223">
        <f t="shared" si="219"/>
      </c>
      <c r="L81" s="223">
        <f t="shared" si="104"/>
      </c>
      <c r="M81" s="224">
        <f t="shared" si="67"/>
      </c>
      <c r="N81" s="225">
        <f t="shared" si="36"/>
      </c>
      <c r="O81" s="226">
        <f t="shared" si="5"/>
      </c>
      <c r="P81" s="227">
        <f t="shared" si="940"/>
      </c>
      <c r="Q81" s="227">
        <f t="shared" si="909"/>
      </c>
      <c r="R81" s="227">
        <f t="shared" si="878"/>
      </c>
      <c r="S81" s="228">
        <f t="shared" si="847"/>
      </c>
      <c r="T81" s="229">
        <f t="shared" si="785"/>
      </c>
      <c r="U81" s="227">
        <f t="shared" si="754"/>
      </c>
      <c r="V81" s="230">
        <f t="shared" si="816"/>
      </c>
      <c r="W81" s="230">
        <f t="shared" si="723"/>
      </c>
      <c r="X81" s="227">
        <f t="shared" si="692"/>
      </c>
      <c r="Y81" s="231">
        <v>10</v>
      </c>
      <c r="Z81" s="231">
        <v>4</v>
      </c>
      <c r="AA81" s="231">
        <v>2</v>
      </c>
      <c r="AB81" s="222">
        <v>415.7999999999993</v>
      </c>
      <c r="AC81" s="232">
        <v>635</v>
      </c>
      <c r="AD81" s="228">
        <f t="shared" si="661"/>
      </c>
      <c r="AE81" s="233" t="s">
        <v>202</v>
      </c>
      <c r="AF81" s="234" t="s">
        <v>203</v>
      </c>
      <c r="AG81" s="235">
        <v>1</v>
      </c>
      <c r="AH81" s="236">
        <v>45756</v>
      </c>
      <c r="AI81" s="236">
        <v>589</v>
      </c>
      <c r="AJ81" s="236">
        <v>588</v>
      </c>
      <c r="AK81" s="237">
        <v>83</v>
      </c>
      <c r="AL81" s="237">
        <v>132</v>
      </c>
    </row>
    <row r="82">
      <c r="A82" s="216"/>
      <c r="B82" s="217" t="s">
        <v>209</v>
      </c>
      <c r="C82" s="252" t="s">
        <v>214</v>
      </c>
      <c r="D82" s="219">
        <f t="shared" si="449"/>
      </c>
      <c r="E82" s="218">
        <v>945.32</v>
      </c>
      <c r="F82" s="249">
        <v>1565.41</v>
      </c>
      <c r="G82" s="221">
        <v>0</v>
      </c>
      <c r="H82" s="221">
        <v>0</v>
      </c>
      <c r="I82" s="250">
        <f t="shared" si="334"/>
      </c>
      <c r="J82" s="251">
        <v>0</v>
      </c>
      <c r="K82" s="223">
        <f t="shared" si="219"/>
      </c>
      <c r="L82" s="223">
        <f t="shared" si="104"/>
      </c>
      <c r="M82" s="224">
        <f t="shared" si="67"/>
      </c>
      <c r="N82" s="225">
        <f t="shared" si="36"/>
      </c>
      <c r="O82" s="226">
        <f t="shared" si="5"/>
      </c>
      <c r="P82" s="227">
        <f t="shared" si="940"/>
      </c>
      <c r="Q82" s="227">
        <f t="shared" si="909"/>
      </c>
      <c r="R82" s="227">
        <f t="shared" si="878"/>
      </c>
      <c r="S82" s="228">
        <f t="shared" si="847"/>
      </c>
      <c r="T82" s="229">
        <f t="shared" si="785"/>
      </c>
      <c r="U82" s="227">
        <f t="shared" si="754"/>
      </c>
      <c r="V82" s="230">
        <f t="shared" si="816"/>
      </c>
      <c r="W82" s="230">
        <f t="shared" si="723"/>
      </c>
      <c r="X82" s="227">
        <f t="shared" si="692"/>
      </c>
      <c r="Y82" s="231">
        <v>5</v>
      </c>
      <c r="Z82" s="231">
        <v>1</v>
      </c>
      <c r="AA82" s="231">
        <v>3</v>
      </c>
      <c r="AB82" s="232">
        <v>8584.440000000002</v>
      </c>
      <c r="AC82" s="232">
        <v>5050</v>
      </c>
      <c r="AD82" s="228">
        <f t="shared" si="661"/>
      </c>
      <c r="AE82" s="233" t="s">
        <v>202</v>
      </c>
      <c r="AF82" s="234" t="s">
        <v>203</v>
      </c>
      <c r="AG82" s="235">
        <v>3</v>
      </c>
      <c r="AH82" s="236">
        <v>43003</v>
      </c>
      <c r="AI82" s="236">
        <v>384</v>
      </c>
      <c r="AJ82" s="236">
        <v>372</v>
      </c>
      <c r="AK82" s="237">
        <v>31</v>
      </c>
      <c r="AL82" s="237">
        <v>67</v>
      </c>
    </row>
    <row r="83">
      <c r="A83" s="216"/>
      <c r="B83" s="239" t="s">
        <v>208</v>
      </c>
      <c r="C83" s="240">
        <v>5</v>
      </c>
      <c r="D83" s="241">
        <f>SUM(D78:D82)</f>
      </c>
      <c r="E83" s="241">
        <f>SUM(E78:E82)</f>
      </c>
      <c r="F83" s="241">
        <f>SUM(F78:F82)</f>
      </c>
      <c r="G83" s="241">
        <f>SUM(G78:G82)</f>
      </c>
      <c r="H83" s="241">
        <f>SUM(H78:H82)</f>
      </c>
      <c r="I83" s="260">
        <f>SUM(I78:I82)</f>
      </c>
      <c r="J83" s="241">
        <f>SUM(J78:J82)</f>
      </c>
      <c r="K83" s="241">
        <f>SUM(K78:K82)</f>
      </c>
      <c r="L83" s="241">
        <f>SUM(L78:L82)</f>
      </c>
      <c r="M83" s="242">
        <f t="shared" si="67"/>
      </c>
      <c r="N83" s="243">
        <f t="shared" si="36"/>
      </c>
      <c r="O83" s="243">
        <f t="shared" si="5"/>
      </c>
      <c r="P83" s="244">
        <f t="shared" si="940"/>
      </c>
      <c r="Q83" s="244">
        <f t="shared" si="909"/>
      </c>
      <c r="R83" s="244">
        <f t="shared" si="878"/>
      </c>
      <c r="S83" s="245">
        <f t="shared" si="847"/>
      </c>
      <c r="T83" s="245">
        <f t="shared" si="785"/>
      </c>
      <c r="U83" s="244">
        <f t="shared" si="754"/>
      </c>
      <c r="V83" s="245">
        <f t="shared" si="816"/>
      </c>
      <c r="W83" s="245">
        <f t="shared" si="723"/>
      </c>
      <c r="X83" s="244">
        <f t="shared" si="692"/>
      </c>
      <c r="Y83" s="241">
        <f>SUM(Y78:Y82)</f>
      </c>
      <c r="Z83" s="241">
        <f>SUM(Z78:Z82)</f>
      </c>
      <c r="AA83" s="241">
        <f>SUM(AA78:AA82)</f>
      </c>
      <c r="AB83" s="241">
        <f>SUM(AB78:AB82)</f>
      </c>
      <c r="AC83" s="241">
        <f>SUM(AC78:AC82)</f>
      </c>
      <c r="AD83" s="246">
        <f t="shared" si="661"/>
      </c>
      <c r="AE83" s="247"/>
      <c r="AF83" s="248"/>
      <c r="AG83" s="241">
        <f>SUM(AG78:AG82)</f>
      </c>
      <c r="AH83" s="241">
        <f>SUM(AH78:AH82)</f>
      </c>
      <c r="AI83" s="241">
        <f>SUM(AI78:AI82)</f>
      </c>
      <c r="AJ83" s="241">
        <f>SUM(AJ78:AJ82)</f>
      </c>
      <c r="AK83" s="241">
        <f>SUM(AK78:AK82)</f>
      </c>
      <c r="AL83" s="241">
        <f>SUM(AL78:AL82)</f>
      </c>
    </row>
    <row r="84">
      <c r="A84" s="216"/>
      <c r="B84" s="253" t="s">
        <v>208</v>
      </c>
      <c r="C84" s="254">
        <f>C83+C77</f>
      </c>
      <c r="D84" s="255">
        <f>D83+D77</f>
      </c>
      <c r="E84" s="255">
        <f>E83+E77</f>
      </c>
      <c r="F84" s="255">
        <f>F83+F77</f>
      </c>
      <c r="G84" s="255">
        <f>G83+G77</f>
      </c>
      <c r="H84" s="255">
        <f>H83+H77</f>
      </c>
      <c r="I84" s="255">
        <f>I83+I77</f>
      </c>
      <c r="J84" s="255">
        <f>J83+J77</f>
      </c>
      <c r="K84" s="255">
        <f>K83+K77</f>
      </c>
      <c r="L84" s="255">
        <f>L83+L77</f>
      </c>
      <c r="M84" s="256">
        <f t="shared" si="67"/>
      </c>
      <c r="N84" s="256">
        <f t="shared" si="36"/>
      </c>
      <c r="O84" s="256">
        <f t="shared" si="5"/>
      </c>
      <c r="P84" s="256">
        <f t="shared" si="940"/>
      </c>
      <c r="Q84" s="256">
        <f t="shared" si="909"/>
      </c>
      <c r="R84" s="256">
        <f t="shared" si="878"/>
      </c>
      <c r="S84" s="257">
        <f t="shared" si="847"/>
      </c>
      <c r="T84" s="257">
        <f t="shared" si="785"/>
      </c>
      <c r="U84" s="256">
        <f t="shared" si="754"/>
      </c>
      <c r="V84" s="257">
        <f t="shared" si="816"/>
      </c>
      <c r="W84" s="257">
        <f t="shared" si="723"/>
      </c>
      <c r="X84" s="256">
        <f t="shared" si="692"/>
      </c>
      <c r="Y84" s="255">
        <f>Y83+Y77</f>
      </c>
      <c r="Z84" s="255">
        <f>Z83+Z77</f>
      </c>
      <c r="AA84" s="255">
        <f>AA83+AA77</f>
      </c>
      <c r="AB84" s="255">
        <f>AB83+AB77</f>
      </c>
      <c r="AC84" s="255">
        <f>AC83+AC77</f>
      </c>
      <c r="AD84" s="258">
        <f t="shared" si="661"/>
      </c>
      <c r="AE84" s="253"/>
      <c r="AF84" s="253"/>
      <c r="AG84" s="255">
        <f>AG83+AG77</f>
      </c>
      <c r="AH84" s="255">
        <f>AH83+AH77</f>
      </c>
      <c r="AI84" s="255">
        <f>AI83+AI77</f>
      </c>
      <c r="AJ84" s="255">
        <f>AJ83+AJ77</f>
      </c>
      <c r="AK84" s="255">
        <f>AK83+AK77</f>
      </c>
      <c r="AL84" s="255">
        <f>AL83+AL77</f>
      </c>
    </row>
    <row r="85">
      <c r="A85" s="202" t="s">
        <v>162</v>
      </c>
      <c r="B85" s="203" t="s">
        <v>163</v>
      </c>
      <c r="C85" s="203" t="s">
        <v>164</v>
      </c>
      <c r="D85" s="204" t="s">
        <v>165</v>
      </c>
      <c r="E85" s="203" t="s">
        <v>166</v>
      </c>
      <c r="F85" s="203" t="s">
        <v>167</v>
      </c>
      <c r="G85" s="205" t="s">
        <v>168</v>
      </c>
      <c r="H85" s="205" t="s">
        <v>169</v>
      </c>
      <c r="I85" s="204" t="s">
        <v>170</v>
      </c>
      <c r="J85" s="206" t="s">
        <v>171</v>
      </c>
      <c r="K85" s="207" t="s">
        <v>172</v>
      </c>
      <c r="L85" s="207" t="s">
        <v>173</v>
      </c>
      <c r="M85" s="208" t="s">
        <v>174</v>
      </c>
      <c r="N85" s="207" t="s">
        <v>175</v>
      </c>
      <c r="O85" s="203" t="s">
        <v>176</v>
      </c>
      <c r="P85" s="208" t="s">
        <v>177</v>
      </c>
      <c r="Q85" s="209" t="s">
        <v>178</v>
      </c>
      <c r="R85" s="209" t="s">
        <v>179</v>
      </c>
      <c r="S85" s="204" t="s">
        <v>180</v>
      </c>
      <c r="T85" s="210" t="s">
        <v>181</v>
      </c>
      <c r="U85" s="208" t="s">
        <v>182</v>
      </c>
      <c r="V85" s="211" t="s">
        <v>183</v>
      </c>
      <c r="W85" s="212" t="s">
        <v>184</v>
      </c>
      <c r="X85" s="208" t="s">
        <v>185</v>
      </c>
      <c r="Y85" s="213" t="s">
        <v>186</v>
      </c>
      <c r="Z85" s="214" t="s">
        <v>187</v>
      </c>
      <c r="AA85" s="213" t="s">
        <v>188</v>
      </c>
      <c r="AB85" s="215" t="s">
        <v>189</v>
      </c>
      <c r="AC85" s="215" t="s">
        <v>190</v>
      </c>
      <c r="AD85" s="207" t="s">
        <v>191</v>
      </c>
      <c r="AE85" s="206" t="s">
        <v>192</v>
      </c>
      <c r="AF85" s="207" t="s">
        <v>193</v>
      </c>
      <c r="AG85" s="206" t="s">
        <v>194</v>
      </c>
      <c r="AH85" s="206" t="s">
        <v>195</v>
      </c>
      <c r="AI85" s="207" t="s">
        <v>196</v>
      </c>
      <c r="AJ85" s="206" t="s">
        <v>197</v>
      </c>
      <c r="AK85" s="207" t="s">
        <v>198</v>
      </c>
      <c r="AL85" s="206" t="s">
        <v>199</v>
      </c>
    </row>
    <row r="86">
      <c r="A86" s="216">
        <v>46241</v>
      </c>
      <c r="B86" s="217" t="s">
        <v>200</v>
      </c>
      <c r="C86" s="218" t="s">
        <v>216</v>
      </c>
      <c r="D86" s="219">
        <f t="shared" ref="D86:D90" si="450">E86+F86+G86+H86</f>
      </c>
      <c r="E86" s="220">
        <v>1365.77</v>
      </c>
      <c r="F86" s="221">
        <v>2000</v>
      </c>
      <c r="G86" s="221">
        <v>0</v>
      </c>
      <c r="H86" s="221">
        <v>0</v>
      </c>
      <c r="I86" s="221">
        <f t="shared" ref="I86:I90" si="335">AB86+AC86</f>
      </c>
      <c r="J86" s="222">
        <v>906.12</v>
      </c>
      <c r="K86" s="223">
        <f t="shared" ref="K86:K90" si="220">I86-J86</f>
      </c>
      <c r="L86" s="223">
        <f t="shared" ref="L86:L90" si="105">(I86-AC86)/12+AC86</f>
      </c>
      <c r="M86" s="224">
        <f t="shared" ref="M86:M104" si="68">I86/D86</f>
      </c>
      <c r="N86" s="225">
        <f t="shared" ref="N86:N104" si="37">(I86-J86)/D86</f>
      </c>
      <c r="O86" s="226">
        <f t="shared" ref="O86:O104" si="6">(AC86+AB86/12)/D86</f>
      </c>
      <c r="P86" s="227">
        <f t="shared" ref="P86:P104" si="941">I86/AA86</f>
      </c>
      <c r="Q86" s="227">
        <f t="shared" ref="Q86:Q104" si="910">D86/AA86</f>
      </c>
      <c r="R86" s="227">
        <f t="shared" ref="R86:R104" si="879">D86/AG86</f>
      </c>
      <c r="S86" s="228">
        <f t="shared" ref="S86:S104" si="848">AA86/Y86</f>
      </c>
      <c r="T86" s="229">
        <f t="shared" ref="T86:T104" si="786">AI86/AH86</f>
      </c>
      <c r="U86" s="227">
        <f t="shared" ref="U86:U104" si="755">D86/AJ86</f>
      </c>
      <c r="V86" s="230">
        <f t="shared" ref="V86:V104" si="817">AK86/AJ86</f>
      </c>
      <c r="W86" s="230">
        <f t="shared" ref="W86:W104" si="724">AL86/AJ86</f>
      </c>
      <c r="X86" s="227">
        <f t="shared" ref="X86:X104" si="693">D86/AL86</f>
      </c>
      <c r="Y86" s="231">
        <f t="shared" ref="Y86:Y90" si="553">Z86+AA86</f>
      </c>
      <c r="Z86" s="231">
        <v>2</v>
      </c>
      <c r="AA86" s="231">
        <v>3</v>
      </c>
      <c r="AB86" s="232">
        <v>3462</v>
      </c>
      <c r="AC86" s="232">
        <v>0</v>
      </c>
      <c r="AD86" s="228">
        <f t="shared" ref="AD86:AD104" si="662">AC86/I86</f>
      </c>
      <c r="AE86" s="233" t="s">
        <v>202</v>
      </c>
      <c r="AF86" s="234" t="s">
        <v>217</v>
      </c>
      <c r="AG86" s="235">
        <v>3</v>
      </c>
      <c r="AH86" s="235">
        <v>30454</v>
      </c>
      <c r="AI86" s="236">
        <v>535</v>
      </c>
      <c r="AJ86" s="236">
        <v>534</v>
      </c>
      <c r="AK86" s="235">
        <v>76</v>
      </c>
      <c r="AL86" s="237">
        <v>100</v>
      </c>
    </row>
    <row r="87">
      <c r="A87" s="216"/>
      <c r="B87" s="217" t="s">
        <v>200</v>
      </c>
      <c r="C87" s="218" t="s">
        <v>218</v>
      </c>
      <c r="D87" s="219">
        <f t="shared" si="450"/>
      </c>
      <c r="E87" s="218">
        <v>1834.76</v>
      </c>
      <c r="F87" s="221">
        <v>2482.34</v>
      </c>
      <c r="G87" s="221">
        <v>0</v>
      </c>
      <c r="H87" s="221">
        <v>0</v>
      </c>
      <c r="I87" s="221">
        <f t="shared" si="335"/>
      </c>
      <c r="J87" s="222">
        <v>8159.4</v>
      </c>
      <c r="K87" s="223">
        <f t="shared" si="220"/>
      </c>
      <c r="L87" s="223">
        <f t="shared" si="105"/>
      </c>
      <c r="M87" s="224">
        <f t="shared" si="68"/>
      </c>
      <c r="N87" s="225">
        <f t="shared" si="37"/>
      </c>
      <c r="O87" s="226">
        <f t="shared" si="6"/>
      </c>
      <c r="P87" s="227">
        <f t="shared" si="941"/>
      </c>
      <c r="Q87" s="227">
        <f t="shared" si="910"/>
      </c>
      <c r="R87" s="227">
        <f t="shared" si="879"/>
      </c>
      <c r="S87" s="228">
        <f t="shared" si="848"/>
      </c>
      <c r="T87" s="229">
        <f t="shared" si="786"/>
      </c>
      <c r="U87" s="227">
        <f t="shared" si="755"/>
      </c>
      <c r="V87" s="230">
        <f t="shared" si="817"/>
      </c>
      <c r="W87" s="230">
        <f t="shared" si="724"/>
      </c>
      <c r="X87" s="227">
        <f t="shared" si="693"/>
      </c>
      <c r="Y87" s="231">
        <f t="shared" si="553"/>
      </c>
      <c r="Z87" s="231">
        <v>3</v>
      </c>
      <c r="AA87" s="231">
        <v>5</v>
      </c>
      <c r="AB87" s="232">
        <v>16099.560000000001</v>
      </c>
      <c r="AC87" s="232">
        <v>0</v>
      </c>
      <c r="AD87" s="228">
        <f t="shared" si="662"/>
      </c>
      <c r="AE87" s="233" t="s">
        <v>202</v>
      </c>
      <c r="AF87" s="234" t="s">
        <v>217</v>
      </c>
      <c r="AG87" s="235">
        <v>5</v>
      </c>
      <c r="AH87" s="236">
        <v>46384</v>
      </c>
      <c r="AI87" s="236">
        <v>808</v>
      </c>
      <c r="AJ87" s="236">
        <v>862</v>
      </c>
      <c r="AK87" s="237">
        <v>111</v>
      </c>
      <c r="AL87" s="237">
        <v>138</v>
      </c>
    </row>
    <row r="88">
      <c r="A88" s="216"/>
      <c r="B88" s="217" t="s">
        <v>200</v>
      </c>
      <c r="C88" s="218" t="s">
        <v>219</v>
      </c>
      <c r="D88" s="219">
        <f t="shared" si="450"/>
      </c>
      <c r="E88" s="218">
        <v>1452.85</v>
      </c>
      <c r="F88" s="218">
        <v>3519.64</v>
      </c>
      <c r="G88" s="218">
        <v>0</v>
      </c>
      <c r="H88" s="218">
        <v>0</v>
      </c>
      <c r="I88" s="221">
        <f t="shared" si="335"/>
      </c>
      <c r="J88" s="222">
        <v>0</v>
      </c>
      <c r="K88" s="223">
        <f t="shared" si="220"/>
      </c>
      <c r="L88" s="223">
        <f t="shared" si="105"/>
      </c>
      <c r="M88" s="224">
        <f t="shared" si="68"/>
      </c>
      <c r="N88" s="225">
        <f t="shared" si="37"/>
      </c>
      <c r="O88" s="226">
        <f t="shared" si="6"/>
      </c>
      <c r="P88" s="227">
        <f t="shared" si="941"/>
      </c>
      <c r="Q88" s="227">
        <f t="shared" si="910"/>
      </c>
      <c r="R88" s="227">
        <f t="shared" si="879"/>
      </c>
      <c r="S88" s="228">
        <f t="shared" si="848"/>
      </c>
      <c r="T88" s="229">
        <f t="shared" si="786"/>
      </c>
      <c r="U88" s="227">
        <f t="shared" si="755"/>
      </c>
      <c r="V88" s="230">
        <f t="shared" si="817"/>
      </c>
      <c r="W88" s="230">
        <f t="shared" si="724"/>
      </c>
      <c r="X88" s="227">
        <f t="shared" si="693"/>
      </c>
      <c r="Y88" s="231">
        <f t="shared" si="553"/>
      </c>
      <c r="Z88" s="231">
        <v>1</v>
      </c>
      <c r="AA88" s="231">
        <v>3</v>
      </c>
      <c r="AB88" s="232">
        <v>1982.8799999999974</v>
      </c>
      <c r="AC88" s="232">
        <v>0</v>
      </c>
      <c r="AD88" s="228">
        <f t="shared" si="662"/>
      </c>
      <c r="AE88" s="233" t="s">
        <v>202</v>
      </c>
      <c r="AF88" s="234" t="s">
        <v>217</v>
      </c>
      <c r="AG88" s="237">
        <v>2</v>
      </c>
      <c r="AH88" s="236">
        <v>53819</v>
      </c>
      <c r="AI88" s="236">
        <v>843</v>
      </c>
      <c r="AJ88" s="236">
        <v>860</v>
      </c>
      <c r="AK88" s="237">
        <v>110</v>
      </c>
      <c r="AL88" s="237">
        <v>144</v>
      </c>
    </row>
    <row r="89">
      <c r="A89" s="216"/>
      <c r="B89" s="217" t="s">
        <v>200</v>
      </c>
      <c r="C89" s="218" t="s">
        <v>220</v>
      </c>
      <c r="D89" s="219">
        <f t="shared" si="450"/>
      </c>
      <c r="E89" s="218">
        <v>1438.35</v>
      </c>
      <c r="F89" s="221">
        <v>2498.02</v>
      </c>
      <c r="G89" s="221">
        <v>0</v>
      </c>
      <c r="H89" s="221">
        <v>0</v>
      </c>
      <c r="I89" s="221">
        <f t="shared" si="335"/>
      </c>
      <c r="J89" s="222">
        <v>1871.64</v>
      </c>
      <c r="K89" s="223">
        <f t="shared" si="220"/>
      </c>
      <c r="L89" s="223">
        <f t="shared" si="105"/>
      </c>
      <c r="M89" s="224">
        <f t="shared" si="68"/>
      </c>
      <c r="N89" s="225">
        <f t="shared" si="37"/>
      </c>
      <c r="O89" s="226">
        <f t="shared" si="6"/>
      </c>
      <c r="P89" s="227">
        <f t="shared" si="941"/>
      </c>
      <c r="Q89" s="227">
        <f t="shared" si="910"/>
      </c>
      <c r="R89" s="227">
        <f t="shared" si="879"/>
      </c>
      <c r="S89" s="228">
        <f t="shared" si="848"/>
      </c>
      <c r="T89" s="229">
        <f t="shared" si="786"/>
      </c>
      <c r="U89" s="227">
        <f t="shared" si="755"/>
      </c>
      <c r="V89" s="230">
        <f t="shared" si="817"/>
      </c>
      <c r="W89" s="230">
        <f t="shared" si="724"/>
      </c>
      <c r="X89" s="227">
        <f t="shared" si="693"/>
      </c>
      <c r="Y89" s="231">
        <f t="shared" si="553"/>
      </c>
      <c r="Z89" s="231">
        <v>3</v>
      </c>
      <c r="AA89" s="231">
        <v>5</v>
      </c>
      <c r="AB89" s="222">
        <v>6065.16</v>
      </c>
      <c r="AC89" s="232">
        <v>663</v>
      </c>
      <c r="AD89" s="228">
        <f t="shared" si="662"/>
      </c>
      <c r="AE89" s="233" t="s">
        <v>202</v>
      </c>
      <c r="AF89" s="234" t="s">
        <v>217</v>
      </c>
      <c r="AG89" s="235">
        <v>4</v>
      </c>
      <c r="AH89" s="236">
        <v>44027</v>
      </c>
      <c r="AI89" s="236">
        <v>933</v>
      </c>
      <c r="AJ89" s="236">
        <v>945</v>
      </c>
      <c r="AK89" s="237">
        <v>129</v>
      </c>
      <c r="AL89" s="237">
        <v>127</v>
      </c>
    </row>
    <row r="90">
      <c r="A90" s="216"/>
      <c r="B90" s="217" t="s">
        <v>200</v>
      </c>
      <c r="C90" s="218" t="s">
        <v>221</v>
      </c>
      <c r="D90" s="219">
        <f t="shared" si="450"/>
      </c>
      <c r="E90" s="218">
        <v>1173.22</v>
      </c>
      <c r="F90" s="221">
        <v>1983.07</v>
      </c>
      <c r="G90" s="221">
        <v>0</v>
      </c>
      <c r="H90" s="221">
        <v>0</v>
      </c>
      <c r="I90" s="238">
        <f t="shared" si="335"/>
      </c>
      <c r="J90" s="222">
        <v>0</v>
      </c>
      <c r="K90" s="223">
        <f t="shared" si="220"/>
      </c>
      <c r="L90" s="223">
        <f t="shared" si="105"/>
      </c>
      <c r="M90" s="224">
        <f t="shared" si="68"/>
      </c>
      <c r="N90" s="225">
        <f t="shared" si="37"/>
      </c>
      <c r="O90" s="226">
        <f t="shared" si="6"/>
      </c>
      <c r="P90" s="227">
        <f t="shared" si="941"/>
      </c>
      <c r="Q90" s="227">
        <f t="shared" si="910"/>
      </c>
      <c r="R90" s="227">
        <f t="shared" si="879"/>
      </c>
      <c r="S90" s="228">
        <f t="shared" si="848"/>
      </c>
      <c r="T90" s="229">
        <f t="shared" si="786"/>
      </c>
      <c r="U90" s="227">
        <f t="shared" si="755"/>
      </c>
      <c r="V90" s="230">
        <f t="shared" si="817"/>
      </c>
      <c r="W90" s="230">
        <f t="shared" si="724"/>
      </c>
      <c r="X90" s="227">
        <f t="shared" si="693"/>
      </c>
      <c r="Y90" s="231">
        <f t="shared" si="553"/>
      </c>
      <c r="Z90" s="231">
        <v>1</v>
      </c>
      <c r="AA90" s="231">
        <v>1</v>
      </c>
      <c r="AB90" s="232">
        <v>3048.84</v>
      </c>
      <c r="AC90" s="232">
        <v>0</v>
      </c>
      <c r="AD90" s="228">
        <f t="shared" si="662"/>
      </c>
      <c r="AE90" s="233" t="s">
        <v>202</v>
      </c>
      <c r="AF90" s="234" t="s">
        <v>217</v>
      </c>
      <c r="AG90" s="235">
        <v>1</v>
      </c>
      <c r="AH90" s="236">
        <v>45256</v>
      </c>
      <c r="AI90" s="236">
        <v>709</v>
      </c>
      <c r="AJ90" s="236">
        <v>729</v>
      </c>
      <c r="AK90" s="237">
        <v>80</v>
      </c>
      <c r="AL90" s="237">
        <v>88</v>
      </c>
    </row>
    <row r="91">
      <c r="A91" s="216"/>
      <c r="B91" s="239" t="s">
        <v>208</v>
      </c>
      <c r="C91" s="240">
        <v>5</v>
      </c>
      <c r="D91" s="241">
        <f>SUM(D86:D90)</f>
      </c>
      <c r="E91" s="241">
        <f>SUM(E86:E90)</f>
      </c>
      <c r="F91" s="241">
        <f>SUM(F86:F90)</f>
      </c>
      <c r="G91" s="241">
        <f>SUM(G86:G90)</f>
      </c>
      <c r="H91" s="241">
        <f>SUM(H86:H90)</f>
      </c>
      <c r="I91" s="241">
        <f>SUM(I86:I90)</f>
      </c>
      <c r="J91" s="241">
        <f>SUM(J86:J90)</f>
      </c>
      <c r="K91" s="241">
        <f>SUM(K86:K90)</f>
      </c>
      <c r="L91" s="241">
        <f>SUM(L86:L90)</f>
      </c>
      <c r="M91" s="242">
        <f t="shared" si="68"/>
      </c>
      <c r="N91" s="243">
        <f t="shared" si="37"/>
      </c>
      <c r="O91" s="243">
        <f t="shared" si="6"/>
      </c>
      <c r="P91" s="244">
        <f t="shared" si="941"/>
      </c>
      <c r="Q91" s="244">
        <f t="shared" si="910"/>
      </c>
      <c r="R91" s="244">
        <f t="shared" si="879"/>
      </c>
      <c r="S91" s="245">
        <f t="shared" si="848"/>
      </c>
      <c r="T91" s="245">
        <f t="shared" si="786"/>
      </c>
      <c r="U91" s="244">
        <f t="shared" si="755"/>
      </c>
      <c r="V91" s="245">
        <f t="shared" si="817"/>
      </c>
      <c r="W91" s="245">
        <f t="shared" si="724"/>
      </c>
      <c r="X91" s="244">
        <f t="shared" si="693"/>
      </c>
      <c r="Y91" s="241">
        <f>SUM(Y86:Y90)</f>
      </c>
      <c r="Z91" s="241">
        <f>SUM(Z86:Z90)</f>
      </c>
      <c r="AA91" s="241">
        <f>SUM(AA86:AA90)</f>
      </c>
      <c r="AB91" s="241">
        <f>SUM(AB86:AB90)</f>
      </c>
      <c r="AC91" s="241">
        <f>SUM(AC86:AC90)</f>
      </c>
      <c r="AD91" s="246">
        <f t="shared" si="662"/>
      </c>
      <c r="AE91" s="247"/>
      <c r="AF91" s="248"/>
      <c r="AG91" s="241">
        <f>SUM(AG86:AG90)</f>
      </c>
      <c r="AH91" s="241">
        <f>SUM(AH86:AH90)</f>
      </c>
      <c r="AI91" s="241">
        <f>SUM(AI86:AI90)</f>
      </c>
      <c r="AJ91" s="241">
        <f>SUM(AJ86:AJ90)</f>
      </c>
      <c r="AK91" s="241">
        <f>SUM(AK86:AK90)</f>
      </c>
      <c r="AL91" s="241">
        <f>SUM(AL86:AL90)</f>
      </c>
    </row>
    <row customHeight="true" ht="20.238095238095237" r="92">
      <c r="A92" s="216"/>
      <c r="B92" s="217" t="s">
        <v>222</v>
      </c>
      <c r="C92" s="218" t="s">
        <v>201</v>
      </c>
      <c r="D92" s="219">
        <f t="shared" ref="D92:D96" si="451">E92+F92+G92+H92</f>
      </c>
      <c r="E92" s="220">
        <v>788.89</v>
      </c>
      <c r="F92" s="221">
        <v>1995.93</v>
      </c>
      <c r="G92" s="221">
        <v>0</v>
      </c>
      <c r="H92" s="221">
        <v>0</v>
      </c>
      <c r="I92" s="221">
        <f t="shared" ref="I92:I96" si="336">AB92+AC92</f>
      </c>
      <c r="J92" s="222">
        <v>0</v>
      </c>
      <c r="K92" s="223">
        <f t="shared" ref="K92:K96" si="221">I92-J92</f>
      </c>
      <c r="L92" s="223">
        <f t="shared" ref="L92:L96" si="106">(I92-AC92)/12+AC92</f>
      </c>
      <c r="M92" s="224">
        <f t="shared" si="68"/>
      </c>
      <c r="N92" s="225">
        <f t="shared" si="37"/>
      </c>
      <c r="O92" s="226">
        <f t="shared" si="6"/>
      </c>
      <c r="P92" s="227">
        <f t="shared" si="941"/>
      </c>
      <c r="Q92" s="227">
        <f t="shared" si="910"/>
      </c>
      <c r="R92" s="227">
        <f t="shared" si="879"/>
      </c>
      <c r="S92" s="228">
        <f t="shared" si="848"/>
      </c>
      <c r="T92" s="229">
        <f t="shared" si="786"/>
      </c>
      <c r="U92" s="227">
        <f t="shared" si="755"/>
      </c>
      <c r="V92" s="230">
        <f t="shared" si="817"/>
      </c>
      <c r="W92" s="230">
        <f t="shared" si="724"/>
      </c>
      <c r="X92" s="227">
        <f t="shared" si="693"/>
      </c>
      <c r="Y92" s="231">
        <f t="shared" ref="Y92:Y96" si="554">Z92+AA92</f>
      </c>
      <c r="Z92" s="231">
        <v>0</v>
      </c>
      <c r="AA92" s="231">
        <v>4</v>
      </c>
      <c r="AB92" s="232">
        <v>9177.84</v>
      </c>
      <c r="AC92" s="232">
        <v>1886</v>
      </c>
      <c r="AD92" s="228">
        <f t="shared" si="662"/>
      </c>
      <c r="AE92" s="233" t="s">
        <v>202</v>
      </c>
      <c r="AF92" s="234" t="s">
        <v>217</v>
      </c>
      <c r="AG92" s="235">
        <v>2</v>
      </c>
      <c r="AH92" s="236">
        <v>32678</v>
      </c>
      <c r="AI92" s="236">
        <v>489</v>
      </c>
      <c r="AJ92" s="236">
        <v>484</v>
      </c>
      <c r="AK92" s="235">
        <v>67</v>
      </c>
      <c r="AL92" s="237">
        <v>92</v>
      </c>
    </row>
    <row customHeight="true" ht="20.238095238095237" r="93">
      <c r="A93" s="216"/>
      <c r="B93" s="217" t="s">
        <v>222</v>
      </c>
      <c r="C93" s="218" t="s">
        <v>204</v>
      </c>
      <c r="D93" s="219">
        <f t="shared" si="451"/>
      </c>
      <c r="E93" s="218">
        <v>668.56</v>
      </c>
      <c r="F93" s="221">
        <v>2490.04</v>
      </c>
      <c r="G93" s="221">
        <v>0</v>
      </c>
      <c r="H93" s="221">
        <v>0</v>
      </c>
      <c r="I93" s="221">
        <f t="shared" si="336"/>
      </c>
      <c r="J93" s="222">
        <v>0</v>
      </c>
      <c r="K93" s="223">
        <f t="shared" si="221"/>
      </c>
      <c r="L93" s="223">
        <f t="shared" si="106"/>
      </c>
      <c r="M93" s="224">
        <f t="shared" si="68"/>
      </c>
      <c r="N93" s="225">
        <f t="shared" si="37"/>
      </c>
      <c r="O93" s="226">
        <f t="shared" si="6"/>
      </c>
      <c r="P93" s="227">
        <f t="shared" si="941"/>
      </c>
      <c r="Q93" s="227">
        <f t="shared" si="910"/>
      </c>
      <c r="R93" s="227">
        <f t="shared" si="879"/>
      </c>
      <c r="S93" s="228">
        <f t="shared" si="848"/>
      </c>
      <c r="T93" s="229">
        <f t="shared" si="786"/>
      </c>
      <c r="U93" s="227">
        <f t="shared" si="755"/>
      </c>
      <c r="V93" s="230">
        <f t="shared" si="817"/>
      </c>
      <c r="W93" s="230">
        <f t="shared" si="724"/>
      </c>
      <c r="X93" s="227">
        <f t="shared" si="693"/>
      </c>
      <c r="Y93" s="231">
        <f t="shared" si="554"/>
      </c>
      <c r="Z93" s="231">
        <v>1</v>
      </c>
      <c r="AA93" s="231">
        <v>0</v>
      </c>
      <c r="AB93" s="232">
        <v>0</v>
      </c>
      <c r="AC93" s="232">
        <v>0</v>
      </c>
      <c r="AD93" s="228">
        <f t="shared" si="662"/>
      </c>
      <c r="AE93" s="233" t="s">
        <v>202</v>
      </c>
      <c r="AF93" s="234" t="s">
        <v>217</v>
      </c>
      <c r="AG93" s="235">
        <v>0</v>
      </c>
      <c r="AH93" s="236">
        <v>41798</v>
      </c>
      <c r="AI93" s="236">
        <v>409</v>
      </c>
      <c r="AJ93" s="236">
        <v>403</v>
      </c>
      <c r="AK93" s="237">
        <v>86</v>
      </c>
      <c r="AL93" s="237">
        <v>109</v>
      </c>
    </row>
    <row customHeight="true" ht="20.238095238095237" r="94">
      <c r="A94" s="216"/>
      <c r="B94" s="217" t="s">
        <v>222</v>
      </c>
      <c r="C94" s="218" t="s">
        <v>205</v>
      </c>
      <c r="D94" s="219">
        <f t="shared" si="451"/>
      </c>
      <c r="E94" s="218">
        <v>680.34</v>
      </c>
      <c r="F94" s="218">
        <v>1494.83</v>
      </c>
      <c r="G94" s="218">
        <v>0</v>
      </c>
      <c r="H94" s="218">
        <v>0</v>
      </c>
      <c r="I94" s="221">
        <f t="shared" si="336"/>
      </c>
      <c r="J94" s="222">
        <v>0</v>
      </c>
      <c r="K94" s="223">
        <f t="shared" si="221"/>
      </c>
      <c r="L94" s="223">
        <f t="shared" si="106"/>
      </c>
      <c r="M94" s="224">
        <f t="shared" si="68"/>
      </c>
      <c r="N94" s="225">
        <f t="shared" si="37"/>
      </c>
      <c r="O94" s="226">
        <f t="shared" si="6"/>
      </c>
      <c r="P94" s="227">
        <f t="shared" si="941"/>
      </c>
      <c r="Q94" s="227">
        <f t="shared" si="910"/>
      </c>
      <c r="R94" s="227">
        <f t="shared" si="879"/>
      </c>
      <c r="S94" s="228">
        <f t="shared" si="848"/>
      </c>
      <c r="T94" s="229">
        <f t="shared" si="786"/>
      </c>
      <c r="U94" s="227">
        <f t="shared" si="755"/>
      </c>
      <c r="V94" s="230">
        <f t="shared" si="817"/>
      </c>
      <c r="W94" s="230">
        <f t="shared" si="724"/>
      </c>
      <c r="X94" s="227">
        <f t="shared" si="693"/>
      </c>
      <c r="Y94" s="231">
        <f t="shared" si="554"/>
      </c>
      <c r="Z94" s="231">
        <v>0</v>
      </c>
      <c r="AA94" s="231">
        <v>0</v>
      </c>
      <c r="AB94" s="232">
        <v>0</v>
      </c>
      <c r="AC94" s="232">
        <v>0</v>
      </c>
      <c r="AD94" s="228">
        <f t="shared" si="662"/>
      </c>
      <c r="AE94" s="233" t="s">
        <v>202</v>
      </c>
      <c r="AF94" s="234" t="s">
        <v>203</v>
      </c>
      <c r="AG94" s="237">
        <v>0</v>
      </c>
      <c r="AH94" s="236">
        <v>26046</v>
      </c>
      <c r="AI94" s="236">
        <v>337</v>
      </c>
      <c r="AJ94" s="236">
        <v>310</v>
      </c>
      <c r="AK94" s="237">
        <v>50</v>
      </c>
      <c r="AL94" s="237">
        <v>56</v>
      </c>
    </row>
    <row customHeight="true" ht="20.238095238095237" r="95">
      <c r="A95" s="216"/>
      <c r="B95" s="217" t="s">
        <v>222</v>
      </c>
      <c r="C95" s="218" t="s">
        <v>206</v>
      </c>
      <c r="D95" s="219">
        <f t="shared" si="451"/>
      </c>
      <c r="E95" s="218">
        <v>461.95</v>
      </c>
      <c r="F95" s="221">
        <v>1498.38</v>
      </c>
      <c r="G95" s="221">
        <v>0</v>
      </c>
      <c r="H95" s="221">
        <v>0</v>
      </c>
      <c r="I95" s="221">
        <f t="shared" si="336"/>
      </c>
      <c r="J95" s="222">
        <v>708.48</v>
      </c>
      <c r="K95" s="223">
        <f t="shared" si="221"/>
      </c>
      <c r="L95" s="223">
        <f t="shared" si="106"/>
      </c>
      <c r="M95" s="224">
        <f t="shared" si="68"/>
      </c>
      <c r="N95" s="225">
        <f t="shared" si="37"/>
      </c>
      <c r="O95" s="226">
        <f t="shared" si="6"/>
      </c>
      <c r="P95" s="227">
        <f t="shared" si="941"/>
      </c>
      <c r="Q95" s="227">
        <f t="shared" si="910"/>
      </c>
      <c r="R95" s="227">
        <f t="shared" si="879"/>
      </c>
      <c r="S95" s="228">
        <f t="shared" si="848"/>
      </c>
      <c r="T95" s="229">
        <f t="shared" si="786"/>
      </c>
      <c r="U95" s="227">
        <f t="shared" si="755"/>
      </c>
      <c r="V95" s="230">
        <f t="shared" si="817"/>
      </c>
      <c r="W95" s="230">
        <f t="shared" si="724"/>
      </c>
      <c r="X95" s="227">
        <f t="shared" si="693"/>
      </c>
      <c r="Y95" s="231">
        <f t="shared" si="554"/>
      </c>
      <c r="Z95" s="231">
        <v>3</v>
      </c>
      <c r="AA95" s="231">
        <v>1</v>
      </c>
      <c r="AB95" s="222">
        <v>708.4800000000032</v>
      </c>
      <c r="AC95" s="232">
        <v>0</v>
      </c>
      <c r="AD95" s="228">
        <f t="shared" si="662"/>
      </c>
      <c r="AE95" s="233" t="s">
        <v>202</v>
      </c>
      <c r="AF95" s="234" t="s">
        <v>203</v>
      </c>
      <c r="AG95" s="235">
        <v>1</v>
      </c>
      <c r="AH95" s="236">
        <v>23043</v>
      </c>
      <c r="AI95" s="236">
        <v>265</v>
      </c>
      <c r="AJ95" s="236">
        <v>260</v>
      </c>
      <c r="AK95" s="237">
        <v>49</v>
      </c>
      <c r="AL95" s="237">
        <v>52</v>
      </c>
    </row>
    <row customHeight="true" ht="20.238095238095237" r="96">
      <c r="A96" s="216"/>
      <c r="B96" s="217" t="s">
        <v>222</v>
      </c>
      <c r="C96" s="218" t="s">
        <v>207</v>
      </c>
      <c r="D96" s="219">
        <f t="shared" si="451"/>
      </c>
      <c r="E96" s="218">
        <v>269.2</v>
      </c>
      <c r="F96" s="221">
        <v>790.14</v>
      </c>
      <c r="G96" s="221">
        <v>0</v>
      </c>
      <c r="H96" s="221">
        <v>0</v>
      </c>
      <c r="I96" s="238">
        <f t="shared" si="336"/>
      </c>
      <c r="J96" s="222">
        <v>0</v>
      </c>
      <c r="K96" s="223">
        <f t="shared" si="221"/>
      </c>
      <c r="L96" s="223">
        <f t="shared" si="106"/>
      </c>
      <c r="M96" s="224">
        <f t="shared" si="68"/>
      </c>
      <c r="N96" s="225">
        <f t="shared" si="37"/>
      </c>
      <c r="O96" s="226">
        <f t="shared" si="6"/>
      </c>
      <c r="P96" s="227">
        <f t="shared" si="941"/>
      </c>
      <c r="Q96" s="227">
        <f t="shared" si="910"/>
      </c>
      <c r="R96" s="227">
        <f t="shared" si="879"/>
      </c>
      <c r="S96" s="228">
        <f t="shared" si="848"/>
      </c>
      <c r="T96" s="229">
        <f t="shared" si="786"/>
      </c>
      <c r="U96" s="227">
        <f t="shared" si="755"/>
      </c>
      <c r="V96" s="230">
        <f t="shared" si="817"/>
      </c>
      <c r="W96" s="230">
        <f t="shared" si="724"/>
      </c>
      <c r="X96" s="227">
        <f t="shared" si="693"/>
      </c>
      <c r="Y96" s="231">
        <f t="shared" si="554"/>
      </c>
      <c r="Z96" s="231">
        <v>0</v>
      </c>
      <c r="AA96" s="231">
        <v>0</v>
      </c>
      <c r="AB96" s="232">
        <v>0</v>
      </c>
      <c r="AC96" s="232">
        <v>0</v>
      </c>
      <c r="AD96" s="228">
        <f t="shared" si="662"/>
      </c>
      <c r="AE96" s="233" t="s">
        <v>202</v>
      </c>
      <c r="AF96" s="234" t="s">
        <v>203</v>
      </c>
      <c r="AG96" s="235">
        <v>0</v>
      </c>
      <c r="AH96" s="236">
        <v>12106</v>
      </c>
      <c r="AI96" s="236">
        <v>166</v>
      </c>
      <c r="AJ96" s="236">
        <v>168</v>
      </c>
      <c r="AK96" s="237">
        <v>26</v>
      </c>
      <c r="AL96" s="237">
        <v>31</v>
      </c>
    </row>
    <row customHeight="true" ht="20.238095238095237" r="97">
      <c r="A97" s="216"/>
      <c r="B97" s="239" t="s">
        <v>208</v>
      </c>
      <c r="C97" s="240">
        <v>5</v>
      </c>
      <c r="D97" s="241">
        <f>SUM(D92:D96)</f>
      </c>
      <c r="E97" s="241">
        <f>SUM(E92:E96)</f>
      </c>
      <c r="F97" s="241">
        <f>SUM(F92:F96)</f>
      </c>
      <c r="G97" s="241">
        <f>SUM(G92:G96)</f>
      </c>
      <c r="H97" s="241">
        <f>SUM(H92:H96)</f>
      </c>
      <c r="I97" s="241">
        <f>SUM(I92:I96)</f>
      </c>
      <c r="J97" s="241">
        <f>SUM(J92:J96)</f>
      </c>
      <c r="K97" s="241">
        <f>SUM(K92:K96)</f>
      </c>
      <c r="L97" s="241">
        <f>SUM(L92:L96)</f>
      </c>
      <c r="M97" s="242">
        <f t="shared" si="68"/>
      </c>
      <c r="N97" s="243">
        <f t="shared" si="37"/>
      </c>
      <c r="O97" s="243">
        <f t="shared" si="6"/>
      </c>
      <c r="P97" s="244">
        <f t="shared" si="941"/>
      </c>
      <c r="Q97" s="244">
        <f t="shared" si="910"/>
      </c>
      <c r="R97" s="244">
        <f t="shared" si="879"/>
      </c>
      <c r="S97" s="245">
        <f t="shared" si="848"/>
      </c>
      <c r="T97" s="245">
        <f t="shared" si="786"/>
      </c>
      <c r="U97" s="244">
        <f t="shared" si="755"/>
      </c>
      <c r="V97" s="245">
        <f t="shared" si="817"/>
      </c>
      <c r="W97" s="245">
        <f t="shared" si="724"/>
      </c>
      <c r="X97" s="244">
        <f t="shared" si="693"/>
      </c>
      <c r="Y97" s="241">
        <f>SUM(Y92:Y96)</f>
      </c>
      <c r="Z97" s="241">
        <f>SUM(Z92:Z96)</f>
      </c>
      <c r="AA97" s="241">
        <f>SUM(AA92:AA96)</f>
      </c>
      <c r="AB97" s="241">
        <f>SUM(AB92:AB96)</f>
      </c>
      <c r="AC97" s="241">
        <f>SUM(AC92:AC96)</f>
      </c>
      <c r="AD97" s="246">
        <f t="shared" si="662"/>
      </c>
      <c r="AE97" s="247"/>
      <c r="AF97" s="248"/>
      <c r="AG97" s="241">
        <f>SUM(AG92:AG96)</f>
      </c>
      <c r="AH97" s="241">
        <f>SUM(AH92:AH96)</f>
      </c>
      <c r="AI97" s="241">
        <f>SUM(AI92:AI96)</f>
      </c>
      <c r="AJ97" s="241">
        <f>SUM(AJ92:AJ96)</f>
      </c>
      <c r="AK97" s="241">
        <f>SUM(AK92:AK96)</f>
      </c>
      <c r="AL97" s="241">
        <f>SUM(AL92:AL96)</f>
      </c>
    </row>
    <row r="98">
      <c r="A98" s="216"/>
      <c r="B98" s="217" t="s">
        <v>209</v>
      </c>
      <c r="C98" s="218" t="s">
        <v>210</v>
      </c>
      <c r="D98" s="219">
        <f t="shared" ref="D98:D102" si="452">E98+F98+G98+H98</f>
      </c>
      <c r="E98" s="218">
        <v>525.55</v>
      </c>
      <c r="F98" s="249">
        <v>1709.05</v>
      </c>
      <c r="G98" s="221">
        <v>0</v>
      </c>
      <c r="H98" s="221">
        <v>0</v>
      </c>
      <c r="I98" s="250">
        <f t="shared" ref="I98:I102" si="337">AB98+AC98</f>
      </c>
      <c r="J98" s="251">
        <v>0</v>
      </c>
      <c r="K98" s="223">
        <f t="shared" ref="K98:K102" si="222">I98-J98</f>
      </c>
      <c r="L98" s="223">
        <f t="shared" ref="L98:L102" si="107">(I98-AC98)/12+AC98</f>
      </c>
      <c r="M98" s="224">
        <f t="shared" si="68"/>
      </c>
      <c r="N98" s="225">
        <f t="shared" si="37"/>
      </c>
      <c r="O98" s="226">
        <f t="shared" si="6"/>
      </c>
      <c r="P98" s="227">
        <f t="shared" si="941"/>
      </c>
      <c r="Q98" s="227">
        <f t="shared" si="910"/>
      </c>
      <c r="R98" s="227">
        <f t="shared" si="879"/>
      </c>
      <c r="S98" s="228">
        <f t="shared" si="848"/>
      </c>
      <c r="T98" s="229">
        <f t="shared" si="786"/>
      </c>
      <c r="U98" s="227">
        <f t="shared" si="755"/>
      </c>
      <c r="V98" s="230">
        <f t="shared" si="817"/>
      </c>
      <c r="W98" s="230">
        <f t="shared" si="724"/>
      </c>
      <c r="X98" s="227">
        <f t="shared" si="693"/>
      </c>
      <c r="Y98" s="231">
        <f t="shared" ref="Y98:Y102" si="555">Z98+AA98</f>
      </c>
      <c r="Z98" s="231">
        <v>1</v>
      </c>
      <c r="AA98" s="231">
        <v>0</v>
      </c>
      <c r="AB98" s="232">
        <v>0</v>
      </c>
      <c r="AC98" s="232">
        <v>0</v>
      </c>
      <c r="AD98" s="228">
        <f t="shared" si="662"/>
      </c>
      <c r="AE98" s="233" t="s">
        <v>202</v>
      </c>
      <c r="AF98" s="234" t="s">
        <v>203</v>
      </c>
      <c r="AG98" s="235">
        <v>0</v>
      </c>
      <c r="AH98" s="236">
        <v>25703</v>
      </c>
      <c r="AI98" s="236">
        <v>328</v>
      </c>
      <c r="AJ98" s="236">
        <v>332</v>
      </c>
      <c r="AK98" s="237">
        <v>50</v>
      </c>
      <c r="AL98" s="237">
        <v>61</v>
      </c>
    </row>
    <row r="99">
      <c r="A99" s="216"/>
      <c r="B99" s="217" t="s">
        <v>209</v>
      </c>
      <c r="C99" s="252" t="s">
        <v>211</v>
      </c>
      <c r="D99" s="219">
        <f t="shared" si="452"/>
      </c>
      <c r="E99" s="218">
        <v>430.13</v>
      </c>
      <c r="F99" s="249">
        <v>1303.59</v>
      </c>
      <c r="G99" s="221">
        <v>0</v>
      </c>
      <c r="H99" s="221">
        <v>0</v>
      </c>
      <c r="I99" s="250">
        <f t="shared" si="337"/>
      </c>
      <c r="J99" s="251">
        <v>0</v>
      </c>
      <c r="K99" s="223">
        <f t="shared" si="222"/>
      </c>
      <c r="L99" s="223">
        <f t="shared" si="107"/>
      </c>
      <c r="M99" s="224">
        <f t="shared" si="68"/>
      </c>
      <c r="N99" s="225">
        <f t="shared" si="37"/>
      </c>
      <c r="O99" s="226">
        <f t="shared" si="6"/>
      </c>
      <c r="P99" s="227">
        <f t="shared" si="941"/>
      </c>
      <c r="Q99" s="227">
        <f t="shared" si="910"/>
      </c>
      <c r="R99" s="227">
        <f t="shared" si="879"/>
      </c>
      <c r="S99" s="228">
        <f t="shared" si="848"/>
      </c>
      <c r="T99" s="229">
        <f t="shared" si="786"/>
      </c>
      <c r="U99" s="227">
        <f t="shared" si="755"/>
      </c>
      <c r="V99" s="230">
        <f t="shared" si="817"/>
      </c>
      <c r="W99" s="230">
        <f t="shared" si="724"/>
      </c>
      <c r="X99" s="227">
        <f t="shared" si="693"/>
      </c>
      <c r="Y99" s="231">
        <f t="shared" si="555"/>
      </c>
      <c r="Z99" s="231">
        <v>2</v>
      </c>
      <c r="AA99" s="231">
        <v>1</v>
      </c>
      <c r="AB99" s="232">
        <v>3406.3199999999997</v>
      </c>
      <c r="AC99" s="232">
        <v>0</v>
      </c>
      <c r="AD99" s="228">
        <f t="shared" si="662"/>
      </c>
      <c r="AE99" s="233" t="s">
        <v>202</v>
      </c>
      <c r="AF99" s="234" t="s">
        <v>203</v>
      </c>
      <c r="AG99" s="235">
        <v>1</v>
      </c>
      <c r="AH99" s="236">
        <v>17559</v>
      </c>
      <c r="AI99" s="236">
        <v>281</v>
      </c>
      <c r="AJ99" s="236">
        <v>288</v>
      </c>
      <c r="AK99" s="237">
        <v>38</v>
      </c>
      <c r="AL99" s="237">
        <v>55</v>
      </c>
    </row>
    <row r="100">
      <c r="A100" s="216"/>
      <c r="B100" s="217" t="s">
        <v>209</v>
      </c>
      <c r="C100" s="252" t="s">
        <v>212</v>
      </c>
      <c r="D100" s="219">
        <f t="shared" si="452"/>
      </c>
      <c r="E100" s="218">
        <v>571.95</v>
      </c>
      <c r="F100" s="249">
        <v>2772.24</v>
      </c>
      <c r="G100" s="218">
        <v>0</v>
      </c>
      <c r="H100" s="218">
        <v>0</v>
      </c>
      <c r="I100" s="250">
        <f t="shared" si="337"/>
      </c>
      <c r="J100" s="251">
        <v>0</v>
      </c>
      <c r="K100" s="223">
        <f t="shared" si="222"/>
      </c>
      <c r="L100" s="223">
        <f t="shared" si="107"/>
      </c>
      <c r="M100" s="224">
        <f t="shared" si="68"/>
      </c>
      <c r="N100" s="225">
        <f t="shared" si="37"/>
      </c>
      <c r="O100" s="226">
        <f t="shared" si="6"/>
      </c>
      <c r="P100" s="227">
        <f t="shared" si="941"/>
      </c>
      <c r="Q100" s="227">
        <f t="shared" si="910"/>
      </c>
      <c r="R100" s="227">
        <f t="shared" si="879"/>
      </c>
      <c r="S100" s="228">
        <f t="shared" si="848"/>
      </c>
      <c r="T100" s="229">
        <f t="shared" si="786"/>
      </c>
      <c r="U100" s="227">
        <f t="shared" si="755"/>
      </c>
      <c r="V100" s="230">
        <f t="shared" si="817"/>
      </c>
      <c r="W100" s="230">
        <f t="shared" si="724"/>
      </c>
      <c r="X100" s="227">
        <f t="shared" si="693"/>
      </c>
      <c r="Y100" s="231">
        <f t="shared" si="555"/>
      </c>
      <c r="Z100" s="231">
        <v>0</v>
      </c>
      <c r="AA100" s="231">
        <v>4</v>
      </c>
      <c r="AB100" s="232">
        <v>4286.519999999997</v>
      </c>
      <c r="AC100" s="232">
        <v>0</v>
      </c>
      <c r="AD100" s="228">
        <f t="shared" si="662"/>
      </c>
      <c r="AE100" s="233" t="s">
        <v>202</v>
      </c>
      <c r="AF100" s="234" t="s">
        <v>203</v>
      </c>
      <c r="AG100" s="237">
        <v>3</v>
      </c>
      <c r="AH100" s="236">
        <v>35767</v>
      </c>
      <c r="AI100" s="236">
        <v>698</v>
      </c>
      <c r="AJ100" s="236">
        <v>709</v>
      </c>
      <c r="AK100" s="237">
        <v>92</v>
      </c>
      <c r="AL100" s="237">
        <v>108</v>
      </c>
    </row>
    <row r="101">
      <c r="A101" s="216"/>
      <c r="B101" s="217" t="s">
        <v>209</v>
      </c>
      <c r="C101" s="218" t="s">
        <v>213</v>
      </c>
      <c r="D101" s="219">
        <f t="shared" si="452"/>
      </c>
      <c r="E101" s="218">
        <v>399.78</v>
      </c>
      <c r="F101" s="249">
        <v>4068.35</v>
      </c>
      <c r="G101" s="221">
        <v>0</v>
      </c>
      <c r="H101" s="221">
        <v>0</v>
      </c>
      <c r="I101" s="250">
        <f t="shared" si="337"/>
      </c>
      <c r="J101" s="251">
        <v>0</v>
      </c>
      <c r="K101" s="223">
        <f t="shared" si="222"/>
      </c>
      <c r="L101" s="223">
        <f t="shared" si="107"/>
      </c>
      <c r="M101" s="224">
        <f t="shared" si="68"/>
      </c>
      <c r="N101" s="225">
        <f t="shared" si="37"/>
      </c>
      <c r="O101" s="226">
        <f t="shared" si="6"/>
      </c>
      <c r="P101" s="227">
        <f t="shared" si="941"/>
      </c>
      <c r="Q101" s="227">
        <f t="shared" si="910"/>
      </c>
      <c r="R101" s="227">
        <f t="shared" si="879"/>
      </c>
      <c r="S101" s="228">
        <f t="shared" si="848"/>
      </c>
      <c r="T101" s="229">
        <f t="shared" si="786"/>
      </c>
      <c r="U101" s="227">
        <f t="shared" si="755"/>
      </c>
      <c r="V101" s="230">
        <f t="shared" si="817"/>
      </c>
      <c r="W101" s="230">
        <f t="shared" si="724"/>
      </c>
      <c r="X101" s="227">
        <f t="shared" si="693"/>
      </c>
      <c r="Y101" s="231">
        <f t="shared" si="555"/>
      </c>
      <c r="Z101" s="231">
        <v>2</v>
      </c>
      <c r="AA101" s="231">
        <v>1</v>
      </c>
      <c r="AB101" s="222">
        <v>2112.480000000003</v>
      </c>
      <c r="AC101" s="232">
        <v>0</v>
      </c>
      <c r="AD101" s="228">
        <f t="shared" si="662"/>
      </c>
      <c r="AE101" s="233" t="s">
        <v>202</v>
      </c>
      <c r="AF101" s="234" t="s">
        <v>203</v>
      </c>
      <c r="AG101" s="235">
        <v>1</v>
      </c>
      <c r="AH101" s="236">
        <v>45986</v>
      </c>
      <c r="AI101" s="236">
        <v>1162</v>
      </c>
      <c r="AJ101" s="236">
        <v>1188</v>
      </c>
      <c r="AK101" s="237">
        <v>84</v>
      </c>
      <c r="AL101" s="237">
        <v>107</v>
      </c>
    </row>
    <row r="102">
      <c r="A102" s="216"/>
      <c r="B102" s="217" t="s">
        <v>209</v>
      </c>
      <c r="C102" s="252" t="s">
        <v>214</v>
      </c>
      <c r="D102" s="219">
        <f t="shared" si="452"/>
      </c>
      <c r="E102" s="218">
        <v>269.19</v>
      </c>
      <c r="F102" s="249">
        <v>1259.9</v>
      </c>
      <c r="G102" s="221">
        <v>0</v>
      </c>
      <c r="H102" s="221">
        <v>0</v>
      </c>
      <c r="I102" s="250">
        <f t="shared" si="337"/>
      </c>
      <c r="J102" s="251">
        <v>0</v>
      </c>
      <c r="K102" s="223">
        <f t="shared" si="222"/>
      </c>
      <c r="L102" s="223">
        <f t="shared" si="107"/>
      </c>
      <c r="M102" s="224">
        <f t="shared" si="68"/>
      </c>
      <c r="N102" s="225">
        <f t="shared" si="37"/>
      </c>
      <c r="O102" s="226">
        <f t="shared" si="6"/>
      </c>
      <c r="P102" s="227">
        <f t="shared" si="941"/>
      </c>
      <c r="Q102" s="227">
        <f t="shared" si="910"/>
      </c>
      <c r="R102" s="227">
        <f t="shared" si="879"/>
      </c>
      <c r="S102" s="228">
        <f t="shared" si="848"/>
      </c>
      <c r="T102" s="229">
        <f t="shared" si="786"/>
      </c>
      <c r="U102" s="227">
        <f t="shared" si="755"/>
      </c>
      <c r="V102" s="230">
        <f t="shared" si="817"/>
      </c>
      <c r="W102" s="230">
        <f t="shared" si="724"/>
      </c>
      <c r="X102" s="227">
        <f t="shared" si="693"/>
      </c>
      <c r="Y102" s="231">
        <f t="shared" si="555"/>
      </c>
      <c r="Z102" s="231">
        <v>0</v>
      </c>
      <c r="AA102" s="231">
        <v>5</v>
      </c>
      <c r="AB102" s="232">
        <v>4587.8399999999965</v>
      </c>
      <c r="AC102" s="232">
        <v>5083.25</v>
      </c>
      <c r="AD102" s="228">
        <f t="shared" si="662"/>
      </c>
      <c r="AE102" s="233" t="s">
        <v>202</v>
      </c>
      <c r="AF102" s="234" t="s">
        <v>203</v>
      </c>
      <c r="AG102" s="235">
        <v>4</v>
      </c>
      <c r="AH102" s="236">
        <v>18979</v>
      </c>
      <c r="AI102" s="236">
        <v>295</v>
      </c>
      <c r="AJ102" s="236">
        <v>319</v>
      </c>
      <c r="AK102" s="237">
        <v>34</v>
      </c>
      <c r="AL102" s="237">
        <v>41</v>
      </c>
    </row>
    <row r="103">
      <c r="A103" s="216"/>
      <c r="B103" s="239" t="s">
        <v>208</v>
      </c>
      <c r="C103" s="240">
        <v>5</v>
      </c>
      <c r="D103" s="241">
        <f>SUM(D98:D102)</f>
      </c>
      <c r="E103" s="241">
        <f>SUM(E98:E102)</f>
      </c>
      <c r="F103" s="241">
        <f>SUM(F98:F102)</f>
      </c>
      <c r="G103" s="241">
        <f>SUM(G98:G102)</f>
      </c>
      <c r="H103" s="241">
        <f>SUM(H98:H102)</f>
      </c>
      <c r="I103" s="241">
        <f>SUM(I98:I102)</f>
      </c>
      <c r="J103" s="241">
        <f>SUM(J98:J102)</f>
      </c>
      <c r="K103" s="241">
        <f>SUM(K98:K102)</f>
      </c>
      <c r="L103" s="241">
        <f>SUM(L98:L102)</f>
      </c>
      <c r="M103" s="242">
        <f t="shared" si="68"/>
      </c>
      <c r="N103" s="243">
        <f t="shared" si="37"/>
      </c>
      <c r="O103" s="243">
        <f t="shared" si="6"/>
      </c>
      <c r="P103" s="244">
        <f t="shared" si="941"/>
      </c>
      <c r="Q103" s="244">
        <f t="shared" si="910"/>
      </c>
      <c r="R103" s="244">
        <f t="shared" si="879"/>
      </c>
      <c r="S103" s="245">
        <f t="shared" si="848"/>
      </c>
      <c r="T103" s="245">
        <f t="shared" si="786"/>
      </c>
      <c r="U103" s="244">
        <f t="shared" si="755"/>
      </c>
      <c r="V103" s="245">
        <f t="shared" si="817"/>
      </c>
      <c r="W103" s="245">
        <f t="shared" si="724"/>
      </c>
      <c r="X103" s="244">
        <f t="shared" si="693"/>
      </c>
      <c r="Y103" s="241">
        <f>SUM(Y98:Y102)</f>
      </c>
      <c r="Z103" s="241">
        <f>SUM(Z98:Z102)</f>
      </c>
      <c r="AA103" s="241">
        <f>SUM(AA98:AA102)</f>
      </c>
      <c r="AB103" s="241">
        <f>SUM(AB98:AB102)</f>
      </c>
      <c r="AC103" s="241">
        <f>SUM(AC98:AC102)</f>
      </c>
      <c r="AD103" s="246">
        <f t="shared" si="662"/>
      </c>
      <c r="AE103" s="247"/>
      <c r="AF103" s="248"/>
      <c r="AG103" s="241">
        <f>SUM(AG98:AG102)</f>
      </c>
      <c r="AH103" s="241">
        <f>SUM(AH98:AH102)</f>
      </c>
      <c r="AI103" s="241">
        <f>SUM(AI98:AI102)</f>
      </c>
      <c r="AJ103" s="241">
        <f>SUM(AJ98:AJ102)</f>
      </c>
      <c r="AK103" s="241">
        <f>SUM(AK98:AK102)</f>
      </c>
      <c r="AL103" s="241">
        <f>SUM(AL98:AL102)</f>
      </c>
    </row>
    <row r="104">
      <c r="A104" s="216"/>
      <c r="B104" s="253" t="s">
        <v>208</v>
      </c>
      <c r="C104" s="254">
        <f>C91+C97+C103</f>
      </c>
      <c r="D104" s="254">
        <f>D91+D97+D103</f>
      </c>
      <c r="E104" s="254">
        <f>E91+E97+E103</f>
      </c>
      <c r="F104" s="254">
        <f>F91+F97+F103</f>
      </c>
      <c r="G104" s="254">
        <f>G91+G97+G103</f>
      </c>
      <c r="H104" s="254">
        <f>H91+H97+H103</f>
      </c>
      <c r="I104" s="254">
        <f>I91+I97+I103</f>
      </c>
      <c r="J104" s="254">
        <f>J91+J97+J103</f>
      </c>
      <c r="K104" s="254">
        <f>K91+K97+K103</f>
      </c>
      <c r="L104" s="254">
        <f>L91+L97+L103</f>
      </c>
      <c r="M104" s="256">
        <f t="shared" si="68"/>
      </c>
      <c r="N104" s="256">
        <f t="shared" si="37"/>
      </c>
      <c r="O104" s="256">
        <f t="shared" si="6"/>
      </c>
      <c r="P104" s="256">
        <f t="shared" si="941"/>
      </c>
      <c r="Q104" s="256">
        <f t="shared" si="910"/>
      </c>
      <c r="R104" s="256">
        <f t="shared" si="879"/>
      </c>
      <c r="S104" s="257">
        <f t="shared" si="848"/>
      </c>
      <c r="T104" s="257">
        <f t="shared" si="786"/>
      </c>
      <c r="U104" s="256">
        <f t="shared" si="755"/>
      </c>
      <c r="V104" s="257">
        <f t="shared" si="817"/>
      </c>
      <c r="W104" s="257">
        <f t="shared" si="724"/>
      </c>
      <c r="X104" s="256">
        <f t="shared" si="693"/>
      </c>
      <c r="Y104" s="255">
        <f>Y91+Y97+Y103</f>
      </c>
      <c r="Z104" s="255">
        <f>Z91+Z97+Z103</f>
      </c>
      <c r="AA104" s="255">
        <f>AA91+AA97+AA103</f>
      </c>
      <c r="AB104" s="255">
        <f>AB91+AB97+AB103</f>
      </c>
      <c r="AC104" s="255">
        <f>AC91+AC97+AC103</f>
      </c>
      <c r="AD104" s="258">
        <f t="shared" si="662"/>
      </c>
      <c r="AE104" s="253"/>
      <c r="AF104" s="253"/>
      <c r="AG104" s="255">
        <f>AG91+AG97+AG103</f>
      </c>
      <c r="AH104" s="255">
        <f>AH91+AH97+AH103</f>
      </c>
      <c r="AI104" s="255">
        <f>AI91+AI97+AI103</f>
      </c>
      <c r="AJ104" s="255">
        <f>AJ91+AJ97+AJ103</f>
      </c>
      <c r="AK104" s="255">
        <f>AK91+AK97+AK103</f>
      </c>
      <c r="AL104" s="255">
        <f>AL91+AL97+AL103</f>
      </c>
    </row>
    <row r="105">
      <c r="A105" s="202" t="s">
        <v>162</v>
      </c>
      <c r="B105" s="203" t="s">
        <v>163</v>
      </c>
      <c r="C105" s="203" t="s">
        <v>164</v>
      </c>
      <c r="D105" s="204" t="s">
        <v>165</v>
      </c>
      <c r="E105" s="203" t="s">
        <v>166</v>
      </c>
      <c r="F105" s="203" t="s">
        <v>167</v>
      </c>
      <c r="G105" s="205" t="s">
        <v>168</v>
      </c>
      <c r="H105" s="205" t="s">
        <v>169</v>
      </c>
      <c r="I105" s="204" t="s">
        <v>170</v>
      </c>
      <c r="J105" s="206" t="s">
        <v>171</v>
      </c>
      <c r="K105" s="207" t="s">
        <v>172</v>
      </c>
      <c r="L105" s="207" t="s">
        <v>173</v>
      </c>
      <c r="M105" s="208" t="s">
        <v>174</v>
      </c>
      <c r="N105" s="207" t="s">
        <v>175</v>
      </c>
      <c r="O105" s="203" t="s">
        <v>176</v>
      </c>
      <c r="P105" s="208" t="s">
        <v>177</v>
      </c>
      <c r="Q105" s="209" t="s">
        <v>178</v>
      </c>
      <c r="R105" s="209" t="s">
        <v>179</v>
      </c>
      <c r="S105" s="204" t="s">
        <v>180</v>
      </c>
      <c r="T105" s="210" t="s">
        <v>181</v>
      </c>
      <c r="U105" s="208" t="s">
        <v>182</v>
      </c>
      <c r="V105" s="211" t="s">
        <v>183</v>
      </c>
      <c r="W105" s="212" t="s">
        <v>184</v>
      </c>
      <c r="X105" s="208" t="s">
        <v>185</v>
      </c>
      <c r="Y105" s="213" t="s">
        <v>186</v>
      </c>
      <c r="Z105" s="214" t="s">
        <v>187</v>
      </c>
      <c r="AA105" s="213" t="s">
        <v>188</v>
      </c>
      <c r="AB105" s="215" t="s">
        <v>189</v>
      </c>
      <c r="AC105" s="215" t="s">
        <v>190</v>
      </c>
      <c r="AD105" s="207" t="s">
        <v>191</v>
      </c>
      <c r="AE105" s="206" t="s">
        <v>192</v>
      </c>
      <c r="AF105" s="207" t="s">
        <v>193</v>
      </c>
      <c r="AG105" s="206" t="s">
        <v>194</v>
      </c>
      <c r="AH105" s="206" t="s">
        <v>195</v>
      </c>
      <c r="AI105" s="207" t="s">
        <v>196</v>
      </c>
      <c r="AJ105" s="206" t="s">
        <v>197</v>
      </c>
      <c r="AK105" s="207" t="s">
        <v>198</v>
      </c>
      <c r="AL105" s="206" t="s">
        <v>199</v>
      </c>
    </row>
    <row r="106">
      <c r="A106" s="216">
        <v>46242</v>
      </c>
      <c r="B106" s="217" t="s">
        <v>200</v>
      </c>
      <c r="C106" s="218" t="s">
        <v>216</v>
      </c>
      <c r="D106" s="219">
        <f t="shared" ref="D106:D110" si="453">E106+F106+G106+H106</f>
      </c>
      <c r="E106" s="220">
        <v>672.77</v>
      </c>
      <c r="F106" s="221">
        <v>2111</v>
      </c>
      <c r="G106" s="221">
        <v>0</v>
      </c>
      <c r="H106" s="221">
        <v>0</v>
      </c>
      <c r="I106" s="221">
        <f t="shared" ref="I106:I110" si="338">AB106+AC106</f>
      </c>
      <c r="J106" s="222">
        <v>0</v>
      </c>
      <c r="K106" s="223">
        <f t="shared" ref="K106:K110" si="223">I106-J106</f>
      </c>
      <c r="L106" s="223">
        <f t="shared" ref="L106:L110" si="108">(I106-AC106)/12+AC106</f>
      </c>
      <c r="M106" s="224">
        <f t="shared" ref="M106:M124" si="69">I106/D106</f>
      </c>
      <c r="N106" s="225">
        <f t="shared" ref="N106:N124" si="38">(I106-J106)/D106</f>
      </c>
      <c r="O106" s="226">
        <f t="shared" ref="O106:O124" si="7">(AC106+AB106/12)/D106</f>
      </c>
      <c r="P106" s="227">
        <f t="shared" ref="P106:P124" si="942">I106/AA106</f>
      </c>
      <c r="Q106" s="227">
        <f t="shared" ref="Q106:Q124" si="911">D106/AA106</f>
      </c>
      <c r="R106" s="227">
        <f t="shared" ref="R106:R124" si="880">D106/AG106</f>
      </c>
      <c r="S106" s="228">
        <f t="shared" ref="S106:S124" si="849">AA106/Y106</f>
      </c>
      <c r="T106" s="229">
        <f t="shared" ref="T106:T124" si="787">AI106/AH106</f>
      </c>
      <c r="U106" s="227">
        <f t="shared" ref="U106:U124" si="756">D106/AJ106</f>
      </c>
      <c r="V106" s="230">
        <f t="shared" ref="V106:V124" si="818">AK106/AJ106</f>
      </c>
      <c r="W106" s="230">
        <f t="shared" ref="W106:W124" si="725">AL106/AJ106</f>
      </c>
      <c r="X106" s="227">
        <f t="shared" ref="X106:X124" si="694">D106/AL106</f>
      </c>
      <c r="Y106" s="231">
        <f t="shared" ref="Y106:Y110" si="556">Z106+AA106</f>
      </c>
      <c r="Z106" s="231">
        <v>1</v>
      </c>
      <c r="AA106" s="231">
        <v>2</v>
      </c>
      <c r="AB106" s="232">
        <v>6517.8</v>
      </c>
      <c r="AC106" s="232">
        <v>0</v>
      </c>
      <c r="AD106" s="228">
        <f t="shared" ref="AD106:AD124" si="663">AC106/I106</f>
      </c>
      <c r="AE106" s="233" t="s">
        <v>202</v>
      </c>
      <c r="AF106" s="234" t="s">
        <v>217</v>
      </c>
      <c r="AG106" s="235">
        <v>2</v>
      </c>
      <c r="AH106" s="235">
        <v>22508</v>
      </c>
      <c r="AI106" s="236">
        <v>383</v>
      </c>
      <c r="AJ106" s="236">
        <v>383</v>
      </c>
      <c r="AK106" s="235">
        <v>38</v>
      </c>
      <c r="AL106" s="237">
        <v>50</v>
      </c>
    </row>
    <row r="107">
      <c r="A107" s="216"/>
      <c r="B107" s="217" t="s">
        <v>200</v>
      </c>
      <c r="C107" s="218" t="s">
        <v>218</v>
      </c>
      <c r="D107" s="219">
        <f t="shared" si="453"/>
      </c>
      <c r="E107" s="218">
        <v>852.61</v>
      </c>
      <c r="F107" s="221">
        <v>1208.16</v>
      </c>
      <c r="G107" s="221">
        <v>0</v>
      </c>
      <c r="H107" s="221">
        <v>0</v>
      </c>
      <c r="I107" s="221">
        <f t="shared" si="338"/>
      </c>
      <c r="J107" s="222">
        <v>0</v>
      </c>
      <c r="K107" s="223">
        <f t="shared" si="223"/>
      </c>
      <c r="L107" s="223">
        <f t="shared" si="108"/>
      </c>
      <c r="M107" s="224">
        <f t="shared" si="69"/>
      </c>
      <c r="N107" s="225">
        <f t="shared" si="38"/>
      </c>
      <c r="O107" s="226">
        <f t="shared" si="7"/>
      </c>
      <c r="P107" s="227">
        <f t="shared" si="942"/>
      </c>
      <c r="Q107" s="227">
        <f t="shared" si="911"/>
      </c>
      <c r="R107" s="227">
        <f t="shared" si="880"/>
      </c>
      <c r="S107" s="228">
        <f t="shared" si="849"/>
      </c>
      <c r="T107" s="229">
        <f t="shared" si="787"/>
      </c>
      <c r="U107" s="227">
        <f t="shared" si="756"/>
      </c>
      <c r="V107" s="230">
        <f t="shared" si="818"/>
      </c>
      <c r="W107" s="230">
        <f t="shared" si="725"/>
      </c>
      <c r="X107" s="227">
        <f t="shared" si="694"/>
      </c>
      <c r="Y107" s="231">
        <f t="shared" si="556"/>
      </c>
      <c r="Z107" s="231">
        <v>0</v>
      </c>
      <c r="AA107" s="231">
        <v>2</v>
      </c>
      <c r="AB107" s="232">
        <v>5269.320000000001</v>
      </c>
      <c r="AC107" s="232">
        <v>0</v>
      </c>
      <c r="AD107" s="228">
        <f t="shared" si="663"/>
      </c>
      <c r="AE107" s="233" t="s">
        <v>202</v>
      </c>
      <c r="AF107" s="234" t="s">
        <v>217</v>
      </c>
      <c r="AG107" s="235">
        <v>1</v>
      </c>
      <c r="AH107" s="236">
        <v>19040</v>
      </c>
      <c r="AI107" s="236">
        <v>348</v>
      </c>
      <c r="AJ107" s="236">
        <v>374</v>
      </c>
      <c r="AK107" s="237">
        <v>57</v>
      </c>
      <c r="AL107" s="237">
        <v>61</v>
      </c>
    </row>
    <row r="108">
      <c r="A108" s="216"/>
      <c r="B108" s="217" t="s">
        <v>200</v>
      </c>
      <c r="C108" s="218" t="s">
        <v>219</v>
      </c>
      <c r="D108" s="219">
        <f t="shared" si="453"/>
      </c>
      <c r="E108" s="218">
        <v>1048.93</v>
      </c>
      <c r="F108" s="218">
        <v>2573.36</v>
      </c>
      <c r="G108" s="218">
        <v>0</v>
      </c>
      <c r="H108" s="218">
        <v>0</v>
      </c>
      <c r="I108" s="221">
        <f t="shared" si="338"/>
      </c>
      <c r="J108" s="222">
        <v>2819.88</v>
      </c>
      <c r="K108" s="223">
        <f t="shared" si="223"/>
      </c>
      <c r="L108" s="223">
        <f t="shared" si="108"/>
      </c>
      <c r="M108" s="224">
        <f t="shared" si="69"/>
      </c>
      <c r="N108" s="225">
        <f t="shared" si="38"/>
      </c>
      <c r="O108" s="226">
        <f t="shared" si="7"/>
      </c>
      <c r="P108" s="227">
        <f t="shared" si="942"/>
      </c>
      <c r="Q108" s="227">
        <f t="shared" si="911"/>
      </c>
      <c r="R108" s="227">
        <f t="shared" si="880"/>
      </c>
      <c r="S108" s="228">
        <f t="shared" si="849"/>
      </c>
      <c r="T108" s="229">
        <f t="shared" si="787"/>
      </c>
      <c r="U108" s="227">
        <f t="shared" si="756"/>
      </c>
      <c r="V108" s="230">
        <f t="shared" si="818"/>
      </c>
      <c r="W108" s="230">
        <f t="shared" si="725"/>
      </c>
      <c r="X108" s="227">
        <f t="shared" si="694"/>
      </c>
      <c r="Y108" s="231">
        <f t="shared" si="556"/>
      </c>
      <c r="Z108" s="231">
        <v>1</v>
      </c>
      <c r="AA108" s="231">
        <v>2</v>
      </c>
      <c r="AB108" s="232">
        <v>5249.4</v>
      </c>
      <c r="AC108" s="232">
        <v>0</v>
      </c>
      <c r="AD108" s="228">
        <f t="shared" si="663"/>
      </c>
      <c r="AE108" s="233" t="s">
        <v>202</v>
      </c>
      <c r="AF108" s="234" t="s">
        <v>217</v>
      </c>
      <c r="AG108" s="237">
        <v>2</v>
      </c>
      <c r="AH108" s="236">
        <v>36018</v>
      </c>
      <c r="AI108" s="236">
        <v>565</v>
      </c>
      <c r="AJ108" s="236">
        <v>571</v>
      </c>
      <c r="AK108" s="237">
        <v>86</v>
      </c>
      <c r="AL108" s="237">
        <v>117</v>
      </c>
    </row>
    <row r="109">
      <c r="A109" s="216"/>
      <c r="B109" s="217" t="s">
        <v>200</v>
      </c>
      <c r="C109" s="218" t="s">
        <v>220</v>
      </c>
      <c r="D109" s="219">
        <f t="shared" si="453"/>
      </c>
      <c r="E109" s="218">
        <v>985.15</v>
      </c>
      <c r="F109" s="221">
        <v>1884.48</v>
      </c>
      <c r="G109" s="221">
        <v>0</v>
      </c>
      <c r="H109" s="221">
        <v>0</v>
      </c>
      <c r="I109" s="221">
        <f t="shared" si="338"/>
      </c>
      <c r="J109" s="222">
        <v>2703.24</v>
      </c>
      <c r="K109" s="223">
        <f t="shared" si="223"/>
      </c>
      <c r="L109" s="223">
        <f t="shared" si="108"/>
      </c>
      <c r="M109" s="224">
        <f t="shared" si="69"/>
      </c>
      <c r="N109" s="225">
        <f t="shared" si="38"/>
      </c>
      <c r="O109" s="226">
        <f t="shared" si="7"/>
      </c>
      <c r="P109" s="227">
        <f t="shared" si="942"/>
      </c>
      <c r="Q109" s="227">
        <f t="shared" si="911"/>
      </c>
      <c r="R109" s="227">
        <f t="shared" si="880"/>
      </c>
      <c r="S109" s="228">
        <f t="shared" si="849"/>
      </c>
      <c r="T109" s="229">
        <f t="shared" si="787"/>
      </c>
      <c r="U109" s="227">
        <f t="shared" si="756"/>
      </c>
      <c r="V109" s="230">
        <f t="shared" si="818"/>
      </c>
      <c r="W109" s="230">
        <f t="shared" si="725"/>
      </c>
      <c r="X109" s="227">
        <f t="shared" si="694"/>
      </c>
      <c r="Y109" s="231">
        <f t="shared" si="556"/>
      </c>
      <c r="Z109" s="231">
        <v>1</v>
      </c>
      <c r="AA109" s="231">
        <v>2</v>
      </c>
      <c r="AB109" s="222">
        <v>4024.079999999998</v>
      </c>
      <c r="AC109" s="232">
        <v>0</v>
      </c>
      <c r="AD109" s="228">
        <f t="shared" si="663"/>
      </c>
      <c r="AE109" s="233" t="s">
        <v>202</v>
      </c>
      <c r="AF109" s="234" t="s">
        <v>217</v>
      </c>
      <c r="AG109" s="235">
        <v>1</v>
      </c>
      <c r="AH109" s="236">
        <v>33526</v>
      </c>
      <c r="AI109" s="236">
        <v>490</v>
      </c>
      <c r="AJ109" s="236">
        <v>492</v>
      </c>
      <c r="AK109" s="237">
        <v>85</v>
      </c>
      <c r="AL109" s="237">
        <v>106</v>
      </c>
    </row>
    <row r="110">
      <c r="A110" s="216"/>
      <c r="B110" s="217" t="s">
        <v>200</v>
      </c>
      <c r="C110" s="218" t="s">
        <v>221</v>
      </c>
      <c r="D110" s="219">
        <f t="shared" si="453"/>
      </c>
      <c r="E110" s="218">
        <v>1189.2</v>
      </c>
      <c r="F110" s="221">
        <v>1992.05</v>
      </c>
      <c r="G110" s="221">
        <v>0</v>
      </c>
      <c r="H110" s="221">
        <v>0</v>
      </c>
      <c r="I110" s="238">
        <f t="shared" si="338"/>
      </c>
      <c r="J110" s="222">
        <v>2328</v>
      </c>
      <c r="K110" s="223">
        <f t="shared" si="223"/>
      </c>
      <c r="L110" s="223">
        <f t="shared" si="108"/>
      </c>
      <c r="M110" s="224">
        <f t="shared" si="69"/>
      </c>
      <c r="N110" s="225">
        <f t="shared" si="38"/>
      </c>
      <c r="O110" s="226">
        <f t="shared" si="7"/>
      </c>
      <c r="P110" s="227">
        <f t="shared" si="942"/>
      </c>
      <c r="Q110" s="227">
        <f t="shared" si="911"/>
      </c>
      <c r="R110" s="227">
        <f t="shared" si="880"/>
      </c>
      <c r="S110" s="228">
        <f t="shared" si="849"/>
      </c>
      <c r="T110" s="229">
        <f t="shared" si="787"/>
      </c>
      <c r="U110" s="227">
        <f t="shared" si="756"/>
      </c>
      <c r="V110" s="230">
        <f t="shared" si="818"/>
      </c>
      <c r="W110" s="230">
        <f t="shared" si="725"/>
      </c>
      <c r="X110" s="227">
        <f t="shared" si="694"/>
      </c>
      <c r="Y110" s="231">
        <f t="shared" si="556"/>
      </c>
      <c r="Z110" s="231">
        <v>0</v>
      </c>
      <c r="AA110" s="231">
        <v>3</v>
      </c>
      <c r="AB110" s="232">
        <v>5433</v>
      </c>
      <c r="AC110" s="232">
        <v>2328</v>
      </c>
      <c r="AD110" s="228">
        <f t="shared" si="663"/>
      </c>
      <c r="AE110" s="233" t="s">
        <v>202</v>
      </c>
      <c r="AF110" s="234" t="s">
        <v>217</v>
      </c>
      <c r="AG110" s="235">
        <v>3</v>
      </c>
      <c r="AH110" s="236">
        <v>36398</v>
      </c>
      <c r="AI110" s="236">
        <v>610</v>
      </c>
      <c r="AJ110" s="236">
        <v>612</v>
      </c>
      <c r="AK110" s="237">
        <v>74</v>
      </c>
      <c r="AL110" s="237">
        <v>88</v>
      </c>
    </row>
    <row r="111">
      <c r="A111" s="216"/>
      <c r="B111" s="239" t="s">
        <v>208</v>
      </c>
      <c r="C111" s="240">
        <v>5</v>
      </c>
      <c r="D111" s="241">
        <f>SUM(D106:D110)</f>
      </c>
      <c r="E111" s="241">
        <f>SUM(E106:E110)</f>
      </c>
      <c r="F111" s="241">
        <f>SUM(F106:F110)</f>
      </c>
      <c r="G111" s="241">
        <f>SUM(G106:G110)</f>
      </c>
      <c r="H111" s="241">
        <f>SUM(H106:H110)</f>
      </c>
      <c r="I111" s="259">
        <f>SUM(I106:I110)</f>
      </c>
      <c r="J111" s="241">
        <f>SUM(J106:J110)</f>
      </c>
      <c r="K111" s="241">
        <f>SUM(K106:K110)</f>
      </c>
      <c r="L111" s="241">
        <f>SUM(L106:L110)</f>
      </c>
      <c r="M111" s="242">
        <f t="shared" si="69"/>
      </c>
      <c r="N111" s="243">
        <f t="shared" si="38"/>
      </c>
      <c r="O111" s="243">
        <f t="shared" si="7"/>
      </c>
      <c r="P111" s="244">
        <f t="shared" si="942"/>
      </c>
      <c r="Q111" s="244">
        <f t="shared" si="911"/>
      </c>
      <c r="R111" s="244">
        <f t="shared" si="880"/>
      </c>
      <c r="S111" s="245">
        <f t="shared" si="849"/>
      </c>
      <c r="T111" s="245">
        <f t="shared" si="787"/>
      </c>
      <c r="U111" s="244">
        <f t="shared" si="756"/>
      </c>
      <c r="V111" s="245">
        <f t="shared" si="818"/>
      </c>
      <c r="W111" s="245">
        <f t="shared" si="725"/>
      </c>
      <c r="X111" s="244">
        <f t="shared" si="694"/>
      </c>
      <c r="Y111" s="241">
        <f>SUM(Y106:Y110)</f>
      </c>
      <c r="Z111" s="241">
        <f>SUM(Z106:Z110)</f>
      </c>
      <c r="AA111" s="241">
        <f>SUM(AA106:AA110)</f>
      </c>
      <c r="AB111" s="241">
        <f>SUM(AB106:AB110)</f>
      </c>
      <c r="AC111" s="241">
        <f>SUM(AC106:AC110)</f>
      </c>
      <c r="AD111" s="246">
        <f t="shared" si="663"/>
      </c>
      <c r="AE111" s="247"/>
      <c r="AF111" s="248"/>
      <c r="AG111" s="241">
        <f>SUM(AG106:AG110)</f>
      </c>
      <c r="AH111" s="241">
        <f>SUM(AH106:AH110)</f>
      </c>
      <c r="AI111" s="241">
        <f>SUM(AI106:AI110)</f>
      </c>
      <c r="AJ111" s="241">
        <f>SUM(AJ106:AJ110)</f>
      </c>
      <c r="AK111" s="241">
        <f>SUM(AK106:AK110)</f>
      </c>
      <c r="AL111" s="241">
        <f>SUM(AL106:AL110)</f>
      </c>
    </row>
    <row r="112">
      <c r="A112" s="216"/>
      <c r="B112" s="217" t="s">
        <v>222</v>
      </c>
      <c r="C112" s="218" t="s">
        <v>201</v>
      </c>
      <c r="D112" s="219">
        <f t="shared" ref="D112:D116" si="454">E112+F112+G112+H112</f>
      </c>
      <c r="E112" s="220">
        <v>1753.57</v>
      </c>
      <c r="F112" s="221">
        <v>725.93</v>
      </c>
      <c r="G112" s="221">
        <v>0</v>
      </c>
      <c r="H112" s="221">
        <v>0</v>
      </c>
      <c r="I112" s="221">
        <f t="shared" ref="I112:I116" si="339">AB112+AC112</f>
      </c>
      <c r="J112" s="222">
        <v>0</v>
      </c>
      <c r="K112" s="223">
        <f t="shared" ref="K112:K116" si="224">I112-J112</f>
      </c>
      <c r="L112" s="223">
        <f t="shared" ref="L112:L116" si="109">(I112-AC112)/12+AC112</f>
      </c>
      <c r="M112" s="224">
        <f t="shared" si="69"/>
      </c>
      <c r="N112" s="225">
        <f t="shared" si="38"/>
      </c>
      <c r="O112" s="226">
        <f t="shared" si="7"/>
      </c>
      <c r="P112" s="227">
        <f t="shared" si="942"/>
      </c>
      <c r="Q112" s="227">
        <f t="shared" si="911"/>
      </c>
      <c r="R112" s="227">
        <f t="shared" si="880"/>
      </c>
      <c r="S112" s="228">
        <f t="shared" si="849"/>
      </c>
      <c r="T112" s="229">
        <f t="shared" si="787"/>
      </c>
      <c r="U112" s="227">
        <f t="shared" si="756"/>
      </c>
      <c r="V112" s="230">
        <f t="shared" si="818"/>
      </c>
      <c r="W112" s="230">
        <f t="shared" si="725"/>
      </c>
      <c r="X112" s="227">
        <f t="shared" si="694"/>
      </c>
      <c r="Y112" s="231">
        <f t="shared" ref="Y112:Y116" si="557">Z112+AA112</f>
      </c>
      <c r="Z112" s="231">
        <v>1</v>
      </c>
      <c r="AA112" s="231">
        <v>0</v>
      </c>
      <c r="AB112" s="232">
        <v>0</v>
      </c>
      <c r="AC112" s="232">
        <v>0</v>
      </c>
      <c r="AD112" s="228">
        <f t="shared" si="663"/>
      </c>
      <c r="AE112" s="233" t="s">
        <v>202</v>
      </c>
      <c r="AF112" s="234" t="s">
        <v>217</v>
      </c>
      <c r="AG112" s="235">
        <v>0</v>
      </c>
      <c r="AH112" s="236">
        <v>26575</v>
      </c>
      <c r="AI112" s="236">
        <v>681</v>
      </c>
      <c r="AJ112" s="236">
        <v>746</v>
      </c>
      <c r="AK112" s="235">
        <v>75</v>
      </c>
      <c r="AL112" s="235">
        <v>92</v>
      </c>
    </row>
    <row r="113">
      <c r="A113" s="216"/>
      <c r="B113" s="217" t="s">
        <v>222</v>
      </c>
      <c r="C113" s="218" t="s">
        <v>204</v>
      </c>
      <c r="D113" s="219">
        <f t="shared" si="454"/>
      </c>
      <c r="E113" s="218">
        <v>1318.46</v>
      </c>
      <c r="F113" s="221">
        <v>1498.68</v>
      </c>
      <c r="G113" s="221">
        <v>0</v>
      </c>
      <c r="H113" s="221">
        <v>0</v>
      </c>
      <c r="I113" s="221">
        <f t="shared" si="339"/>
      </c>
      <c r="J113" s="222">
        <v>0</v>
      </c>
      <c r="K113" s="223">
        <f t="shared" si="224"/>
      </c>
      <c r="L113" s="223">
        <f t="shared" si="109"/>
      </c>
      <c r="M113" s="224">
        <f t="shared" si="69"/>
      </c>
      <c r="N113" s="225">
        <f t="shared" si="38"/>
      </c>
      <c r="O113" s="226">
        <f t="shared" si="7"/>
      </c>
      <c r="P113" s="227">
        <f t="shared" si="942"/>
      </c>
      <c r="Q113" s="227">
        <f t="shared" si="911"/>
      </c>
      <c r="R113" s="227">
        <f t="shared" si="880"/>
      </c>
      <c r="S113" s="228">
        <f t="shared" si="849"/>
      </c>
      <c r="T113" s="229">
        <f t="shared" si="787"/>
      </c>
      <c r="U113" s="227">
        <f t="shared" si="756"/>
      </c>
      <c r="V113" s="230">
        <f t="shared" si="818"/>
      </c>
      <c r="W113" s="230">
        <f t="shared" si="725"/>
      </c>
      <c r="X113" s="227">
        <f t="shared" si="694"/>
      </c>
      <c r="Y113" s="231">
        <f t="shared" si="557"/>
      </c>
      <c r="Z113" s="231">
        <v>3</v>
      </c>
      <c r="AA113" s="231">
        <v>1</v>
      </c>
      <c r="AB113" s="232">
        <v>1480.6800000000003</v>
      </c>
      <c r="AC113" s="232">
        <v>0</v>
      </c>
      <c r="AD113" s="228">
        <f t="shared" si="663"/>
      </c>
      <c r="AE113" s="233" t="s">
        <v>202</v>
      </c>
      <c r="AF113" s="234" t="s">
        <v>217</v>
      </c>
      <c r="AG113" s="235">
        <v>1</v>
      </c>
      <c r="AH113" s="236">
        <v>33077</v>
      </c>
      <c r="AI113" s="236">
        <v>661</v>
      </c>
      <c r="AJ113" s="236">
        <v>697</v>
      </c>
      <c r="AK113" s="237">
        <v>79</v>
      </c>
      <c r="AL113" s="237">
        <v>104</v>
      </c>
    </row>
    <row r="114">
      <c r="A114" s="216"/>
      <c r="B114" s="217" t="s">
        <v>222</v>
      </c>
      <c r="C114" s="218" t="s">
        <v>205</v>
      </c>
      <c r="D114" s="219">
        <f t="shared" si="454"/>
      </c>
      <c r="E114" s="218">
        <v>905.76</v>
      </c>
      <c r="F114" s="218">
        <v>590.81</v>
      </c>
      <c r="G114" s="218">
        <v>0</v>
      </c>
      <c r="H114" s="218">
        <v>0</v>
      </c>
      <c r="I114" s="221">
        <f t="shared" si="339"/>
      </c>
      <c r="J114" s="222">
        <v>1622.16</v>
      </c>
      <c r="K114" s="223">
        <f t="shared" si="224"/>
      </c>
      <c r="L114" s="223">
        <f t="shared" si="109"/>
      </c>
      <c r="M114" s="224">
        <f t="shared" si="69"/>
      </c>
      <c r="N114" s="225">
        <f t="shared" si="38"/>
      </c>
      <c r="O114" s="226">
        <f t="shared" si="7"/>
      </c>
      <c r="P114" s="227">
        <f t="shared" si="942"/>
      </c>
      <c r="Q114" s="227">
        <f t="shared" si="911"/>
      </c>
      <c r="R114" s="227">
        <f t="shared" si="880"/>
      </c>
      <c r="S114" s="228">
        <f t="shared" si="849"/>
      </c>
      <c r="T114" s="229">
        <f t="shared" si="787"/>
      </c>
      <c r="U114" s="227">
        <f t="shared" si="756"/>
      </c>
      <c r="V114" s="230">
        <f t="shared" si="818"/>
      </c>
      <c r="W114" s="230">
        <f t="shared" si="725"/>
      </c>
      <c r="X114" s="227">
        <f t="shared" si="694"/>
      </c>
      <c r="Y114" s="231">
        <f t="shared" si="557"/>
      </c>
      <c r="Z114" s="231">
        <v>0</v>
      </c>
      <c r="AA114" s="231">
        <v>1</v>
      </c>
      <c r="AB114" s="232">
        <v>1622.1599999999999</v>
      </c>
      <c r="AC114" s="232">
        <v>0</v>
      </c>
      <c r="AD114" s="228">
        <f t="shared" si="663"/>
      </c>
      <c r="AE114" s="233" t="s">
        <v>202</v>
      </c>
      <c r="AF114" s="234" t="s">
        <v>203</v>
      </c>
      <c r="AG114" s="237">
        <v>1</v>
      </c>
      <c r="AH114" s="236">
        <v>16571</v>
      </c>
      <c r="AI114" s="236">
        <v>396</v>
      </c>
      <c r="AJ114" s="236">
        <v>427</v>
      </c>
      <c r="AK114" s="237">
        <v>41</v>
      </c>
      <c r="AL114" s="237">
        <v>59</v>
      </c>
    </row>
    <row r="115">
      <c r="A115" s="216"/>
      <c r="B115" s="217" t="s">
        <v>222</v>
      </c>
      <c r="C115" s="218" t="s">
        <v>206</v>
      </c>
      <c r="D115" s="219">
        <f t="shared" si="454"/>
      </c>
      <c r="E115" s="218">
        <v>767.76</v>
      </c>
      <c r="F115" s="221">
        <v>1255.71</v>
      </c>
      <c r="G115" s="221">
        <v>0</v>
      </c>
      <c r="H115" s="221">
        <v>0</v>
      </c>
      <c r="I115" s="221">
        <f t="shared" si="339"/>
      </c>
      <c r="J115" s="222">
        <v>0</v>
      </c>
      <c r="K115" s="223">
        <f t="shared" si="224"/>
      </c>
      <c r="L115" s="223">
        <f t="shared" si="109"/>
      </c>
      <c r="M115" s="224">
        <f t="shared" si="69"/>
      </c>
      <c r="N115" s="225">
        <f t="shared" si="38"/>
      </c>
      <c r="O115" s="226">
        <f t="shared" si="7"/>
      </c>
      <c r="P115" s="227">
        <f t="shared" si="942"/>
      </c>
      <c r="Q115" s="227">
        <f t="shared" si="911"/>
      </c>
      <c r="R115" s="227">
        <f t="shared" si="880"/>
      </c>
      <c r="S115" s="228">
        <f t="shared" si="849"/>
      </c>
      <c r="T115" s="229">
        <f t="shared" si="787"/>
      </c>
      <c r="U115" s="227">
        <f t="shared" si="756"/>
      </c>
      <c r="V115" s="230">
        <f t="shared" si="818"/>
      </c>
      <c r="W115" s="230">
        <f t="shared" si="725"/>
      </c>
      <c r="X115" s="227">
        <f t="shared" si="694"/>
      </c>
      <c r="Y115" s="231">
        <f t="shared" si="557"/>
      </c>
      <c r="Z115" s="231">
        <v>4</v>
      </c>
      <c r="AA115" s="231">
        <v>0</v>
      </c>
      <c r="AB115" s="222">
        <v>0</v>
      </c>
      <c r="AC115" s="232">
        <v>0</v>
      </c>
      <c r="AD115" s="228">
        <f t="shared" si="663"/>
      </c>
      <c r="AE115" s="233" t="s">
        <v>202</v>
      </c>
      <c r="AF115" s="234" t="s">
        <v>203</v>
      </c>
      <c r="AG115" s="235">
        <v>0</v>
      </c>
      <c r="AH115" s="236">
        <v>20346</v>
      </c>
      <c r="AI115" s="236">
        <v>427</v>
      </c>
      <c r="AJ115" s="236">
        <v>441</v>
      </c>
      <c r="AK115" s="237">
        <v>54</v>
      </c>
      <c r="AL115" s="237">
        <v>77</v>
      </c>
    </row>
    <row r="116">
      <c r="A116" s="216"/>
      <c r="B116" s="217" t="s">
        <v>222</v>
      </c>
      <c r="C116" s="218" t="s">
        <v>207</v>
      </c>
      <c r="D116" s="219">
        <f t="shared" si="454"/>
      </c>
      <c r="E116" s="218">
        <v>709.16</v>
      </c>
      <c r="F116" s="221">
        <v>1419.06</v>
      </c>
      <c r="G116" s="221">
        <v>0</v>
      </c>
      <c r="H116" s="221">
        <v>0</v>
      </c>
      <c r="I116" s="238">
        <f t="shared" si="339"/>
      </c>
      <c r="J116" s="222">
        <v>676.08</v>
      </c>
      <c r="K116" s="223">
        <f t="shared" si="224"/>
      </c>
      <c r="L116" s="223">
        <f t="shared" si="109"/>
      </c>
      <c r="M116" s="224">
        <f t="shared" si="69"/>
      </c>
      <c r="N116" s="225">
        <f t="shared" si="38"/>
      </c>
      <c r="O116" s="226">
        <f t="shared" si="7"/>
      </c>
      <c r="P116" s="227">
        <f t="shared" si="942"/>
      </c>
      <c r="Q116" s="227">
        <f t="shared" si="911"/>
      </c>
      <c r="R116" s="227">
        <f t="shared" si="880"/>
      </c>
      <c r="S116" s="228">
        <f t="shared" si="849"/>
      </c>
      <c r="T116" s="229">
        <f t="shared" si="787"/>
      </c>
      <c r="U116" s="227">
        <f t="shared" si="756"/>
      </c>
      <c r="V116" s="230">
        <f t="shared" si="818"/>
      </c>
      <c r="W116" s="230">
        <f t="shared" si="725"/>
      </c>
      <c r="X116" s="227">
        <f t="shared" si="694"/>
      </c>
      <c r="Y116" s="231">
        <f t="shared" si="557"/>
      </c>
      <c r="Z116" s="231">
        <v>1</v>
      </c>
      <c r="AA116" s="231">
        <v>2</v>
      </c>
      <c r="AB116" s="232">
        <v>1893.2400000000016</v>
      </c>
      <c r="AC116" s="232">
        <v>0</v>
      </c>
      <c r="AD116" s="228">
        <f t="shared" si="663"/>
      </c>
      <c r="AE116" s="233" t="s">
        <v>202</v>
      </c>
      <c r="AF116" s="234" t="s">
        <v>203</v>
      </c>
      <c r="AG116" s="235">
        <v>2</v>
      </c>
      <c r="AH116" s="236">
        <v>22044</v>
      </c>
      <c r="AI116" s="236">
        <v>436</v>
      </c>
      <c r="AJ116" s="236">
        <v>457</v>
      </c>
      <c r="AK116" s="237">
        <v>57</v>
      </c>
      <c r="AL116" s="237">
        <v>83</v>
      </c>
    </row>
    <row r="117">
      <c r="A117" s="216"/>
      <c r="B117" s="239" t="s">
        <v>208</v>
      </c>
      <c r="C117" s="240">
        <v>5</v>
      </c>
      <c r="D117" s="241">
        <f>SUM(D112:D116)</f>
      </c>
      <c r="E117" s="241">
        <f>SUM(E112:E116)</f>
      </c>
      <c r="F117" s="241">
        <f>SUM(F112:F116)</f>
      </c>
      <c r="G117" s="241">
        <f>SUM(G112:G116)</f>
      </c>
      <c r="H117" s="241">
        <f>SUM(H112:H116)</f>
      </c>
      <c r="I117" s="259">
        <f>SUM(I112:I116)</f>
      </c>
      <c r="J117" s="241">
        <f>SUM(J112:J116)</f>
      </c>
      <c r="K117" s="241">
        <f>SUM(K112:K116)</f>
      </c>
      <c r="L117" s="241">
        <f>SUM(L112:L116)</f>
      </c>
      <c r="M117" s="242">
        <f t="shared" si="69"/>
      </c>
      <c r="N117" s="243">
        <f t="shared" si="38"/>
      </c>
      <c r="O117" s="243">
        <f t="shared" si="7"/>
      </c>
      <c r="P117" s="244">
        <f t="shared" si="942"/>
      </c>
      <c r="Q117" s="244">
        <f t="shared" si="911"/>
      </c>
      <c r="R117" s="244">
        <f t="shared" si="880"/>
      </c>
      <c r="S117" s="245">
        <f t="shared" si="849"/>
      </c>
      <c r="T117" s="245">
        <f t="shared" si="787"/>
      </c>
      <c r="U117" s="244">
        <f t="shared" si="756"/>
      </c>
      <c r="V117" s="245">
        <f t="shared" si="818"/>
      </c>
      <c r="W117" s="245">
        <f t="shared" si="725"/>
      </c>
      <c r="X117" s="244">
        <f t="shared" si="694"/>
      </c>
      <c r="Y117" s="241">
        <f>SUM(Y112:Y116)</f>
      </c>
      <c r="Z117" s="241">
        <f>SUM(Z112:Z116)</f>
      </c>
      <c r="AA117" s="241">
        <f>SUM(AA112:AA116)</f>
      </c>
      <c r="AB117" s="241">
        <f>SUM(AB112:AB116)</f>
      </c>
      <c r="AC117" s="241">
        <f>SUM(AC112:AC116)</f>
      </c>
      <c r="AD117" s="246">
        <f t="shared" si="663"/>
      </c>
      <c r="AE117" s="247"/>
      <c r="AF117" s="248"/>
      <c r="AG117" s="241">
        <f>SUM(AG112:AG116)</f>
      </c>
      <c r="AH117" s="241">
        <f>SUM(AH112:AH116)</f>
      </c>
      <c r="AI117" s="241">
        <f>SUM(AI112:AI116)</f>
      </c>
      <c r="AJ117" s="241">
        <f>SUM(AJ112:AJ116)</f>
      </c>
      <c r="AK117" s="241">
        <f>SUM(AK112:AK116)</f>
      </c>
      <c r="AL117" s="241">
        <f>SUM(AL112:AL116)</f>
      </c>
    </row>
    <row r="118">
      <c r="A118" s="216"/>
      <c r="B118" s="217" t="s">
        <v>209</v>
      </c>
      <c r="C118" s="218" t="s">
        <v>210</v>
      </c>
      <c r="D118" s="219">
        <f t="shared" ref="D118:D122" si="455">E118+F118+G118+H118</f>
      </c>
      <c r="E118" s="218">
        <v>885.17</v>
      </c>
      <c r="F118" s="249">
        <v>1752.42</v>
      </c>
      <c r="G118" s="221">
        <v>0</v>
      </c>
      <c r="H118" s="221">
        <v>0</v>
      </c>
      <c r="I118" s="250">
        <f t="shared" ref="I118:I122" si="340">AB118+AC118</f>
      </c>
      <c r="J118" s="251">
        <v>0</v>
      </c>
      <c r="K118" s="223">
        <f t="shared" ref="K118:K122" si="225">I118-J118</f>
      </c>
      <c r="L118" s="223">
        <f t="shared" ref="L118:L122" si="110">(I118-AC118)/12+AC118</f>
      </c>
      <c r="M118" s="224">
        <f t="shared" si="69"/>
      </c>
      <c r="N118" s="225">
        <f t="shared" si="38"/>
      </c>
      <c r="O118" s="226">
        <f t="shared" si="7"/>
      </c>
      <c r="P118" s="227">
        <f t="shared" si="942"/>
      </c>
      <c r="Q118" s="227">
        <f t="shared" si="911"/>
      </c>
      <c r="R118" s="227">
        <f t="shared" si="880"/>
      </c>
      <c r="S118" s="228">
        <f t="shared" si="849"/>
      </c>
      <c r="T118" s="229">
        <f t="shared" si="787"/>
      </c>
      <c r="U118" s="227">
        <f t="shared" si="756"/>
      </c>
      <c r="V118" s="230">
        <f t="shared" si="818"/>
      </c>
      <c r="W118" s="230">
        <f t="shared" si="725"/>
      </c>
      <c r="X118" s="227">
        <f t="shared" si="694"/>
      </c>
      <c r="Y118" s="231">
        <f t="shared" ref="Y118:Y122" si="558">Z118+AA118</f>
      </c>
      <c r="Z118" s="231">
        <v>1</v>
      </c>
      <c r="AA118" s="231">
        <v>3</v>
      </c>
      <c r="AB118" s="232">
        <v>3410.279999999999</v>
      </c>
      <c r="AC118" s="232">
        <v>0</v>
      </c>
      <c r="AD118" s="228">
        <f t="shared" si="663"/>
      </c>
      <c r="AE118" s="233" t="s">
        <v>202</v>
      </c>
      <c r="AF118" s="234" t="s">
        <v>203</v>
      </c>
      <c r="AG118" s="235">
        <v>3</v>
      </c>
      <c r="AH118" s="236">
        <v>26228</v>
      </c>
      <c r="AI118" s="236">
        <v>438</v>
      </c>
      <c r="AJ118" s="236">
        <v>467</v>
      </c>
      <c r="AK118" s="237">
        <v>46</v>
      </c>
      <c r="AL118" s="237">
        <v>80</v>
      </c>
    </row>
    <row r="119">
      <c r="A119" s="216"/>
      <c r="B119" s="217" t="s">
        <v>209</v>
      </c>
      <c r="C119" s="252" t="s">
        <v>211</v>
      </c>
      <c r="D119" s="219">
        <f t="shared" si="455"/>
      </c>
      <c r="E119" s="218">
        <v>815.08</v>
      </c>
      <c r="F119" s="249">
        <v>3406.51</v>
      </c>
      <c r="G119" s="221">
        <v>0</v>
      </c>
      <c r="H119" s="221">
        <v>0</v>
      </c>
      <c r="I119" s="250">
        <f t="shared" si="340"/>
      </c>
      <c r="J119" s="251">
        <v>0</v>
      </c>
      <c r="K119" s="223">
        <f t="shared" si="225"/>
      </c>
      <c r="L119" s="223">
        <f t="shared" si="110"/>
      </c>
      <c r="M119" s="224">
        <f t="shared" si="69"/>
      </c>
      <c r="N119" s="225">
        <f t="shared" si="38"/>
      </c>
      <c r="O119" s="226">
        <f t="shared" si="7"/>
      </c>
      <c r="P119" s="227">
        <f t="shared" si="942"/>
      </c>
      <c r="Q119" s="227">
        <f t="shared" si="911"/>
      </c>
      <c r="R119" s="227">
        <f t="shared" si="880"/>
      </c>
      <c r="S119" s="228">
        <f t="shared" si="849"/>
      </c>
      <c r="T119" s="229">
        <f t="shared" si="787"/>
      </c>
      <c r="U119" s="227">
        <f t="shared" si="756"/>
      </c>
      <c r="V119" s="230">
        <f t="shared" si="818"/>
      </c>
      <c r="W119" s="230">
        <f t="shared" si="725"/>
      </c>
      <c r="X119" s="227">
        <f t="shared" si="694"/>
      </c>
      <c r="Y119" s="231">
        <f t="shared" si="558"/>
      </c>
      <c r="Z119" s="231">
        <v>1</v>
      </c>
      <c r="AA119" s="231">
        <v>3</v>
      </c>
      <c r="AB119" s="232">
        <v>4598.639999999999</v>
      </c>
      <c r="AC119" s="232">
        <v>0</v>
      </c>
      <c r="AD119" s="228">
        <f t="shared" si="663"/>
      </c>
      <c r="AE119" s="233" t="s">
        <v>202</v>
      </c>
      <c r="AF119" s="234" t="s">
        <v>203</v>
      </c>
      <c r="AG119" s="235">
        <v>3</v>
      </c>
      <c r="AH119" s="236">
        <v>53903</v>
      </c>
      <c r="AI119" s="236">
        <v>704</v>
      </c>
      <c r="AJ119" s="236">
        <v>701</v>
      </c>
      <c r="AK119" s="237">
        <v>98</v>
      </c>
      <c r="AL119" s="237">
        <v>150</v>
      </c>
    </row>
    <row r="120">
      <c r="A120" s="216"/>
      <c r="B120" s="217" t="s">
        <v>209</v>
      </c>
      <c r="C120" s="252" t="s">
        <v>212</v>
      </c>
      <c r="D120" s="219">
        <f t="shared" si="455"/>
      </c>
      <c r="E120" s="218">
        <v>1204.28</v>
      </c>
      <c r="F120" s="249">
        <v>1914.88</v>
      </c>
      <c r="G120" s="218">
        <v>0</v>
      </c>
      <c r="H120" s="218">
        <v>0</v>
      </c>
      <c r="I120" s="250">
        <f t="shared" si="340"/>
      </c>
      <c r="J120" s="251">
        <v>0</v>
      </c>
      <c r="K120" s="223">
        <f t="shared" si="225"/>
      </c>
      <c r="L120" s="223">
        <f t="shared" si="110"/>
      </c>
      <c r="M120" s="224">
        <f t="shared" si="69"/>
      </c>
      <c r="N120" s="225">
        <f t="shared" si="38"/>
      </c>
      <c r="O120" s="226">
        <f t="shared" si="7"/>
      </c>
      <c r="P120" s="227">
        <f t="shared" si="942"/>
      </c>
      <c r="Q120" s="227">
        <f t="shared" si="911"/>
      </c>
      <c r="R120" s="227">
        <f t="shared" si="880"/>
      </c>
      <c r="S120" s="228">
        <f t="shared" si="849"/>
      </c>
      <c r="T120" s="229">
        <f t="shared" si="787"/>
      </c>
      <c r="U120" s="227">
        <f t="shared" si="756"/>
      </c>
      <c r="V120" s="230">
        <f t="shared" si="818"/>
      </c>
      <c r="W120" s="230">
        <f t="shared" si="725"/>
      </c>
      <c r="X120" s="227">
        <f t="shared" si="694"/>
      </c>
      <c r="Y120" s="231">
        <f t="shared" si="558"/>
      </c>
      <c r="Z120" s="231">
        <v>0</v>
      </c>
      <c r="AA120" s="231">
        <v>4</v>
      </c>
      <c r="AB120" s="232">
        <v>5659.200000000004</v>
      </c>
      <c r="AC120" s="232">
        <v>0</v>
      </c>
      <c r="AD120" s="228">
        <f t="shared" si="663"/>
      </c>
      <c r="AE120" s="233" t="s">
        <v>202</v>
      </c>
      <c r="AF120" s="234" t="s">
        <v>203</v>
      </c>
      <c r="AG120" s="237">
        <v>4</v>
      </c>
      <c r="AH120" s="236">
        <v>36935</v>
      </c>
      <c r="AI120" s="236">
        <v>613</v>
      </c>
      <c r="AJ120" s="236">
        <v>628</v>
      </c>
      <c r="AK120" s="237">
        <v>65</v>
      </c>
      <c r="AL120" s="237">
        <v>72</v>
      </c>
    </row>
    <row r="121">
      <c r="A121" s="216"/>
      <c r="B121" s="217" t="s">
        <v>209</v>
      </c>
      <c r="C121" s="218" t="s">
        <v>213</v>
      </c>
      <c r="D121" s="219">
        <f t="shared" si="455"/>
      </c>
      <c r="E121" s="218">
        <v>751.55</v>
      </c>
      <c r="F121" s="249">
        <v>1991.48</v>
      </c>
      <c r="G121" s="221">
        <v>0</v>
      </c>
      <c r="H121" s="221">
        <v>0</v>
      </c>
      <c r="I121" s="250">
        <f t="shared" si="340"/>
      </c>
      <c r="J121" s="251">
        <v>0</v>
      </c>
      <c r="K121" s="223">
        <f t="shared" si="225"/>
      </c>
      <c r="L121" s="223">
        <f t="shared" si="110"/>
      </c>
      <c r="M121" s="224">
        <f t="shared" si="69"/>
      </c>
      <c r="N121" s="225">
        <f t="shared" si="38"/>
      </c>
      <c r="O121" s="226">
        <f t="shared" si="7"/>
      </c>
      <c r="P121" s="227">
        <f t="shared" si="942"/>
      </c>
      <c r="Q121" s="227">
        <f t="shared" si="911"/>
      </c>
      <c r="R121" s="227">
        <f t="shared" si="880"/>
      </c>
      <c r="S121" s="228">
        <f t="shared" si="849"/>
      </c>
      <c r="T121" s="229">
        <f t="shared" si="787"/>
      </c>
      <c r="U121" s="227">
        <f t="shared" si="756"/>
      </c>
      <c r="V121" s="230">
        <f t="shared" si="818"/>
      </c>
      <c r="W121" s="230">
        <f t="shared" si="725"/>
      </c>
      <c r="X121" s="227">
        <f t="shared" si="694"/>
      </c>
      <c r="Y121" s="231">
        <f t="shared" si="558"/>
      </c>
      <c r="Z121" s="231">
        <v>1</v>
      </c>
      <c r="AA121" s="231">
        <v>2</v>
      </c>
      <c r="AB121" s="222">
        <v>2241</v>
      </c>
      <c r="AC121" s="232">
        <v>0</v>
      </c>
      <c r="AD121" s="228">
        <f t="shared" si="663"/>
      </c>
      <c r="AE121" s="233" t="s">
        <v>202</v>
      </c>
      <c r="AF121" s="234" t="s">
        <v>203</v>
      </c>
      <c r="AG121" s="235">
        <v>1</v>
      </c>
      <c r="AH121" s="236">
        <v>39270</v>
      </c>
      <c r="AI121" s="236">
        <v>441</v>
      </c>
      <c r="AJ121" s="236">
        <v>447</v>
      </c>
      <c r="AK121" s="237">
        <v>61</v>
      </c>
      <c r="AL121" s="237">
        <v>76</v>
      </c>
    </row>
    <row r="122">
      <c r="A122" s="216"/>
      <c r="B122" s="217" t="s">
        <v>209</v>
      </c>
      <c r="C122" s="252" t="s">
        <v>214</v>
      </c>
      <c r="D122" s="219">
        <f t="shared" si="455"/>
      </c>
      <c r="E122" s="218">
        <v>388.62</v>
      </c>
      <c r="F122" s="249">
        <v>1243.25</v>
      </c>
      <c r="G122" s="221">
        <v>0</v>
      </c>
      <c r="H122" s="221">
        <v>0</v>
      </c>
      <c r="I122" s="250">
        <f t="shared" si="340"/>
      </c>
      <c r="J122" s="251">
        <v>0</v>
      </c>
      <c r="K122" s="223">
        <f t="shared" si="225"/>
      </c>
      <c r="L122" s="223">
        <f t="shared" si="110"/>
      </c>
      <c r="M122" s="224">
        <f t="shared" si="69"/>
      </c>
      <c r="N122" s="225">
        <f t="shared" si="38"/>
      </c>
      <c r="O122" s="226">
        <f t="shared" si="7"/>
      </c>
      <c r="P122" s="227">
        <f t="shared" si="942"/>
      </c>
      <c r="Q122" s="227">
        <f t="shared" si="911"/>
      </c>
      <c r="R122" s="227">
        <f t="shared" si="880"/>
      </c>
      <c r="S122" s="228">
        <f t="shared" si="849"/>
      </c>
      <c r="T122" s="229">
        <f t="shared" si="787"/>
      </c>
      <c r="U122" s="227">
        <f t="shared" si="756"/>
      </c>
      <c r="V122" s="230">
        <f t="shared" si="818"/>
      </c>
      <c r="W122" s="230">
        <f t="shared" si="725"/>
      </c>
      <c r="X122" s="227">
        <f t="shared" si="694"/>
      </c>
      <c r="Y122" s="231">
        <f t="shared" si="558"/>
      </c>
      <c r="Z122" s="231">
        <v>1</v>
      </c>
      <c r="AA122" s="231">
        <v>3</v>
      </c>
      <c r="AB122" s="232">
        <v>10263</v>
      </c>
      <c r="AC122" s="232">
        <v>0</v>
      </c>
      <c r="AD122" s="228">
        <f t="shared" si="663"/>
      </c>
      <c r="AE122" s="233" t="s">
        <v>202</v>
      </c>
      <c r="AF122" s="234" t="s">
        <v>203</v>
      </c>
      <c r="AG122" s="235">
        <v>3</v>
      </c>
      <c r="AH122" s="236">
        <v>20457</v>
      </c>
      <c r="AI122" s="236">
        <v>257</v>
      </c>
      <c r="AJ122" s="236">
        <v>241</v>
      </c>
      <c r="AK122" s="237">
        <v>29</v>
      </c>
      <c r="AL122" s="237">
        <v>47</v>
      </c>
    </row>
    <row r="123">
      <c r="A123" s="216"/>
      <c r="B123" s="239" t="s">
        <v>208</v>
      </c>
      <c r="C123" s="240">
        <v>5</v>
      </c>
      <c r="D123" s="241">
        <f>SUM(D118:D122)</f>
      </c>
      <c r="E123" s="241">
        <f>SUM(E118:E122)</f>
      </c>
      <c r="F123" s="241">
        <f>SUM(F118:F122)</f>
      </c>
      <c r="G123" s="241">
        <f>SUM(G118:G122)</f>
      </c>
      <c r="H123" s="241">
        <f>SUM(H118:H122)</f>
      </c>
      <c r="I123" s="260">
        <f>SUM(I118:I122)</f>
      </c>
      <c r="J123" s="241">
        <f>SUM(J118:J122)</f>
      </c>
      <c r="K123" s="241">
        <f>SUM(K118:K122)</f>
      </c>
      <c r="L123" s="241">
        <f>SUM(L118:L122)</f>
      </c>
      <c r="M123" s="242">
        <f t="shared" si="69"/>
      </c>
      <c r="N123" s="243">
        <f t="shared" si="38"/>
      </c>
      <c r="O123" s="243">
        <f t="shared" si="7"/>
      </c>
      <c r="P123" s="244">
        <f t="shared" si="942"/>
      </c>
      <c r="Q123" s="244">
        <f t="shared" si="911"/>
      </c>
      <c r="R123" s="244">
        <f t="shared" si="880"/>
      </c>
      <c r="S123" s="245">
        <f t="shared" si="849"/>
      </c>
      <c r="T123" s="245">
        <f t="shared" si="787"/>
      </c>
      <c r="U123" s="244">
        <f t="shared" si="756"/>
      </c>
      <c r="V123" s="245">
        <f t="shared" si="818"/>
      </c>
      <c r="W123" s="245">
        <f t="shared" si="725"/>
      </c>
      <c r="X123" s="244">
        <f t="shared" si="694"/>
      </c>
      <c r="Y123" s="241">
        <f>SUM(Y118:Y122)</f>
      </c>
      <c r="Z123" s="241">
        <f>SUM(Z118:Z122)</f>
      </c>
      <c r="AA123" s="241">
        <f>SUM(AA118:AA122)</f>
      </c>
      <c r="AB123" s="241">
        <f>SUM(AB118:AB122)</f>
      </c>
      <c r="AC123" s="241">
        <f>SUM(AC118:AC122)</f>
      </c>
      <c r="AD123" s="246">
        <f t="shared" si="663"/>
      </c>
      <c r="AE123" s="247"/>
      <c r="AF123" s="248"/>
      <c r="AG123" s="241">
        <f>SUM(AG118:AG122)</f>
      </c>
      <c r="AH123" s="241">
        <f>SUM(AH118:AH122)</f>
      </c>
      <c r="AI123" s="241">
        <f>SUM(AI118:AI122)</f>
      </c>
      <c r="AJ123" s="241">
        <f>SUM(AJ118:AJ122)</f>
      </c>
      <c r="AK123" s="241">
        <f>SUM(AK118:AK122)</f>
      </c>
      <c r="AL123" s="241">
        <f>SUM(AL118:AL122)</f>
      </c>
    </row>
    <row r="124">
      <c r="A124" s="216"/>
      <c r="B124" s="253" t="s">
        <v>208</v>
      </c>
      <c r="C124" s="254">
        <f>C111+C117+C123</f>
      </c>
      <c r="D124" s="254">
        <f>D111+D117+D123</f>
      </c>
      <c r="E124" s="254">
        <f>E111+E117+E123</f>
      </c>
      <c r="F124" s="254">
        <f>F111+F117+F123</f>
      </c>
      <c r="G124" s="254">
        <f>G111+G117+G123</f>
      </c>
      <c r="H124" s="254">
        <f>H111+H117+H123</f>
      </c>
      <c r="I124" s="254">
        <f>I111+I117+I123</f>
      </c>
      <c r="J124" s="254">
        <f>J111+J117+J123</f>
      </c>
      <c r="K124" s="254">
        <f>K111+K117+K123</f>
      </c>
      <c r="L124" s="254">
        <f>L111+L117+L123</f>
      </c>
      <c r="M124" s="256">
        <f t="shared" si="69"/>
      </c>
      <c r="N124" s="256">
        <f t="shared" si="38"/>
      </c>
      <c r="O124" s="256">
        <f t="shared" si="7"/>
      </c>
      <c r="P124" s="256">
        <f t="shared" si="942"/>
      </c>
      <c r="Q124" s="256">
        <f t="shared" si="911"/>
      </c>
      <c r="R124" s="256">
        <f t="shared" si="880"/>
      </c>
      <c r="S124" s="257">
        <f t="shared" si="849"/>
      </c>
      <c r="T124" s="257">
        <f t="shared" si="787"/>
      </c>
      <c r="U124" s="256">
        <f t="shared" si="756"/>
      </c>
      <c r="V124" s="257">
        <f t="shared" si="818"/>
      </c>
      <c r="W124" s="257">
        <f t="shared" si="725"/>
      </c>
      <c r="X124" s="256">
        <f t="shared" si="694"/>
      </c>
      <c r="Y124" s="255">
        <f>Y111+Y117+Y123</f>
      </c>
      <c r="Z124" s="255">
        <f>Z111+Z117+Z123</f>
      </c>
      <c r="AA124" s="255">
        <f>AA111+AA117+AA123</f>
      </c>
      <c r="AB124" s="255">
        <f>AB111+AB117+AB123</f>
      </c>
      <c r="AC124" s="255">
        <f>AC111+AC117+AC123</f>
      </c>
      <c r="AD124" s="258">
        <f t="shared" si="663"/>
      </c>
      <c r="AE124" s="253"/>
      <c r="AF124" s="253"/>
      <c r="AG124" s="255">
        <f>AG111+AG117+AG123</f>
      </c>
      <c r="AH124" s="255">
        <f>AH111+AH117+AH123</f>
      </c>
      <c r="AI124" s="255">
        <f>AI111+AI117+AI123</f>
      </c>
      <c r="AJ124" s="255">
        <f>AJ111+AJ117+AJ123</f>
      </c>
      <c r="AK124" s="255">
        <f>AK111+AK117+AK123</f>
      </c>
      <c r="AL124" s="255">
        <f>AL111+AL117+AL123</f>
      </c>
    </row>
    <row r="125">
      <c r="A125" s="202" t="s">
        <v>162</v>
      </c>
      <c r="B125" s="203" t="s">
        <v>163</v>
      </c>
      <c r="C125" s="203" t="s">
        <v>164</v>
      </c>
      <c r="D125" s="204" t="s">
        <v>165</v>
      </c>
      <c r="E125" s="203" t="s">
        <v>166</v>
      </c>
      <c r="F125" s="203" t="s">
        <v>167</v>
      </c>
      <c r="G125" s="205" t="s">
        <v>168</v>
      </c>
      <c r="H125" s="205" t="s">
        <v>169</v>
      </c>
      <c r="I125" s="204" t="s">
        <v>170</v>
      </c>
      <c r="J125" s="206" t="s">
        <v>171</v>
      </c>
      <c r="K125" s="207" t="s">
        <v>172</v>
      </c>
      <c r="L125" s="207" t="s">
        <v>173</v>
      </c>
      <c r="M125" s="208" t="s">
        <v>174</v>
      </c>
      <c r="N125" s="207" t="s">
        <v>175</v>
      </c>
      <c r="O125" s="203" t="s">
        <v>176</v>
      </c>
      <c r="P125" s="208" t="s">
        <v>177</v>
      </c>
      <c r="Q125" s="209" t="s">
        <v>178</v>
      </c>
      <c r="R125" s="209" t="s">
        <v>179</v>
      </c>
      <c r="S125" s="204" t="s">
        <v>180</v>
      </c>
      <c r="T125" s="210" t="s">
        <v>181</v>
      </c>
      <c r="U125" s="208" t="s">
        <v>182</v>
      </c>
      <c r="V125" s="211" t="s">
        <v>183</v>
      </c>
      <c r="W125" s="212" t="s">
        <v>184</v>
      </c>
      <c r="X125" s="208" t="s">
        <v>185</v>
      </c>
      <c r="Y125" s="213" t="s">
        <v>186</v>
      </c>
      <c r="Z125" s="214" t="s">
        <v>187</v>
      </c>
      <c r="AA125" s="213" t="s">
        <v>188</v>
      </c>
      <c r="AB125" s="215" t="s">
        <v>189</v>
      </c>
      <c r="AC125" s="215" t="s">
        <v>190</v>
      </c>
      <c r="AD125" s="207" t="s">
        <v>191</v>
      </c>
      <c r="AE125" s="206" t="s">
        <v>192</v>
      </c>
      <c r="AF125" s="207" t="s">
        <v>193</v>
      </c>
      <c r="AG125" s="206" t="s">
        <v>194</v>
      </c>
      <c r="AH125" s="206" t="s">
        <v>195</v>
      </c>
      <c r="AI125" s="207" t="s">
        <v>196</v>
      </c>
      <c r="AJ125" s="206" t="s">
        <v>197</v>
      </c>
      <c r="AK125" s="207" t="s">
        <v>198</v>
      </c>
      <c r="AL125" s="206" t="s">
        <v>199</v>
      </c>
    </row>
    <row r="126">
      <c r="A126" s="216">
        <v>46243</v>
      </c>
      <c r="B126" s="217" t="s">
        <v>200</v>
      </c>
      <c r="C126" s="218" t="s">
        <v>201</v>
      </c>
      <c r="D126" s="219">
        <f t="shared" ref="D126:D130" si="551">E126+F126+G126</f>
      </c>
      <c r="E126" s="220">
        <v>834.88</v>
      </c>
      <c r="F126" s="221">
        <v>2100</v>
      </c>
      <c r="G126" s="221">
        <v>0</v>
      </c>
      <c r="H126" s="221">
        <v>0</v>
      </c>
      <c r="I126" s="221">
        <f t="shared" ref="I126:I130" si="341">AB126+AC126</f>
      </c>
      <c r="J126" s="222">
        <v>0</v>
      </c>
      <c r="K126" s="223">
        <f t="shared" ref="K126:K130" si="226">I126-J126</f>
      </c>
      <c r="L126" s="223">
        <f t="shared" ref="L126:L130" si="111">(I126-AC126)/12+AC126</f>
      </c>
      <c r="M126" s="224">
        <f t="shared" ref="M126:M138" si="70">I126/D126</f>
      </c>
      <c r="N126" s="225">
        <f t="shared" ref="N126:N138" si="39">(I126-J126)/D126</f>
      </c>
      <c r="O126" s="226">
        <f t="shared" ref="O126:O138" si="8">(AC126+AB126/12)/D126</f>
      </c>
      <c r="P126" s="227">
        <f t="shared" ref="P126:P138" si="943">I126/AA126</f>
      </c>
      <c r="Q126" s="227">
        <f t="shared" ref="Q126:Q138" si="912">D126/AA126</f>
      </c>
      <c r="R126" s="227">
        <f t="shared" ref="R126:R138" si="881">D126/AG126</f>
      </c>
      <c r="S126" s="228">
        <f t="shared" ref="S126:S138" si="850">AA126/Y126</f>
      </c>
      <c r="T126" s="229">
        <f t="shared" ref="T126:T138" si="788">AI126/AH126</f>
      </c>
      <c r="U126" s="227">
        <f t="shared" ref="U126:U138" si="757">D126/AJ126</f>
      </c>
      <c r="V126" s="230">
        <f t="shared" ref="V126:V138" si="819">AK126/AJ126</f>
      </c>
      <c r="W126" s="230">
        <f t="shared" ref="W126:W138" si="726">AL126/AJ126</f>
      </c>
      <c r="X126" s="227">
        <f t="shared" ref="X126:X138" si="695">D126/AL126</f>
      </c>
      <c r="Y126" s="231">
        <f t="shared" ref="Y126:Y130" si="559">Z126+AA126</f>
      </c>
      <c r="Z126" s="231">
        <v>1</v>
      </c>
      <c r="AA126" s="231">
        <v>0</v>
      </c>
      <c r="AB126" s="232">
        <v>0</v>
      </c>
      <c r="AC126" s="232">
        <v>0</v>
      </c>
      <c r="AD126" s="228">
        <f t="shared" ref="AD126:AD138" si="664">AC126/I126</f>
      </c>
      <c r="AE126" s="233" t="s">
        <v>202</v>
      </c>
      <c r="AF126" s="234" t="s">
        <v>203</v>
      </c>
      <c r="AG126" s="235">
        <v>0</v>
      </c>
      <c r="AH126" s="236">
        <v>26956</v>
      </c>
      <c r="AI126" s="236">
        <v>525</v>
      </c>
      <c r="AJ126" s="236">
        <v>539</v>
      </c>
      <c r="AK126" s="235">
        <v>74</v>
      </c>
      <c r="AL126" s="237">
        <v>96</v>
      </c>
    </row>
    <row r="127">
      <c r="A127" s="216"/>
      <c r="B127" s="217" t="s">
        <v>200</v>
      </c>
      <c r="C127" s="218" t="s">
        <v>204</v>
      </c>
      <c r="D127" s="219">
        <f t="shared" si="551"/>
      </c>
      <c r="E127" s="218">
        <v>788.54</v>
      </c>
      <c r="F127" s="221">
        <v>2400</v>
      </c>
      <c r="G127" s="221">
        <v>0</v>
      </c>
      <c r="H127" s="221">
        <v>0</v>
      </c>
      <c r="I127" s="221">
        <f t="shared" si="341"/>
      </c>
      <c r="J127" s="222">
        <v>0</v>
      </c>
      <c r="K127" s="223">
        <f t="shared" si="226"/>
      </c>
      <c r="L127" s="223">
        <f t="shared" si="111"/>
      </c>
      <c r="M127" s="224">
        <f t="shared" si="70"/>
      </c>
      <c r="N127" s="225">
        <f t="shared" si="39"/>
      </c>
      <c r="O127" s="226">
        <f t="shared" si="8"/>
      </c>
      <c r="P127" s="227">
        <f t="shared" si="943"/>
      </c>
      <c r="Q127" s="227">
        <f t="shared" si="912"/>
      </c>
      <c r="R127" s="227">
        <f t="shared" si="881"/>
      </c>
      <c r="S127" s="228">
        <f t="shared" si="850"/>
      </c>
      <c r="T127" s="229">
        <f t="shared" si="788"/>
      </c>
      <c r="U127" s="227">
        <f t="shared" si="757"/>
      </c>
      <c r="V127" s="230">
        <f t="shared" si="819"/>
      </c>
      <c r="W127" s="230">
        <f t="shared" si="726"/>
      </c>
      <c r="X127" s="227">
        <f t="shared" si="695"/>
      </c>
      <c r="Y127" s="231">
        <f t="shared" si="559"/>
      </c>
      <c r="Z127" s="231">
        <v>4</v>
      </c>
      <c r="AA127" s="231">
        <v>3</v>
      </c>
      <c r="AB127" s="232">
        <v>3313.2</v>
      </c>
      <c r="AC127" s="232">
        <v>2823</v>
      </c>
      <c r="AD127" s="228">
        <f t="shared" si="664"/>
      </c>
      <c r="AE127" s="233" t="s">
        <v>202</v>
      </c>
      <c r="AF127" s="234" t="s">
        <v>203</v>
      </c>
      <c r="AG127" s="235">
        <v>3</v>
      </c>
      <c r="AH127" s="236">
        <v>28911</v>
      </c>
      <c r="AI127" s="236">
        <v>520</v>
      </c>
      <c r="AJ127" s="236">
        <v>530</v>
      </c>
      <c r="AK127" s="237">
        <v>90</v>
      </c>
      <c r="AL127" s="237">
        <v>118</v>
      </c>
    </row>
    <row r="128">
      <c r="A128" s="216"/>
      <c r="B128" s="217" t="s">
        <v>200</v>
      </c>
      <c r="C128" s="218" t="s">
        <v>205</v>
      </c>
      <c r="D128" s="219">
        <f t="shared" si="551"/>
      </c>
      <c r="E128" s="218">
        <v>426.37</v>
      </c>
      <c r="F128" s="218">
        <v>1091.67</v>
      </c>
      <c r="G128" s="218">
        <v>0</v>
      </c>
      <c r="H128" s="218">
        <v>0</v>
      </c>
      <c r="I128" s="221">
        <f t="shared" si="341"/>
      </c>
      <c r="J128" s="222">
        <v>0</v>
      </c>
      <c r="K128" s="223">
        <f t="shared" si="226"/>
      </c>
      <c r="L128" s="223">
        <f t="shared" si="111"/>
      </c>
      <c r="M128" s="224">
        <f t="shared" si="70"/>
      </c>
      <c r="N128" s="225">
        <f t="shared" si="39"/>
      </c>
      <c r="O128" s="226">
        <f t="shared" si="8"/>
      </c>
      <c r="P128" s="227">
        <f t="shared" si="943"/>
      </c>
      <c r="Q128" s="227">
        <f t="shared" si="912"/>
      </c>
      <c r="R128" s="227">
        <f t="shared" si="881"/>
      </c>
      <c r="S128" s="228">
        <f t="shared" si="850"/>
      </c>
      <c r="T128" s="229">
        <f t="shared" si="788"/>
      </c>
      <c r="U128" s="227">
        <f t="shared" si="757"/>
      </c>
      <c r="V128" s="230">
        <f t="shared" si="819"/>
      </c>
      <c r="W128" s="230">
        <f t="shared" si="726"/>
      </c>
      <c r="X128" s="227">
        <f t="shared" si="695"/>
      </c>
      <c r="Y128" s="231">
        <f t="shared" si="559"/>
      </c>
      <c r="Z128" s="231">
        <v>3</v>
      </c>
      <c r="AA128" s="231">
        <v>0</v>
      </c>
      <c r="AB128" s="232">
        <v>0</v>
      </c>
      <c r="AC128" s="232">
        <v>0</v>
      </c>
      <c r="AD128" s="228">
        <f t="shared" si="664"/>
      </c>
      <c r="AE128" s="233" t="s">
        <v>202</v>
      </c>
      <c r="AF128" s="234" t="s">
        <v>203</v>
      </c>
      <c r="AG128" s="237">
        <v>0</v>
      </c>
      <c r="AH128" s="236">
        <v>17571</v>
      </c>
      <c r="AI128" s="236">
        <v>306</v>
      </c>
      <c r="AJ128" s="236">
        <v>300</v>
      </c>
      <c r="AK128" s="237">
        <v>47</v>
      </c>
      <c r="AL128" s="237">
        <v>55</v>
      </c>
    </row>
    <row r="129">
      <c r="A129" s="216"/>
      <c r="B129" s="217" t="s">
        <v>200</v>
      </c>
      <c r="C129" s="218" t="s">
        <v>206</v>
      </c>
      <c r="D129" s="219">
        <f t="shared" si="551"/>
      </c>
      <c r="E129" s="218">
        <v>785.85</v>
      </c>
      <c r="F129" s="221">
        <v>1843.55</v>
      </c>
      <c r="G129" s="221">
        <v>0</v>
      </c>
      <c r="H129" s="221">
        <v>0</v>
      </c>
      <c r="I129" s="221">
        <f t="shared" si="341"/>
      </c>
      <c r="J129" s="222">
        <v>0</v>
      </c>
      <c r="K129" s="223">
        <f t="shared" si="226"/>
      </c>
      <c r="L129" s="223">
        <f t="shared" si="111"/>
      </c>
      <c r="M129" s="224">
        <f t="shared" si="70"/>
      </c>
      <c r="N129" s="225">
        <f t="shared" si="39"/>
      </c>
      <c r="O129" s="226">
        <f t="shared" si="8"/>
      </c>
      <c r="P129" s="227">
        <f t="shared" si="943"/>
      </c>
      <c r="Q129" s="227">
        <f t="shared" si="912"/>
      </c>
      <c r="R129" s="227">
        <f t="shared" si="881"/>
      </c>
      <c r="S129" s="228">
        <f t="shared" si="850"/>
      </c>
      <c r="T129" s="229">
        <f t="shared" si="788"/>
      </c>
      <c r="U129" s="227">
        <f t="shared" si="757"/>
      </c>
      <c r="V129" s="230">
        <f t="shared" si="819"/>
      </c>
      <c r="W129" s="230">
        <f t="shared" si="726"/>
      </c>
      <c r="X129" s="227">
        <f t="shared" si="695"/>
      </c>
      <c r="Y129" s="231">
        <f t="shared" si="559"/>
      </c>
      <c r="Z129" s="231">
        <v>2</v>
      </c>
      <c r="AA129" s="231">
        <v>0</v>
      </c>
      <c r="AB129" s="222">
        <v>0</v>
      </c>
      <c r="AC129" s="232">
        <v>0</v>
      </c>
      <c r="AD129" s="228">
        <f t="shared" si="664"/>
      </c>
      <c r="AE129" s="233" t="s">
        <v>202</v>
      </c>
      <c r="AF129" s="234" t="s">
        <v>203</v>
      </c>
      <c r="AG129" s="235">
        <v>0</v>
      </c>
      <c r="AH129" s="236">
        <v>22908</v>
      </c>
      <c r="AI129" s="236">
        <v>510</v>
      </c>
      <c r="AJ129" s="236">
        <v>518</v>
      </c>
      <c r="AK129" s="237">
        <v>70</v>
      </c>
      <c r="AL129" s="237">
        <v>92</v>
      </c>
    </row>
    <row r="130">
      <c r="A130" s="216"/>
      <c r="B130" s="217" t="s">
        <v>200</v>
      </c>
      <c r="C130" s="218" t="s">
        <v>207</v>
      </c>
      <c r="D130" s="219">
        <f t="shared" si="551"/>
      </c>
      <c r="E130" s="218">
        <v>530.33</v>
      </c>
      <c r="F130" s="221">
        <v>940.01</v>
      </c>
      <c r="G130" s="221">
        <v>0</v>
      </c>
      <c r="H130" s="221">
        <v>0</v>
      </c>
      <c r="I130" s="238">
        <f t="shared" si="341"/>
      </c>
      <c r="J130" s="222">
        <v>0</v>
      </c>
      <c r="K130" s="223">
        <f t="shared" si="226"/>
      </c>
      <c r="L130" s="223">
        <f t="shared" si="111"/>
      </c>
      <c r="M130" s="224">
        <f t="shared" si="70"/>
      </c>
      <c r="N130" s="225">
        <f t="shared" si="39"/>
      </c>
      <c r="O130" s="226">
        <f t="shared" si="8"/>
      </c>
      <c r="P130" s="227">
        <f t="shared" si="943"/>
      </c>
      <c r="Q130" s="227">
        <f t="shared" si="912"/>
      </c>
      <c r="R130" s="227">
        <f t="shared" si="881"/>
      </c>
      <c r="S130" s="228">
        <f t="shared" si="850"/>
      </c>
      <c r="T130" s="229">
        <f t="shared" si="788"/>
      </c>
      <c r="U130" s="227">
        <f t="shared" si="757"/>
      </c>
      <c r="V130" s="230">
        <f t="shared" si="819"/>
      </c>
      <c r="W130" s="230">
        <f t="shared" si="726"/>
      </c>
      <c r="X130" s="227">
        <f t="shared" si="695"/>
      </c>
      <c r="Y130" s="231">
        <f t="shared" si="559"/>
      </c>
      <c r="Z130" s="231">
        <v>7</v>
      </c>
      <c r="AA130" s="231">
        <v>2</v>
      </c>
      <c r="AB130" s="232">
        <v>7443.36</v>
      </c>
      <c r="AC130" s="232">
        <v>0</v>
      </c>
      <c r="AD130" s="228">
        <f t="shared" si="664"/>
      </c>
      <c r="AE130" s="233" t="s">
        <v>202</v>
      </c>
      <c r="AF130" s="234" t="s">
        <v>203</v>
      </c>
      <c r="AG130" s="235">
        <v>1</v>
      </c>
      <c r="AH130" s="236">
        <v>12774</v>
      </c>
      <c r="AI130" s="236">
        <v>400</v>
      </c>
      <c r="AJ130" s="236">
        <v>418</v>
      </c>
      <c r="AK130" s="237">
        <v>58</v>
      </c>
      <c r="AL130" s="237">
        <v>65</v>
      </c>
    </row>
    <row r="131">
      <c r="A131" s="216"/>
      <c r="B131" s="239" t="s">
        <v>208</v>
      </c>
      <c r="C131" s="240">
        <v>5</v>
      </c>
      <c r="D131" s="241">
        <f>SUM(D126:D130)</f>
      </c>
      <c r="E131" s="241">
        <f>SUM(E126:E130)</f>
      </c>
      <c r="F131" s="241">
        <f>SUM(F126:F130)</f>
      </c>
      <c r="G131" s="241">
        <f>SUM(G126:G130)</f>
      </c>
      <c r="H131" s="241">
        <f>SUM(H126:H130)</f>
      </c>
      <c r="I131" s="259">
        <f>SUM(I126:I130)</f>
      </c>
      <c r="J131" s="241">
        <f>SUM(J126:J130)</f>
      </c>
      <c r="K131" s="241">
        <f>SUM(K126:K130)</f>
      </c>
      <c r="L131" s="241">
        <f>SUM(L126:L130)</f>
      </c>
      <c r="M131" s="242">
        <f t="shared" si="70"/>
      </c>
      <c r="N131" s="243">
        <f t="shared" si="39"/>
      </c>
      <c r="O131" s="243">
        <f t="shared" si="8"/>
      </c>
      <c r="P131" s="244">
        <f t="shared" si="943"/>
      </c>
      <c r="Q131" s="244">
        <f t="shared" si="912"/>
      </c>
      <c r="R131" s="244">
        <f t="shared" si="881"/>
      </c>
      <c r="S131" s="245">
        <f t="shared" si="850"/>
      </c>
      <c r="T131" s="245">
        <f t="shared" si="788"/>
      </c>
      <c r="U131" s="244">
        <f t="shared" si="757"/>
      </c>
      <c r="V131" s="245">
        <f t="shared" si="819"/>
      </c>
      <c r="W131" s="245">
        <f t="shared" si="726"/>
      </c>
      <c r="X131" s="244">
        <f t="shared" si="695"/>
      </c>
      <c r="Y131" s="241">
        <f>SUM(Y126:Y130)</f>
      </c>
      <c r="Z131" s="241">
        <f>SUM(Z126:Z130)</f>
      </c>
      <c r="AA131" s="241">
        <f>SUM(AA126:AA130)</f>
      </c>
      <c r="AB131" s="241">
        <f>SUM(AB126:AB130)</f>
      </c>
      <c r="AC131" s="241">
        <f>SUM(AC126:AC130)</f>
      </c>
      <c r="AD131" s="246">
        <f t="shared" si="664"/>
      </c>
      <c r="AE131" s="247"/>
      <c r="AF131" s="248"/>
      <c r="AG131" s="241">
        <f>SUM(AG126:AG130)</f>
      </c>
      <c r="AH131" s="241">
        <f>SUM(AH126:AH130)</f>
      </c>
      <c r="AI131" s="241">
        <f>SUM(AI126:AI130)</f>
      </c>
      <c r="AJ131" s="241">
        <f>SUM(AJ126:AJ130)</f>
      </c>
      <c r="AK131" s="241">
        <f>SUM(AK126:AK130)</f>
      </c>
      <c r="AL131" s="241">
        <f>SUM(AL126:AL130)</f>
      </c>
    </row>
    <row r="132">
      <c r="A132" s="216"/>
      <c r="B132" s="217" t="s">
        <v>222</v>
      </c>
      <c r="C132" s="218" t="s">
        <v>210</v>
      </c>
      <c r="D132" s="219">
        <f t="shared" ref="D132:D136" si="552">E132+F132+G132</f>
      </c>
      <c r="E132" s="218">
        <v>969.03</v>
      </c>
      <c r="F132" s="249">
        <v>886.42</v>
      </c>
      <c r="G132" s="221">
        <v>0</v>
      </c>
      <c r="H132" s="221">
        <v>0</v>
      </c>
      <c r="I132" s="250">
        <f t="shared" ref="I132:I136" si="342">AB132+AC132</f>
      </c>
      <c r="J132" s="251">
        <v>0</v>
      </c>
      <c r="K132" s="223">
        <f t="shared" ref="K132:K136" si="227">I132-J132</f>
      </c>
      <c r="L132" s="223">
        <f t="shared" ref="L132:L136" si="112">(I132-AC132)/12+AC132</f>
      </c>
      <c r="M132" s="224">
        <f t="shared" si="70"/>
      </c>
      <c r="N132" s="225">
        <f t="shared" si="39"/>
      </c>
      <c r="O132" s="226">
        <f t="shared" si="8"/>
      </c>
      <c r="P132" s="227">
        <f t="shared" si="943"/>
      </c>
      <c r="Q132" s="227">
        <f t="shared" si="912"/>
      </c>
      <c r="R132" s="227">
        <f t="shared" si="881"/>
      </c>
      <c r="S132" s="228">
        <f t="shared" si="850"/>
      </c>
      <c r="T132" s="229">
        <f t="shared" si="788"/>
      </c>
      <c r="U132" s="227">
        <f t="shared" si="757"/>
      </c>
      <c r="V132" s="230">
        <f t="shared" si="819"/>
      </c>
      <c r="W132" s="230">
        <f t="shared" si="726"/>
      </c>
      <c r="X132" s="227">
        <f t="shared" si="695"/>
      </c>
      <c r="Y132" s="231">
        <f t="shared" ref="Y132:Y136" si="560">Z132+AA132</f>
      </c>
      <c r="Z132" s="231">
        <v>0</v>
      </c>
      <c r="AA132" s="231">
        <v>2</v>
      </c>
      <c r="AB132" s="232">
        <v>751.2000000000007</v>
      </c>
      <c r="AC132" s="232">
        <v>1086</v>
      </c>
      <c r="AD132" s="228">
        <f t="shared" si="664"/>
      </c>
      <c r="AE132" s="233" t="s">
        <v>202</v>
      </c>
      <c r="AF132" s="234" t="s">
        <v>203</v>
      </c>
      <c r="AG132" s="235">
        <v>3</v>
      </c>
      <c r="AH132" s="236">
        <v>17139</v>
      </c>
      <c r="AI132" s="236">
        <v>527</v>
      </c>
      <c r="AJ132" s="236">
        <v>563</v>
      </c>
      <c r="AK132" s="237">
        <v>71</v>
      </c>
      <c r="AL132" s="237">
        <v>67</v>
      </c>
    </row>
    <row r="133">
      <c r="A133" s="216"/>
      <c r="B133" s="217" t="s">
        <v>222</v>
      </c>
      <c r="C133" s="252" t="s">
        <v>211</v>
      </c>
      <c r="D133" s="219">
        <f t="shared" si="552"/>
      </c>
      <c r="E133" s="218">
        <v>789.01</v>
      </c>
      <c r="F133" s="249">
        <v>3224.08</v>
      </c>
      <c r="G133" s="221">
        <v>0</v>
      </c>
      <c r="H133" s="221">
        <v>0</v>
      </c>
      <c r="I133" s="250">
        <f t="shared" si="342"/>
      </c>
      <c r="J133" s="251">
        <v>0</v>
      </c>
      <c r="K133" s="223">
        <f t="shared" si="227"/>
      </c>
      <c r="L133" s="223">
        <f t="shared" si="112"/>
      </c>
      <c r="M133" s="224">
        <f t="shared" si="70"/>
      </c>
      <c r="N133" s="225">
        <f t="shared" si="39"/>
      </c>
      <c r="O133" s="226">
        <f t="shared" si="8"/>
      </c>
      <c r="P133" s="227">
        <f t="shared" si="943"/>
      </c>
      <c r="Q133" s="227">
        <f t="shared" si="912"/>
      </c>
      <c r="R133" s="227">
        <f t="shared" si="881"/>
      </c>
      <c r="S133" s="228">
        <f t="shared" si="850"/>
      </c>
      <c r="T133" s="229">
        <f t="shared" si="788"/>
      </c>
      <c r="U133" s="227">
        <f t="shared" si="757"/>
      </c>
      <c r="V133" s="230">
        <f t="shared" si="819"/>
      </c>
      <c r="W133" s="230">
        <f t="shared" si="726"/>
      </c>
      <c r="X133" s="227">
        <f t="shared" si="695"/>
      </c>
      <c r="Y133" s="231">
        <f t="shared" si="560"/>
      </c>
      <c r="Z133" s="231">
        <v>2</v>
      </c>
      <c r="AA133" s="231">
        <v>0</v>
      </c>
      <c r="AB133" s="232">
        <v>0</v>
      </c>
      <c r="AC133" s="232">
        <v>0</v>
      </c>
      <c r="AD133" s="228">
        <f t="shared" si="664"/>
      </c>
      <c r="AE133" s="233" t="s">
        <v>202</v>
      </c>
      <c r="AF133" s="234" t="s">
        <v>203</v>
      </c>
      <c r="AG133" s="235">
        <v>0</v>
      </c>
      <c r="AH133" s="236">
        <v>42719</v>
      </c>
      <c r="AI133" s="236">
        <v>937</v>
      </c>
      <c r="AJ133" s="236">
        <v>950</v>
      </c>
      <c r="AK133" s="237">
        <v>122</v>
      </c>
      <c r="AL133" s="237">
        <v>150</v>
      </c>
    </row>
    <row r="134">
      <c r="A134" s="216"/>
      <c r="B134" s="217" t="s">
        <v>222</v>
      </c>
      <c r="C134" s="252" t="s">
        <v>212</v>
      </c>
      <c r="D134" s="219">
        <f t="shared" si="552"/>
      </c>
      <c r="E134" s="218">
        <v>1192.26</v>
      </c>
      <c r="F134" s="249">
        <v>1514.27</v>
      </c>
      <c r="G134" s="218">
        <v>0</v>
      </c>
      <c r="H134" s="218">
        <v>0</v>
      </c>
      <c r="I134" s="250">
        <f t="shared" si="342"/>
      </c>
      <c r="J134" s="251">
        <v>0</v>
      </c>
      <c r="K134" s="223">
        <f t="shared" si="227"/>
      </c>
      <c r="L134" s="223">
        <f t="shared" si="112"/>
      </c>
      <c r="M134" s="224">
        <f t="shared" si="70"/>
      </c>
      <c r="N134" s="225">
        <f t="shared" si="39"/>
      </c>
      <c r="O134" s="226">
        <f t="shared" si="8"/>
      </c>
      <c r="P134" s="227">
        <f t="shared" si="943"/>
      </c>
      <c r="Q134" s="227">
        <f t="shared" si="912"/>
      </c>
      <c r="R134" s="227">
        <f t="shared" si="881"/>
      </c>
      <c r="S134" s="228">
        <f t="shared" si="850"/>
      </c>
      <c r="T134" s="229">
        <f t="shared" si="788"/>
      </c>
      <c r="U134" s="227">
        <f t="shared" si="757"/>
      </c>
      <c r="V134" s="230">
        <f t="shared" si="819"/>
      </c>
      <c r="W134" s="230">
        <f t="shared" si="726"/>
      </c>
      <c r="X134" s="227">
        <f t="shared" si="695"/>
      </c>
      <c r="Y134" s="231">
        <f t="shared" si="560"/>
      </c>
      <c r="Z134" s="231">
        <v>3</v>
      </c>
      <c r="AA134" s="231">
        <v>1</v>
      </c>
      <c r="AB134" s="232">
        <v>752.7600000000002</v>
      </c>
      <c r="AC134" s="232">
        <v>0</v>
      </c>
      <c r="AD134" s="228">
        <f t="shared" si="664"/>
      </c>
      <c r="AE134" s="233" t="s">
        <v>202</v>
      </c>
      <c r="AF134" s="234" t="s">
        <v>203</v>
      </c>
      <c r="AG134" s="237">
        <v>1</v>
      </c>
      <c r="AH134" s="236">
        <v>29117</v>
      </c>
      <c r="AI134" s="236">
        <v>872</v>
      </c>
      <c r="AJ134" s="236">
        <v>910</v>
      </c>
      <c r="AK134" s="237">
        <v>102</v>
      </c>
      <c r="AL134" s="237">
        <v>106</v>
      </c>
    </row>
    <row r="135">
      <c r="A135" s="216"/>
      <c r="B135" s="217" t="s">
        <v>222</v>
      </c>
      <c r="C135" s="218" t="s">
        <v>213</v>
      </c>
      <c r="D135" s="219">
        <f t="shared" si="552"/>
      </c>
      <c r="E135" s="218">
        <v>553.47</v>
      </c>
      <c r="F135" s="249">
        <v>1311.75</v>
      </c>
      <c r="G135" s="221">
        <v>0</v>
      </c>
      <c r="H135" s="221">
        <v>0</v>
      </c>
      <c r="I135" s="250">
        <f t="shared" si="342"/>
      </c>
      <c r="J135" s="251">
        <v>0</v>
      </c>
      <c r="K135" s="223">
        <f t="shared" si="227"/>
      </c>
      <c r="L135" s="223">
        <f t="shared" si="112"/>
      </c>
      <c r="M135" s="224">
        <f t="shared" si="70"/>
      </c>
      <c r="N135" s="225">
        <f t="shared" si="39"/>
      </c>
      <c r="O135" s="226">
        <f t="shared" si="8"/>
      </c>
      <c r="P135" s="227">
        <f t="shared" si="943"/>
      </c>
      <c r="Q135" s="227">
        <f t="shared" si="912"/>
      </c>
      <c r="R135" s="227">
        <f t="shared" si="881"/>
      </c>
      <c r="S135" s="228">
        <f t="shared" si="850"/>
      </c>
      <c r="T135" s="229">
        <f t="shared" si="788"/>
      </c>
      <c r="U135" s="227">
        <f t="shared" si="757"/>
      </c>
      <c r="V135" s="230">
        <f t="shared" si="819"/>
      </c>
      <c r="W135" s="230">
        <f t="shared" si="726"/>
      </c>
      <c r="X135" s="227">
        <f t="shared" si="695"/>
      </c>
      <c r="Y135" s="231">
        <f t="shared" si="560"/>
      </c>
      <c r="Z135" s="231">
        <v>0</v>
      </c>
      <c r="AA135" s="231">
        <v>0</v>
      </c>
      <c r="AB135" s="222">
        <v>0</v>
      </c>
      <c r="AC135" s="232">
        <v>0</v>
      </c>
      <c r="AD135" s="228">
        <f t="shared" si="664"/>
      </c>
      <c r="AE135" s="233" t="s">
        <v>202</v>
      </c>
      <c r="AF135" s="234" t="s">
        <v>203</v>
      </c>
      <c r="AG135" s="235">
        <v>0</v>
      </c>
      <c r="AH135" s="236">
        <v>16549</v>
      </c>
      <c r="AI135" s="236">
        <v>599</v>
      </c>
      <c r="AJ135" s="236">
        <v>620</v>
      </c>
      <c r="AK135" s="237">
        <v>56</v>
      </c>
      <c r="AL135" s="237">
        <v>60</v>
      </c>
    </row>
    <row r="136">
      <c r="A136" s="216"/>
      <c r="B136" s="217" t="s">
        <v>222</v>
      </c>
      <c r="C136" s="252" t="s">
        <v>214</v>
      </c>
      <c r="D136" s="219">
        <f t="shared" si="552"/>
      </c>
      <c r="E136" s="218">
        <v>303.94</v>
      </c>
      <c r="F136" s="249">
        <v>618.08</v>
      </c>
      <c r="G136" s="221">
        <v>0</v>
      </c>
      <c r="H136" s="221">
        <v>0</v>
      </c>
      <c r="I136" s="250">
        <f t="shared" si="342"/>
      </c>
      <c r="J136" s="251">
        <v>0</v>
      </c>
      <c r="K136" s="223">
        <f t="shared" si="227"/>
      </c>
      <c r="L136" s="223">
        <f t="shared" si="112"/>
      </c>
      <c r="M136" s="224">
        <f t="shared" si="70"/>
      </c>
      <c r="N136" s="225">
        <f t="shared" si="39"/>
      </c>
      <c r="O136" s="226">
        <f t="shared" si="8"/>
      </c>
      <c r="P136" s="227">
        <f t="shared" si="943"/>
      </c>
      <c r="Q136" s="227">
        <f t="shared" si="912"/>
      </c>
      <c r="R136" s="227">
        <f t="shared" si="881"/>
      </c>
      <c r="S136" s="228">
        <f t="shared" si="850"/>
      </c>
      <c r="T136" s="229">
        <f t="shared" si="788"/>
      </c>
      <c r="U136" s="227">
        <f t="shared" si="757"/>
      </c>
      <c r="V136" s="230">
        <f t="shared" si="819"/>
      </c>
      <c r="W136" s="230">
        <f t="shared" si="726"/>
      </c>
      <c r="X136" s="227">
        <f t="shared" si="695"/>
      </c>
      <c r="Y136" s="231">
        <f t="shared" si="560"/>
      </c>
      <c r="Z136" s="231">
        <v>0</v>
      </c>
      <c r="AA136" s="231">
        <v>0</v>
      </c>
      <c r="AB136" s="232">
        <v>0</v>
      </c>
      <c r="AC136" s="232">
        <v>0</v>
      </c>
      <c r="AD136" s="228">
        <f t="shared" si="664"/>
      </c>
      <c r="AE136" s="233" t="s">
        <v>202</v>
      </c>
      <c r="AF136" s="234" t="s">
        <v>203</v>
      </c>
      <c r="AG136" s="235">
        <v>0</v>
      </c>
      <c r="AH136" s="236">
        <v>9533</v>
      </c>
      <c r="AI136" s="236">
        <v>293</v>
      </c>
      <c r="AJ136" s="236">
        <v>313</v>
      </c>
      <c r="AK136" s="237">
        <v>24</v>
      </c>
      <c r="AL136" s="237">
        <v>29</v>
      </c>
    </row>
    <row r="137">
      <c r="A137" s="216"/>
      <c r="B137" s="239" t="s">
        <v>208</v>
      </c>
      <c r="C137" s="240">
        <v>5</v>
      </c>
      <c r="D137" s="241">
        <f>SUM(D132:D136)</f>
      </c>
      <c r="E137" s="241">
        <f>SUM(E132:E136)</f>
      </c>
      <c r="F137" s="241">
        <f>SUM(F132:F136)</f>
      </c>
      <c r="G137" s="241">
        <f>SUM(G132:G136)</f>
      </c>
      <c r="H137" s="241">
        <f>SUM(H132:H136)</f>
      </c>
      <c r="I137" s="260">
        <f>SUM(I132:I136)</f>
      </c>
      <c r="J137" s="241">
        <f>SUM(J132:J136)</f>
      </c>
      <c r="K137" s="241">
        <f>SUM(K132:K136)</f>
      </c>
      <c r="L137" s="241">
        <f>SUM(L132:L136)</f>
      </c>
      <c r="M137" s="242">
        <f t="shared" si="70"/>
      </c>
      <c r="N137" s="243">
        <f t="shared" si="39"/>
      </c>
      <c r="O137" s="243">
        <f t="shared" si="8"/>
      </c>
      <c r="P137" s="244">
        <f t="shared" si="943"/>
      </c>
      <c r="Q137" s="244">
        <f t="shared" si="912"/>
      </c>
      <c r="R137" s="244">
        <f t="shared" si="881"/>
      </c>
      <c r="S137" s="245">
        <f t="shared" si="850"/>
      </c>
      <c r="T137" s="245">
        <f t="shared" si="788"/>
      </c>
      <c r="U137" s="244">
        <f t="shared" si="757"/>
      </c>
      <c r="V137" s="245">
        <f t="shared" si="819"/>
      </c>
      <c r="W137" s="245">
        <f t="shared" si="726"/>
      </c>
      <c r="X137" s="244">
        <f t="shared" si="695"/>
      </c>
      <c r="Y137" s="241">
        <f>SUM(Y132:Y136)</f>
      </c>
      <c r="Z137" s="241">
        <f>SUM(Z132:Z136)</f>
      </c>
      <c r="AA137" s="241">
        <f>SUM(AA132:AA136)</f>
      </c>
      <c r="AB137" s="241">
        <f>SUM(AB132:AB136)</f>
      </c>
      <c r="AC137" s="241">
        <f>SUM(AC132:AC136)</f>
      </c>
      <c r="AD137" s="246">
        <f t="shared" si="664"/>
      </c>
      <c r="AE137" s="247"/>
      <c r="AF137" s="248"/>
      <c r="AG137" s="241">
        <f>SUM(AG132:AG136)</f>
      </c>
      <c r="AH137" s="241">
        <f>SUM(AH132:AH136)</f>
      </c>
      <c r="AI137" s="241">
        <f>SUM(AI132:AI136)</f>
      </c>
      <c r="AJ137" s="241">
        <f>SUM(AJ132:AJ136)</f>
      </c>
      <c r="AK137" s="241">
        <f>SUM(AK132:AK136)</f>
      </c>
      <c r="AL137" s="241">
        <f>SUM(AL132:AL136)</f>
      </c>
    </row>
    <row r="138">
      <c r="A138" s="216"/>
      <c r="B138" s="253" t="s">
        <v>208</v>
      </c>
      <c r="C138" s="254">
        <f>C137+C131</f>
      </c>
      <c r="D138" s="255">
        <f>D137+D131</f>
      </c>
      <c r="E138" s="255">
        <f>E137+E131</f>
      </c>
      <c r="F138" s="255">
        <f>F137+F131</f>
      </c>
      <c r="G138" s="255">
        <f>G137+G131</f>
      </c>
      <c r="H138" s="255">
        <f>H137+H131</f>
      </c>
      <c r="I138" s="255">
        <f>I137+I131</f>
      </c>
      <c r="J138" s="255">
        <f>J137+J131</f>
      </c>
      <c r="K138" s="255">
        <f>K137+K131</f>
      </c>
      <c r="L138" s="255">
        <f>L137+L131</f>
      </c>
      <c r="M138" s="256">
        <f t="shared" si="70"/>
      </c>
      <c r="N138" s="256">
        <f t="shared" si="39"/>
      </c>
      <c r="O138" s="256">
        <f t="shared" si="8"/>
      </c>
      <c r="P138" s="256">
        <f t="shared" si="943"/>
      </c>
      <c r="Q138" s="256">
        <f t="shared" si="912"/>
      </c>
      <c r="R138" s="256">
        <f t="shared" si="881"/>
      </c>
      <c r="S138" s="257">
        <f t="shared" si="850"/>
      </c>
      <c r="T138" s="257">
        <f t="shared" si="788"/>
      </c>
      <c r="U138" s="256">
        <f t="shared" si="757"/>
      </c>
      <c r="V138" s="257">
        <f t="shared" si="819"/>
      </c>
      <c r="W138" s="257">
        <f t="shared" si="726"/>
      </c>
      <c r="X138" s="256">
        <f t="shared" si="695"/>
      </c>
      <c r="Y138" s="255">
        <f>Y137+Y131</f>
      </c>
      <c r="Z138" s="255">
        <f>Z137+Z131</f>
      </c>
      <c r="AA138" s="255">
        <f>AA137+AA131</f>
      </c>
      <c r="AB138" s="255">
        <f>AB137+AB131</f>
      </c>
      <c r="AC138" s="255">
        <f>AC137+AC131</f>
      </c>
      <c r="AD138" s="258">
        <f t="shared" si="664"/>
      </c>
      <c r="AE138" s="253"/>
      <c r="AF138" s="253"/>
      <c r="AG138" s="255">
        <f>AG137+AG131</f>
      </c>
      <c r="AH138" s="255">
        <f>AH137+AH131</f>
      </c>
      <c r="AI138" s="255">
        <f>AI137+AI131</f>
      </c>
      <c r="AJ138" s="255">
        <f>AJ137+AJ131</f>
      </c>
      <c r="AK138" s="255">
        <f>AK137+AK131</f>
      </c>
      <c r="AL138" s="255">
        <f>AL137+AL131</f>
      </c>
    </row>
    <row r="139">
      <c r="A139" s="202" t="s">
        <v>162</v>
      </c>
      <c r="B139" s="203" t="s">
        <v>163</v>
      </c>
      <c r="C139" s="203" t="s">
        <v>164</v>
      </c>
      <c r="D139" s="204" t="s">
        <v>165</v>
      </c>
      <c r="E139" s="203" t="s">
        <v>166</v>
      </c>
      <c r="F139" s="203" t="s">
        <v>167</v>
      </c>
      <c r="G139" s="205" t="s">
        <v>168</v>
      </c>
      <c r="H139" s="205" t="s">
        <v>169</v>
      </c>
      <c r="I139" s="204" t="s">
        <v>170</v>
      </c>
      <c r="J139" s="206" t="s">
        <v>171</v>
      </c>
      <c r="K139" s="207" t="s">
        <v>172</v>
      </c>
      <c r="L139" s="207" t="s">
        <v>173</v>
      </c>
      <c r="M139" s="208" t="s">
        <v>174</v>
      </c>
      <c r="N139" s="207" t="s">
        <v>175</v>
      </c>
      <c r="O139" s="203" t="s">
        <v>176</v>
      </c>
      <c r="P139" s="208" t="s">
        <v>177</v>
      </c>
      <c r="Q139" s="209" t="s">
        <v>178</v>
      </c>
      <c r="R139" s="209" t="s">
        <v>179</v>
      </c>
      <c r="S139" s="204" t="s">
        <v>180</v>
      </c>
      <c r="T139" s="210" t="s">
        <v>181</v>
      </c>
      <c r="U139" s="208" t="s">
        <v>182</v>
      </c>
      <c r="V139" s="211" t="s">
        <v>183</v>
      </c>
      <c r="W139" s="212" t="s">
        <v>184</v>
      </c>
      <c r="X139" s="208" t="s">
        <v>185</v>
      </c>
      <c r="Y139" s="213" t="s">
        <v>186</v>
      </c>
      <c r="Z139" s="214" t="s">
        <v>187</v>
      </c>
      <c r="AA139" s="213" t="s">
        <v>188</v>
      </c>
      <c r="AB139" s="215" t="s">
        <v>189</v>
      </c>
      <c r="AC139" s="215" t="s">
        <v>190</v>
      </c>
      <c r="AD139" s="207" t="s">
        <v>191</v>
      </c>
      <c r="AE139" s="206" t="s">
        <v>192</v>
      </c>
      <c r="AF139" s="207" t="s">
        <v>193</v>
      </c>
      <c r="AG139" s="206" t="s">
        <v>194</v>
      </c>
      <c r="AH139" s="206" t="s">
        <v>195</v>
      </c>
      <c r="AI139" s="207" t="s">
        <v>196</v>
      </c>
      <c r="AJ139" s="206" t="s">
        <v>197</v>
      </c>
      <c r="AK139" s="207" t="s">
        <v>198</v>
      </c>
      <c r="AL139" s="206" t="s">
        <v>199</v>
      </c>
    </row>
    <row r="140">
      <c r="A140" s="216">
        <v>46244</v>
      </c>
      <c r="B140" s="217" t="s">
        <v>200</v>
      </c>
      <c r="C140" s="218" t="s">
        <v>216</v>
      </c>
      <c r="D140" s="219">
        <f t="shared" ref="D140:D145" si="456">E140+F140+G140+H140</f>
      </c>
      <c r="E140" s="220">
        <v>781.22</v>
      </c>
      <c r="F140" s="220">
        <v>2111</v>
      </c>
      <c r="G140" s="261">
        <v>0</v>
      </c>
      <c r="H140" s="221">
        <v>0</v>
      </c>
      <c r="I140" s="262">
        <f t="shared" ref="I140:I145" si="343">AB140+AC140</f>
      </c>
      <c r="J140" s="222">
        <v>0</v>
      </c>
      <c r="K140" s="223">
        <f t="shared" ref="K140:K145" si="228">I140-J140</f>
      </c>
      <c r="L140" s="223">
        <f t="shared" ref="L140:L145" si="113">(I140-AC140)/12+AC140</f>
      </c>
      <c r="M140" s="224">
        <f t="shared" ref="M140:M152" si="71">I140/D140</f>
      </c>
      <c r="N140" s="225">
        <f t="shared" ref="N140:N152" si="40">(I140-J140)/D140</f>
      </c>
      <c r="O140" s="226">
        <f t="shared" ref="O140:O152" si="9">(AC140+AB140/12)/D140</f>
      </c>
      <c r="P140" s="227">
        <f t="shared" ref="P140:P152" si="944">I140/AA140</f>
      </c>
      <c r="Q140" s="227">
        <f t="shared" ref="Q140:Q152" si="913">D140/AA140</f>
      </c>
      <c r="R140" s="227">
        <f t="shared" ref="R140:R152" si="882">D140/AG140</f>
      </c>
      <c r="S140" s="228">
        <f t="shared" ref="S140:S152" si="851">AA140/Y140</f>
      </c>
      <c r="T140" s="229">
        <f t="shared" ref="T140:T152" si="789">AI140/AH140</f>
      </c>
      <c r="U140" s="227">
        <f t="shared" ref="U140:U152" si="758">D140/AJ140</f>
      </c>
      <c r="V140" s="230">
        <f t="shared" ref="V140:V152" si="820">AK140/AJ140</f>
      </c>
      <c r="W140" s="230">
        <f t="shared" ref="W140:W152" si="727">AL140/AJ140</f>
      </c>
      <c r="X140" s="227">
        <f t="shared" ref="X140:X152" si="696">D140/AL140</f>
      </c>
      <c r="Y140" s="231">
        <f t="shared" ref="Y140:Y145" si="561">Z140+AA140</f>
      </c>
      <c r="Z140" s="231">
        <v>4</v>
      </c>
      <c r="AA140" s="231">
        <v>1</v>
      </c>
      <c r="AB140" s="232">
        <v>2819.88</v>
      </c>
      <c r="AC140" s="232">
        <v>0</v>
      </c>
      <c r="AD140" s="228">
        <f t="shared" ref="AD140:AD152" si="665">AC140/I140</f>
      </c>
      <c r="AE140" s="233" t="s">
        <v>202</v>
      </c>
      <c r="AF140" s="234" t="s">
        <v>217</v>
      </c>
      <c r="AG140" s="235">
        <v>1</v>
      </c>
      <c r="AH140" s="235">
        <v>25044</v>
      </c>
      <c r="AI140" s="236">
        <v>391</v>
      </c>
      <c r="AJ140" s="236">
        <v>406</v>
      </c>
      <c r="AK140" s="235">
        <v>72</v>
      </c>
      <c r="AL140" s="237">
        <v>90</v>
      </c>
    </row>
    <row r="141">
      <c r="A141" s="216"/>
      <c r="B141" s="217" t="s">
        <v>200</v>
      </c>
      <c r="C141" s="218" t="s">
        <v>218</v>
      </c>
      <c r="D141" s="219">
        <f t="shared" si="456"/>
      </c>
      <c r="E141" s="218">
        <v>529.96</v>
      </c>
      <c r="F141" s="221">
        <v>3552.18</v>
      </c>
      <c r="G141" s="263">
        <v>151.69</v>
      </c>
      <c r="H141" s="221">
        <v>0</v>
      </c>
      <c r="I141" s="221">
        <f t="shared" si="343"/>
      </c>
      <c r="J141" s="222">
        <v>0</v>
      </c>
      <c r="K141" s="223">
        <f t="shared" si="228"/>
      </c>
      <c r="L141" s="223">
        <f t="shared" si="113"/>
      </c>
      <c r="M141" s="224">
        <f t="shared" si="71"/>
      </c>
      <c r="N141" s="225">
        <f t="shared" si="40"/>
      </c>
      <c r="O141" s="226">
        <f t="shared" si="9"/>
      </c>
      <c r="P141" s="227">
        <f t="shared" si="944"/>
      </c>
      <c r="Q141" s="227">
        <f t="shared" si="913"/>
      </c>
      <c r="R141" s="227">
        <f t="shared" si="882"/>
      </c>
      <c r="S141" s="228">
        <f t="shared" si="851"/>
      </c>
      <c r="T141" s="229">
        <f t="shared" si="789"/>
      </c>
      <c r="U141" s="227">
        <f t="shared" si="758"/>
      </c>
      <c r="V141" s="230">
        <f t="shared" si="820"/>
      </c>
      <c r="W141" s="230">
        <f t="shared" si="727"/>
      </c>
      <c r="X141" s="227">
        <f t="shared" si="696"/>
      </c>
      <c r="Y141" s="231">
        <f t="shared" si="561"/>
      </c>
      <c r="Z141" s="231">
        <v>3</v>
      </c>
      <c r="AA141" s="231">
        <v>2</v>
      </c>
      <c r="AB141" s="232">
        <v>646.9200000000001</v>
      </c>
      <c r="AC141" s="232">
        <v>656</v>
      </c>
      <c r="AD141" s="228">
        <f t="shared" si="665"/>
      </c>
      <c r="AE141" s="233" t="s">
        <v>202</v>
      </c>
      <c r="AF141" s="234" t="s">
        <v>217</v>
      </c>
      <c r="AG141" s="235">
        <v>2</v>
      </c>
      <c r="AH141" s="236">
        <v>38866</v>
      </c>
      <c r="AI141" s="236">
        <v>528</v>
      </c>
      <c r="AJ141" s="236">
        <v>507</v>
      </c>
      <c r="AK141" s="237">
        <v>101</v>
      </c>
      <c r="AL141" s="237">
        <v>125</v>
      </c>
    </row>
    <row r="142">
      <c r="A142" s="216"/>
      <c r="B142" s="217" t="s">
        <v>200</v>
      </c>
      <c r="C142" s="218" t="s">
        <v>219</v>
      </c>
      <c r="D142" s="219">
        <f t="shared" si="456"/>
      </c>
      <c r="E142" s="218">
        <v>425.84</v>
      </c>
      <c r="F142" s="218">
        <v>1336.41</v>
      </c>
      <c r="G142" s="218">
        <v>1354.81</v>
      </c>
      <c r="H142" s="218">
        <v>0</v>
      </c>
      <c r="I142" s="221">
        <f t="shared" si="343"/>
      </c>
      <c r="J142" s="222">
        <v>1126.44</v>
      </c>
      <c r="K142" s="223">
        <f t="shared" si="228"/>
      </c>
      <c r="L142" s="223">
        <f t="shared" si="113"/>
      </c>
      <c r="M142" s="224">
        <f t="shared" si="71"/>
      </c>
      <c r="N142" s="225">
        <f t="shared" si="40"/>
      </c>
      <c r="O142" s="226">
        <f t="shared" si="9"/>
      </c>
      <c r="P142" s="227">
        <f t="shared" si="944"/>
      </c>
      <c r="Q142" s="227">
        <f t="shared" si="913"/>
      </c>
      <c r="R142" s="227">
        <f t="shared" si="882"/>
      </c>
      <c r="S142" s="228">
        <f t="shared" si="851"/>
      </c>
      <c r="T142" s="229">
        <f t="shared" si="789"/>
      </c>
      <c r="U142" s="227">
        <f t="shared" si="758"/>
      </c>
      <c r="V142" s="230">
        <f t="shared" si="820"/>
      </c>
      <c r="W142" s="230">
        <f t="shared" si="727"/>
      </c>
      <c r="X142" s="227">
        <f t="shared" si="696"/>
      </c>
      <c r="Y142" s="231">
        <f t="shared" si="561"/>
      </c>
      <c r="Z142" s="231">
        <v>2</v>
      </c>
      <c r="AA142" s="231">
        <v>1</v>
      </c>
      <c r="AB142" s="232">
        <v>1126.4399999999996</v>
      </c>
      <c r="AC142" s="232">
        <v>0</v>
      </c>
      <c r="AD142" s="228">
        <f t="shared" si="665"/>
      </c>
      <c r="AE142" s="233" t="s">
        <v>202</v>
      </c>
      <c r="AF142" s="234" t="s">
        <v>217</v>
      </c>
      <c r="AG142" s="237">
        <v>1</v>
      </c>
      <c r="AH142" s="236">
        <v>26953</v>
      </c>
      <c r="AI142" s="236">
        <v>495</v>
      </c>
      <c r="AJ142" s="236">
        <v>460</v>
      </c>
      <c r="AK142" s="237">
        <v>67</v>
      </c>
      <c r="AL142" s="237">
        <v>92</v>
      </c>
    </row>
    <row r="143">
      <c r="A143" s="216"/>
      <c r="B143" s="217" t="s">
        <v>200</v>
      </c>
      <c r="C143" s="218" t="s">
        <v>220</v>
      </c>
      <c r="D143" s="219">
        <f t="shared" si="456"/>
      </c>
      <c r="E143" s="218">
        <v>821.5</v>
      </c>
      <c r="F143" s="221">
        <v>1292.42</v>
      </c>
      <c r="G143" s="221">
        <v>711.26</v>
      </c>
      <c r="H143" s="221">
        <v>0</v>
      </c>
      <c r="I143" s="221">
        <f t="shared" si="343"/>
      </c>
      <c r="J143" s="222">
        <v>1128.6</v>
      </c>
      <c r="K143" s="223">
        <f t="shared" si="228"/>
      </c>
      <c r="L143" s="223">
        <f t="shared" si="113"/>
      </c>
      <c r="M143" s="224">
        <f t="shared" si="71"/>
      </c>
      <c r="N143" s="225">
        <f t="shared" si="40"/>
      </c>
      <c r="O143" s="226">
        <f t="shared" si="9"/>
      </c>
      <c r="P143" s="227">
        <f t="shared" si="944"/>
      </c>
      <c r="Q143" s="227">
        <f t="shared" si="913"/>
      </c>
      <c r="R143" s="227">
        <f t="shared" si="882"/>
      </c>
      <c r="S143" s="228">
        <f t="shared" si="851"/>
      </c>
      <c r="T143" s="229">
        <f t="shared" si="789"/>
      </c>
      <c r="U143" s="227">
        <f t="shared" si="758"/>
      </c>
      <c r="V143" s="230">
        <f t="shared" si="820"/>
      </c>
      <c r="W143" s="230">
        <f t="shared" si="727"/>
      </c>
      <c r="X143" s="227">
        <f t="shared" si="696"/>
      </c>
      <c r="Y143" s="231">
        <f t="shared" si="561"/>
      </c>
      <c r="Z143" s="231">
        <v>5</v>
      </c>
      <c r="AA143" s="231">
        <v>1</v>
      </c>
      <c r="AB143" s="222">
        <v>1128.6000000000004</v>
      </c>
      <c r="AC143" s="232">
        <v>0</v>
      </c>
      <c r="AD143" s="228">
        <f t="shared" si="665"/>
      </c>
      <c r="AE143" s="233" t="s">
        <v>202</v>
      </c>
      <c r="AF143" s="234" t="s">
        <v>217</v>
      </c>
      <c r="AG143" s="235">
        <v>1</v>
      </c>
      <c r="AH143" s="236">
        <v>24272</v>
      </c>
      <c r="AI143" s="236">
        <v>470</v>
      </c>
      <c r="AJ143" s="236">
        <v>475</v>
      </c>
      <c r="AK143" s="237">
        <v>60</v>
      </c>
      <c r="AL143" s="237">
        <v>83</v>
      </c>
    </row>
    <row customHeight="true" ht="16.666666666666668" r="144">
      <c r="A144" s="216"/>
      <c r="B144" s="217" t="s">
        <v>200</v>
      </c>
      <c r="C144" s="218" t="s">
        <v>221</v>
      </c>
      <c r="D144" s="219">
        <f t="shared" si="456"/>
      </c>
      <c r="E144" s="218">
        <v>746.13</v>
      </c>
      <c r="F144" s="221">
        <v>1510.62</v>
      </c>
      <c r="G144" s="221">
        <v>219.75</v>
      </c>
      <c r="H144" s="221">
        <v>0</v>
      </c>
      <c r="I144" s="221">
        <f t="shared" si="343"/>
      </c>
      <c r="J144" s="222">
        <v>657.72</v>
      </c>
      <c r="K144" s="223">
        <f t="shared" si="228"/>
      </c>
      <c r="L144" s="223">
        <f t="shared" si="113"/>
      </c>
      <c r="M144" s="224">
        <f t="shared" si="71"/>
      </c>
      <c r="N144" s="225">
        <f t="shared" si="40"/>
      </c>
      <c r="O144" s="226">
        <f t="shared" si="9"/>
      </c>
      <c r="P144" s="227">
        <f t="shared" si="944"/>
      </c>
      <c r="Q144" s="227">
        <f t="shared" si="913"/>
      </c>
      <c r="R144" s="227">
        <f t="shared" si="882"/>
      </c>
      <c r="S144" s="228">
        <f t="shared" si="851"/>
      </c>
      <c r="T144" s="229">
        <f t="shared" si="789"/>
      </c>
      <c r="U144" s="227">
        <f t="shared" si="758"/>
      </c>
      <c r="V144" s="230">
        <f t="shared" si="820"/>
      </c>
      <c r="W144" s="230">
        <f t="shared" si="727"/>
      </c>
      <c r="X144" s="227">
        <f t="shared" si="696"/>
      </c>
      <c r="Y144" s="231">
        <f t="shared" si="561"/>
      </c>
      <c r="Z144" s="231">
        <v>1</v>
      </c>
      <c r="AA144" s="231">
        <v>3</v>
      </c>
      <c r="AB144" s="232">
        <v>3382.5599999999995</v>
      </c>
      <c r="AC144" s="232">
        <v>0</v>
      </c>
      <c r="AD144" s="228">
        <f t="shared" si="665"/>
      </c>
      <c r="AE144" s="233" t="s">
        <v>202</v>
      </c>
      <c r="AF144" s="234" t="s">
        <v>217</v>
      </c>
      <c r="AG144" s="235">
        <v>2</v>
      </c>
      <c r="AH144" s="236">
        <v>19957</v>
      </c>
      <c r="AI144" s="236">
        <v>369</v>
      </c>
      <c r="AJ144" s="236">
        <v>367</v>
      </c>
      <c r="AK144" s="237">
        <v>74</v>
      </c>
      <c r="AL144" s="237">
        <v>85</v>
      </c>
    </row>
    <row r="145">
      <c r="A145" s="216"/>
      <c r="B145" s="217" t="s">
        <v>200</v>
      </c>
      <c r="C145" s="218" t="s">
        <v>201</v>
      </c>
      <c r="D145" s="219">
        <f t="shared" si="456"/>
      </c>
      <c r="E145" s="218">
        <v>641.64</v>
      </c>
      <c r="F145" s="221">
        <v>1291.73</v>
      </c>
      <c r="G145" s="221">
        <v>81.14</v>
      </c>
      <c r="H145" s="221">
        <v>0</v>
      </c>
      <c r="I145" s="221">
        <f t="shared" si="343"/>
      </c>
      <c r="J145" s="222">
        <v>1622.16</v>
      </c>
      <c r="K145" s="223">
        <f t="shared" si="228"/>
      </c>
      <c r="L145" s="223">
        <f t="shared" si="113"/>
      </c>
      <c r="M145" s="224">
        <f t="shared" si="71"/>
      </c>
      <c r="N145" s="225">
        <f t="shared" si="40"/>
      </c>
      <c r="O145" s="226">
        <f t="shared" si="9"/>
      </c>
      <c r="P145" s="227">
        <f t="shared" si="944"/>
      </c>
      <c r="Q145" s="227">
        <f t="shared" si="913"/>
      </c>
      <c r="R145" s="227">
        <f t="shared" si="882"/>
      </c>
      <c r="S145" s="228">
        <f t="shared" si="851"/>
      </c>
      <c r="T145" s="229">
        <f t="shared" si="789"/>
      </c>
      <c r="U145" s="227">
        <f t="shared" si="758"/>
      </c>
      <c r="V145" s="230">
        <f t="shared" si="820"/>
      </c>
      <c r="W145" s="230">
        <f t="shared" si="727"/>
      </c>
      <c r="X145" s="227">
        <f t="shared" si="696"/>
      </c>
      <c r="Y145" s="231">
        <f t="shared" si="561"/>
      </c>
      <c r="Z145" s="231">
        <v>1</v>
      </c>
      <c r="AA145" s="231">
        <v>2</v>
      </c>
      <c r="AB145" s="232">
        <v>2212.92</v>
      </c>
      <c r="AC145" s="232">
        <v>0</v>
      </c>
      <c r="AD145" s="228">
        <f t="shared" si="665"/>
      </c>
      <c r="AE145" s="233" t="s">
        <v>202</v>
      </c>
      <c r="AF145" s="234" t="s">
        <v>217</v>
      </c>
      <c r="AG145" s="235">
        <v>2</v>
      </c>
      <c r="AH145" s="236">
        <v>19521</v>
      </c>
      <c r="AI145" s="236">
        <v>280</v>
      </c>
      <c r="AJ145" s="236">
        <v>272</v>
      </c>
      <c r="AK145" s="237">
        <v>42</v>
      </c>
      <c r="AL145" s="237">
        <v>57</v>
      </c>
    </row>
    <row r="146">
      <c r="A146" s="216"/>
      <c r="B146" s="239" t="s">
        <v>208</v>
      </c>
      <c r="C146" s="240">
        <v>6</v>
      </c>
      <c r="D146" s="241">
        <f>SUM(D140:D145)</f>
      </c>
      <c r="E146" s="241">
        <f>SUM(E140:E145)</f>
      </c>
      <c r="F146" s="241">
        <f>SUM(F140:F145)</f>
      </c>
      <c r="G146" s="241">
        <f>SUM(G140:G145)</f>
      </c>
      <c r="H146" s="241">
        <f>SUM(H140:H145)</f>
      </c>
      <c r="I146" s="241">
        <f>SUM(I140:I145)</f>
      </c>
      <c r="J146" s="241">
        <f>SUM(J140:J145)</f>
      </c>
      <c r="K146" s="241">
        <f>SUM(K140:K145)</f>
      </c>
      <c r="L146" s="241">
        <f>SUM(L140:L145)</f>
      </c>
      <c r="M146" s="242">
        <f t="shared" si="71"/>
      </c>
      <c r="N146" s="243">
        <f t="shared" si="40"/>
      </c>
      <c r="O146" s="243">
        <f t="shared" si="9"/>
      </c>
      <c r="P146" s="244">
        <f t="shared" si="944"/>
      </c>
      <c r="Q146" s="244">
        <f t="shared" si="913"/>
      </c>
      <c r="R146" s="244">
        <f t="shared" si="882"/>
      </c>
      <c r="S146" s="246">
        <f t="shared" si="851"/>
      </c>
      <c r="T146" s="246">
        <f t="shared" si="789"/>
      </c>
      <c r="U146" s="244">
        <f t="shared" si="758"/>
      </c>
      <c r="V146" s="246">
        <f t="shared" si="820"/>
      </c>
      <c r="W146" s="246">
        <f t="shared" si="727"/>
      </c>
      <c r="X146" s="244">
        <f t="shared" si="696"/>
      </c>
      <c r="Y146" s="241">
        <f>SUM(Y140:Y145)</f>
      </c>
      <c r="Z146" s="241">
        <f>SUM(Z140:Z145)</f>
      </c>
      <c r="AA146" s="241">
        <f>SUM(AA140:AA145)</f>
      </c>
      <c r="AB146" s="241">
        <f>SUM(AB140:AB145)</f>
      </c>
      <c r="AC146" s="241">
        <f>SUM(AC140:AC145)</f>
      </c>
      <c r="AD146" s="246">
        <f t="shared" si="665"/>
      </c>
      <c r="AE146" s="247"/>
      <c r="AF146" s="248"/>
      <c r="AG146" s="241">
        <f>SUM(AG140:AG145)</f>
      </c>
      <c r="AH146" s="241">
        <f>SUM(AH140:AH145)</f>
      </c>
      <c r="AI146" s="241">
        <f>SUM(AI140:AI145)</f>
      </c>
      <c r="AJ146" s="241">
        <f>SUM(AJ140:AJ145)</f>
      </c>
      <c r="AK146" s="241">
        <f>SUM(AK140:AK145)</f>
      </c>
      <c r="AL146" s="241">
        <f>SUM(AL140:AL145)</f>
      </c>
    </row>
    <row r="147">
      <c r="A147" s="216"/>
      <c r="B147" s="217" t="s">
        <v>223</v>
      </c>
      <c r="C147" s="218" t="s">
        <v>204</v>
      </c>
      <c r="D147" s="219">
        <f t="shared" ref="D147:D150" si="457">E147+F147+G147+H147</f>
      </c>
      <c r="E147" s="218">
        <v>577.05</v>
      </c>
      <c r="F147" s="221">
        <v>1940.75</v>
      </c>
      <c r="G147" s="221">
        <v>0</v>
      </c>
      <c r="H147" s="221">
        <v>0</v>
      </c>
      <c r="I147" s="221">
        <f t="shared" ref="I147:I150" si="344">AB147+AC147</f>
      </c>
      <c r="J147" s="222">
        <v>0</v>
      </c>
      <c r="K147" s="223">
        <f t="shared" ref="K147:K150" si="229">I147-J147</f>
      </c>
      <c r="L147" s="223">
        <f t="shared" ref="L147:L150" si="114">(I147-AC147)/12+AC147</f>
      </c>
      <c r="M147" s="224">
        <f t="shared" si="71"/>
      </c>
      <c r="N147" s="225">
        <f t="shared" si="40"/>
      </c>
      <c r="O147" s="226">
        <f t="shared" si="9"/>
      </c>
      <c r="P147" s="227">
        <f t="shared" si="944"/>
      </c>
      <c r="Q147" s="227">
        <f t="shared" si="913"/>
      </c>
      <c r="R147" s="227">
        <f t="shared" si="882"/>
      </c>
      <c r="S147" s="228">
        <f t="shared" si="851"/>
      </c>
      <c r="T147" s="229">
        <f t="shared" si="789"/>
      </c>
      <c r="U147" s="227">
        <f t="shared" si="758"/>
      </c>
      <c r="V147" s="230">
        <f t="shared" si="820"/>
      </c>
      <c r="W147" s="230">
        <f t="shared" si="727"/>
      </c>
      <c r="X147" s="227">
        <f t="shared" si="696"/>
      </c>
      <c r="Y147" s="231">
        <f t="shared" ref="Y147:Y150" si="562">Z147+AA147</f>
      </c>
      <c r="Z147" s="231">
        <v>0</v>
      </c>
      <c r="AA147" s="231">
        <v>0</v>
      </c>
      <c r="AB147" s="232">
        <v>0</v>
      </c>
      <c r="AC147" s="232">
        <v>0</v>
      </c>
      <c r="AD147" s="228">
        <f t="shared" si="665"/>
      </c>
      <c r="AE147" s="233" t="s">
        <v>202</v>
      </c>
      <c r="AF147" s="234" t="s">
        <v>217</v>
      </c>
      <c r="AG147" s="235">
        <v>0</v>
      </c>
      <c r="AH147" s="236">
        <v>26822</v>
      </c>
      <c r="AI147" s="236">
        <v>292</v>
      </c>
      <c r="AJ147" s="236">
        <v>283</v>
      </c>
      <c r="AK147" s="237">
        <v>46</v>
      </c>
      <c r="AL147" s="237">
        <v>69</v>
      </c>
    </row>
    <row r="148">
      <c r="A148" s="216"/>
      <c r="B148" s="217" t="s">
        <v>223</v>
      </c>
      <c r="C148" s="218" t="s">
        <v>205</v>
      </c>
      <c r="D148" s="219">
        <f t="shared" si="457"/>
      </c>
      <c r="E148" s="218">
        <v>363.61</v>
      </c>
      <c r="F148" s="218">
        <v>1903.7</v>
      </c>
      <c r="G148" s="218">
        <v>0</v>
      </c>
      <c r="H148" s="218">
        <v>0</v>
      </c>
      <c r="I148" s="221">
        <f t="shared" si="344"/>
      </c>
      <c r="J148" s="222">
        <v>0</v>
      </c>
      <c r="K148" s="223">
        <f t="shared" si="229"/>
      </c>
      <c r="L148" s="223">
        <f t="shared" si="114"/>
      </c>
      <c r="M148" s="224">
        <f t="shared" si="71"/>
      </c>
      <c r="N148" s="225">
        <f t="shared" si="40"/>
      </c>
      <c r="O148" s="226">
        <f t="shared" si="9"/>
      </c>
      <c r="P148" s="227">
        <f t="shared" si="944"/>
      </c>
      <c r="Q148" s="227">
        <f t="shared" si="913"/>
      </c>
      <c r="R148" s="227">
        <f t="shared" si="882"/>
      </c>
      <c r="S148" s="228">
        <f t="shared" si="851"/>
      </c>
      <c r="T148" s="229">
        <f t="shared" si="789"/>
      </c>
      <c r="U148" s="227">
        <f t="shared" si="758"/>
      </c>
      <c r="V148" s="230">
        <f t="shared" si="820"/>
      </c>
      <c r="W148" s="230">
        <f t="shared" si="727"/>
      </c>
      <c r="X148" s="227">
        <f t="shared" si="696"/>
      </c>
      <c r="Y148" s="231">
        <f t="shared" si="562"/>
      </c>
      <c r="Z148" s="231">
        <v>2</v>
      </c>
      <c r="AA148" s="231">
        <v>1</v>
      </c>
      <c r="AB148" s="232">
        <v>0</v>
      </c>
      <c r="AC148" s="232">
        <v>379</v>
      </c>
      <c r="AD148" s="228">
        <f t="shared" si="665"/>
      </c>
      <c r="AE148" s="233" t="s">
        <v>202</v>
      </c>
      <c r="AF148" s="234" t="s">
        <v>203</v>
      </c>
      <c r="AG148" s="237">
        <v>1</v>
      </c>
      <c r="AH148" s="236">
        <v>21130</v>
      </c>
      <c r="AI148" s="236">
        <v>332</v>
      </c>
      <c r="AJ148" s="236">
        <v>323</v>
      </c>
      <c r="AK148" s="237">
        <v>60</v>
      </c>
      <c r="AL148" s="237">
        <v>67</v>
      </c>
    </row>
    <row r="149">
      <c r="A149" s="216"/>
      <c r="B149" s="217" t="s">
        <v>223</v>
      </c>
      <c r="C149" s="218" t="s">
        <v>206</v>
      </c>
      <c r="D149" s="219">
        <f t="shared" si="457"/>
      </c>
      <c r="E149" s="218">
        <v>501.66</v>
      </c>
      <c r="F149" s="221">
        <v>1074.27</v>
      </c>
      <c r="G149" s="221">
        <v>0</v>
      </c>
      <c r="H149" s="221">
        <v>0</v>
      </c>
      <c r="I149" s="221">
        <f t="shared" si="344"/>
      </c>
      <c r="J149" s="222">
        <v>0</v>
      </c>
      <c r="K149" s="223">
        <f t="shared" si="229"/>
      </c>
      <c r="L149" s="223">
        <f t="shared" si="114"/>
      </c>
      <c r="M149" s="224">
        <f t="shared" si="71"/>
      </c>
      <c r="N149" s="225">
        <f t="shared" si="40"/>
      </c>
      <c r="O149" s="226">
        <f t="shared" si="9"/>
      </c>
      <c r="P149" s="227">
        <f t="shared" si="944"/>
      </c>
      <c r="Q149" s="227">
        <f t="shared" si="913"/>
      </c>
      <c r="R149" s="227">
        <f t="shared" si="882"/>
      </c>
      <c r="S149" s="228">
        <f t="shared" si="851"/>
      </c>
      <c r="T149" s="229">
        <f t="shared" si="789"/>
      </c>
      <c r="U149" s="227">
        <f t="shared" si="758"/>
      </c>
      <c r="V149" s="230">
        <f t="shared" si="820"/>
      </c>
      <c r="W149" s="230">
        <f t="shared" si="727"/>
      </c>
      <c r="X149" s="227">
        <f t="shared" si="696"/>
      </c>
      <c r="Y149" s="231">
        <f t="shared" si="562"/>
      </c>
      <c r="Z149" s="231">
        <v>2</v>
      </c>
      <c r="AA149" s="231">
        <v>1</v>
      </c>
      <c r="AB149" s="222">
        <v>0</v>
      </c>
      <c r="AC149" s="232">
        <v>1733</v>
      </c>
      <c r="AD149" s="228">
        <f t="shared" si="665"/>
      </c>
      <c r="AE149" s="233" t="s">
        <v>202</v>
      </c>
      <c r="AF149" s="234" t="s">
        <v>203</v>
      </c>
      <c r="AG149" s="235">
        <v>1</v>
      </c>
      <c r="AH149" s="236">
        <v>13277</v>
      </c>
      <c r="AI149" s="236">
        <v>266</v>
      </c>
      <c r="AJ149" s="236">
        <v>275</v>
      </c>
      <c r="AK149" s="237">
        <v>37</v>
      </c>
      <c r="AL149" s="237">
        <v>51</v>
      </c>
    </row>
    <row r="150">
      <c r="A150" s="216"/>
      <c r="B150" s="217" t="s">
        <v>223</v>
      </c>
      <c r="C150" s="218" t="s">
        <v>207</v>
      </c>
      <c r="D150" s="219">
        <f t="shared" si="457"/>
      </c>
      <c r="E150" s="218">
        <v>317.49</v>
      </c>
      <c r="F150" s="221">
        <v>893.01</v>
      </c>
      <c r="G150" s="221">
        <v>0</v>
      </c>
      <c r="H150" s="221">
        <v>0</v>
      </c>
      <c r="I150" s="238">
        <f t="shared" si="344"/>
      </c>
      <c r="J150" s="222">
        <v>0</v>
      </c>
      <c r="K150" s="223">
        <f t="shared" si="229"/>
      </c>
      <c r="L150" s="223">
        <f t="shared" si="114"/>
      </c>
      <c r="M150" s="224">
        <f t="shared" si="71"/>
      </c>
      <c r="N150" s="225">
        <f t="shared" si="40"/>
      </c>
      <c r="O150" s="226">
        <f t="shared" si="9"/>
      </c>
      <c r="P150" s="227">
        <f t="shared" si="944"/>
      </c>
      <c r="Q150" s="227">
        <f t="shared" si="913"/>
      </c>
      <c r="R150" s="227">
        <f t="shared" si="882"/>
      </c>
      <c r="S150" s="228">
        <f t="shared" si="851"/>
      </c>
      <c r="T150" s="229">
        <f t="shared" si="789"/>
      </c>
      <c r="U150" s="227">
        <f t="shared" si="758"/>
      </c>
      <c r="V150" s="230">
        <f t="shared" si="820"/>
      </c>
      <c r="W150" s="230">
        <f t="shared" si="727"/>
      </c>
      <c r="X150" s="227">
        <f t="shared" si="696"/>
      </c>
      <c r="Y150" s="231">
        <f t="shared" si="562"/>
      </c>
      <c r="Z150" s="231">
        <v>1</v>
      </c>
      <c r="AA150" s="231">
        <v>3</v>
      </c>
      <c r="AB150" s="232">
        <v>3012.120000000001</v>
      </c>
      <c r="AC150" s="232">
        <v>0</v>
      </c>
      <c r="AD150" s="228">
        <f t="shared" si="665"/>
      </c>
      <c r="AE150" s="233" t="s">
        <v>202</v>
      </c>
      <c r="AF150" s="234" t="s">
        <v>203</v>
      </c>
      <c r="AG150" s="235">
        <v>2</v>
      </c>
      <c r="AH150" s="236">
        <v>11300</v>
      </c>
      <c r="AI150" s="236">
        <v>222</v>
      </c>
      <c r="AJ150" s="236">
        <v>242</v>
      </c>
      <c r="AK150" s="237">
        <v>41</v>
      </c>
      <c r="AL150" s="237">
        <v>46</v>
      </c>
    </row>
    <row r="151">
      <c r="A151" s="216"/>
      <c r="B151" s="239" t="s">
        <v>208</v>
      </c>
      <c r="C151" s="240">
        <v>4</v>
      </c>
      <c r="D151" s="241">
        <f>SUM(D147:D150)</f>
      </c>
      <c r="E151" s="241">
        <f>SUM(E147:E150)</f>
      </c>
      <c r="F151" s="241">
        <f>SUM(F147:F150)</f>
      </c>
      <c r="G151" s="241">
        <f>SUM(G147:G150)</f>
      </c>
      <c r="H151" s="241">
        <f>SUM(H147:H150)</f>
      </c>
      <c r="I151" s="241">
        <f>SUM(I147:I150)</f>
      </c>
      <c r="J151" s="241">
        <f>SUM(J147:J150)</f>
      </c>
      <c r="K151" s="241">
        <f>SUM(K147:K150)</f>
      </c>
      <c r="L151" s="241">
        <f>SUM(L147:L150)</f>
      </c>
      <c r="M151" s="242">
        <f t="shared" si="71"/>
      </c>
      <c r="N151" s="243">
        <f t="shared" si="40"/>
      </c>
      <c r="O151" s="243">
        <f t="shared" si="9"/>
      </c>
      <c r="P151" s="244">
        <f t="shared" si="944"/>
      </c>
      <c r="Q151" s="244">
        <f t="shared" si="913"/>
      </c>
      <c r="R151" s="244">
        <f t="shared" si="882"/>
      </c>
      <c r="S151" s="246">
        <f t="shared" si="851"/>
      </c>
      <c r="T151" s="246">
        <f t="shared" si="789"/>
      </c>
      <c r="U151" s="244">
        <f t="shared" si="758"/>
      </c>
      <c r="V151" s="246">
        <f t="shared" si="820"/>
      </c>
      <c r="W151" s="246">
        <f t="shared" si="727"/>
      </c>
      <c r="X151" s="244">
        <f t="shared" si="696"/>
      </c>
      <c r="Y151" s="241">
        <f>SUM(Y147:Y150)</f>
      </c>
      <c r="Z151" s="241">
        <f>SUM(Z147:Z150)</f>
      </c>
      <c r="AA151" s="241">
        <f>SUM(AA147:AA150)</f>
      </c>
      <c r="AB151" s="241">
        <f>SUM(AB147:AB150)</f>
      </c>
      <c r="AC151" s="241">
        <f>SUM(AC147:AC150)</f>
      </c>
      <c r="AD151" s="246">
        <f t="shared" si="665"/>
      </c>
      <c r="AE151" s="247"/>
      <c r="AF151" s="248"/>
      <c r="AG151" s="241">
        <f>SUM(AG147:AG150)</f>
      </c>
      <c r="AH151" s="241">
        <f>SUM(AH147:AH150)</f>
      </c>
      <c r="AI151" s="241">
        <f>SUM(AI147:AI150)</f>
      </c>
      <c r="AJ151" s="241">
        <f>SUM(AJ147:AJ150)</f>
      </c>
      <c r="AK151" s="241">
        <f>SUM(AK147:AK150)</f>
      </c>
      <c r="AL151" s="241">
        <f>SUM(AL147:AL150)</f>
      </c>
    </row>
    <row r="152">
      <c r="A152" s="216"/>
      <c r="B152" s="253" t="s">
        <v>208</v>
      </c>
      <c r="C152" s="254">
        <f>C146+C151</f>
      </c>
      <c r="D152" s="254">
        <f>D146+D151</f>
      </c>
      <c r="E152" s="254">
        <f>E146+E151</f>
      </c>
      <c r="F152" s="254">
        <f>F146+F151</f>
      </c>
      <c r="G152" s="254">
        <f>G146+G151</f>
      </c>
      <c r="H152" s="254">
        <f>H146+H151</f>
      </c>
      <c r="I152" s="254">
        <f>I146+I151</f>
      </c>
      <c r="J152" s="254">
        <f>J146+J151</f>
      </c>
      <c r="K152" s="254">
        <f>K146+K151</f>
      </c>
      <c r="L152" s="254">
        <f>L146+L151</f>
      </c>
      <c r="M152" s="256">
        <f t="shared" si="71"/>
      </c>
      <c r="N152" s="256">
        <f t="shared" si="40"/>
      </c>
      <c r="O152" s="256">
        <f t="shared" si="9"/>
      </c>
      <c r="P152" s="256">
        <f t="shared" si="944"/>
      </c>
      <c r="Q152" s="256">
        <f t="shared" si="913"/>
      </c>
      <c r="R152" s="256">
        <f t="shared" si="882"/>
      </c>
      <c r="S152" s="257">
        <f t="shared" si="851"/>
      </c>
      <c r="T152" s="257">
        <f t="shared" si="789"/>
      </c>
      <c r="U152" s="256">
        <f t="shared" si="758"/>
      </c>
      <c r="V152" s="257">
        <f t="shared" si="820"/>
      </c>
      <c r="W152" s="257">
        <f t="shared" si="727"/>
      </c>
      <c r="X152" s="256">
        <f t="shared" si="696"/>
      </c>
      <c r="Y152" s="255">
        <f>Y146+Y151</f>
      </c>
      <c r="Z152" s="255">
        <f>Z146+Z151</f>
      </c>
      <c r="AA152" s="255">
        <f>AA146+AA151</f>
      </c>
      <c r="AB152" s="255">
        <f>AB146+AB151</f>
      </c>
      <c r="AC152" s="255">
        <f>AC146+AC151</f>
      </c>
      <c r="AD152" s="258">
        <f t="shared" si="665"/>
      </c>
      <c r="AE152" s="253"/>
      <c r="AF152" s="253"/>
      <c r="AG152" s="255">
        <f>AG146+AG151</f>
      </c>
      <c r="AH152" s="255">
        <f>AH146+AH151</f>
      </c>
      <c r="AI152" s="255">
        <f>AI146+AI151</f>
      </c>
      <c r="AJ152" s="255">
        <f>AJ146+AJ151</f>
      </c>
      <c r="AK152" s="255">
        <f>AK146+AK151</f>
      </c>
      <c r="AL152" s="255">
        <f>AL146+AL151</f>
      </c>
    </row>
    <row r="153">
      <c r="A153" s="202" t="s">
        <v>162</v>
      </c>
      <c r="B153" s="203" t="s">
        <v>163</v>
      </c>
      <c r="C153" s="203" t="s">
        <v>164</v>
      </c>
      <c r="D153" s="204" t="s">
        <v>165</v>
      </c>
      <c r="E153" s="203" t="s">
        <v>166</v>
      </c>
      <c r="F153" s="203" t="s">
        <v>167</v>
      </c>
      <c r="G153" s="205" t="s">
        <v>168</v>
      </c>
      <c r="H153" s="205" t="s">
        <v>169</v>
      </c>
      <c r="I153" s="204" t="s">
        <v>170</v>
      </c>
      <c r="J153" s="206" t="s">
        <v>171</v>
      </c>
      <c r="K153" s="207" t="s">
        <v>172</v>
      </c>
      <c r="L153" s="207" t="s">
        <v>173</v>
      </c>
      <c r="M153" s="208" t="s">
        <v>174</v>
      </c>
      <c r="N153" s="207" t="s">
        <v>175</v>
      </c>
      <c r="O153" s="203" t="s">
        <v>176</v>
      </c>
      <c r="P153" s="208" t="s">
        <v>177</v>
      </c>
      <c r="Q153" s="209" t="s">
        <v>178</v>
      </c>
      <c r="R153" s="209" t="s">
        <v>179</v>
      </c>
      <c r="S153" s="204" t="s">
        <v>180</v>
      </c>
      <c r="T153" s="210" t="s">
        <v>181</v>
      </c>
      <c r="U153" s="208" t="s">
        <v>182</v>
      </c>
      <c r="V153" s="211" t="s">
        <v>183</v>
      </c>
      <c r="W153" s="212" t="s">
        <v>184</v>
      </c>
      <c r="X153" s="208" t="s">
        <v>185</v>
      </c>
      <c r="Y153" s="213" t="s">
        <v>186</v>
      </c>
      <c r="Z153" s="214" t="s">
        <v>187</v>
      </c>
      <c r="AA153" s="213" t="s">
        <v>188</v>
      </c>
      <c r="AB153" s="215" t="s">
        <v>189</v>
      </c>
      <c r="AC153" s="215" t="s">
        <v>190</v>
      </c>
      <c r="AD153" s="207" t="s">
        <v>191</v>
      </c>
      <c r="AE153" s="206" t="s">
        <v>192</v>
      </c>
      <c r="AF153" s="207" t="s">
        <v>193</v>
      </c>
      <c r="AG153" s="206" t="s">
        <v>194</v>
      </c>
      <c r="AH153" s="206" t="s">
        <v>195</v>
      </c>
      <c r="AI153" s="207" t="s">
        <v>196</v>
      </c>
      <c r="AJ153" s="206" t="s">
        <v>197</v>
      </c>
      <c r="AK153" s="207" t="s">
        <v>198</v>
      </c>
      <c r="AL153" s="206" t="s">
        <v>199</v>
      </c>
    </row>
    <row r="154">
      <c r="A154" s="216">
        <v>46245</v>
      </c>
      <c r="B154" s="217" t="s">
        <v>200</v>
      </c>
      <c r="C154" s="218" t="s">
        <v>216</v>
      </c>
      <c r="D154" s="219">
        <f t="shared" ref="D154:D158" si="458">E154+F154+G154+H154</f>
      </c>
      <c r="E154" s="220">
        <v>772.55</v>
      </c>
      <c r="F154" s="221">
        <v>2016.02</v>
      </c>
      <c r="G154" s="221">
        <v>579.48</v>
      </c>
      <c r="H154" s="221">
        <v>0</v>
      </c>
      <c r="I154" s="221">
        <f t="shared" ref="I154:I158" si="345">AB154+AC154</f>
      </c>
      <c r="J154" s="222">
        <v>3566.16</v>
      </c>
      <c r="K154" s="223">
        <f t="shared" ref="K154:K158" si="230">I154-J154</f>
      </c>
      <c r="L154" s="223">
        <f t="shared" ref="L154:L158" si="115">(I154-AC154)/12+AC154</f>
      </c>
      <c r="M154" s="224">
        <f t="shared" ref="M154:M172" si="72">I154/D154</f>
      </c>
      <c r="N154" s="225">
        <f t="shared" ref="N154:N172" si="41">(I154-J154)/D154</f>
      </c>
      <c r="O154" s="226">
        <f t="shared" ref="O154:O172" si="10">(AC154+AB154/12)/D154</f>
      </c>
      <c r="P154" s="227">
        <f t="shared" ref="P154:P172" si="945">I154/AA154</f>
      </c>
      <c r="Q154" s="227">
        <f t="shared" ref="Q154:Q172" si="914">D154/AA154</f>
      </c>
      <c r="R154" s="227">
        <f t="shared" ref="R154:R172" si="883">D154/AG154</f>
      </c>
      <c r="S154" s="228">
        <f t="shared" ref="S154:S172" si="852">AA154/Y154</f>
      </c>
      <c r="T154" s="229">
        <f t="shared" ref="T154:T172" si="790">AI154/AH154</f>
      </c>
      <c r="U154" s="227">
        <f t="shared" ref="U154:U172" si="759">D154/AJ154</f>
      </c>
      <c r="V154" s="230">
        <f t="shared" ref="V154:V172" si="821">AK154/AJ154</f>
      </c>
      <c r="W154" s="230">
        <f t="shared" ref="W154:W172" si="728">AL154/AJ154</f>
      </c>
      <c r="X154" s="227">
        <f t="shared" ref="X154:X172" si="697">D154/AL154</f>
      </c>
      <c r="Y154" s="231">
        <f t="shared" ref="Y154:Y158" si="563">Z154+AA154</f>
      </c>
      <c r="Z154" s="231">
        <v>5</v>
      </c>
      <c r="AA154" s="231">
        <v>5</v>
      </c>
      <c r="AB154" s="232">
        <v>6293.16</v>
      </c>
      <c r="AC154" s="232">
        <v>0</v>
      </c>
      <c r="AD154" s="228">
        <f t="shared" ref="AD154:AD172" si="666">AC154/I154</f>
      </c>
      <c r="AE154" s="233" t="s">
        <v>202</v>
      </c>
      <c r="AF154" s="234" t="s">
        <v>217</v>
      </c>
      <c r="AG154" s="235">
        <v>4</v>
      </c>
      <c r="AH154" s="235">
        <v>28170</v>
      </c>
      <c r="AI154" s="236">
        <v>434</v>
      </c>
      <c r="AJ154" s="236">
        <v>443</v>
      </c>
      <c r="AK154" s="235">
        <v>91</v>
      </c>
      <c r="AL154" s="237">
        <v>102</v>
      </c>
    </row>
    <row r="155">
      <c r="A155" s="216"/>
      <c r="B155" s="217" t="s">
        <v>200</v>
      </c>
      <c r="C155" s="218" t="s">
        <v>218</v>
      </c>
      <c r="D155" s="219">
        <f t="shared" si="458"/>
      </c>
      <c r="E155" s="218">
        <v>663.35</v>
      </c>
      <c r="F155" s="221">
        <v>1983.98</v>
      </c>
      <c r="G155" s="221">
        <v>1600.69</v>
      </c>
      <c r="H155" s="221">
        <v>0</v>
      </c>
      <c r="I155" s="221">
        <f t="shared" si="345"/>
      </c>
      <c r="J155" s="222">
        <v>1217.16</v>
      </c>
      <c r="K155" s="223">
        <f t="shared" si="230"/>
      </c>
      <c r="L155" s="223">
        <f t="shared" si="115"/>
      </c>
      <c r="M155" s="224">
        <f t="shared" si="72"/>
      </c>
      <c r="N155" s="225">
        <f t="shared" si="41"/>
      </c>
      <c r="O155" s="226">
        <f t="shared" si="10"/>
      </c>
      <c r="P155" s="227">
        <f t="shared" si="945"/>
      </c>
      <c r="Q155" s="227">
        <f t="shared" si="914"/>
      </c>
      <c r="R155" s="227">
        <f t="shared" si="883"/>
      </c>
      <c r="S155" s="228">
        <f t="shared" si="852"/>
      </c>
      <c r="T155" s="229">
        <f t="shared" si="790"/>
      </c>
      <c r="U155" s="227">
        <f t="shared" si="759"/>
      </c>
      <c r="V155" s="230">
        <f t="shared" si="821"/>
      </c>
      <c r="W155" s="230">
        <f t="shared" si="728"/>
      </c>
      <c r="X155" s="227">
        <f t="shared" si="697"/>
      </c>
      <c r="Y155" s="231">
        <f t="shared" si="563"/>
      </c>
      <c r="Z155" s="231">
        <v>3</v>
      </c>
      <c r="AA155" s="231">
        <v>5</v>
      </c>
      <c r="AB155" s="232">
        <v>10550.16</v>
      </c>
      <c r="AC155" s="232">
        <v>0</v>
      </c>
      <c r="AD155" s="228">
        <f t="shared" si="666"/>
      </c>
      <c r="AE155" s="233" t="s">
        <v>202</v>
      </c>
      <c r="AF155" s="234" t="s">
        <v>217</v>
      </c>
      <c r="AG155" s="235">
        <v>4</v>
      </c>
      <c r="AH155" s="236">
        <v>37114</v>
      </c>
      <c r="AI155" s="236">
        <v>481</v>
      </c>
      <c r="AJ155" s="236">
        <v>468</v>
      </c>
      <c r="AK155" s="237">
        <v>120</v>
      </c>
      <c r="AL155" s="237">
        <v>147</v>
      </c>
    </row>
    <row r="156">
      <c r="A156" s="216"/>
      <c r="B156" s="217" t="s">
        <v>200</v>
      </c>
      <c r="C156" s="218" t="s">
        <v>219</v>
      </c>
      <c r="D156" s="219">
        <f t="shared" si="458"/>
      </c>
      <c r="E156" s="218">
        <v>705.77</v>
      </c>
      <c r="F156" s="218">
        <v>2188.99</v>
      </c>
      <c r="G156" s="218">
        <v>2451.87</v>
      </c>
      <c r="H156" s="218">
        <v>0</v>
      </c>
      <c r="I156" s="221">
        <f t="shared" si="345"/>
      </c>
      <c r="J156" s="222">
        <v>0</v>
      </c>
      <c r="K156" s="223">
        <f t="shared" si="230"/>
      </c>
      <c r="L156" s="223">
        <f t="shared" si="115"/>
      </c>
      <c r="M156" s="224">
        <f t="shared" si="72"/>
      </c>
      <c r="N156" s="225">
        <f t="shared" si="41"/>
      </c>
      <c r="O156" s="226">
        <f t="shared" si="10"/>
      </c>
      <c r="P156" s="227">
        <f t="shared" si="945"/>
      </c>
      <c r="Q156" s="227">
        <f t="shared" si="914"/>
      </c>
      <c r="R156" s="227">
        <f t="shared" si="883"/>
      </c>
      <c r="S156" s="228">
        <f t="shared" si="852"/>
      </c>
      <c r="T156" s="229">
        <f t="shared" si="790"/>
      </c>
      <c r="U156" s="227">
        <f t="shared" si="759"/>
      </c>
      <c r="V156" s="230">
        <f t="shared" si="821"/>
      </c>
      <c r="W156" s="230">
        <f t="shared" si="728"/>
      </c>
      <c r="X156" s="227">
        <f t="shared" si="697"/>
      </c>
      <c r="Y156" s="231">
        <f t="shared" si="563"/>
      </c>
      <c r="Z156" s="231">
        <v>4</v>
      </c>
      <c r="AA156" s="231">
        <v>5</v>
      </c>
      <c r="AB156" s="232">
        <v>7413.119999999999</v>
      </c>
      <c r="AC156" s="232">
        <v>0</v>
      </c>
      <c r="AD156" s="228">
        <f t="shared" si="666"/>
      </c>
      <c r="AE156" s="233" t="s">
        <v>202</v>
      </c>
      <c r="AF156" s="234" t="s">
        <v>217</v>
      </c>
      <c r="AG156" s="237">
        <v>5</v>
      </c>
      <c r="AH156" s="236">
        <v>50961</v>
      </c>
      <c r="AI156" s="236">
        <v>597</v>
      </c>
      <c r="AJ156" s="236">
        <v>566</v>
      </c>
      <c r="AK156" s="237">
        <v>118</v>
      </c>
      <c r="AL156" s="237">
        <v>165</v>
      </c>
    </row>
    <row r="157">
      <c r="A157" s="216"/>
      <c r="B157" s="217" t="s">
        <v>200</v>
      </c>
      <c r="C157" s="218" t="s">
        <v>220</v>
      </c>
      <c r="D157" s="219">
        <f t="shared" si="458"/>
      </c>
      <c r="E157" s="218">
        <v>1153.04</v>
      </c>
      <c r="F157" s="221">
        <v>2503.58</v>
      </c>
      <c r="G157" s="221">
        <v>3070.56</v>
      </c>
      <c r="H157" s="221">
        <v>0</v>
      </c>
      <c r="I157" s="221">
        <f t="shared" si="345"/>
      </c>
      <c r="J157" s="222">
        <v>2326.32</v>
      </c>
      <c r="K157" s="223">
        <f t="shared" si="230"/>
      </c>
      <c r="L157" s="223">
        <f t="shared" si="115"/>
      </c>
      <c r="M157" s="224">
        <f t="shared" si="72"/>
      </c>
      <c r="N157" s="225">
        <f t="shared" si="41"/>
      </c>
      <c r="O157" s="226">
        <f t="shared" si="10"/>
      </c>
      <c r="P157" s="227">
        <f t="shared" si="945"/>
      </c>
      <c r="Q157" s="227">
        <f t="shared" si="914"/>
      </c>
      <c r="R157" s="227">
        <f t="shared" si="883"/>
      </c>
      <c r="S157" s="228">
        <f t="shared" si="852"/>
      </c>
      <c r="T157" s="229">
        <f t="shared" si="790"/>
      </c>
      <c r="U157" s="227">
        <f t="shared" si="759"/>
      </c>
      <c r="V157" s="230">
        <f t="shared" si="821"/>
      </c>
      <c r="W157" s="230">
        <f t="shared" si="728"/>
      </c>
      <c r="X157" s="227">
        <f t="shared" si="697"/>
      </c>
      <c r="Y157" s="231">
        <f t="shared" si="563"/>
      </c>
      <c r="Z157" s="231">
        <v>5</v>
      </c>
      <c r="AA157" s="231">
        <v>7</v>
      </c>
      <c r="AB157" s="222">
        <v>8321.400000000001</v>
      </c>
      <c r="AC157" s="232">
        <v>0</v>
      </c>
      <c r="AD157" s="228">
        <f t="shared" si="666"/>
      </c>
      <c r="AE157" s="233" t="s">
        <v>202</v>
      </c>
      <c r="AF157" s="234" t="s">
        <v>217</v>
      </c>
      <c r="AG157" s="235">
        <v>8</v>
      </c>
      <c r="AH157" s="236">
        <v>76583</v>
      </c>
      <c r="AI157" s="236">
        <v>858</v>
      </c>
      <c r="AJ157" s="236">
        <v>817</v>
      </c>
      <c r="AK157" s="237">
        <v>169</v>
      </c>
      <c r="AL157" s="237">
        <v>226</v>
      </c>
    </row>
    <row r="158">
      <c r="A158" s="216"/>
      <c r="B158" s="217" t="s">
        <v>200</v>
      </c>
      <c r="C158" s="218" t="s">
        <v>221</v>
      </c>
      <c r="D158" s="219">
        <f t="shared" si="458"/>
      </c>
      <c r="E158" s="218">
        <v>789</v>
      </c>
      <c r="F158" s="221">
        <v>1301.24</v>
      </c>
      <c r="G158" s="221">
        <v>3394.13</v>
      </c>
      <c r="H158" s="221">
        <v>0</v>
      </c>
      <c r="I158" s="238">
        <f t="shared" si="345"/>
      </c>
      <c r="J158" s="222">
        <v>6180.840000000001</v>
      </c>
      <c r="K158" s="223">
        <f t="shared" si="230"/>
      </c>
      <c r="L158" s="223">
        <f t="shared" si="115"/>
      </c>
      <c r="M158" s="224">
        <f t="shared" si="72"/>
      </c>
      <c r="N158" s="225">
        <f t="shared" si="41"/>
      </c>
      <c r="O158" s="226">
        <f t="shared" si="10"/>
      </c>
      <c r="P158" s="227">
        <f t="shared" si="945"/>
      </c>
      <c r="Q158" s="227">
        <f t="shared" si="914"/>
      </c>
      <c r="R158" s="227">
        <f t="shared" si="883"/>
      </c>
      <c r="S158" s="228">
        <f t="shared" si="852"/>
      </c>
      <c r="T158" s="229">
        <f t="shared" si="790"/>
      </c>
      <c r="U158" s="227">
        <f t="shared" si="759"/>
      </c>
      <c r="V158" s="230">
        <f t="shared" si="821"/>
      </c>
      <c r="W158" s="230">
        <f t="shared" si="728"/>
      </c>
      <c r="X158" s="227">
        <f t="shared" si="697"/>
      </c>
      <c r="Y158" s="231">
        <f t="shared" si="563"/>
      </c>
      <c r="Z158" s="231">
        <v>2</v>
      </c>
      <c r="AA158" s="231">
        <v>7</v>
      </c>
      <c r="AB158" s="232">
        <v>10379.880000000001</v>
      </c>
      <c r="AC158" s="232">
        <v>0</v>
      </c>
      <c r="AD158" s="228">
        <f t="shared" si="666"/>
      </c>
      <c r="AE158" s="233" t="s">
        <v>202</v>
      </c>
      <c r="AF158" s="234" t="s">
        <v>217</v>
      </c>
      <c r="AG158" s="235">
        <v>7</v>
      </c>
      <c r="AH158" s="236">
        <v>54565</v>
      </c>
      <c r="AI158" s="236">
        <v>590</v>
      </c>
      <c r="AJ158" s="236">
        <v>586</v>
      </c>
      <c r="AK158" s="237">
        <v>118</v>
      </c>
      <c r="AL158" s="237">
        <v>169</v>
      </c>
    </row>
    <row r="159">
      <c r="A159" s="216"/>
      <c r="B159" s="239" t="s">
        <v>208</v>
      </c>
      <c r="C159" s="240">
        <v>5</v>
      </c>
      <c r="D159" s="241">
        <f>SUM(D154:D158)</f>
      </c>
      <c r="E159" s="241">
        <f>SUM(E154:E158)</f>
      </c>
      <c r="F159" s="241">
        <f>SUM(F154:F158)</f>
      </c>
      <c r="G159" s="241">
        <f>SUM(G154:G158)</f>
      </c>
      <c r="H159" s="241">
        <f>SUM(H154:H158)</f>
      </c>
      <c r="I159" s="259">
        <f>SUM(I154:I158)</f>
      </c>
      <c r="J159" s="241">
        <f>SUM(J154:J158)</f>
      </c>
      <c r="K159" s="241">
        <f>SUM(K154:K158)</f>
      </c>
      <c r="L159" s="241">
        <f>SUM(L154:L158)</f>
      </c>
      <c r="M159" s="242">
        <f t="shared" si="72"/>
      </c>
      <c r="N159" s="243">
        <f t="shared" si="41"/>
      </c>
      <c r="O159" s="243">
        <f t="shared" si="10"/>
      </c>
      <c r="P159" s="244">
        <f t="shared" si="945"/>
      </c>
      <c r="Q159" s="244">
        <f t="shared" si="914"/>
      </c>
      <c r="R159" s="244">
        <f t="shared" si="883"/>
      </c>
      <c r="S159" s="245">
        <f t="shared" si="852"/>
      </c>
      <c r="T159" s="245">
        <f t="shared" si="790"/>
      </c>
      <c r="U159" s="244">
        <f t="shared" si="759"/>
      </c>
      <c r="V159" s="245">
        <f t="shared" si="821"/>
      </c>
      <c r="W159" s="245">
        <f t="shared" si="728"/>
      </c>
      <c r="X159" s="244">
        <f t="shared" si="697"/>
      </c>
      <c r="Y159" s="241">
        <f>SUM(Y154:Y158)</f>
      </c>
      <c r="Z159" s="241">
        <f>SUM(Z154:Z158)</f>
      </c>
      <c r="AA159" s="241">
        <f>SUM(AA154:AA158)</f>
      </c>
      <c r="AB159" s="241">
        <f>SUM(AB154:AB158)</f>
      </c>
      <c r="AC159" s="241">
        <f>SUM(AC154:AC158)</f>
      </c>
      <c r="AD159" s="246">
        <f t="shared" si="666"/>
      </c>
      <c r="AE159" s="247"/>
      <c r="AF159" s="248"/>
      <c r="AG159" s="241">
        <f>SUM(AG154:AG158)</f>
      </c>
      <c r="AH159" s="241">
        <f>SUM(AH154:AH158)</f>
      </c>
      <c r="AI159" s="241">
        <f>SUM(AI154:AI158)</f>
      </c>
      <c r="AJ159" s="241">
        <f>SUM(AJ154:AJ158)</f>
      </c>
      <c r="AK159" s="241">
        <f>SUM(AK154:AK158)</f>
      </c>
      <c r="AL159" s="241">
        <f>SUM(AL154:AL158)</f>
      </c>
    </row>
    <row r="160">
      <c r="A160" s="216"/>
      <c r="B160" s="217" t="s">
        <v>209</v>
      </c>
      <c r="C160" s="218" t="s">
        <v>201</v>
      </c>
      <c r="D160" s="219">
        <f t="shared" ref="D160:D164" si="459">E160+F160+G160+H160</f>
      </c>
      <c r="E160" s="220">
        <v>587.86</v>
      </c>
      <c r="F160" s="221">
        <v>1129.08</v>
      </c>
      <c r="G160" s="221">
        <v>4933.21</v>
      </c>
      <c r="H160" s="221">
        <v>0</v>
      </c>
      <c r="I160" s="221">
        <f t="shared" ref="I160:I164" si="346">AB160+AC160</f>
      </c>
      <c r="J160" s="222">
        <v>0</v>
      </c>
      <c r="K160" s="223">
        <f t="shared" ref="K160:K164" si="231">I160-J160</f>
      </c>
      <c r="L160" s="223">
        <f t="shared" ref="L160:L164" si="116">(I160-AC160)/12+AC160</f>
      </c>
      <c r="M160" s="224">
        <f t="shared" si="72"/>
      </c>
      <c r="N160" s="225">
        <f t="shared" si="41"/>
      </c>
      <c r="O160" s="226">
        <f t="shared" si="10"/>
      </c>
      <c r="P160" s="227">
        <f t="shared" si="945"/>
      </c>
      <c r="Q160" s="227">
        <f t="shared" si="914"/>
      </c>
      <c r="R160" s="227">
        <f t="shared" si="883"/>
      </c>
      <c r="S160" s="228">
        <f t="shared" si="852"/>
      </c>
      <c r="T160" s="229">
        <f t="shared" si="790"/>
      </c>
      <c r="U160" s="227">
        <f t="shared" si="759"/>
      </c>
      <c r="V160" s="230">
        <f t="shared" si="821"/>
      </c>
      <c r="W160" s="230">
        <f t="shared" si="728"/>
      </c>
      <c r="X160" s="227">
        <f t="shared" si="697"/>
      </c>
      <c r="Y160" s="231">
        <f t="shared" ref="Y160:Y164" si="564">Z160+AA160</f>
      </c>
      <c r="Z160" s="231">
        <v>6</v>
      </c>
      <c r="AA160" s="231">
        <v>3</v>
      </c>
      <c r="AB160" s="232">
        <v>8893.68</v>
      </c>
      <c r="AC160" s="232">
        <v>0</v>
      </c>
      <c r="AD160" s="228">
        <f t="shared" si="666"/>
      </c>
      <c r="AE160" s="233" t="s">
        <v>202</v>
      </c>
      <c r="AF160" s="234" t="s">
        <v>217</v>
      </c>
      <c r="AG160" s="235">
        <v>2</v>
      </c>
      <c r="AH160" s="236">
        <v>84279</v>
      </c>
      <c r="AI160" s="236">
        <v>737</v>
      </c>
      <c r="AJ160" s="236">
        <v>709</v>
      </c>
      <c r="AK160" s="235">
        <v>137</v>
      </c>
      <c r="AL160" s="235">
        <v>181</v>
      </c>
    </row>
    <row r="161">
      <c r="A161" s="216"/>
      <c r="B161" s="217" t="s">
        <v>209</v>
      </c>
      <c r="C161" s="218" t="s">
        <v>204</v>
      </c>
      <c r="D161" s="219">
        <f t="shared" si="459"/>
      </c>
      <c r="E161" s="218">
        <v>1191.15</v>
      </c>
      <c r="F161" s="221">
        <v>1093.59</v>
      </c>
      <c r="G161" s="221">
        <v>970.06</v>
      </c>
      <c r="H161" s="221">
        <v>0</v>
      </c>
      <c r="I161" s="221">
        <f t="shared" si="346"/>
      </c>
      <c r="J161" s="222">
        <v>0</v>
      </c>
      <c r="K161" s="223">
        <f t="shared" si="231"/>
      </c>
      <c r="L161" s="223">
        <f t="shared" si="116"/>
      </c>
      <c r="M161" s="224">
        <f t="shared" si="72"/>
      </c>
      <c r="N161" s="225">
        <f t="shared" si="41"/>
      </c>
      <c r="O161" s="226">
        <f t="shared" si="10"/>
      </c>
      <c r="P161" s="227">
        <f t="shared" si="945"/>
      </c>
      <c r="Q161" s="227">
        <f t="shared" si="914"/>
      </c>
      <c r="R161" s="227">
        <f t="shared" si="883"/>
      </c>
      <c r="S161" s="228">
        <f t="shared" si="852"/>
      </c>
      <c r="T161" s="229">
        <f t="shared" si="790"/>
      </c>
      <c r="U161" s="227">
        <f t="shared" si="759"/>
      </c>
      <c r="V161" s="230">
        <f t="shared" si="821"/>
      </c>
      <c r="W161" s="230">
        <f t="shared" si="728"/>
      </c>
      <c r="X161" s="227">
        <f t="shared" si="697"/>
      </c>
      <c r="Y161" s="231">
        <f t="shared" si="564"/>
      </c>
      <c r="Z161" s="231">
        <v>2</v>
      </c>
      <c r="AA161" s="231">
        <v>0</v>
      </c>
      <c r="AB161" s="232">
        <v>0</v>
      </c>
      <c r="AC161" s="232">
        <v>0</v>
      </c>
      <c r="AD161" s="228">
        <f t="shared" si="666"/>
      </c>
      <c r="AE161" s="233" t="s">
        <v>202</v>
      </c>
      <c r="AF161" s="234" t="s">
        <v>217</v>
      </c>
      <c r="AG161" s="235">
        <v>0</v>
      </c>
      <c r="AH161" s="236">
        <v>33590</v>
      </c>
      <c r="AI161" s="236">
        <v>539</v>
      </c>
      <c r="AJ161" s="236">
        <v>584</v>
      </c>
      <c r="AK161" s="237">
        <v>76</v>
      </c>
      <c r="AL161" s="237">
        <v>92</v>
      </c>
    </row>
    <row r="162">
      <c r="A162" s="216"/>
      <c r="B162" s="217" t="s">
        <v>209</v>
      </c>
      <c r="C162" s="218" t="s">
        <v>205</v>
      </c>
      <c r="D162" s="219">
        <f t="shared" si="459"/>
      </c>
      <c r="E162" s="218">
        <v>603.15</v>
      </c>
      <c r="F162" s="218">
        <v>5.52</v>
      </c>
      <c r="G162" s="218">
        <v>1979.49</v>
      </c>
      <c r="H162" s="218">
        <v>0</v>
      </c>
      <c r="I162" s="221">
        <f t="shared" si="346"/>
      </c>
      <c r="J162" s="222">
        <v>0</v>
      </c>
      <c r="K162" s="223">
        <f t="shared" si="231"/>
      </c>
      <c r="L162" s="223">
        <f t="shared" si="116"/>
      </c>
      <c r="M162" s="224">
        <f t="shared" si="72"/>
      </c>
      <c r="N162" s="225">
        <f t="shared" si="41"/>
      </c>
      <c r="O162" s="226">
        <f t="shared" si="10"/>
      </c>
      <c r="P162" s="227">
        <f t="shared" si="945"/>
      </c>
      <c r="Q162" s="227">
        <f t="shared" si="914"/>
      </c>
      <c r="R162" s="227">
        <f t="shared" si="883"/>
      </c>
      <c r="S162" s="228">
        <f t="shared" si="852"/>
      </c>
      <c r="T162" s="229">
        <f t="shared" si="790"/>
      </c>
      <c r="U162" s="227">
        <f t="shared" si="759"/>
      </c>
      <c r="V162" s="230">
        <f t="shared" si="821"/>
      </c>
      <c r="W162" s="230">
        <f t="shared" si="728"/>
      </c>
      <c r="X162" s="227">
        <f t="shared" si="697"/>
      </c>
      <c r="Y162" s="231">
        <f t="shared" si="564"/>
      </c>
      <c r="Z162" s="231">
        <v>0</v>
      </c>
      <c r="AA162" s="231">
        <v>0</v>
      </c>
      <c r="AB162" s="232">
        <v>0</v>
      </c>
      <c r="AC162" s="232">
        <v>0</v>
      </c>
      <c r="AD162" s="228">
        <f t="shared" si="666"/>
      </c>
      <c r="AE162" s="233" t="s">
        <v>202</v>
      </c>
      <c r="AF162" s="234" t="s">
        <v>203</v>
      </c>
      <c r="AG162" s="237">
        <v>0</v>
      </c>
      <c r="AH162" s="236">
        <v>28644</v>
      </c>
      <c r="AI162" s="236">
        <v>280</v>
      </c>
      <c r="AJ162" s="236">
        <v>278</v>
      </c>
      <c r="AK162" s="237">
        <v>45</v>
      </c>
      <c r="AL162" s="237">
        <v>66</v>
      </c>
    </row>
    <row r="163">
      <c r="A163" s="216"/>
      <c r="B163" s="217" t="s">
        <v>209</v>
      </c>
      <c r="C163" s="218" t="s">
        <v>206</v>
      </c>
      <c r="D163" s="219">
        <f t="shared" si="459"/>
      </c>
      <c r="E163" s="218">
        <v>409.12</v>
      </c>
      <c r="F163" s="221">
        <v>291.76</v>
      </c>
      <c r="G163" s="221">
        <v>8.73</v>
      </c>
      <c r="H163" s="221">
        <v>0</v>
      </c>
      <c r="I163" s="221">
        <f t="shared" si="346"/>
      </c>
      <c r="J163" s="222">
        <v>0</v>
      </c>
      <c r="K163" s="223">
        <f t="shared" si="231"/>
      </c>
      <c r="L163" s="223">
        <f t="shared" si="116"/>
      </c>
      <c r="M163" s="224">
        <f t="shared" si="72"/>
      </c>
      <c r="N163" s="225">
        <f t="shared" si="41"/>
      </c>
      <c r="O163" s="226">
        <f t="shared" si="10"/>
      </c>
      <c r="P163" s="227">
        <f t="shared" si="945"/>
      </c>
      <c r="Q163" s="227">
        <f t="shared" si="914"/>
      </c>
      <c r="R163" s="227">
        <f t="shared" si="883"/>
      </c>
      <c r="S163" s="228">
        <f t="shared" si="852"/>
      </c>
      <c r="T163" s="229">
        <f t="shared" si="790"/>
      </c>
      <c r="U163" s="227">
        <f t="shared" si="759"/>
      </c>
      <c r="V163" s="230">
        <f t="shared" si="821"/>
      </c>
      <c r="W163" s="230">
        <f t="shared" si="728"/>
      </c>
      <c r="X163" s="227">
        <f t="shared" si="697"/>
      </c>
      <c r="Y163" s="231">
        <f t="shared" si="564"/>
      </c>
      <c r="Z163" s="231">
        <v>0</v>
      </c>
      <c r="AA163" s="231">
        <v>0</v>
      </c>
      <c r="AB163" s="222">
        <v>0</v>
      </c>
      <c r="AC163" s="232">
        <v>0</v>
      </c>
      <c r="AD163" s="228">
        <f t="shared" si="666"/>
      </c>
      <c r="AE163" s="233" t="s">
        <v>202</v>
      </c>
      <c r="AF163" s="234" t="s">
        <v>203</v>
      </c>
      <c r="AG163" s="235">
        <v>0</v>
      </c>
      <c r="AH163" s="236">
        <v>7743</v>
      </c>
      <c r="AI163" s="236">
        <v>143</v>
      </c>
      <c r="AJ163" s="236">
        <v>142</v>
      </c>
      <c r="AK163" s="237">
        <v>16</v>
      </c>
      <c r="AL163" s="237">
        <v>25</v>
      </c>
    </row>
    <row r="164">
      <c r="A164" s="216"/>
      <c r="B164" s="217" t="s">
        <v>209</v>
      </c>
      <c r="C164" s="218" t="s">
        <v>207</v>
      </c>
      <c r="D164" s="219">
        <f t="shared" si="459"/>
      </c>
      <c r="E164" s="218">
        <v>659.72</v>
      </c>
      <c r="F164" s="221">
        <v>620.95</v>
      </c>
      <c r="G164" s="221">
        <v>9.48</v>
      </c>
      <c r="H164" s="221">
        <v>0</v>
      </c>
      <c r="I164" s="238">
        <f t="shared" si="346"/>
      </c>
      <c r="J164" s="222">
        <v>0</v>
      </c>
      <c r="K164" s="223">
        <f t="shared" si="231"/>
      </c>
      <c r="L164" s="223">
        <f t="shared" si="116"/>
      </c>
      <c r="M164" s="224">
        <f t="shared" si="72"/>
      </c>
      <c r="N164" s="225">
        <f t="shared" si="41"/>
      </c>
      <c r="O164" s="226">
        <f t="shared" si="10"/>
      </c>
      <c r="P164" s="227">
        <f t="shared" si="945"/>
      </c>
      <c r="Q164" s="227">
        <f t="shared" si="914"/>
      </c>
      <c r="R164" s="227">
        <f t="shared" si="883"/>
      </c>
      <c r="S164" s="228">
        <f t="shared" si="852"/>
      </c>
      <c r="T164" s="229">
        <f t="shared" si="790"/>
      </c>
      <c r="U164" s="227">
        <f t="shared" si="759"/>
      </c>
      <c r="V164" s="230">
        <f t="shared" si="821"/>
      </c>
      <c r="W164" s="230">
        <f t="shared" si="728"/>
      </c>
      <c r="X164" s="227">
        <f t="shared" si="697"/>
      </c>
      <c r="Y164" s="231">
        <f t="shared" si="564"/>
      </c>
      <c r="Z164" s="231">
        <v>2</v>
      </c>
      <c r="AA164" s="231">
        <v>0</v>
      </c>
      <c r="AB164" s="232">
        <v>0</v>
      </c>
      <c r="AC164" s="232">
        <v>0</v>
      </c>
      <c r="AD164" s="228">
        <f t="shared" si="666"/>
      </c>
      <c r="AE164" s="233" t="s">
        <v>202</v>
      </c>
      <c r="AF164" s="234" t="s">
        <v>203</v>
      </c>
      <c r="AG164" s="235">
        <v>0</v>
      </c>
      <c r="AH164" s="236">
        <v>12369</v>
      </c>
      <c r="AI164" s="236">
        <v>400</v>
      </c>
      <c r="AJ164" s="236">
        <v>425</v>
      </c>
      <c r="AK164" s="237">
        <v>26</v>
      </c>
      <c r="AL164" s="237">
        <v>36</v>
      </c>
    </row>
    <row r="165">
      <c r="A165" s="216"/>
      <c r="B165" s="239" t="s">
        <v>208</v>
      </c>
      <c r="C165" s="240">
        <v>5</v>
      </c>
      <c r="D165" s="241">
        <f>SUM(D160:D164)</f>
      </c>
      <c r="E165" s="241">
        <f>SUM(E160:E164)</f>
      </c>
      <c r="F165" s="241">
        <f>SUM(F160:F164)</f>
      </c>
      <c r="G165" s="241">
        <f>SUM(G160:G164)</f>
      </c>
      <c r="H165" s="241">
        <f>SUM(H160:H164)</f>
      </c>
      <c r="I165" s="259">
        <f>SUM(I160:I164)</f>
      </c>
      <c r="J165" s="241">
        <f>SUM(J160:J164)</f>
      </c>
      <c r="K165" s="241">
        <f>SUM(K160:K164)</f>
      </c>
      <c r="L165" s="241">
        <f>SUM(L160:L164)</f>
      </c>
      <c r="M165" s="242">
        <f t="shared" si="72"/>
      </c>
      <c r="N165" s="243">
        <f t="shared" si="41"/>
      </c>
      <c r="O165" s="243">
        <f t="shared" si="10"/>
      </c>
      <c r="P165" s="244">
        <f t="shared" si="945"/>
      </c>
      <c r="Q165" s="244">
        <f t="shared" si="914"/>
      </c>
      <c r="R165" s="244">
        <f t="shared" si="883"/>
      </c>
      <c r="S165" s="245">
        <f t="shared" si="852"/>
      </c>
      <c r="T165" s="245">
        <f t="shared" si="790"/>
      </c>
      <c r="U165" s="244">
        <f t="shared" si="759"/>
      </c>
      <c r="V165" s="245">
        <f t="shared" si="821"/>
      </c>
      <c r="W165" s="245">
        <f t="shared" si="728"/>
      </c>
      <c r="X165" s="244">
        <f t="shared" si="697"/>
      </c>
      <c r="Y165" s="241">
        <f>SUM(Y160:Y164)</f>
      </c>
      <c r="Z165" s="241">
        <f>SUM(Z160:Z164)</f>
      </c>
      <c r="AA165" s="241">
        <f>SUM(AA160:AA164)</f>
      </c>
      <c r="AB165" s="241">
        <f>SUM(AB160:AB164)</f>
      </c>
      <c r="AC165" s="241">
        <f>SUM(AC160:AC164)</f>
      </c>
      <c r="AD165" s="246">
        <f t="shared" si="666"/>
      </c>
      <c r="AE165" s="247"/>
      <c r="AF165" s="248"/>
      <c r="AG165" s="241">
        <f>SUM(AG160:AG164)</f>
      </c>
      <c r="AH165" s="241">
        <f>SUM(AH160:AH164)</f>
      </c>
      <c r="AI165" s="241">
        <f>SUM(AI160:AI164)</f>
      </c>
      <c r="AJ165" s="241">
        <f>SUM(AJ160:AJ164)</f>
      </c>
      <c r="AK165" s="241">
        <f>SUM(AK160:AK164)</f>
      </c>
      <c r="AL165" s="241">
        <f>SUM(AL160:AL164)</f>
      </c>
    </row>
    <row r="166">
      <c r="A166" s="216"/>
      <c r="B166" s="217" t="s">
        <v>223</v>
      </c>
      <c r="C166" s="218" t="s">
        <v>210</v>
      </c>
      <c r="D166" s="219">
        <f t="shared" ref="D166:D170" si="460">E166+F166+G166+H166</f>
      </c>
      <c r="E166" s="218">
        <v>292.46</v>
      </c>
      <c r="F166" s="249">
        <v>2324.78</v>
      </c>
      <c r="G166" s="221">
        <v>18.69</v>
      </c>
      <c r="H166" s="221">
        <v>0</v>
      </c>
      <c r="I166" s="250">
        <f t="shared" ref="I166:I170" si="347">AB166+AC166</f>
      </c>
      <c r="J166" s="251">
        <v>0</v>
      </c>
      <c r="K166" s="223">
        <f t="shared" ref="K166:K170" si="232">I166-J166</f>
      </c>
      <c r="L166" s="223">
        <f t="shared" ref="L166:L170" si="117">(I166-AC166)/12+AC166</f>
      </c>
      <c r="M166" s="224">
        <f t="shared" si="72"/>
      </c>
      <c r="N166" s="225">
        <f t="shared" si="41"/>
      </c>
      <c r="O166" s="226">
        <f t="shared" si="10"/>
      </c>
      <c r="P166" s="227">
        <f t="shared" si="945"/>
      </c>
      <c r="Q166" s="227">
        <f t="shared" si="914"/>
      </c>
      <c r="R166" s="227">
        <f t="shared" si="883"/>
      </c>
      <c r="S166" s="228">
        <f t="shared" si="852"/>
      </c>
      <c r="T166" s="229">
        <f t="shared" si="790"/>
      </c>
      <c r="U166" s="227">
        <f t="shared" si="759"/>
      </c>
      <c r="V166" s="230">
        <f t="shared" si="821"/>
      </c>
      <c r="W166" s="230">
        <f t="shared" si="728"/>
      </c>
      <c r="X166" s="227">
        <f t="shared" si="697"/>
      </c>
      <c r="Y166" s="231">
        <f t="shared" ref="Y166:Y170" si="565">Z166+AA166</f>
      </c>
      <c r="Z166" s="231">
        <v>5</v>
      </c>
      <c r="AA166" s="231">
        <v>3</v>
      </c>
      <c r="AB166" s="232">
        <v>5325.479999999996</v>
      </c>
      <c r="AC166" s="232">
        <v>0</v>
      </c>
      <c r="AD166" s="228">
        <f t="shared" si="666"/>
      </c>
      <c r="AE166" s="233" t="s">
        <v>202</v>
      </c>
      <c r="AF166" s="234" t="s">
        <v>203</v>
      </c>
      <c r="AG166" s="235">
        <v>3</v>
      </c>
      <c r="AH166" s="236">
        <v>23555</v>
      </c>
      <c r="AI166" s="236">
        <v>666</v>
      </c>
      <c r="AJ166" s="236">
        <v>670</v>
      </c>
      <c r="AK166" s="237">
        <v>57</v>
      </c>
      <c r="AL166" s="237">
        <v>74</v>
      </c>
    </row>
    <row r="167">
      <c r="A167" s="216"/>
      <c r="B167" s="217" t="s">
        <v>223</v>
      </c>
      <c r="C167" s="252" t="s">
        <v>211</v>
      </c>
      <c r="D167" s="219">
        <f t="shared" si="460"/>
      </c>
      <c r="E167" s="218">
        <v>433.1</v>
      </c>
      <c r="F167" s="249">
        <v>5223.25</v>
      </c>
      <c r="G167" s="221">
        <v>291.29</v>
      </c>
      <c r="H167" s="221">
        <v>0</v>
      </c>
      <c r="I167" s="250">
        <f t="shared" si="347"/>
      </c>
      <c r="J167" s="251">
        <v>1202.48</v>
      </c>
      <c r="K167" s="223">
        <f t="shared" si="232"/>
      </c>
      <c r="L167" s="223">
        <f t="shared" si="117"/>
      </c>
      <c r="M167" s="224">
        <f t="shared" si="72"/>
      </c>
      <c r="N167" s="225">
        <f t="shared" si="41"/>
      </c>
      <c r="O167" s="226">
        <f t="shared" si="10"/>
      </c>
      <c r="P167" s="227">
        <f t="shared" si="945"/>
      </c>
      <c r="Q167" s="227">
        <f t="shared" si="914"/>
      </c>
      <c r="R167" s="227">
        <f t="shared" si="883"/>
      </c>
      <c r="S167" s="228">
        <f t="shared" si="852"/>
      </c>
      <c r="T167" s="229">
        <f t="shared" si="790"/>
      </c>
      <c r="U167" s="227">
        <f t="shared" si="759"/>
      </c>
      <c r="V167" s="230">
        <f t="shared" si="821"/>
      </c>
      <c r="W167" s="230">
        <f t="shared" si="728"/>
      </c>
      <c r="X167" s="227">
        <f t="shared" si="697"/>
      </c>
      <c r="Y167" s="231">
        <f t="shared" si="565"/>
      </c>
      <c r="Z167" s="231">
        <v>8</v>
      </c>
      <c r="AA167" s="231">
        <v>11</v>
      </c>
      <c r="AB167" s="232">
        <v>14709.599999999999</v>
      </c>
      <c r="AC167" s="232">
        <v>656</v>
      </c>
      <c r="AD167" s="228">
        <f t="shared" si="666"/>
      </c>
      <c r="AE167" s="233" t="s">
        <v>202</v>
      </c>
      <c r="AF167" s="234" t="s">
        <v>203</v>
      </c>
      <c r="AG167" s="235">
        <v>7</v>
      </c>
      <c r="AH167" s="236">
        <v>63971</v>
      </c>
      <c r="AI167" s="236">
        <v>936</v>
      </c>
      <c r="AJ167" s="236">
        <v>929</v>
      </c>
      <c r="AK167" s="237">
        <v>168</v>
      </c>
      <c r="AL167" s="237">
        <v>207</v>
      </c>
    </row>
    <row r="168">
      <c r="A168" s="216"/>
      <c r="B168" s="217" t="s">
        <v>223</v>
      </c>
      <c r="C168" s="252" t="s">
        <v>212</v>
      </c>
      <c r="D168" s="219">
        <f t="shared" si="460"/>
      </c>
      <c r="E168" s="218">
        <v>1055</v>
      </c>
      <c r="F168" s="249">
        <v>6565.01</v>
      </c>
      <c r="G168" s="218">
        <v>2047.62</v>
      </c>
      <c r="H168" s="218">
        <v>0</v>
      </c>
      <c r="I168" s="250">
        <f t="shared" si="347"/>
      </c>
      <c r="J168" s="251">
        <v>943.92</v>
      </c>
      <c r="K168" s="223">
        <f t="shared" si="232"/>
      </c>
      <c r="L168" s="223">
        <f t="shared" si="117"/>
      </c>
      <c r="M168" s="224">
        <f t="shared" si="72"/>
      </c>
      <c r="N168" s="225">
        <f t="shared" si="41"/>
      </c>
      <c r="O168" s="226">
        <f t="shared" si="10"/>
      </c>
      <c r="P168" s="227">
        <f t="shared" si="945"/>
      </c>
      <c r="Q168" s="227">
        <f t="shared" si="914"/>
      </c>
      <c r="R168" s="227">
        <f t="shared" si="883"/>
      </c>
      <c r="S168" s="228">
        <f t="shared" si="852"/>
      </c>
      <c r="T168" s="229">
        <f t="shared" si="790"/>
      </c>
      <c r="U168" s="227">
        <f t="shared" si="759"/>
      </c>
      <c r="V168" s="230">
        <f t="shared" si="821"/>
      </c>
      <c r="W168" s="230">
        <f t="shared" si="728"/>
      </c>
      <c r="X168" s="227">
        <f t="shared" si="697"/>
      </c>
      <c r="Y168" s="231">
        <f t="shared" si="565"/>
      </c>
      <c r="Z168" s="231">
        <v>13</v>
      </c>
      <c r="AA168" s="231">
        <v>10</v>
      </c>
      <c r="AB168" s="232">
        <v>11713.800000000003</v>
      </c>
      <c r="AC168" s="232">
        <v>4229</v>
      </c>
      <c r="AD168" s="228">
        <f t="shared" si="666"/>
      </c>
      <c r="AE168" s="233" t="s">
        <v>202</v>
      </c>
      <c r="AF168" s="234" t="s">
        <v>203</v>
      </c>
      <c r="AG168" s="237">
        <v>10</v>
      </c>
      <c r="AH168" s="236">
        <v>106992</v>
      </c>
      <c r="AI168" s="236">
        <v>1600</v>
      </c>
      <c r="AJ168" s="236">
        <v>1593</v>
      </c>
      <c r="AK168" s="237">
        <v>211</v>
      </c>
      <c r="AL168" s="237">
        <v>280</v>
      </c>
    </row>
    <row r="169">
      <c r="A169" s="216"/>
      <c r="B169" s="217" t="s">
        <v>223</v>
      </c>
      <c r="C169" s="218" t="s">
        <v>213</v>
      </c>
      <c r="D169" s="219">
        <f t="shared" si="460"/>
      </c>
      <c r="E169" s="218">
        <v>1822.74</v>
      </c>
      <c r="F169" s="249">
        <v>7388.81</v>
      </c>
      <c r="G169" s="221">
        <v>15.32</v>
      </c>
      <c r="H169" s="221">
        <v>0</v>
      </c>
      <c r="I169" s="250">
        <f t="shared" si="347"/>
      </c>
      <c r="J169" s="251">
        <v>1509.84</v>
      </c>
      <c r="K169" s="223">
        <f t="shared" si="232"/>
      </c>
      <c r="L169" s="223">
        <f t="shared" si="117"/>
      </c>
      <c r="M169" s="224">
        <f t="shared" si="72"/>
      </c>
      <c r="N169" s="225">
        <f t="shared" si="41"/>
      </c>
      <c r="O169" s="226">
        <f t="shared" si="10"/>
      </c>
      <c r="P169" s="227">
        <f t="shared" si="945"/>
      </c>
      <c r="Q169" s="227">
        <f t="shared" si="914"/>
      </c>
      <c r="R169" s="227">
        <f t="shared" si="883"/>
      </c>
      <c r="S169" s="228">
        <f t="shared" si="852"/>
      </c>
      <c r="T169" s="229">
        <f t="shared" si="790"/>
      </c>
      <c r="U169" s="227">
        <f t="shared" si="759"/>
      </c>
      <c r="V169" s="230">
        <f t="shared" si="821"/>
      </c>
      <c r="W169" s="230">
        <f t="shared" si="728"/>
      </c>
      <c r="X169" s="227">
        <f t="shared" si="697"/>
      </c>
      <c r="Y169" s="231">
        <f t="shared" si="565"/>
      </c>
      <c r="Z169" s="231">
        <v>13</v>
      </c>
      <c r="AA169" s="231">
        <v>15</v>
      </c>
      <c r="AB169" s="222">
        <v>19588.800000000003</v>
      </c>
      <c r="AC169" s="232">
        <v>1893.6000000000004</v>
      </c>
      <c r="AD169" s="228">
        <f t="shared" si="666"/>
      </c>
      <c r="AE169" s="233" t="s">
        <v>202</v>
      </c>
      <c r="AF169" s="234" t="s">
        <v>203</v>
      </c>
      <c r="AG169" s="235">
        <v>11</v>
      </c>
      <c r="AH169" s="236">
        <v>98912</v>
      </c>
      <c r="AI169" s="236">
        <v>2144</v>
      </c>
      <c r="AJ169" s="236">
        <v>2168</v>
      </c>
      <c r="AK169" s="237">
        <v>249</v>
      </c>
      <c r="AL169" s="237">
        <v>302</v>
      </c>
    </row>
    <row r="170">
      <c r="A170" s="216"/>
      <c r="B170" s="217" t="s">
        <v>223</v>
      </c>
      <c r="C170" s="252" t="s">
        <v>214</v>
      </c>
      <c r="D170" s="219">
        <f t="shared" si="460"/>
      </c>
      <c r="E170" s="218">
        <v>911.25</v>
      </c>
      <c r="F170" s="249">
        <v>7345.04</v>
      </c>
      <c r="G170" s="221">
        <v>49.22</v>
      </c>
      <c r="H170" s="221">
        <v>0</v>
      </c>
      <c r="I170" s="250">
        <f t="shared" si="347"/>
      </c>
      <c r="J170" s="251">
        <v>638.28</v>
      </c>
      <c r="K170" s="223">
        <f t="shared" si="232"/>
      </c>
      <c r="L170" s="223">
        <f t="shared" si="117"/>
      </c>
      <c r="M170" s="224">
        <f t="shared" si="72"/>
      </c>
      <c r="N170" s="225">
        <f t="shared" si="41"/>
      </c>
      <c r="O170" s="226">
        <f t="shared" si="10"/>
      </c>
      <c r="P170" s="227">
        <f t="shared" si="945"/>
      </c>
      <c r="Q170" s="227">
        <f t="shared" si="914"/>
      </c>
      <c r="R170" s="227">
        <f t="shared" si="883"/>
      </c>
      <c r="S170" s="228">
        <f t="shared" si="852"/>
      </c>
      <c r="T170" s="229">
        <f t="shared" si="790"/>
      </c>
      <c r="U170" s="227">
        <f t="shared" si="759"/>
      </c>
      <c r="V170" s="230">
        <f t="shared" si="821"/>
      </c>
      <c r="W170" s="230">
        <f t="shared" si="728"/>
      </c>
      <c r="X170" s="227">
        <f t="shared" si="697"/>
      </c>
      <c r="Y170" s="231">
        <f t="shared" si="565"/>
      </c>
      <c r="Z170" s="231">
        <v>13</v>
      </c>
      <c r="AA170" s="231">
        <v>10</v>
      </c>
      <c r="AB170" s="232">
        <v>12259.199999999997</v>
      </c>
      <c r="AC170" s="232">
        <v>0</v>
      </c>
      <c r="AD170" s="228">
        <f t="shared" si="666"/>
      </c>
      <c r="AE170" s="233" t="s">
        <v>202</v>
      </c>
      <c r="AF170" s="234" t="s">
        <v>203</v>
      </c>
      <c r="AG170" s="235">
        <v>9</v>
      </c>
      <c r="AH170" s="236">
        <v>105914</v>
      </c>
      <c r="AI170" s="236">
        <v>2704</v>
      </c>
      <c r="AJ170" s="236">
        <v>2774</v>
      </c>
      <c r="AK170" s="237">
        <v>201</v>
      </c>
      <c r="AL170" s="237">
        <v>254</v>
      </c>
    </row>
    <row r="171">
      <c r="A171" s="216"/>
      <c r="B171" s="239" t="s">
        <v>208</v>
      </c>
      <c r="C171" s="240">
        <v>5</v>
      </c>
      <c r="D171" s="241">
        <f>SUM(D166:D170)</f>
      </c>
      <c r="E171" s="241">
        <f>SUM(E166:E170)</f>
      </c>
      <c r="F171" s="241">
        <f>SUM(F166:F170)</f>
      </c>
      <c r="G171" s="241">
        <f>SUM(G166:G170)</f>
      </c>
      <c r="H171" s="241">
        <f>SUM(H166:H170)</f>
      </c>
      <c r="I171" s="260">
        <f>SUM(I166:I170)</f>
      </c>
      <c r="J171" s="241">
        <f>SUM(J166:J170)</f>
      </c>
      <c r="K171" s="241">
        <f>SUM(K166:K170)</f>
      </c>
      <c r="L171" s="241">
        <f>SUM(L166:L170)</f>
      </c>
      <c r="M171" s="242">
        <f t="shared" si="72"/>
      </c>
      <c r="N171" s="243">
        <f t="shared" si="41"/>
      </c>
      <c r="O171" s="243">
        <f t="shared" si="10"/>
      </c>
      <c r="P171" s="244">
        <f t="shared" si="945"/>
      </c>
      <c r="Q171" s="244">
        <f t="shared" si="914"/>
      </c>
      <c r="R171" s="244">
        <f t="shared" si="883"/>
      </c>
      <c r="S171" s="245">
        <f t="shared" si="852"/>
      </c>
      <c r="T171" s="245">
        <f t="shared" si="790"/>
      </c>
      <c r="U171" s="244">
        <f t="shared" si="759"/>
      </c>
      <c r="V171" s="245">
        <f t="shared" si="821"/>
      </c>
      <c r="W171" s="245">
        <f t="shared" si="728"/>
      </c>
      <c r="X171" s="244">
        <f t="shared" si="697"/>
      </c>
      <c r="Y171" s="241">
        <f>SUM(Y166:Y170)</f>
      </c>
      <c r="Z171" s="241">
        <f>SUM(Z166:Z170)</f>
      </c>
      <c r="AA171" s="241">
        <f>SUM(AA166:AA170)</f>
      </c>
      <c r="AB171" s="241">
        <f>SUM(AB166:AB170)</f>
      </c>
      <c r="AC171" s="241">
        <f>SUM(AC166:AC170)</f>
      </c>
      <c r="AD171" s="246">
        <f t="shared" si="666"/>
      </c>
      <c r="AE171" s="247"/>
      <c r="AF171" s="248"/>
      <c r="AG171" s="241">
        <f>SUM(AG166:AG170)</f>
      </c>
      <c r="AH171" s="241">
        <f>SUM(AH166:AH170)</f>
      </c>
      <c r="AI171" s="241">
        <f>SUM(AI166:AI170)</f>
      </c>
      <c r="AJ171" s="241">
        <f>SUM(AJ166:AJ170)</f>
      </c>
      <c r="AK171" s="241">
        <f>SUM(AK166:AK170)</f>
      </c>
      <c r="AL171" s="241">
        <f>SUM(AL166:AL170)</f>
      </c>
    </row>
    <row r="172">
      <c r="A172" s="216"/>
      <c r="B172" s="253" t="s">
        <v>208</v>
      </c>
      <c r="C172" s="254">
        <f>C159+C165+C171</f>
      </c>
      <c r="D172" s="254">
        <f>D159+D165+D171</f>
      </c>
      <c r="E172" s="254">
        <f>E159+E165+E171</f>
      </c>
      <c r="F172" s="254">
        <f>F159+F165+F171</f>
      </c>
      <c r="G172" s="254">
        <f>G159+G165+G171</f>
      </c>
      <c r="H172" s="254">
        <f>H159+H165+H171</f>
      </c>
      <c r="I172" s="254">
        <f>I159+I165+I171</f>
      </c>
      <c r="J172" s="254">
        <f>J159+J165+J171</f>
      </c>
      <c r="K172" s="254">
        <f>K159+K165+K171</f>
      </c>
      <c r="L172" s="254">
        <f>L159+L165+L171</f>
      </c>
      <c r="M172" s="256">
        <f t="shared" si="72"/>
      </c>
      <c r="N172" s="256">
        <f t="shared" si="41"/>
      </c>
      <c r="O172" s="256">
        <f t="shared" si="10"/>
      </c>
      <c r="P172" s="256">
        <f t="shared" si="945"/>
      </c>
      <c r="Q172" s="256">
        <f t="shared" si="914"/>
      </c>
      <c r="R172" s="256">
        <f t="shared" si="883"/>
      </c>
      <c r="S172" s="257">
        <f t="shared" si="852"/>
      </c>
      <c r="T172" s="257">
        <f t="shared" si="790"/>
      </c>
      <c r="U172" s="256">
        <f t="shared" si="759"/>
      </c>
      <c r="V172" s="257">
        <f t="shared" si="821"/>
      </c>
      <c r="W172" s="257">
        <f t="shared" si="728"/>
      </c>
      <c r="X172" s="256">
        <f t="shared" si="697"/>
      </c>
      <c r="Y172" s="255">
        <f>Y159+Y165+Y171</f>
      </c>
      <c r="Z172" s="255">
        <f>Z159+Z165+Z171</f>
      </c>
      <c r="AA172" s="255">
        <f>AA159+AA165+AA171</f>
      </c>
      <c r="AB172" s="255">
        <f>AB159+AB165+AB171</f>
      </c>
      <c r="AC172" s="255">
        <f>AC159+AC165+AC171</f>
      </c>
      <c r="AD172" s="258">
        <f t="shared" si="666"/>
      </c>
      <c r="AE172" s="253"/>
      <c r="AF172" s="253"/>
      <c r="AG172" s="255">
        <f>AG159+AG165+AG171</f>
      </c>
      <c r="AH172" s="255">
        <f>AH159+AH165+AH171</f>
      </c>
      <c r="AI172" s="255">
        <f>AI159+AI165+AI171</f>
      </c>
      <c r="AJ172" s="255">
        <f>AJ159+AJ165+AJ171</f>
      </c>
      <c r="AK172" s="255">
        <f>AK159+AK165+AK171</f>
      </c>
      <c r="AL172" s="255">
        <f>AL159+AL165+AL171</f>
      </c>
    </row>
    <row r="173">
      <c r="A173" s="202" t="s">
        <v>162</v>
      </c>
      <c r="B173" s="203" t="s">
        <v>163</v>
      </c>
      <c r="C173" s="203" t="s">
        <v>164</v>
      </c>
      <c r="D173" s="204" t="s">
        <v>165</v>
      </c>
      <c r="E173" s="203" t="s">
        <v>166</v>
      </c>
      <c r="F173" s="203" t="s">
        <v>167</v>
      </c>
      <c r="G173" s="205" t="s">
        <v>168</v>
      </c>
      <c r="H173" s="205" t="s">
        <v>169</v>
      </c>
      <c r="I173" s="204" t="s">
        <v>170</v>
      </c>
      <c r="J173" s="206" t="s">
        <v>171</v>
      </c>
      <c r="K173" s="207" t="s">
        <v>172</v>
      </c>
      <c r="L173" s="207" t="s">
        <v>173</v>
      </c>
      <c r="M173" s="208" t="s">
        <v>174</v>
      </c>
      <c r="N173" s="207" t="s">
        <v>175</v>
      </c>
      <c r="O173" s="203" t="s">
        <v>176</v>
      </c>
      <c r="P173" s="208" t="s">
        <v>177</v>
      </c>
      <c r="Q173" s="209" t="s">
        <v>178</v>
      </c>
      <c r="R173" s="209" t="s">
        <v>179</v>
      </c>
      <c r="S173" s="204" t="s">
        <v>180</v>
      </c>
      <c r="T173" s="210" t="s">
        <v>181</v>
      </c>
      <c r="U173" s="208" t="s">
        <v>182</v>
      </c>
      <c r="V173" s="211" t="s">
        <v>183</v>
      </c>
      <c r="W173" s="212" t="s">
        <v>184</v>
      </c>
      <c r="X173" s="208" t="s">
        <v>185</v>
      </c>
      <c r="Y173" s="213" t="s">
        <v>186</v>
      </c>
      <c r="Z173" s="214" t="s">
        <v>187</v>
      </c>
      <c r="AA173" s="213" t="s">
        <v>188</v>
      </c>
      <c r="AB173" s="215" t="s">
        <v>189</v>
      </c>
      <c r="AC173" s="215" t="s">
        <v>190</v>
      </c>
      <c r="AD173" s="207" t="s">
        <v>191</v>
      </c>
      <c r="AE173" s="206" t="s">
        <v>192</v>
      </c>
      <c r="AF173" s="207" t="s">
        <v>193</v>
      </c>
      <c r="AG173" s="206" t="s">
        <v>194</v>
      </c>
      <c r="AH173" s="206" t="s">
        <v>195</v>
      </c>
      <c r="AI173" s="207" t="s">
        <v>196</v>
      </c>
      <c r="AJ173" s="206" t="s">
        <v>197</v>
      </c>
      <c r="AK173" s="207" t="s">
        <v>198</v>
      </c>
      <c r="AL173" s="206" t="s">
        <v>199</v>
      </c>
    </row>
    <row r="174">
      <c r="A174" s="216">
        <v>46246</v>
      </c>
      <c r="B174" s="217" t="s">
        <v>200</v>
      </c>
      <c r="C174" s="218" t="s">
        <v>216</v>
      </c>
      <c r="D174" s="219">
        <f t="shared" ref="D174:D178" si="461">E174+F174+G174+H174</f>
      </c>
      <c r="E174" s="220">
        <v>832.6</v>
      </c>
      <c r="F174" s="221">
        <v>2702.36</v>
      </c>
      <c r="G174" s="221">
        <v>1733.61</v>
      </c>
      <c r="H174" s="221">
        <v>0</v>
      </c>
      <c r="I174" s="221">
        <f t="shared" ref="I174:I178" si="348">AB174+AC174</f>
      </c>
      <c r="J174" s="222">
        <v>3668.76</v>
      </c>
      <c r="K174" s="223">
        <f t="shared" ref="K174:K178" si="233">I174-J174</f>
      </c>
      <c r="L174" s="223">
        <f t="shared" ref="L174:L178" si="118">(I174-AC174)/12+AC174</f>
      </c>
      <c r="M174" s="224">
        <f t="shared" ref="M174:M192" si="73">I174/D174</f>
      </c>
      <c r="N174" s="225">
        <f t="shared" ref="N174:N192" si="42">(I174-J174)/D174</f>
      </c>
      <c r="O174" s="226">
        <f t="shared" ref="O174:O192" si="11">(AC174+AB174/12)/D174</f>
      </c>
      <c r="P174" s="227">
        <f t="shared" ref="P174:P192" si="946">I174/AA174</f>
      </c>
      <c r="Q174" s="227">
        <f t="shared" ref="Q174:Q192" si="915">D174/AA174</f>
      </c>
      <c r="R174" s="227">
        <f t="shared" ref="R174:R192" si="884">D174/AG174</f>
      </c>
      <c r="S174" s="228">
        <f t="shared" ref="S174:S192" si="853">AA174/Y174</f>
      </c>
      <c r="T174" s="229">
        <f t="shared" ref="T174:T192" si="791">AI174/AH174</f>
      </c>
      <c r="U174" s="227">
        <f t="shared" ref="U174:U192" si="760">D174/AJ174</f>
      </c>
      <c r="V174" s="230">
        <f t="shared" ref="V174:V192" si="822">AK174/AJ174</f>
      </c>
      <c r="W174" s="230">
        <f t="shared" ref="W174:W192" si="729">AL174/AJ174</f>
      </c>
      <c r="X174" s="227">
        <f t="shared" ref="X174:X192" si="698">D174/AL174</f>
      </c>
      <c r="Y174" s="231">
        <f t="shared" ref="Y174:Y178" si="566">Z174+AA174</f>
      </c>
      <c r="Z174" s="231">
        <v>4</v>
      </c>
      <c r="AA174" s="231">
        <v>3</v>
      </c>
      <c r="AB174" s="232">
        <v>4874.04</v>
      </c>
      <c r="AC174" s="232">
        <v>0</v>
      </c>
      <c r="AD174" s="228">
        <f t="shared" ref="AD174:AD192" si="667">AC174/I174</f>
      </c>
      <c r="AE174" s="233" t="s">
        <v>202</v>
      </c>
      <c r="AF174" s="234" t="s">
        <v>217</v>
      </c>
      <c r="AG174" s="235">
        <v>2</v>
      </c>
      <c r="AH174" s="235">
        <v>48440</v>
      </c>
      <c r="AI174" s="236">
        <v>747</v>
      </c>
      <c r="AJ174" s="236">
        <v>752</v>
      </c>
      <c r="AK174" s="235">
        <v>113</v>
      </c>
      <c r="AL174" s="237">
        <v>157</v>
      </c>
    </row>
    <row r="175">
      <c r="A175" s="216"/>
      <c r="B175" s="217" t="s">
        <v>200</v>
      </c>
      <c r="C175" s="218" t="s">
        <v>218</v>
      </c>
      <c r="D175" s="219">
        <f t="shared" si="461"/>
      </c>
      <c r="E175" s="218">
        <v>1402.48</v>
      </c>
      <c r="F175" s="221">
        <v>2926.31</v>
      </c>
      <c r="G175" s="221">
        <v>1017.3</v>
      </c>
      <c r="H175" s="221">
        <v>0</v>
      </c>
      <c r="I175" s="221">
        <f t="shared" si="348"/>
      </c>
      <c r="J175" s="222">
        <v>4397.76</v>
      </c>
      <c r="K175" s="223">
        <f t="shared" si="233"/>
      </c>
      <c r="L175" s="223">
        <f t="shared" si="118"/>
      </c>
      <c r="M175" s="224">
        <f t="shared" si="73"/>
      </c>
      <c r="N175" s="225">
        <f t="shared" si="42"/>
      </c>
      <c r="O175" s="226">
        <f t="shared" si="11"/>
      </c>
      <c r="P175" s="227">
        <f t="shared" si="946"/>
      </c>
      <c r="Q175" s="227">
        <f t="shared" si="915"/>
      </c>
      <c r="R175" s="227">
        <f t="shared" si="884"/>
      </c>
      <c r="S175" s="228">
        <f t="shared" si="853"/>
      </c>
      <c r="T175" s="229">
        <f t="shared" si="791"/>
      </c>
      <c r="U175" s="227">
        <f t="shared" si="760"/>
      </c>
      <c r="V175" s="230">
        <f t="shared" si="822"/>
      </c>
      <c r="W175" s="230">
        <f t="shared" si="729"/>
      </c>
      <c r="X175" s="227">
        <f t="shared" si="698"/>
      </c>
      <c r="Y175" s="231">
        <f t="shared" si="566"/>
      </c>
      <c r="Z175" s="231">
        <v>5</v>
      </c>
      <c r="AA175" s="231">
        <v>5</v>
      </c>
      <c r="AB175" s="232">
        <v>11822.64</v>
      </c>
      <c r="AC175" s="232">
        <v>0</v>
      </c>
      <c r="AD175" s="228">
        <f t="shared" si="667"/>
      </c>
      <c r="AE175" s="233" t="s">
        <v>202</v>
      </c>
      <c r="AF175" s="234" t="s">
        <v>217</v>
      </c>
      <c r="AG175" s="235">
        <v>4</v>
      </c>
      <c r="AH175" s="236">
        <v>45188</v>
      </c>
      <c r="AI175" s="236">
        <v>850</v>
      </c>
      <c r="AJ175" s="236">
        <v>869</v>
      </c>
      <c r="AK175" s="237">
        <v>122</v>
      </c>
      <c r="AL175" s="237">
        <v>150</v>
      </c>
    </row>
    <row r="176">
      <c r="A176" s="216"/>
      <c r="B176" s="217" t="s">
        <v>200</v>
      </c>
      <c r="C176" s="218" t="s">
        <v>219</v>
      </c>
      <c r="D176" s="219">
        <f t="shared" si="461"/>
      </c>
      <c r="E176" s="218">
        <v>919.25</v>
      </c>
      <c r="F176" s="218">
        <v>1050.57</v>
      </c>
      <c r="G176" s="218">
        <v>5484.58</v>
      </c>
      <c r="H176" s="218">
        <v>0</v>
      </c>
      <c r="I176" s="221">
        <f t="shared" si="348"/>
      </c>
      <c r="J176" s="222">
        <v>2943</v>
      </c>
      <c r="K176" s="223">
        <f t="shared" si="233"/>
      </c>
      <c r="L176" s="223">
        <f t="shared" si="118"/>
      </c>
      <c r="M176" s="224">
        <f t="shared" si="73"/>
      </c>
      <c r="N176" s="225">
        <f t="shared" si="42"/>
      </c>
      <c r="O176" s="226">
        <f t="shared" si="11"/>
      </c>
      <c r="P176" s="227">
        <f t="shared" si="946"/>
      </c>
      <c r="Q176" s="227">
        <f t="shared" si="915"/>
      </c>
      <c r="R176" s="227">
        <f t="shared" si="884"/>
      </c>
      <c r="S176" s="228">
        <f t="shared" si="853"/>
      </c>
      <c r="T176" s="229">
        <f t="shared" si="791"/>
      </c>
      <c r="U176" s="227">
        <f t="shared" si="760"/>
      </c>
      <c r="V176" s="230">
        <f t="shared" si="822"/>
      </c>
      <c r="W176" s="230">
        <f t="shared" si="729"/>
      </c>
      <c r="X176" s="227">
        <f t="shared" si="698"/>
      </c>
      <c r="Y176" s="231">
        <f t="shared" si="566"/>
      </c>
      <c r="Z176" s="231">
        <v>9</v>
      </c>
      <c r="AA176" s="231">
        <v>6</v>
      </c>
      <c r="AB176" s="232">
        <v>6798.48</v>
      </c>
      <c r="AC176" s="232">
        <v>2880</v>
      </c>
      <c r="AD176" s="228">
        <f t="shared" si="667"/>
      </c>
      <c r="AE176" s="233" t="s">
        <v>202</v>
      </c>
      <c r="AF176" s="234" t="s">
        <v>217</v>
      </c>
      <c r="AG176" s="237">
        <v>6</v>
      </c>
      <c r="AH176" s="236">
        <v>71664</v>
      </c>
      <c r="AI176" s="236">
        <v>1046</v>
      </c>
      <c r="AJ176" s="236">
        <v>1055</v>
      </c>
      <c r="AK176" s="237">
        <v>188</v>
      </c>
      <c r="AL176" s="237">
        <v>219</v>
      </c>
    </row>
    <row r="177">
      <c r="A177" s="216"/>
      <c r="B177" s="217" t="s">
        <v>200</v>
      </c>
      <c r="C177" s="218" t="s">
        <v>220</v>
      </c>
      <c r="D177" s="219">
        <f t="shared" si="461"/>
      </c>
      <c r="E177" s="218">
        <v>544.66</v>
      </c>
      <c r="F177" s="221">
        <v>6372.01</v>
      </c>
      <c r="G177" s="221">
        <v>1078.95</v>
      </c>
      <c r="H177" s="221">
        <v>0</v>
      </c>
      <c r="I177" s="221">
        <f t="shared" si="348"/>
      </c>
      <c r="J177" s="222">
        <v>4461.48</v>
      </c>
      <c r="K177" s="223">
        <f t="shared" si="233"/>
      </c>
      <c r="L177" s="223">
        <f t="shared" si="118"/>
      </c>
      <c r="M177" s="224">
        <f t="shared" si="73"/>
      </c>
      <c r="N177" s="225">
        <f t="shared" si="42"/>
      </c>
      <c r="O177" s="226">
        <f t="shared" si="11"/>
      </c>
      <c r="P177" s="227">
        <f t="shared" si="946"/>
      </c>
      <c r="Q177" s="227">
        <f t="shared" si="915"/>
      </c>
      <c r="R177" s="227">
        <f t="shared" si="884"/>
      </c>
      <c r="S177" s="228">
        <f t="shared" si="853"/>
      </c>
      <c r="T177" s="229">
        <f t="shared" si="791"/>
      </c>
      <c r="U177" s="227">
        <f t="shared" si="760"/>
      </c>
      <c r="V177" s="230">
        <f t="shared" si="822"/>
      </c>
      <c r="W177" s="230">
        <f t="shared" si="729"/>
      </c>
      <c r="X177" s="227">
        <f t="shared" si="698"/>
      </c>
      <c r="Y177" s="231">
        <f t="shared" si="566"/>
      </c>
      <c r="Z177" s="231">
        <v>5</v>
      </c>
      <c r="AA177" s="231">
        <v>9</v>
      </c>
      <c r="AB177" s="222">
        <v>18353.52</v>
      </c>
      <c r="AC177" s="232">
        <v>0</v>
      </c>
      <c r="AD177" s="228">
        <f t="shared" si="667"/>
      </c>
      <c r="AE177" s="233" t="s">
        <v>202</v>
      </c>
      <c r="AF177" s="234" t="s">
        <v>217</v>
      </c>
      <c r="AG177" s="235">
        <v>8</v>
      </c>
      <c r="AH177" s="236">
        <v>95698</v>
      </c>
      <c r="AI177" s="236">
        <v>977</v>
      </c>
      <c r="AJ177" s="236">
        <v>954</v>
      </c>
      <c r="AK177" s="237">
        <v>195</v>
      </c>
      <c r="AL177" s="237">
        <v>254</v>
      </c>
    </row>
    <row r="178">
      <c r="A178" s="216"/>
      <c r="B178" s="217" t="s">
        <v>200</v>
      </c>
      <c r="C178" s="218" t="s">
        <v>221</v>
      </c>
      <c r="D178" s="219">
        <f t="shared" si="461"/>
      </c>
      <c r="E178" s="218">
        <v>568.89</v>
      </c>
      <c r="F178" s="221">
        <v>5243.18</v>
      </c>
      <c r="G178" s="221">
        <v>1411.85</v>
      </c>
      <c r="H178" s="221">
        <v>0</v>
      </c>
      <c r="I178" s="238">
        <f t="shared" si="348"/>
      </c>
      <c r="J178" s="222">
        <v>1086</v>
      </c>
      <c r="K178" s="223">
        <f t="shared" si="233"/>
      </c>
      <c r="L178" s="223">
        <f t="shared" si="118"/>
      </c>
      <c r="M178" s="224">
        <f t="shared" si="73"/>
      </c>
      <c r="N178" s="225">
        <f t="shared" si="42"/>
      </c>
      <c r="O178" s="226">
        <f t="shared" si="11"/>
      </c>
      <c r="P178" s="227">
        <f t="shared" si="946"/>
      </c>
      <c r="Q178" s="227">
        <f t="shared" si="915"/>
      </c>
      <c r="R178" s="227">
        <f t="shared" si="884"/>
      </c>
      <c r="S178" s="228">
        <f t="shared" si="853"/>
      </c>
      <c r="T178" s="229">
        <f t="shared" si="791"/>
      </c>
      <c r="U178" s="227">
        <f t="shared" si="760"/>
      </c>
      <c r="V178" s="230">
        <f t="shared" si="822"/>
      </c>
      <c r="W178" s="230">
        <f t="shared" si="729"/>
      </c>
      <c r="X178" s="227">
        <f t="shared" si="698"/>
      </c>
      <c r="Y178" s="231">
        <f t="shared" si="566"/>
      </c>
      <c r="Z178" s="231">
        <v>9</v>
      </c>
      <c r="AA178" s="231">
        <v>6</v>
      </c>
      <c r="AB178" s="232">
        <v>3920.4000000000015</v>
      </c>
      <c r="AC178" s="232">
        <v>1086</v>
      </c>
      <c r="AD178" s="228">
        <f t="shared" si="667"/>
      </c>
      <c r="AE178" s="233" t="s">
        <v>202</v>
      </c>
      <c r="AF178" s="234" t="s">
        <v>217</v>
      </c>
      <c r="AG178" s="235">
        <v>5</v>
      </c>
      <c r="AH178" s="236">
        <v>84876</v>
      </c>
      <c r="AI178" s="236">
        <v>993</v>
      </c>
      <c r="AJ178" s="236">
        <v>981</v>
      </c>
      <c r="AK178" s="237">
        <v>161</v>
      </c>
      <c r="AL178" s="237">
        <v>216</v>
      </c>
    </row>
    <row r="179">
      <c r="A179" s="216"/>
      <c r="B179" s="239" t="s">
        <v>208</v>
      </c>
      <c r="C179" s="240">
        <v>5</v>
      </c>
      <c r="D179" s="241">
        <f>SUM(D174:D178)</f>
      </c>
      <c r="E179" s="241">
        <f>SUM(E174:E178)</f>
      </c>
      <c r="F179" s="241">
        <f>SUM(F174:F178)</f>
      </c>
      <c r="G179" s="241">
        <f>SUM(G174:G178)</f>
      </c>
      <c r="H179" s="241">
        <f>SUM(H174:H178)</f>
      </c>
      <c r="I179" s="259">
        <f>SUM(I174:I178)</f>
      </c>
      <c r="J179" s="241">
        <f>SUM(J174:J178)</f>
      </c>
      <c r="K179" s="241">
        <f>SUM(K174:K178)</f>
      </c>
      <c r="L179" s="241">
        <f>SUM(L174:L178)</f>
      </c>
      <c r="M179" s="242">
        <f t="shared" si="73"/>
      </c>
      <c r="N179" s="243">
        <f t="shared" si="42"/>
      </c>
      <c r="O179" s="243">
        <f t="shared" si="11"/>
      </c>
      <c r="P179" s="244">
        <f t="shared" si="946"/>
      </c>
      <c r="Q179" s="244">
        <f t="shared" si="915"/>
      </c>
      <c r="R179" s="244">
        <f t="shared" si="884"/>
      </c>
      <c r="S179" s="245">
        <f t="shared" si="853"/>
      </c>
      <c r="T179" s="245">
        <f t="shared" si="791"/>
      </c>
      <c r="U179" s="244">
        <f t="shared" si="760"/>
      </c>
      <c r="V179" s="245">
        <f t="shared" si="822"/>
      </c>
      <c r="W179" s="245">
        <f t="shared" si="729"/>
      </c>
      <c r="X179" s="244">
        <f t="shared" si="698"/>
      </c>
      <c r="Y179" s="241">
        <f>SUM(Y174:Y178)</f>
      </c>
      <c r="Z179" s="241">
        <f>SUM(Z174:Z178)</f>
      </c>
      <c r="AA179" s="241">
        <f>SUM(AA174:AA178)</f>
      </c>
      <c r="AB179" s="241">
        <f>SUM(AB174:AB178)</f>
      </c>
      <c r="AC179" s="241">
        <f>SUM(AC174:AC178)</f>
      </c>
      <c r="AD179" s="246">
        <f t="shared" si="667"/>
      </c>
      <c r="AE179" s="247"/>
      <c r="AF179" s="248"/>
      <c r="AG179" s="241">
        <f>SUM(AG174:AG178)</f>
      </c>
      <c r="AH179" s="241">
        <f>SUM(AH174:AH178)</f>
      </c>
      <c r="AI179" s="241">
        <f>SUM(AI174:AI178)</f>
      </c>
      <c r="AJ179" s="241">
        <f>SUM(AJ174:AJ178)</f>
      </c>
      <c r="AK179" s="241">
        <f>SUM(AK174:AK178)</f>
      </c>
      <c r="AL179" s="241">
        <f>SUM(AL174:AL178)</f>
      </c>
    </row>
    <row r="180">
      <c r="A180" s="216"/>
      <c r="B180" s="217" t="s">
        <v>209</v>
      </c>
      <c r="C180" s="218" t="s">
        <v>201</v>
      </c>
      <c r="D180" s="219">
        <f t="shared" ref="D180:D184" si="462">E180+F180+G180+H180</f>
      </c>
      <c r="E180" s="220">
        <v>290.48</v>
      </c>
      <c r="F180" s="221">
        <v>4084.53</v>
      </c>
      <c r="G180" s="221">
        <v>904.94</v>
      </c>
      <c r="H180" s="221">
        <v>0</v>
      </c>
      <c r="I180" s="221">
        <f t="shared" ref="I180:I184" si="349">AB180+AC180</f>
      </c>
      <c r="J180" s="222">
        <v>4848.12</v>
      </c>
      <c r="K180" s="223">
        <f t="shared" ref="K180:K184" si="234">I180-J180</f>
      </c>
      <c r="L180" s="223">
        <f t="shared" ref="L180:L184" si="119">(I180-AC180)/12+AC180</f>
      </c>
      <c r="M180" s="224">
        <f t="shared" si="73"/>
      </c>
      <c r="N180" s="225">
        <f t="shared" si="42"/>
      </c>
      <c r="O180" s="226">
        <f t="shared" si="11"/>
      </c>
      <c r="P180" s="227">
        <f t="shared" si="946"/>
      </c>
      <c r="Q180" s="227">
        <f t="shared" si="915"/>
      </c>
      <c r="R180" s="227">
        <f t="shared" si="884"/>
      </c>
      <c r="S180" s="228">
        <f t="shared" si="853"/>
      </c>
      <c r="T180" s="229">
        <f t="shared" si="791"/>
      </c>
      <c r="U180" s="227">
        <f t="shared" si="760"/>
      </c>
      <c r="V180" s="230">
        <f t="shared" si="822"/>
      </c>
      <c r="W180" s="230">
        <f t="shared" si="729"/>
      </c>
      <c r="X180" s="227">
        <f t="shared" si="698"/>
      </c>
      <c r="Y180" s="231">
        <f t="shared" ref="Y180:Y184" si="567">Z180+AA180</f>
      </c>
      <c r="Z180" s="231">
        <v>3</v>
      </c>
      <c r="AA180" s="231">
        <v>5</v>
      </c>
      <c r="AB180" s="232">
        <v>5313.5999999999985</v>
      </c>
      <c r="AC180" s="232">
        <v>2896.55</v>
      </c>
      <c r="AD180" s="228">
        <f t="shared" si="667"/>
      </c>
      <c r="AE180" s="233" t="s">
        <v>202</v>
      </c>
      <c r="AF180" s="234" t="s">
        <v>217</v>
      </c>
      <c r="AG180" s="235">
        <v>5</v>
      </c>
      <c r="AH180" s="236">
        <v>59921</v>
      </c>
      <c r="AI180" s="236">
        <v>691</v>
      </c>
      <c r="AJ180" s="236">
        <v>672</v>
      </c>
      <c r="AK180" s="235">
        <v>123</v>
      </c>
      <c r="AL180" s="235">
        <v>152</v>
      </c>
    </row>
    <row r="181">
      <c r="A181" s="216"/>
      <c r="B181" s="217" t="s">
        <v>209</v>
      </c>
      <c r="C181" s="218" t="s">
        <v>204</v>
      </c>
      <c r="D181" s="219">
        <f t="shared" si="462"/>
      </c>
      <c r="E181" s="218">
        <v>475.44</v>
      </c>
      <c r="F181" s="221">
        <v>4025.98</v>
      </c>
      <c r="G181" s="221">
        <v>1030.5</v>
      </c>
      <c r="H181" s="221">
        <v>0</v>
      </c>
      <c r="I181" s="221">
        <f t="shared" si="349"/>
      </c>
      <c r="J181" s="222">
        <v>3881.52</v>
      </c>
      <c r="K181" s="223">
        <f t="shared" si="234"/>
      </c>
      <c r="L181" s="223">
        <f t="shared" si="119"/>
      </c>
      <c r="M181" s="224">
        <f t="shared" si="73"/>
      </c>
      <c r="N181" s="225">
        <f t="shared" si="42"/>
      </c>
      <c r="O181" s="226">
        <f t="shared" si="11"/>
      </c>
      <c r="P181" s="227">
        <f t="shared" si="946"/>
      </c>
      <c r="Q181" s="227">
        <f t="shared" si="915"/>
      </c>
      <c r="R181" s="227">
        <f t="shared" si="884"/>
      </c>
      <c r="S181" s="228">
        <f t="shared" si="853"/>
      </c>
      <c r="T181" s="229">
        <f t="shared" si="791"/>
      </c>
      <c r="U181" s="227">
        <f t="shared" si="760"/>
      </c>
      <c r="V181" s="230">
        <f t="shared" si="822"/>
      </c>
      <c r="W181" s="230">
        <f t="shared" si="729"/>
      </c>
      <c r="X181" s="227">
        <f t="shared" si="698"/>
      </c>
      <c r="Y181" s="231">
        <f t="shared" si="567"/>
      </c>
      <c r="Z181" s="231">
        <v>5</v>
      </c>
      <c r="AA181" s="231">
        <v>4</v>
      </c>
      <c r="AB181" s="232">
        <v>9278.279999999999</v>
      </c>
      <c r="AC181" s="232">
        <v>0</v>
      </c>
      <c r="AD181" s="228">
        <f t="shared" si="667"/>
      </c>
      <c r="AE181" s="233" t="s">
        <v>202</v>
      </c>
      <c r="AF181" s="234" t="s">
        <v>217</v>
      </c>
      <c r="AG181" s="235">
        <v>3</v>
      </c>
      <c r="AH181" s="236">
        <v>75336</v>
      </c>
      <c r="AI181" s="236">
        <v>794</v>
      </c>
      <c r="AJ181" s="236">
        <v>803</v>
      </c>
      <c r="AK181" s="237">
        <v>146</v>
      </c>
      <c r="AL181" s="237">
        <v>175</v>
      </c>
    </row>
    <row r="182">
      <c r="A182" s="216"/>
      <c r="B182" s="217" t="s">
        <v>209</v>
      </c>
      <c r="C182" s="218" t="s">
        <v>205</v>
      </c>
      <c r="D182" s="219">
        <f t="shared" si="462"/>
      </c>
      <c r="E182" s="218">
        <v>400</v>
      </c>
      <c r="F182" s="218">
        <v>5163.56</v>
      </c>
      <c r="G182" s="218">
        <v>2795.14</v>
      </c>
      <c r="H182" s="218">
        <v>0</v>
      </c>
      <c r="I182" s="221">
        <f t="shared" si="349"/>
      </c>
      <c r="J182" s="222">
        <v>2449.44</v>
      </c>
      <c r="K182" s="223">
        <f t="shared" si="234"/>
      </c>
      <c r="L182" s="223">
        <f t="shared" si="119"/>
      </c>
      <c r="M182" s="224">
        <f t="shared" si="73"/>
      </c>
      <c r="N182" s="225">
        <f t="shared" si="42"/>
      </c>
      <c r="O182" s="226">
        <f t="shared" si="11"/>
      </c>
      <c r="P182" s="227">
        <f t="shared" si="946"/>
      </c>
      <c r="Q182" s="227">
        <f t="shared" si="915"/>
      </c>
      <c r="R182" s="227">
        <f t="shared" si="884"/>
      </c>
      <c r="S182" s="228">
        <f t="shared" si="853"/>
      </c>
      <c r="T182" s="229">
        <f t="shared" si="791"/>
      </c>
      <c r="U182" s="227">
        <f t="shared" si="760"/>
      </c>
      <c r="V182" s="230">
        <f t="shared" si="822"/>
      </c>
      <c r="W182" s="230">
        <f t="shared" si="729"/>
      </c>
      <c r="X182" s="227">
        <f t="shared" si="698"/>
      </c>
      <c r="Y182" s="231">
        <f t="shared" si="567"/>
      </c>
      <c r="Z182" s="231">
        <v>3</v>
      </c>
      <c r="AA182" s="231">
        <v>10</v>
      </c>
      <c r="AB182" s="232">
        <v>13812.120000000003</v>
      </c>
      <c r="AC182" s="232">
        <v>0</v>
      </c>
      <c r="AD182" s="228">
        <f t="shared" si="667"/>
      </c>
      <c r="AE182" s="233" t="s">
        <v>202</v>
      </c>
      <c r="AF182" s="234" t="s">
        <v>203</v>
      </c>
      <c r="AG182" s="237">
        <v>7</v>
      </c>
      <c r="AH182" s="236">
        <v>95455</v>
      </c>
      <c r="AI182" s="236">
        <v>929</v>
      </c>
      <c r="AJ182" s="236">
        <v>895</v>
      </c>
      <c r="AK182" s="237">
        <v>188</v>
      </c>
      <c r="AL182" s="237">
        <v>215</v>
      </c>
    </row>
    <row r="183">
      <c r="A183" s="216"/>
      <c r="B183" s="217" t="s">
        <v>209</v>
      </c>
      <c r="C183" s="218" t="s">
        <v>206</v>
      </c>
      <c r="D183" s="219">
        <f t="shared" si="462"/>
      </c>
      <c r="E183" s="218">
        <v>380.31</v>
      </c>
      <c r="F183" s="221">
        <v>4404.15</v>
      </c>
      <c r="G183" s="221">
        <v>2188.52</v>
      </c>
      <c r="H183" s="221">
        <v>0</v>
      </c>
      <c r="I183" s="221">
        <f t="shared" si="349"/>
      </c>
      <c r="J183" s="222">
        <v>0</v>
      </c>
      <c r="K183" s="223">
        <f t="shared" si="234"/>
      </c>
      <c r="L183" s="223">
        <f t="shared" si="119"/>
      </c>
      <c r="M183" s="224">
        <f t="shared" si="73"/>
      </c>
      <c r="N183" s="225">
        <f t="shared" si="42"/>
      </c>
      <c r="O183" s="226">
        <f t="shared" si="11"/>
      </c>
      <c r="P183" s="227">
        <f t="shared" si="946"/>
      </c>
      <c r="Q183" s="227">
        <f t="shared" si="915"/>
      </c>
      <c r="R183" s="227">
        <f t="shared" si="884"/>
      </c>
      <c r="S183" s="228">
        <f t="shared" si="853"/>
      </c>
      <c r="T183" s="229">
        <f t="shared" si="791"/>
      </c>
      <c r="U183" s="227">
        <f t="shared" si="760"/>
      </c>
      <c r="V183" s="230">
        <f t="shared" si="822"/>
      </c>
      <c r="W183" s="230">
        <f t="shared" si="729"/>
      </c>
      <c r="X183" s="227">
        <f t="shared" si="698"/>
      </c>
      <c r="Y183" s="231">
        <f t="shared" si="567"/>
      </c>
      <c r="Z183" s="231">
        <v>6</v>
      </c>
      <c r="AA183" s="231">
        <v>7</v>
      </c>
      <c r="AB183" s="222">
        <v>10781.399999999994</v>
      </c>
      <c r="AC183" s="232">
        <v>1501.999999999999</v>
      </c>
      <c r="AD183" s="228">
        <f t="shared" si="667"/>
      </c>
      <c r="AE183" s="233" t="s">
        <v>202</v>
      </c>
      <c r="AF183" s="234" t="s">
        <v>203</v>
      </c>
      <c r="AG183" s="235">
        <v>3</v>
      </c>
      <c r="AH183" s="236">
        <v>87352</v>
      </c>
      <c r="AI183" s="236">
        <v>854</v>
      </c>
      <c r="AJ183" s="236">
        <v>788</v>
      </c>
      <c r="AK183" s="237">
        <v>173</v>
      </c>
      <c r="AL183" s="237">
        <v>222</v>
      </c>
    </row>
    <row r="184">
      <c r="A184" s="216"/>
      <c r="B184" s="217" t="s">
        <v>209</v>
      </c>
      <c r="C184" s="218" t="s">
        <v>207</v>
      </c>
      <c r="D184" s="219">
        <f t="shared" si="462"/>
      </c>
      <c r="E184" s="218">
        <v>4488.45</v>
      </c>
      <c r="F184" s="221">
        <v>308</v>
      </c>
      <c r="G184" s="221">
        <v>1279.12</v>
      </c>
      <c r="H184" s="221">
        <v>0</v>
      </c>
      <c r="I184" s="238">
        <f t="shared" si="349"/>
      </c>
      <c r="J184" s="222">
        <v>2838.92</v>
      </c>
      <c r="K184" s="223">
        <f t="shared" si="234"/>
      </c>
      <c r="L184" s="223">
        <f t="shared" si="119"/>
      </c>
      <c r="M184" s="224">
        <f t="shared" si="73"/>
      </c>
      <c r="N184" s="225">
        <f t="shared" si="42"/>
      </c>
      <c r="O184" s="226">
        <f t="shared" si="11"/>
      </c>
      <c r="P184" s="227">
        <f t="shared" si="946"/>
      </c>
      <c r="Q184" s="227">
        <f t="shared" si="915"/>
      </c>
      <c r="R184" s="227">
        <f t="shared" si="884"/>
      </c>
      <c r="S184" s="228">
        <f t="shared" si="853"/>
      </c>
      <c r="T184" s="229">
        <f t="shared" si="791"/>
      </c>
      <c r="U184" s="227">
        <f t="shared" si="760"/>
      </c>
      <c r="V184" s="230">
        <f t="shared" si="822"/>
      </c>
      <c r="W184" s="230">
        <f t="shared" si="729"/>
      </c>
      <c r="X184" s="227">
        <f t="shared" si="698"/>
      </c>
      <c r="Y184" s="231">
        <f t="shared" si="567"/>
      </c>
      <c r="Z184" s="231">
        <v>8</v>
      </c>
      <c r="AA184" s="231">
        <v>7</v>
      </c>
      <c r="AB184" s="232">
        <v>9663.84</v>
      </c>
      <c r="AC184" s="232">
        <v>1733</v>
      </c>
      <c r="AD184" s="228">
        <f t="shared" si="667"/>
      </c>
      <c r="AE184" s="233" t="s">
        <v>202</v>
      </c>
      <c r="AF184" s="234" t="s">
        <v>203</v>
      </c>
      <c r="AG184" s="235">
        <v>6</v>
      </c>
      <c r="AH184" s="236">
        <v>70089</v>
      </c>
      <c r="AI184" s="236">
        <v>1003</v>
      </c>
      <c r="AJ184" s="236">
        <v>970</v>
      </c>
      <c r="AK184" s="237">
        <v>129</v>
      </c>
      <c r="AL184" s="237">
        <v>177</v>
      </c>
    </row>
    <row r="185">
      <c r="A185" s="216"/>
      <c r="B185" s="239" t="s">
        <v>208</v>
      </c>
      <c r="C185" s="240">
        <v>5</v>
      </c>
      <c r="D185" s="241">
        <f>SUM(D180:D184)</f>
      </c>
      <c r="E185" s="241">
        <f>SUM(E180:E184)</f>
      </c>
      <c r="F185" s="241">
        <f>SUM(F180:F184)</f>
      </c>
      <c r="G185" s="241">
        <f>SUM(G180:G184)</f>
      </c>
      <c r="H185" s="241">
        <f>SUM(H180:H184)</f>
      </c>
      <c r="I185" s="259">
        <f>SUM(I180:I184)</f>
      </c>
      <c r="J185" s="241">
        <f>SUM(J180:J184)</f>
      </c>
      <c r="K185" s="241">
        <f>SUM(K180:K184)</f>
      </c>
      <c r="L185" s="241">
        <f>SUM(L180:L184)</f>
      </c>
      <c r="M185" s="242">
        <f t="shared" si="73"/>
      </c>
      <c r="N185" s="243">
        <f t="shared" si="42"/>
      </c>
      <c r="O185" s="243">
        <f t="shared" si="11"/>
      </c>
      <c r="P185" s="244">
        <f t="shared" si="946"/>
      </c>
      <c r="Q185" s="244">
        <f t="shared" si="915"/>
      </c>
      <c r="R185" s="244">
        <f t="shared" si="884"/>
      </c>
      <c r="S185" s="245">
        <f t="shared" si="853"/>
      </c>
      <c r="T185" s="245">
        <f t="shared" si="791"/>
      </c>
      <c r="U185" s="244">
        <f t="shared" si="760"/>
      </c>
      <c r="V185" s="245">
        <f t="shared" si="822"/>
      </c>
      <c r="W185" s="245">
        <f t="shared" si="729"/>
      </c>
      <c r="X185" s="244">
        <f t="shared" si="698"/>
      </c>
      <c r="Y185" s="241">
        <f>SUM(Y180:Y184)</f>
      </c>
      <c r="Z185" s="241">
        <f>SUM(Z180:Z184)</f>
      </c>
      <c r="AA185" s="241">
        <f>SUM(AA180:AA184)</f>
      </c>
      <c r="AB185" s="241">
        <f>SUM(AB180:AB184)</f>
      </c>
      <c r="AC185" s="241">
        <f>SUM(AC180:AC184)</f>
      </c>
      <c r="AD185" s="246">
        <f t="shared" si="667"/>
      </c>
      <c r="AE185" s="247"/>
      <c r="AF185" s="248"/>
      <c r="AG185" s="241">
        <f>SUM(AG180:AG184)</f>
      </c>
      <c r="AH185" s="241">
        <f>SUM(AH180:AH184)</f>
      </c>
      <c r="AI185" s="241">
        <f>SUM(AI180:AI184)</f>
      </c>
      <c r="AJ185" s="241">
        <f>SUM(AJ180:AJ184)</f>
      </c>
      <c r="AK185" s="241">
        <f>SUM(AK180:AK184)</f>
      </c>
      <c r="AL185" s="241">
        <f>SUM(AL180:AL184)</f>
      </c>
    </row>
    <row r="186">
      <c r="A186" s="216"/>
      <c r="B186" s="217" t="s">
        <v>223</v>
      </c>
      <c r="C186" s="218" t="s">
        <v>210</v>
      </c>
      <c r="D186" s="219">
        <f t="shared" ref="D186:D190" si="463">E186+F186+G186+H186</f>
      </c>
      <c r="E186" s="218">
        <v>315.48</v>
      </c>
      <c r="F186" s="249">
        <v>4047.88</v>
      </c>
      <c r="G186" s="221">
        <v>1991.54</v>
      </c>
      <c r="H186" s="221">
        <v>0</v>
      </c>
      <c r="I186" s="250">
        <f t="shared" ref="I186:I190" si="350">AB186+AC186</f>
      </c>
      <c r="J186" s="251">
        <v>0</v>
      </c>
      <c r="K186" s="223">
        <f t="shared" ref="K186:K190" si="235">I186-J186</f>
      </c>
      <c r="L186" s="223">
        <f t="shared" ref="L186:L190" si="120">(I186-AC186)/12+AC186</f>
      </c>
      <c r="M186" s="224">
        <f t="shared" si="73"/>
      </c>
      <c r="N186" s="225">
        <f t="shared" si="42"/>
      </c>
      <c r="O186" s="226">
        <f t="shared" si="11"/>
      </c>
      <c r="P186" s="227">
        <f t="shared" si="946"/>
      </c>
      <c r="Q186" s="227">
        <f t="shared" si="915"/>
      </c>
      <c r="R186" s="227">
        <f t="shared" si="884"/>
      </c>
      <c r="S186" s="228">
        <f t="shared" si="853"/>
      </c>
      <c r="T186" s="229">
        <f t="shared" si="791"/>
      </c>
      <c r="U186" s="227">
        <f t="shared" si="760"/>
      </c>
      <c r="V186" s="230">
        <f t="shared" si="822"/>
      </c>
      <c r="W186" s="230">
        <f t="shared" si="729"/>
      </c>
      <c r="X186" s="227">
        <f t="shared" si="698"/>
      </c>
      <c r="Y186" s="231">
        <f t="shared" ref="Y186:Y190" si="568">Z186+AA186</f>
      </c>
      <c r="Z186" s="231">
        <v>7</v>
      </c>
      <c r="AA186" s="231">
        <v>4</v>
      </c>
      <c r="AB186" s="232">
        <v>6539.400000000009</v>
      </c>
      <c r="AC186" s="232">
        <v>0</v>
      </c>
      <c r="AD186" s="228">
        <f t="shared" si="667"/>
      </c>
      <c r="AE186" s="233" t="s">
        <v>202</v>
      </c>
      <c r="AF186" s="234" t="s">
        <v>203</v>
      </c>
      <c r="AG186" s="235">
        <v>5</v>
      </c>
      <c r="AH186" s="236">
        <v>77195</v>
      </c>
      <c r="AI186" s="236">
        <v>1361</v>
      </c>
      <c r="AJ186" s="236">
        <v>1327</v>
      </c>
      <c r="AK186" s="237">
        <v>201</v>
      </c>
      <c r="AL186" s="237">
        <v>214</v>
      </c>
    </row>
    <row r="187">
      <c r="A187" s="216"/>
      <c r="B187" s="217" t="s">
        <v>223</v>
      </c>
      <c r="C187" s="252" t="s">
        <v>211</v>
      </c>
      <c r="D187" s="219">
        <f t="shared" si="463"/>
      </c>
      <c r="E187" s="218">
        <v>505</v>
      </c>
      <c r="F187" s="249">
        <v>4796.62</v>
      </c>
      <c r="G187" s="221">
        <v>4558.98</v>
      </c>
      <c r="H187" s="221">
        <v>0</v>
      </c>
      <c r="I187" s="250">
        <f t="shared" si="350"/>
      </c>
      <c r="J187" s="251">
        <v>0</v>
      </c>
      <c r="K187" s="223">
        <f t="shared" si="235"/>
      </c>
      <c r="L187" s="223">
        <f t="shared" si="120"/>
      </c>
      <c r="M187" s="224">
        <f t="shared" si="73"/>
      </c>
      <c r="N187" s="225">
        <f t="shared" si="42"/>
      </c>
      <c r="O187" s="226">
        <f t="shared" si="11"/>
      </c>
      <c r="P187" s="227">
        <f t="shared" si="946"/>
      </c>
      <c r="Q187" s="227">
        <f t="shared" si="915"/>
      </c>
      <c r="R187" s="227">
        <f t="shared" si="884"/>
      </c>
      <c r="S187" s="228">
        <f t="shared" si="853"/>
      </c>
      <c r="T187" s="229">
        <f t="shared" si="791"/>
      </c>
      <c r="U187" s="227">
        <f t="shared" si="760"/>
      </c>
      <c r="V187" s="230">
        <f t="shared" si="822"/>
      </c>
      <c r="W187" s="230">
        <f t="shared" si="729"/>
      </c>
      <c r="X187" s="227">
        <f t="shared" si="698"/>
      </c>
      <c r="Y187" s="231">
        <f t="shared" si="568"/>
      </c>
      <c r="Z187" s="231">
        <v>25</v>
      </c>
      <c r="AA187" s="231">
        <v>14</v>
      </c>
      <c r="AB187" s="232">
        <v>15384.959999999992</v>
      </c>
      <c r="AC187" s="232">
        <v>6007</v>
      </c>
      <c r="AD187" s="228">
        <f t="shared" si="667"/>
      </c>
      <c r="AE187" s="233" t="s">
        <v>202</v>
      </c>
      <c r="AF187" s="234" t="s">
        <v>203</v>
      </c>
      <c r="AG187" s="235">
        <v>12</v>
      </c>
      <c r="AH187" s="236">
        <v>122692</v>
      </c>
      <c r="AI187" s="236">
        <v>1682</v>
      </c>
      <c r="AJ187" s="236">
        <v>1618</v>
      </c>
      <c r="AK187" s="237">
        <v>270</v>
      </c>
      <c r="AL187" s="237">
        <v>269</v>
      </c>
    </row>
    <row r="188">
      <c r="A188" s="216"/>
      <c r="B188" s="217" t="s">
        <v>223</v>
      </c>
      <c r="C188" s="252" t="s">
        <v>212</v>
      </c>
      <c r="D188" s="219">
        <f t="shared" si="463"/>
      </c>
      <c r="E188" s="218">
        <v>550.56</v>
      </c>
      <c r="F188" s="249">
        <v>16461.3</v>
      </c>
      <c r="G188" s="218">
        <v>6401.09</v>
      </c>
      <c r="H188" s="218">
        <v>0</v>
      </c>
      <c r="I188" s="250">
        <f t="shared" si="350"/>
      </c>
      <c r="J188" s="251">
        <v>2940.9</v>
      </c>
      <c r="K188" s="223">
        <f t="shared" si="235"/>
      </c>
      <c r="L188" s="223">
        <f t="shared" si="120"/>
      </c>
      <c r="M188" s="224">
        <f t="shared" si="73"/>
      </c>
      <c r="N188" s="225">
        <f t="shared" si="42"/>
      </c>
      <c r="O188" s="226">
        <f t="shared" si="11"/>
      </c>
      <c r="P188" s="227">
        <f t="shared" si="946"/>
      </c>
      <c r="Q188" s="227">
        <f t="shared" si="915"/>
      </c>
      <c r="R188" s="227">
        <f t="shared" si="884"/>
      </c>
      <c r="S188" s="228">
        <f t="shared" si="853"/>
      </c>
      <c r="T188" s="229">
        <f t="shared" si="791"/>
      </c>
      <c r="U188" s="227">
        <f t="shared" si="760"/>
      </c>
      <c r="V188" s="230">
        <f t="shared" si="822"/>
      </c>
      <c r="W188" s="230">
        <f t="shared" si="729"/>
      </c>
      <c r="X188" s="227">
        <f t="shared" si="698"/>
      </c>
      <c r="Y188" s="231">
        <f t="shared" si="568"/>
      </c>
      <c r="Z188" s="231">
        <v>29</v>
      </c>
      <c r="AA188" s="231">
        <v>32</v>
      </c>
      <c r="AB188" s="232">
        <v>51963.96000000002</v>
      </c>
      <c r="AC188" s="232">
        <v>6224.850000000002</v>
      </c>
      <c r="AD188" s="228">
        <f t="shared" si="667"/>
      </c>
      <c r="AE188" s="233" t="s">
        <v>202</v>
      </c>
      <c r="AF188" s="234" t="s">
        <v>203</v>
      </c>
      <c r="AG188" s="237">
        <v>29</v>
      </c>
      <c r="AH188" s="236">
        <v>282676</v>
      </c>
      <c r="AI188" s="236">
        <v>4800</v>
      </c>
      <c r="AJ188" s="236">
        <v>4667</v>
      </c>
      <c r="AK188" s="237">
        <v>518</v>
      </c>
      <c r="AL188" s="237">
        <v>532</v>
      </c>
    </row>
    <row r="189">
      <c r="A189" s="216"/>
      <c r="B189" s="217" t="s">
        <v>223</v>
      </c>
      <c r="C189" s="218" t="s">
        <v>213</v>
      </c>
      <c r="D189" s="219">
        <f t="shared" si="463"/>
      </c>
      <c r="E189" s="218">
        <v>1133.62</v>
      </c>
      <c r="F189" s="249">
        <v>14815.62</v>
      </c>
      <c r="G189" s="221">
        <v>11325.96</v>
      </c>
      <c r="H189" s="221">
        <v>0</v>
      </c>
      <c r="I189" s="250">
        <f t="shared" si="350"/>
      </c>
      <c r="J189" s="251">
        <v>2299.5</v>
      </c>
      <c r="K189" s="223">
        <f t="shared" si="235"/>
      </c>
      <c r="L189" s="223">
        <f t="shared" si="120"/>
      </c>
      <c r="M189" s="224">
        <f t="shared" si="73"/>
      </c>
      <c r="N189" s="225">
        <f t="shared" si="42"/>
      </c>
      <c r="O189" s="226">
        <f t="shared" si="11"/>
      </c>
      <c r="P189" s="227">
        <f t="shared" si="946"/>
      </c>
      <c r="Q189" s="227">
        <f t="shared" si="915"/>
      </c>
      <c r="R189" s="227">
        <f t="shared" si="884"/>
      </c>
      <c r="S189" s="228">
        <f t="shared" si="853"/>
      </c>
      <c r="T189" s="229">
        <f t="shared" si="791"/>
      </c>
      <c r="U189" s="227">
        <f t="shared" si="760"/>
      </c>
      <c r="V189" s="230">
        <f t="shared" si="822"/>
      </c>
      <c r="W189" s="230">
        <f t="shared" si="729"/>
      </c>
      <c r="X189" s="227">
        <f t="shared" si="698"/>
      </c>
      <c r="Y189" s="231">
        <f t="shared" si="568"/>
      </c>
      <c r="Z189" s="231">
        <v>36</v>
      </c>
      <c r="AA189" s="231">
        <v>48</v>
      </c>
      <c r="AB189" s="222">
        <v>68550.47999999998</v>
      </c>
      <c r="AC189" s="232">
        <v>14241.849999999999</v>
      </c>
      <c r="AD189" s="228">
        <f t="shared" si="667"/>
      </c>
      <c r="AE189" s="233" t="s">
        <v>202</v>
      </c>
      <c r="AF189" s="234" t="s">
        <v>203</v>
      </c>
      <c r="AG189" s="235">
        <v>38</v>
      </c>
      <c r="AH189" s="236">
        <v>470035</v>
      </c>
      <c r="AI189" s="236">
        <v>5957</v>
      </c>
      <c r="AJ189" s="236">
        <v>5868</v>
      </c>
      <c r="AK189" s="237">
        <v>797</v>
      </c>
      <c r="AL189" s="237">
        <v>838</v>
      </c>
    </row>
    <row r="190">
      <c r="A190" s="216"/>
      <c r="B190" s="217" t="s">
        <v>223</v>
      </c>
      <c r="C190" s="252" t="s">
        <v>214</v>
      </c>
      <c r="D190" s="219">
        <f t="shared" si="463"/>
      </c>
      <c r="E190" s="218">
        <v>399.48</v>
      </c>
      <c r="F190" s="249">
        <v>16455.7</v>
      </c>
      <c r="G190" s="221">
        <v>15370.45</v>
      </c>
      <c r="H190" s="221">
        <v>0</v>
      </c>
      <c r="I190" s="250">
        <f t="shared" si="350"/>
      </c>
      <c r="J190" s="251">
        <v>3650.4</v>
      </c>
      <c r="K190" s="223">
        <f t="shared" si="235"/>
      </c>
      <c r="L190" s="223">
        <f t="shared" si="120"/>
      </c>
      <c r="M190" s="224">
        <f t="shared" si="73"/>
      </c>
      <c r="N190" s="225">
        <f t="shared" si="42"/>
      </c>
      <c r="O190" s="226">
        <f t="shared" si="11"/>
      </c>
      <c r="P190" s="227">
        <f t="shared" si="946"/>
      </c>
      <c r="Q190" s="227">
        <f t="shared" si="915"/>
      </c>
      <c r="R190" s="227">
        <f t="shared" si="884"/>
      </c>
      <c r="S190" s="228">
        <f t="shared" si="853"/>
      </c>
      <c r="T190" s="229">
        <f t="shared" si="791"/>
      </c>
      <c r="U190" s="227">
        <f t="shared" si="760"/>
      </c>
      <c r="V190" s="230">
        <f t="shared" si="822"/>
      </c>
      <c r="W190" s="230">
        <f t="shared" si="729"/>
      </c>
      <c r="X190" s="227">
        <f t="shared" si="698"/>
      </c>
      <c r="Y190" s="231">
        <f t="shared" si="568"/>
      </c>
      <c r="Z190" s="231">
        <v>30</v>
      </c>
      <c r="AA190" s="231">
        <v>17</v>
      </c>
      <c r="AB190" s="232">
        <v>26144.03999999998</v>
      </c>
      <c r="AC190" s="232">
        <v>11839.400000000001</v>
      </c>
      <c r="AD190" s="228">
        <f t="shared" si="667"/>
      </c>
      <c r="AE190" s="233" t="s">
        <v>202</v>
      </c>
      <c r="AF190" s="234" t="s">
        <v>203</v>
      </c>
      <c r="AG190" s="235">
        <v>15</v>
      </c>
      <c r="AH190" s="236">
        <v>539243</v>
      </c>
      <c r="AI190" s="236">
        <v>6183</v>
      </c>
      <c r="AJ190" s="236">
        <v>6077</v>
      </c>
      <c r="AK190" s="237">
        <v>639</v>
      </c>
      <c r="AL190" s="237">
        <v>706</v>
      </c>
    </row>
    <row r="191">
      <c r="A191" s="216"/>
      <c r="B191" s="239" t="s">
        <v>208</v>
      </c>
      <c r="C191" s="240">
        <v>5</v>
      </c>
      <c r="D191" s="241">
        <f>SUM(D186:D190)</f>
      </c>
      <c r="E191" s="241">
        <f>SUM(E186:E190)</f>
      </c>
      <c r="F191" s="241">
        <f>SUM(F186:F190)</f>
      </c>
      <c r="G191" s="241">
        <f>SUM(G186:G190)</f>
      </c>
      <c r="H191" s="241">
        <f>SUM(H186:H190)</f>
      </c>
      <c r="I191" s="260">
        <f>SUM(I186:I190)</f>
      </c>
      <c r="J191" s="241">
        <f>SUM(J186:J190)</f>
      </c>
      <c r="K191" s="241">
        <f>SUM(K186:K190)</f>
      </c>
      <c r="L191" s="241">
        <f>SUM(L186:L190)</f>
      </c>
      <c r="M191" s="242">
        <f t="shared" si="73"/>
      </c>
      <c r="N191" s="243">
        <f t="shared" si="42"/>
      </c>
      <c r="O191" s="243">
        <f t="shared" si="11"/>
      </c>
      <c r="P191" s="244">
        <f t="shared" si="946"/>
      </c>
      <c r="Q191" s="244">
        <f t="shared" si="915"/>
      </c>
      <c r="R191" s="244">
        <f t="shared" si="884"/>
      </c>
      <c r="S191" s="245">
        <f t="shared" si="853"/>
      </c>
      <c r="T191" s="245">
        <f t="shared" si="791"/>
      </c>
      <c r="U191" s="244">
        <f t="shared" si="760"/>
      </c>
      <c r="V191" s="245">
        <f t="shared" si="822"/>
      </c>
      <c r="W191" s="245">
        <f t="shared" si="729"/>
      </c>
      <c r="X191" s="244">
        <f t="shared" si="698"/>
      </c>
      <c r="Y191" s="241">
        <f>SUM(Y186:Y190)</f>
      </c>
      <c r="Z191" s="241">
        <f>SUM(Z186:Z190)</f>
      </c>
      <c r="AA191" s="241">
        <f>SUM(AA186:AA190)</f>
      </c>
      <c r="AB191" s="241">
        <f>SUM(AB186:AB190)</f>
      </c>
      <c r="AC191" s="241">
        <f>SUM(AC186:AC190)</f>
      </c>
      <c r="AD191" s="246">
        <f t="shared" si="667"/>
      </c>
      <c r="AE191" s="247"/>
      <c r="AF191" s="248"/>
      <c r="AG191" s="241">
        <f>SUM(AG186:AG190)</f>
      </c>
      <c r="AH191" s="241">
        <f>SUM(AH186:AH190)</f>
      </c>
      <c r="AI191" s="241">
        <f>SUM(AI186:AI190)</f>
      </c>
      <c r="AJ191" s="241">
        <f>SUM(AJ186:AJ190)</f>
      </c>
      <c r="AK191" s="241">
        <f>SUM(AK186:AK190)</f>
      </c>
      <c r="AL191" s="241">
        <f>SUM(AL186:AL190)</f>
      </c>
    </row>
    <row r="192">
      <c r="A192" s="216"/>
      <c r="B192" s="253" t="s">
        <v>208</v>
      </c>
      <c r="C192" s="254">
        <f>C179+C185+C191</f>
      </c>
      <c r="D192" s="254">
        <f>D179+D185+D191</f>
      </c>
      <c r="E192" s="254">
        <f>E179+E185+E191</f>
      </c>
      <c r="F192" s="254">
        <f>F179+F185+F191</f>
      </c>
      <c r="G192" s="254">
        <f>G179+G185+G191</f>
      </c>
      <c r="H192" s="254">
        <f>H179+H185+H191</f>
      </c>
      <c r="I192" s="254">
        <f>I179+I185+I191</f>
      </c>
      <c r="J192" s="254">
        <f>J179+J185+J191</f>
      </c>
      <c r="K192" s="254">
        <f>K179+K185+K191</f>
      </c>
      <c r="L192" s="254">
        <f>L179+L185+L191</f>
      </c>
      <c r="M192" s="256">
        <f t="shared" si="73"/>
      </c>
      <c r="N192" s="256">
        <f t="shared" si="42"/>
      </c>
      <c r="O192" s="256">
        <f t="shared" si="11"/>
      </c>
      <c r="P192" s="256">
        <f t="shared" si="946"/>
      </c>
      <c r="Q192" s="256">
        <f t="shared" si="915"/>
      </c>
      <c r="R192" s="256">
        <f t="shared" si="884"/>
      </c>
      <c r="S192" s="257">
        <f t="shared" si="853"/>
      </c>
      <c r="T192" s="257">
        <f t="shared" si="791"/>
      </c>
      <c r="U192" s="256">
        <f t="shared" si="760"/>
      </c>
      <c r="V192" s="257">
        <f t="shared" si="822"/>
      </c>
      <c r="W192" s="257">
        <f t="shared" si="729"/>
      </c>
      <c r="X192" s="256">
        <f t="shared" si="698"/>
      </c>
      <c r="Y192" s="255">
        <f>Y179+Y185+Y191</f>
      </c>
      <c r="Z192" s="255">
        <f>Z179+Z185+Z191</f>
      </c>
      <c r="AA192" s="255">
        <f>AA179+AA185+AA191</f>
      </c>
      <c r="AB192" s="255">
        <f>AB179+AB185+AB191</f>
      </c>
      <c r="AC192" s="255">
        <f>AC179+AC185+AC191</f>
      </c>
      <c r="AD192" s="258">
        <f t="shared" si="667"/>
      </c>
      <c r="AE192" s="253"/>
      <c r="AF192" s="253"/>
      <c r="AG192" s="255">
        <f>AG179+AG185+AG191</f>
      </c>
      <c r="AH192" s="255">
        <f>AH179+AH185+AH191</f>
      </c>
      <c r="AI192" s="255">
        <f>AI179+AI185+AI191</f>
      </c>
      <c r="AJ192" s="255">
        <f>AJ179+AJ185+AJ191</f>
      </c>
      <c r="AK192" s="255">
        <f>AK179+AK185+AK191</f>
      </c>
      <c r="AL192" s="255">
        <f>AL179+AL185+AL191</f>
      </c>
    </row>
    <row r="193">
      <c r="A193" s="202" t="s">
        <v>162</v>
      </c>
      <c r="B193" s="203" t="s">
        <v>163</v>
      </c>
      <c r="C193" s="203" t="s">
        <v>164</v>
      </c>
      <c r="D193" s="204" t="s">
        <v>165</v>
      </c>
      <c r="E193" s="203" t="s">
        <v>166</v>
      </c>
      <c r="F193" s="203" t="s">
        <v>167</v>
      </c>
      <c r="G193" s="205" t="s">
        <v>168</v>
      </c>
      <c r="H193" s="205" t="s">
        <v>169</v>
      </c>
      <c r="I193" s="204" t="s">
        <v>170</v>
      </c>
      <c r="J193" s="206" t="s">
        <v>171</v>
      </c>
      <c r="K193" s="207" t="s">
        <v>172</v>
      </c>
      <c r="L193" s="207" t="s">
        <v>173</v>
      </c>
      <c r="M193" s="208" t="s">
        <v>174</v>
      </c>
      <c r="N193" s="207" t="s">
        <v>175</v>
      </c>
      <c r="O193" s="203" t="s">
        <v>176</v>
      </c>
      <c r="P193" s="208" t="s">
        <v>177</v>
      </c>
      <c r="Q193" s="209" t="s">
        <v>178</v>
      </c>
      <c r="R193" s="209" t="s">
        <v>179</v>
      </c>
      <c r="S193" s="204" t="s">
        <v>180</v>
      </c>
      <c r="T193" s="210" t="s">
        <v>181</v>
      </c>
      <c r="U193" s="208" t="s">
        <v>182</v>
      </c>
      <c r="V193" s="211" t="s">
        <v>183</v>
      </c>
      <c r="W193" s="212" t="s">
        <v>184</v>
      </c>
      <c r="X193" s="208" t="s">
        <v>185</v>
      </c>
      <c r="Y193" s="213" t="s">
        <v>186</v>
      </c>
      <c r="Z193" s="214" t="s">
        <v>187</v>
      </c>
      <c r="AA193" s="213" t="s">
        <v>188</v>
      </c>
      <c r="AB193" s="215" t="s">
        <v>189</v>
      </c>
      <c r="AC193" s="215" t="s">
        <v>190</v>
      </c>
      <c r="AD193" s="207" t="s">
        <v>191</v>
      </c>
      <c r="AE193" s="206" t="s">
        <v>192</v>
      </c>
      <c r="AF193" s="207"/>
      <c r="AG193" s="206" t="s">
        <v>194</v>
      </c>
      <c r="AH193" s="206" t="s">
        <v>195</v>
      </c>
      <c r="AI193" s="207" t="s">
        <v>196</v>
      </c>
      <c r="AJ193" s="206" t="s">
        <v>197</v>
      </c>
      <c r="AK193" s="207" t="s">
        <v>198</v>
      </c>
      <c r="AL193" s="206" t="s">
        <v>199</v>
      </c>
    </row>
    <row r="194">
      <c r="A194" s="216">
        <v>46247</v>
      </c>
      <c r="B194" s="217" t="s">
        <v>200</v>
      </c>
      <c r="C194" s="218" t="s">
        <v>216</v>
      </c>
      <c r="D194" s="219">
        <f t="shared" ref="D194:D198" si="464">E194+F194+G194+H194</f>
      </c>
      <c r="E194" s="220">
        <v>1933.41</v>
      </c>
      <c r="F194" s="221">
        <v>2555</v>
      </c>
      <c r="G194" s="221">
        <v>3274.52</v>
      </c>
      <c r="H194" s="221">
        <v>0</v>
      </c>
      <c r="I194" s="221">
        <f t="shared" ref="I194:I198" si="351">AB194+AC194</f>
      </c>
      <c r="J194" s="222">
        <v>0</v>
      </c>
      <c r="K194" s="223">
        <f t="shared" ref="K194:K198" si="236">I194-J194</f>
      </c>
      <c r="L194" s="223">
        <f t="shared" ref="L194:L198" si="121">(I194-AC194)/12+AC194</f>
      </c>
      <c r="M194" s="224">
        <f t="shared" ref="M194:M212" si="74">I194/D194</f>
      </c>
      <c r="N194" s="225">
        <f t="shared" ref="N194:N212" si="43">(I194-J194)/D194</f>
      </c>
      <c r="O194" s="226">
        <f t="shared" ref="O194:O212" si="12">(AC194+AB194/12)/D194</f>
      </c>
      <c r="P194" s="227">
        <f t="shared" ref="P194:P212" si="947">I194/AA194</f>
      </c>
      <c r="Q194" s="227">
        <f t="shared" ref="Q194:Q212" si="916">D194/AA194</f>
      </c>
      <c r="R194" s="227">
        <f t="shared" ref="R194:R212" si="885">D194/AG194</f>
      </c>
      <c r="S194" s="228">
        <f t="shared" ref="S194:S212" si="854">AA194/Y194</f>
      </c>
      <c r="T194" s="229">
        <f t="shared" ref="T194:T212" si="792">AI194/AH194</f>
      </c>
      <c r="U194" s="227">
        <f t="shared" ref="U194:U212" si="761">D194/AJ194</f>
      </c>
      <c r="V194" s="230">
        <f t="shared" ref="V194:V212" si="823">AK194/AJ194</f>
      </c>
      <c r="W194" s="230">
        <f t="shared" ref="W194:W212" si="730">AL194/AJ194</f>
      </c>
      <c r="X194" s="227">
        <f t="shared" ref="X194:X212" si="699">D194/AL194</f>
      </c>
      <c r="Y194" s="231">
        <f t="shared" ref="Y194:Y198" si="569">Z194+AA194</f>
      </c>
      <c r="Z194" s="231">
        <v>2</v>
      </c>
      <c r="AA194" s="231">
        <v>3</v>
      </c>
      <c r="AB194" s="232">
        <v>7115.76</v>
      </c>
      <c r="AC194" s="232">
        <v>0</v>
      </c>
      <c r="AD194" s="228">
        <f t="shared" ref="AD194:AD212" si="668">AC194/I194</f>
      </c>
      <c r="AE194" s="233" t="s">
        <v>202</v>
      </c>
      <c r="AF194" s="234" t="s">
        <v>217</v>
      </c>
      <c r="AG194" s="235">
        <v>3</v>
      </c>
      <c r="AH194" s="235">
        <v>76402</v>
      </c>
      <c r="AI194" s="236">
        <v>1205</v>
      </c>
      <c r="AJ194" s="236">
        <v>1222</v>
      </c>
      <c r="AK194" s="235">
        <v>178</v>
      </c>
      <c r="AL194" s="237">
        <v>213</v>
      </c>
    </row>
    <row r="195">
      <c r="A195" s="216"/>
      <c r="B195" s="217" t="s">
        <v>200</v>
      </c>
      <c r="C195" s="218" t="s">
        <v>218</v>
      </c>
      <c r="D195" s="219">
        <f t="shared" si="464"/>
      </c>
      <c r="E195" s="218">
        <v>1877.64</v>
      </c>
      <c r="F195" s="221">
        <v>2000.97</v>
      </c>
      <c r="G195" s="221">
        <v>1948.51</v>
      </c>
      <c r="H195" s="221">
        <v>0</v>
      </c>
      <c r="I195" s="221">
        <f t="shared" si="351"/>
      </c>
      <c r="J195" s="222">
        <v>3651.48</v>
      </c>
      <c r="K195" s="223">
        <f t="shared" si="236"/>
      </c>
      <c r="L195" s="223">
        <f t="shared" si="121"/>
      </c>
      <c r="M195" s="224">
        <f t="shared" si="74"/>
      </c>
      <c r="N195" s="225">
        <f t="shared" si="43"/>
      </c>
      <c r="O195" s="226">
        <f t="shared" si="12"/>
      </c>
      <c r="P195" s="227">
        <f t="shared" si="947"/>
      </c>
      <c r="Q195" s="227">
        <f t="shared" si="916"/>
      </c>
      <c r="R195" s="227">
        <f t="shared" si="885"/>
      </c>
      <c r="S195" s="228">
        <f t="shared" si="854"/>
      </c>
      <c r="T195" s="229">
        <f t="shared" si="792"/>
      </c>
      <c r="U195" s="227">
        <f t="shared" si="761"/>
      </c>
      <c r="V195" s="230">
        <f t="shared" si="823"/>
      </c>
      <c r="W195" s="230">
        <f t="shared" si="730"/>
      </c>
      <c r="X195" s="227">
        <f t="shared" si="699"/>
      </c>
      <c r="Y195" s="231">
        <f t="shared" si="569"/>
      </c>
      <c r="Z195" s="231">
        <v>6</v>
      </c>
      <c r="AA195" s="231">
        <v>4</v>
      </c>
      <c r="AB195" s="232">
        <v>8922.96</v>
      </c>
      <c r="AC195" s="232">
        <v>0</v>
      </c>
      <c r="AD195" s="228">
        <f t="shared" si="668"/>
      </c>
      <c r="AE195" s="233" t="s">
        <v>202</v>
      </c>
      <c r="AF195" s="234" t="s">
        <v>217</v>
      </c>
      <c r="AG195" s="235">
        <v>4</v>
      </c>
      <c r="AH195" s="236">
        <v>50433</v>
      </c>
      <c r="AI195" s="236">
        <v>1003</v>
      </c>
      <c r="AJ195" s="236">
        <v>1020</v>
      </c>
      <c r="AK195" s="237">
        <v>132</v>
      </c>
      <c r="AL195" s="237">
        <v>176</v>
      </c>
    </row>
    <row r="196">
      <c r="A196" s="216"/>
      <c r="B196" s="217" t="s">
        <v>200</v>
      </c>
      <c r="C196" s="218" t="s">
        <v>219</v>
      </c>
      <c r="D196" s="219">
        <f t="shared" si="464"/>
      </c>
      <c r="E196" s="218">
        <v>1044.69</v>
      </c>
      <c r="F196" s="218">
        <v>1394.83</v>
      </c>
      <c r="G196" s="218">
        <v>1553.97</v>
      </c>
      <c r="H196" s="218">
        <v>0</v>
      </c>
      <c r="I196" s="221">
        <f t="shared" si="351"/>
      </c>
      <c r="J196" s="222">
        <v>0</v>
      </c>
      <c r="K196" s="223">
        <f t="shared" si="236"/>
      </c>
      <c r="L196" s="223">
        <f t="shared" si="121"/>
      </c>
      <c r="M196" s="224">
        <f t="shared" si="74"/>
      </c>
      <c r="N196" s="225">
        <f t="shared" si="43"/>
      </c>
      <c r="O196" s="226">
        <f t="shared" si="12"/>
      </c>
      <c r="P196" s="227">
        <f t="shared" si="947"/>
      </c>
      <c r="Q196" s="227">
        <f t="shared" si="916"/>
      </c>
      <c r="R196" s="227">
        <f t="shared" si="885"/>
      </c>
      <c r="S196" s="228">
        <f t="shared" si="854"/>
      </c>
      <c r="T196" s="229">
        <f t="shared" si="792"/>
      </c>
      <c r="U196" s="227">
        <f t="shared" si="761"/>
      </c>
      <c r="V196" s="230">
        <f t="shared" si="823"/>
      </c>
      <c r="W196" s="230">
        <f t="shared" si="730"/>
      </c>
      <c r="X196" s="227">
        <f t="shared" si="699"/>
      </c>
      <c r="Y196" s="231">
        <f t="shared" si="569"/>
      </c>
      <c r="Z196" s="231">
        <v>2</v>
      </c>
      <c r="AA196" s="231">
        <v>3</v>
      </c>
      <c r="AB196" s="232">
        <v>3244.3200000000015</v>
      </c>
      <c r="AC196" s="232">
        <v>0</v>
      </c>
      <c r="AD196" s="228">
        <f t="shared" si="668"/>
      </c>
      <c r="AE196" s="233" t="s">
        <v>202</v>
      </c>
      <c r="AF196" s="234" t="s">
        <v>217</v>
      </c>
      <c r="AG196" s="237">
        <v>3</v>
      </c>
      <c r="AH196" s="236">
        <v>35171</v>
      </c>
      <c r="AI196" s="236">
        <v>598</v>
      </c>
      <c r="AJ196" s="236">
        <v>604</v>
      </c>
      <c r="AK196" s="237">
        <v>117</v>
      </c>
      <c r="AL196" s="237">
        <v>126</v>
      </c>
    </row>
    <row r="197">
      <c r="A197" s="216"/>
      <c r="B197" s="217" t="s">
        <v>200</v>
      </c>
      <c r="C197" s="218" t="s">
        <v>220</v>
      </c>
      <c r="D197" s="219">
        <f t="shared" si="464"/>
      </c>
      <c r="E197" s="218">
        <v>986.13</v>
      </c>
      <c r="F197" s="221">
        <v>1604.2</v>
      </c>
      <c r="G197" s="221">
        <v>1442.29</v>
      </c>
      <c r="H197" s="221">
        <v>0</v>
      </c>
      <c r="I197" s="221">
        <f t="shared" si="351"/>
      </c>
      <c r="J197" s="222">
        <v>4418.64</v>
      </c>
      <c r="K197" s="223">
        <f t="shared" si="236"/>
      </c>
      <c r="L197" s="223">
        <f t="shared" si="121"/>
      </c>
      <c r="M197" s="224">
        <f t="shared" si="74"/>
      </c>
      <c r="N197" s="225">
        <f t="shared" si="43"/>
      </c>
      <c r="O197" s="226">
        <f t="shared" si="12"/>
      </c>
      <c r="P197" s="227">
        <f t="shared" si="947"/>
      </c>
      <c r="Q197" s="227">
        <f t="shared" si="916"/>
      </c>
      <c r="R197" s="227">
        <f t="shared" si="885"/>
      </c>
      <c r="S197" s="228">
        <f t="shared" si="854"/>
      </c>
      <c r="T197" s="229">
        <f t="shared" si="792"/>
      </c>
      <c r="U197" s="227">
        <f t="shared" si="761"/>
      </c>
      <c r="V197" s="230">
        <f t="shared" si="823"/>
      </c>
      <c r="W197" s="230">
        <f t="shared" si="730"/>
      </c>
      <c r="X197" s="227">
        <f t="shared" si="699"/>
      </c>
      <c r="Y197" s="231">
        <f t="shared" si="569"/>
      </c>
      <c r="Z197" s="231">
        <v>1</v>
      </c>
      <c r="AA197" s="231">
        <v>3</v>
      </c>
      <c r="AB197" s="222">
        <v>9347.760000000002</v>
      </c>
      <c r="AC197" s="232">
        <v>0</v>
      </c>
      <c r="AD197" s="228">
        <f t="shared" si="668"/>
      </c>
      <c r="AE197" s="233" t="s">
        <v>202</v>
      </c>
      <c r="AF197" s="234" t="s">
        <v>217</v>
      </c>
      <c r="AG197" s="235">
        <v>3</v>
      </c>
      <c r="AH197" s="236">
        <v>43979</v>
      </c>
      <c r="AI197" s="236">
        <v>656</v>
      </c>
      <c r="AJ197" s="236">
        <v>632</v>
      </c>
      <c r="AK197" s="237">
        <v>108</v>
      </c>
      <c r="AL197" s="237">
        <v>138</v>
      </c>
    </row>
    <row r="198">
      <c r="A198" s="216"/>
      <c r="B198" s="217" t="s">
        <v>200</v>
      </c>
      <c r="C198" s="218" t="s">
        <v>221</v>
      </c>
      <c r="D198" s="219">
        <f t="shared" si="464"/>
      </c>
      <c r="E198" s="218">
        <v>1280.96</v>
      </c>
      <c r="F198" s="221">
        <v>2000</v>
      </c>
      <c r="G198" s="221">
        <v>1502.71</v>
      </c>
      <c r="H198" s="221">
        <v>0</v>
      </c>
      <c r="I198" s="238">
        <f t="shared" si="351"/>
      </c>
      <c r="J198" s="222">
        <v>5267.16</v>
      </c>
      <c r="K198" s="223">
        <f t="shared" si="236"/>
      </c>
      <c r="L198" s="223">
        <f t="shared" si="121"/>
      </c>
      <c r="M198" s="224">
        <f t="shared" si="74"/>
      </c>
      <c r="N198" s="225">
        <f t="shared" si="43"/>
      </c>
      <c r="O198" s="226">
        <f t="shared" si="12"/>
      </c>
      <c r="P198" s="227">
        <f t="shared" si="947"/>
      </c>
      <c r="Q198" s="227">
        <f t="shared" si="916"/>
      </c>
      <c r="R198" s="227">
        <f t="shared" si="885"/>
      </c>
      <c r="S198" s="228">
        <f t="shared" si="854"/>
      </c>
      <c r="T198" s="229">
        <f t="shared" si="792"/>
      </c>
      <c r="U198" s="227">
        <f t="shared" si="761"/>
      </c>
      <c r="V198" s="230">
        <f t="shared" si="823"/>
      </c>
      <c r="W198" s="230">
        <f t="shared" si="730"/>
      </c>
      <c r="X198" s="227">
        <f t="shared" si="699"/>
      </c>
      <c r="Y198" s="231">
        <f t="shared" si="569"/>
      </c>
      <c r="Z198" s="231">
        <v>3</v>
      </c>
      <c r="AA198" s="231">
        <v>3</v>
      </c>
      <c r="AB198" s="232">
        <v>6246.719999999994</v>
      </c>
      <c r="AC198" s="232">
        <v>0</v>
      </c>
      <c r="AD198" s="228">
        <f t="shared" si="668"/>
      </c>
      <c r="AE198" s="233" t="s">
        <v>202</v>
      </c>
      <c r="AF198" s="234" t="s">
        <v>217</v>
      </c>
      <c r="AG198" s="235">
        <v>2</v>
      </c>
      <c r="AH198" s="236">
        <v>47751</v>
      </c>
      <c r="AI198" s="236">
        <v>1031</v>
      </c>
      <c r="AJ198" s="236">
        <v>1016</v>
      </c>
      <c r="AK198" s="237">
        <v>124</v>
      </c>
      <c r="AL198" s="237">
        <v>124</v>
      </c>
    </row>
    <row r="199">
      <c r="A199" s="216"/>
      <c r="B199" s="239" t="s">
        <v>208</v>
      </c>
      <c r="C199" s="240">
        <v>5</v>
      </c>
      <c r="D199" s="241">
        <f>SUM(D194:D198)</f>
      </c>
      <c r="E199" s="241">
        <f>SUM(E194:E198)</f>
      </c>
      <c r="F199" s="241">
        <f>SUM(F194:F198)</f>
      </c>
      <c r="G199" s="241">
        <f>SUM(G194:G198)</f>
      </c>
      <c r="H199" s="241">
        <f>SUM(H194:H198)</f>
      </c>
      <c r="I199" s="259">
        <f>SUM(I194:I198)</f>
      </c>
      <c r="J199" s="241">
        <f>SUM(J194:J198)</f>
      </c>
      <c r="K199" s="241">
        <f>SUM(K194:K198)</f>
      </c>
      <c r="L199" s="241">
        <f>SUM(L194:L198)</f>
      </c>
      <c r="M199" s="242">
        <f t="shared" si="74"/>
      </c>
      <c r="N199" s="243">
        <f t="shared" si="43"/>
      </c>
      <c r="O199" s="243">
        <f t="shared" si="12"/>
      </c>
      <c r="P199" s="244">
        <f t="shared" si="947"/>
      </c>
      <c r="Q199" s="244">
        <f t="shared" si="916"/>
      </c>
      <c r="R199" s="244">
        <f t="shared" si="885"/>
      </c>
      <c r="S199" s="246">
        <f t="shared" si="854"/>
      </c>
      <c r="T199" s="246">
        <f t="shared" si="792"/>
      </c>
      <c r="U199" s="247">
        <f t="shared" si="761"/>
      </c>
      <c r="V199" s="246">
        <f t="shared" si="823"/>
      </c>
      <c r="W199" s="246">
        <f t="shared" si="730"/>
      </c>
      <c r="X199" s="244">
        <f t="shared" si="699"/>
      </c>
      <c r="Y199" s="241">
        <f>SUM(Y194:Y198)</f>
      </c>
      <c r="Z199" s="241">
        <f>SUM(Z194:Z198)</f>
      </c>
      <c r="AA199" s="241">
        <f>SUM(AA194:AA198)</f>
      </c>
      <c r="AB199" s="241">
        <f>SUM(AB194:AB198)</f>
      </c>
      <c r="AC199" s="241">
        <f>SUM(AC194:AC198)</f>
      </c>
      <c r="AD199" s="246">
        <f t="shared" si="668"/>
      </c>
      <c r="AE199" s="247"/>
      <c r="AF199" s="248"/>
      <c r="AG199" s="241">
        <f>SUM(AG194:AG198)</f>
      </c>
      <c r="AH199" s="241">
        <f>SUM(AH194:AH198)</f>
      </c>
      <c r="AI199" s="241">
        <f>SUM(AI194:AI198)</f>
      </c>
      <c r="AJ199" s="241">
        <f>SUM(AJ194:AJ198)</f>
      </c>
      <c r="AK199" s="241">
        <f>SUM(AK194:AK198)</f>
      </c>
      <c r="AL199" s="241">
        <f>SUM(AL194:AL198)</f>
      </c>
    </row>
    <row r="200">
      <c r="A200" s="216"/>
      <c r="B200" s="217" t="s">
        <v>209</v>
      </c>
      <c r="C200" s="218" t="s">
        <v>201</v>
      </c>
      <c r="D200" s="219">
        <f t="shared" ref="D200:D204" si="465">E200+F200+G200+H200</f>
      </c>
      <c r="E200" s="220">
        <v>1430.58</v>
      </c>
      <c r="F200" s="221">
        <v>1441.97</v>
      </c>
      <c r="G200" s="221">
        <v>2205.88</v>
      </c>
      <c r="H200" s="221">
        <v>0</v>
      </c>
      <c r="I200" s="221">
        <f t="shared" ref="I200:I204" si="352">AB200+AC200</f>
      </c>
      <c r="J200" s="222">
        <v>651.24</v>
      </c>
      <c r="K200" s="223">
        <f t="shared" ref="K200:K204" si="237">I200-J200</f>
      </c>
      <c r="L200" s="223">
        <f t="shared" ref="L200:L204" si="122">(I200-AC200)/12+AC200</f>
      </c>
      <c r="M200" s="224">
        <f t="shared" si="74"/>
      </c>
      <c r="N200" s="225">
        <f t="shared" si="43"/>
      </c>
      <c r="O200" s="226">
        <f t="shared" si="12"/>
      </c>
      <c r="P200" s="227">
        <f t="shared" si="947"/>
      </c>
      <c r="Q200" s="227">
        <f t="shared" si="916"/>
      </c>
      <c r="R200" s="227">
        <f t="shared" si="885"/>
      </c>
      <c r="S200" s="228">
        <f t="shared" si="854"/>
      </c>
      <c r="T200" s="229">
        <f t="shared" si="792"/>
      </c>
      <c r="U200" s="227">
        <f t="shared" si="761"/>
      </c>
      <c r="V200" s="230">
        <f t="shared" si="823"/>
      </c>
      <c r="W200" s="230">
        <f t="shared" si="730"/>
      </c>
      <c r="X200" s="227">
        <f t="shared" si="699"/>
      </c>
      <c r="Y200" s="231">
        <f t="shared" ref="Y200:Y204" si="570">Z200+AA200</f>
      </c>
      <c r="Z200" s="231">
        <v>1</v>
      </c>
      <c r="AA200" s="231">
        <v>3</v>
      </c>
      <c r="AB200" s="232">
        <v>7839.120000000003</v>
      </c>
      <c r="AC200" s="232">
        <v>0</v>
      </c>
      <c r="AD200" s="228">
        <f t="shared" si="668"/>
      </c>
      <c r="AE200" s="233" t="s">
        <v>202</v>
      </c>
      <c r="AF200" s="234" t="s">
        <v>217</v>
      </c>
      <c r="AG200" s="235">
        <v>1</v>
      </c>
      <c r="AH200" s="236">
        <v>50187</v>
      </c>
      <c r="AI200" s="236">
        <v>967</v>
      </c>
      <c r="AJ200" s="236">
        <v>982</v>
      </c>
      <c r="AK200" s="235">
        <v>144</v>
      </c>
      <c r="AL200" s="235">
        <v>173</v>
      </c>
    </row>
    <row r="201">
      <c r="A201" s="216"/>
      <c r="B201" s="217" t="s">
        <v>209</v>
      </c>
      <c r="C201" s="218" t="s">
        <v>204</v>
      </c>
      <c r="D201" s="219">
        <f t="shared" si="465"/>
      </c>
      <c r="E201" s="218">
        <v>1217.43</v>
      </c>
      <c r="F201" s="221">
        <v>276.19</v>
      </c>
      <c r="G201" s="221">
        <v>1929.81</v>
      </c>
      <c r="H201" s="221">
        <v>0</v>
      </c>
      <c r="I201" s="221">
        <f t="shared" si="352"/>
      </c>
      <c r="J201" s="222">
        <v>1993.56</v>
      </c>
      <c r="K201" s="223">
        <f t="shared" si="237"/>
      </c>
      <c r="L201" s="223">
        <f t="shared" si="122"/>
      </c>
      <c r="M201" s="224">
        <f t="shared" si="74"/>
      </c>
      <c r="N201" s="225">
        <f t="shared" si="43"/>
      </c>
      <c r="O201" s="226">
        <f t="shared" si="12"/>
      </c>
      <c r="P201" s="227">
        <f t="shared" si="947"/>
      </c>
      <c r="Q201" s="227">
        <f t="shared" si="916"/>
      </c>
      <c r="R201" s="227">
        <f t="shared" si="885"/>
      </c>
      <c r="S201" s="228">
        <f t="shared" si="854"/>
      </c>
      <c r="T201" s="229">
        <f t="shared" si="792"/>
      </c>
      <c r="U201" s="227">
        <f t="shared" si="761"/>
      </c>
      <c r="V201" s="230">
        <f t="shared" si="823"/>
      </c>
      <c r="W201" s="230">
        <f t="shared" si="730"/>
      </c>
      <c r="X201" s="227">
        <f t="shared" si="699"/>
      </c>
      <c r="Y201" s="231">
        <f t="shared" si="570"/>
      </c>
      <c r="Z201" s="231">
        <v>3</v>
      </c>
      <c r="AA201" s="231">
        <v>5</v>
      </c>
      <c r="AB201" s="232">
        <v>8647.440000000002</v>
      </c>
      <c r="AC201" s="232">
        <v>0</v>
      </c>
      <c r="AD201" s="228">
        <f t="shared" si="668"/>
      </c>
      <c r="AE201" s="233" t="s">
        <v>202</v>
      </c>
      <c r="AF201" s="234" t="s">
        <v>217</v>
      </c>
      <c r="AG201" s="235">
        <v>4</v>
      </c>
      <c r="AH201" s="236">
        <v>33147</v>
      </c>
      <c r="AI201" s="236">
        <v>841</v>
      </c>
      <c r="AJ201" s="236">
        <v>865</v>
      </c>
      <c r="AK201" s="237">
        <v>129</v>
      </c>
      <c r="AL201" s="237">
        <v>135</v>
      </c>
    </row>
    <row r="202">
      <c r="A202" s="216"/>
      <c r="B202" s="217" t="s">
        <v>209</v>
      </c>
      <c r="C202" s="218" t="s">
        <v>205</v>
      </c>
      <c r="D202" s="219">
        <f t="shared" si="465"/>
      </c>
      <c r="E202" s="218">
        <v>1630.93</v>
      </c>
      <c r="F202" s="218">
        <v>2087.7</v>
      </c>
      <c r="G202" s="218">
        <v>2961.01</v>
      </c>
      <c r="H202" s="218">
        <v>0</v>
      </c>
      <c r="I202" s="221">
        <f t="shared" si="352"/>
      </c>
      <c r="J202" s="222">
        <v>0</v>
      </c>
      <c r="K202" s="223">
        <f t="shared" si="237"/>
      </c>
      <c r="L202" s="223">
        <f t="shared" si="122"/>
      </c>
      <c r="M202" s="224">
        <f t="shared" si="74"/>
      </c>
      <c r="N202" s="225">
        <f t="shared" si="43"/>
      </c>
      <c r="O202" s="226">
        <f t="shared" si="12"/>
      </c>
      <c r="P202" s="227">
        <f t="shared" si="947"/>
      </c>
      <c r="Q202" s="227">
        <f t="shared" si="916"/>
      </c>
      <c r="R202" s="227">
        <f t="shared" si="885"/>
      </c>
      <c r="S202" s="228">
        <f t="shared" si="854"/>
      </c>
      <c r="T202" s="229">
        <f t="shared" si="792"/>
      </c>
      <c r="U202" s="227">
        <f t="shared" si="761"/>
      </c>
      <c r="V202" s="230">
        <f t="shared" si="823"/>
      </c>
      <c r="W202" s="230">
        <f t="shared" si="730"/>
      </c>
      <c r="X202" s="227">
        <f t="shared" si="699"/>
      </c>
      <c r="Y202" s="231">
        <f t="shared" si="570"/>
      </c>
      <c r="Z202" s="231">
        <v>4</v>
      </c>
      <c r="AA202" s="231">
        <v>5</v>
      </c>
      <c r="AB202" s="232">
        <v>11909.159999999996</v>
      </c>
      <c r="AC202" s="232">
        <v>0</v>
      </c>
      <c r="AD202" s="228">
        <f t="shared" si="668"/>
      </c>
      <c r="AE202" s="233" t="s">
        <v>202</v>
      </c>
      <c r="AF202" s="234" t="s">
        <v>203</v>
      </c>
      <c r="AG202" s="237">
        <v>4</v>
      </c>
      <c r="AH202" s="236">
        <v>70160</v>
      </c>
      <c r="AI202" s="236">
        <v>1545</v>
      </c>
      <c r="AJ202" s="236">
        <v>1599</v>
      </c>
      <c r="AK202" s="237">
        <v>181</v>
      </c>
      <c r="AL202" s="237">
        <v>208</v>
      </c>
    </row>
    <row r="203">
      <c r="A203" s="216"/>
      <c r="B203" s="217" t="s">
        <v>209</v>
      </c>
      <c r="C203" s="218" t="s">
        <v>206</v>
      </c>
      <c r="D203" s="219">
        <f t="shared" si="465"/>
      </c>
      <c r="E203" s="218">
        <v>1985.71</v>
      </c>
      <c r="F203" s="221">
        <v>2961</v>
      </c>
      <c r="G203" s="221">
        <v>1465.06</v>
      </c>
      <c r="H203" s="221">
        <v>0</v>
      </c>
      <c r="I203" s="221">
        <f t="shared" si="352"/>
      </c>
      <c r="J203" s="222">
        <v>1193.4</v>
      </c>
      <c r="K203" s="223">
        <f t="shared" si="237"/>
      </c>
      <c r="L203" s="223">
        <f t="shared" si="122"/>
      </c>
      <c r="M203" s="224">
        <f t="shared" si="74"/>
      </c>
      <c r="N203" s="225">
        <f t="shared" si="43"/>
      </c>
      <c r="O203" s="226">
        <f t="shared" si="12"/>
      </c>
      <c r="P203" s="227">
        <f t="shared" si="947"/>
      </c>
      <c r="Q203" s="227">
        <f t="shared" si="916"/>
      </c>
      <c r="R203" s="227">
        <f t="shared" si="885"/>
      </c>
      <c r="S203" s="228">
        <f t="shared" si="854"/>
      </c>
      <c r="T203" s="229">
        <f t="shared" si="792"/>
      </c>
      <c r="U203" s="227">
        <f t="shared" si="761"/>
      </c>
      <c r="V203" s="230">
        <f t="shared" si="823"/>
      </c>
      <c r="W203" s="230">
        <f t="shared" si="730"/>
      </c>
      <c r="X203" s="227">
        <f t="shared" si="699"/>
      </c>
      <c r="Y203" s="231">
        <f t="shared" si="570"/>
      </c>
      <c r="Z203" s="231">
        <v>8</v>
      </c>
      <c r="AA203" s="231">
        <v>3</v>
      </c>
      <c r="AB203" s="222">
        <v>5145.120000000003</v>
      </c>
      <c r="AC203" s="232">
        <v>0</v>
      </c>
      <c r="AD203" s="228">
        <f t="shared" si="668"/>
      </c>
      <c r="AE203" s="233" t="s">
        <v>202</v>
      </c>
      <c r="AF203" s="234" t="s">
        <v>203</v>
      </c>
      <c r="AG203" s="235">
        <v>3</v>
      </c>
      <c r="AH203" s="236">
        <v>66535</v>
      </c>
      <c r="AI203" s="236">
        <v>1309</v>
      </c>
      <c r="AJ203" s="236">
        <v>1345</v>
      </c>
      <c r="AK203" s="237">
        <v>181</v>
      </c>
      <c r="AL203" s="237">
        <v>228</v>
      </c>
    </row>
    <row r="204">
      <c r="A204" s="216"/>
      <c r="B204" s="217" t="s">
        <v>209</v>
      </c>
      <c r="C204" s="218" t="s">
        <v>207</v>
      </c>
      <c r="D204" s="219">
        <f t="shared" si="465"/>
      </c>
      <c r="E204" s="218">
        <v>688.13</v>
      </c>
      <c r="F204" s="221">
        <v>1088.49</v>
      </c>
      <c r="G204" s="221">
        <v>2817.03</v>
      </c>
      <c r="H204" s="221">
        <v>0</v>
      </c>
      <c r="I204" s="238">
        <f t="shared" si="352"/>
      </c>
      <c r="J204" s="222">
        <v>2495.88</v>
      </c>
      <c r="K204" s="223">
        <f t="shared" si="237"/>
      </c>
      <c r="L204" s="223">
        <f t="shared" si="122"/>
      </c>
      <c r="M204" s="224">
        <f t="shared" si="74"/>
      </c>
      <c r="N204" s="225">
        <f t="shared" si="43"/>
      </c>
      <c r="O204" s="226">
        <f t="shared" si="12"/>
      </c>
      <c r="P204" s="227">
        <f t="shared" si="947"/>
      </c>
      <c r="Q204" s="227">
        <f t="shared" si="916"/>
      </c>
      <c r="R204" s="227">
        <f t="shared" si="885"/>
      </c>
      <c r="S204" s="228">
        <f t="shared" si="854"/>
      </c>
      <c r="T204" s="229">
        <f t="shared" si="792"/>
      </c>
      <c r="U204" s="227">
        <f t="shared" si="761"/>
      </c>
      <c r="V204" s="230">
        <f t="shared" si="823"/>
      </c>
      <c r="W204" s="230">
        <f t="shared" si="730"/>
      </c>
      <c r="X204" s="227">
        <f t="shared" si="699"/>
      </c>
      <c r="Y204" s="231">
        <f t="shared" si="570"/>
      </c>
      <c r="Z204" s="231">
        <v>4</v>
      </c>
      <c r="AA204" s="231">
        <v>6</v>
      </c>
      <c r="AB204" s="232">
        <v>9207.12000000001</v>
      </c>
      <c r="AC204" s="232">
        <v>0</v>
      </c>
      <c r="AD204" s="228">
        <f t="shared" si="668"/>
      </c>
      <c r="AE204" s="233" t="s">
        <v>202</v>
      </c>
      <c r="AF204" s="234" t="s">
        <v>203</v>
      </c>
      <c r="AG204" s="235">
        <v>3</v>
      </c>
      <c r="AH204" s="236">
        <v>46392</v>
      </c>
      <c r="AI204" s="236">
        <v>1025</v>
      </c>
      <c r="AJ204" s="236">
        <v>1020</v>
      </c>
      <c r="AK204" s="237">
        <v>161</v>
      </c>
      <c r="AL204" s="237">
        <v>176</v>
      </c>
    </row>
    <row r="205">
      <c r="A205" s="216"/>
      <c r="B205" s="239" t="s">
        <v>208</v>
      </c>
      <c r="C205" s="240">
        <v>5</v>
      </c>
      <c r="D205" s="241">
        <f>SUM(D200:D204)</f>
      </c>
      <c r="E205" s="241">
        <f>SUM(E200:E204)</f>
      </c>
      <c r="F205" s="241">
        <f>SUM(F200:F204)</f>
      </c>
      <c r="G205" s="241">
        <f>SUM(G200:G204)</f>
      </c>
      <c r="H205" s="241">
        <f>SUM(H200:H204)</f>
      </c>
      <c r="I205" s="259">
        <f>SUM(I200:I204)</f>
      </c>
      <c r="J205" s="241">
        <f>SUM(J200:J204)</f>
      </c>
      <c r="K205" s="241">
        <f>SUM(K200:K204)</f>
      </c>
      <c r="L205" s="241">
        <f>SUM(L200:L204)</f>
      </c>
      <c r="M205" s="242">
        <f t="shared" si="74"/>
      </c>
      <c r="N205" s="243">
        <f t="shared" si="43"/>
      </c>
      <c r="O205" s="243">
        <f t="shared" si="12"/>
      </c>
      <c r="P205" s="244">
        <f t="shared" si="947"/>
      </c>
      <c r="Q205" s="244">
        <f t="shared" si="916"/>
      </c>
      <c r="R205" s="244">
        <f t="shared" si="885"/>
      </c>
      <c r="S205" s="246">
        <f t="shared" si="854"/>
      </c>
      <c r="T205" s="246">
        <f t="shared" si="792"/>
      </c>
      <c r="U205" s="247">
        <f t="shared" si="761"/>
      </c>
      <c r="V205" s="246">
        <f t="shared" si="823"/>
      </c>
      <c r="W205" s="246">
        <f t="shared" si="730"/>
      </c>
      <c r="X205" s="244">
        <f t="shared" si="699"/>
      </c>
      <c r="Y205" s="241">
        <f>SUM(Y200:Y204)</f>
      </c>
      <c r="Z205" s="241">
        <f>SUM(Z200:Z204)</f>
      </c>
      <c r="AA205" s="241">
        <f>SUM(AA200:AA204)</f>
      </c>
      <c r="AB205" s="241">
        <f>SUM(AB200:AB204)</f>
      </c>
      <c r="AC205" s="241">
        <f>SUM(AC200:AC204)</f>
      </c>
      <c r="AD205" s="246">
        <f t="shared" si="668"/>
      </c>
      <c r="AE205" s="247"/>
      <c r="AF205" s="248"/>
      <c r="AG205" s="241">
        <f>SUM(AG200:AG204)</f>
      </c>
      <c r="AH205" s="241">
        <f>SUM(AH200:AH204)</f>
      </c>
      <c r="AI205" s="241">
        <f>SUM(AI200:AI204)</f>
      </c>
      <c r="AJ205" s="241">
        <f>SUM(AJ200:AJ204)</f>
      </c>
      <c r="AK205" s="241">
        <f>SUM(AK200:AK204)</f>
      </c>
      <c r="AL205" s="241">
        <f>SUM(AL200:AL204)</f>
      </c>
    </row>
    <row r="206">
      <c r="A206" s="216"/>
      <c r="B206" s="217" t="s">
        <v>224</v>
      </c>
      <c r="C206" s="218" t="s">
        <v>210</v>
      </c>
      <c r="D206" s="219">
        <f t="shared" ref="D206:D210" si="466">E206+F206+G206+H206</f>
      </c>
      <c r="E206" s="218">
        <v>292.86</v>
      </c>
      <c r="F206" s="249">
        <v>910.77</v>
      </c>
      <c r="G206" s="221">
        <v>3437.02</v>
      </c>
      <c r="H206" s="221">
        <v>0</v>
      </c>
      <c r="I206" s="250">
        <f t="shared" ref="I206:I210" si="353">AB206+AC206</f>
      </c>
      <c r="J206" s="251">
        <v>1736.64</v>
      </c>
      <c r="K206" s="223">
        <f t="shared" ref="K206:K210" si="238">I206-J206</f>
      </c>
      <c r="L206" s="223">
        <f t="shared" ref="L206:L210" si="123">(I206-AC206)/12+AC206</f>
      </c>
      <c r="M206" s="224">
        <f t="shared" si="74"/>
      </c>
      <c r="N206" s="225">
        <f t="shared" si="43"/>
      </c>
      <c r="O206" s="226">
        <f t="shared" si="12"/>
      </c>
      <c r="P206" s="227">
        <f t="shared" si="947"/>
      </c>
      <c r="Q206" s="227">
        <f t="shared" si="916"/>
      </c>
      <c r="R206" s="227">
        <f t="shared" si="885"/>
      </c>
      <c r="S206" s="228">
        <f t="shared" si="854"/>
      </c>
      <c r="T206" s="229">
        <f t="shared" si="792"/>
      </c>
      <c r="U206" s="227">
        <f t="shared" si="761"/>
      </c>
      <c r="V206" s="230">
        <f t="shared" si="823"/>
      </c>
      <c r="W206" s="230">
        <f t="shared" si="730"/>
      </c>
      <c r="X206" s="227">
        <f t="shared" si="699"/>
      </c>
      <c r="Y206" s="231">
        <f t="shared" ref="Y206:Y210" si="571">Z206+AA206</f>
      </c>
      <c r="Z206" s="231">
        <v>0</v>
      </c>
      <c r="AA206" s="231">
        <v>4</v>
      </c>
      <c r="AB206" s="232">
        <v>5093.279999999984</v>
      </c>
      <c r="AC206" s="232">
        <v>0</v>
      </c>
      <c r="AD206" s="228">
        <f t="shared" si="668"/>
      </c>
      <c r="AE206" s="233" t="s">
        <v>202</v>
      </c>
      <c r="AF206" s="234" t="s">
        <v>203</v>
      </c>
      <c r="AG206" s="235">
        <v>5</v>
      </c>
      <c r="AH206" s="236">
        <v>46939</v>
      </c>
      <c r="AI206" s="236">
        <v>822</v>
      </c>
      <c r="AJ206" s="236">
        <v>837</v>
      </c>
      <c r="AK206" s="237">
        <v>124</v>
      </c>
      <c r="AL206" s="237">
        <v>148</v>
      </c>
    </row>
    <row r="207">
      <c r="A207" s="216"/>
      <c r="B207" s="217" t="s">
        <v>224</v>
      </c>
      <c r="C207" s="252" t="s">
        <v>211</v>
      </c>
      <c r="D207" s="219">
        <f t="shared" si="466"/>
      </c>
      <c r="E207" s="218">
        <v>247.11</v>
      </c>
      <c r="F207" s="249">
        <v>1286.99</v>
      </c>
      <c r="G207" s="221">
        <v>4249.34</v>
      </c>
      <c r="H207" s="221">
        <v>0</v>
      </c>
      <c r="I207" s="250">
        <f t="shared" si="353"/>
      </c>
      <c r="J207" s="251">
        <v>685.8</v>
      </c>
      <c r="K207" s="223">
        <f t="shared" si="238"/>
      </c>
      <c r="L207" s="223">
        <f t="shared" si="123"/>
      </c>
      <c r="M207" s="224">
        <f t="shared" si="74"/>
      </c>
      <c r="N207" s="225">
        <f t="shared" si="43"/>
      </c>
      <c r="O207" s="226">
        <f t="shared" si="12"/>
      </c>
      <c r="P207" s="227">
        <f t="shared" si="947"/>
      </c>
      <c r="Q207" s="227">
        <f t="shared" si="916"/>
      </c>
      <c r="R207" s="227">
        <f t="shared" si="885"/>
      </c>
      <c r="S207" s="228">
        <f t="shared" si="854"/>
      </c>
      <c r="T207" s="229">
        <f t="shared" si="792"/>
      </c>
      <c r="U207" s="227">
        <f t="shared" si="761"/>
      </c>
      <c r="V207" s="230">
        <f t="shared" si="823"/>
      </c>
      <c r="W207" s="230">
        <f t="shared" si="730"/>
      </c>
      <c r="X207" s="227">
        <f t="shared" si="699"/>
      </c>
      <c r="Y207" s="231">
        <f t="shared" si="571"/>
      </c>
      <c r="Z207" s="231">
        <v>2</v>
      </c>
      <c r="AA207" s="231">
        <v>6</v>
      </c>
      <c r="AB207" s="232">
        <v>14090.880000000005</v>
      </c>
      <c r="AC207" s="232">
        <v>0</v>
      </c>
      <c r="AD207" s="228">
        <f t="shared" si="668"/>
      </c>
      <c r="AE207" s="233" t="s">
        <v>202</v>
      </c>
      <c r="AF207" s="234" t="s">
        <v>203</v>
      </c>
      <c r="AG207" s="235">
        <v>4</v>
      </c>
      <c r="AH207" s="236">
        <v>50431</v>
      </c>
      <c r="AI207" s="236">
        <v>1152</v>
      </c>
      <c r="AJ207" s="236">
        <v>1156</v>
      </c>
      <c r="AK207" s="237">
        <v>160</v>
      </c>
      <c r="AL207" s="237">
        <v>174</v>
      </c>
    </row>
    <row r="208">
      <c r="A208" s="216"/>
      <c r="B208" s="217" t="s">
        <v>224</v>
      </c>
      <c r="C208" s="252" t="s">
        <v>212</v>
      </c>
      <c r="D208" s="219">
        <f t="shared" si="466"/>
      </c>
      <c r="E208" s="218">
        <v>270.66</v>
      </c>
      <c r="F208" s="249">
        <v>4180.32</v>
      </c>
      <c r="G208" s="218">
        <v>4154.22</v>
      </c>
      <c r="H208" s="218">
        <v>0</v>
      </c>
      <c r="I208" s="250">
        <f t="shared" si="353"/>
      </c>
      <c r="J208" s="251">
        <v>630.72</v>
      </c>
      <c r="K208" s="223">
        <f t="shared" si="238"/>
      </c>
      <c r="L208" s="223">
        <f t="shared" si="123"/>
      </c>
      <c r="M208" s="224">
        <f t="shared" si="74"/>
      </c>
      <c r="N208" s="225">
        <f t="shared" si="43"/>
      </c>
      <c r="O208" s="226">
        <f t="shared" si="12"/>
      </c>
      <c r="P208" s="227">
        <f t="shared" si="947"/>
      </c>
      <c r="Q208" s="227">
        <f t="shared" si="916"/>
      </c>
      <c r="R208" s="227">
        <f t="shared" si="885"/>
      </c>
      <c r="S208" s="228">
        <f t="shared" si="854"/>
      </c>
      <c r="T208" s="229">
        <f t="shared" si="792"/>
      </c>
      <c r="U208" s="227">
        <f t="shared" si="761"/>
      </c>
      <c r="V208" s="230">
        <f t="shared" si="823"/>
      </c>
      <c r="W208" s="230">
        <f t="shared" si="730"/>
      </c>
      <c r="X208" s="227">
        <f t="shared" si="699"/>
      </c>
      <c r="Y208" s="231">
        <f t="shared" si="571"/>
      </c>
      <c r="Z208" s="231">
        <v>2</v>
      </c>
      <c r="AA208" s="231">
        <v>4</v>
      </c>
      <c r="AB208" s="232">
        <v>4729.320000000007</v>
      </c>
      <c r="AC208" s="232">
        <v>1161</v>
      </c>
      <c r="AD208" s="228">
        <f t="shared" si="668"/>
      </c>
      <c r="AE208" s="233" t="s">
        <v>202</v>
      </c>
      <c r="AF208" s="234" t="s">
        <v>203</v>
      </c>
      <c r="AG208" s="237">
        <v>4</v>
      </c>
      <c r="AH208" s="236">
        <v>81957</v>
      </c>
      <c r="AI208" s="236">
        <v>2021</v>
      </c>
      <c r="AJ208" s="236">
        <v>2030</v>
      </c>
      <c r="AK208" s="237">
        <v>186</v>
      </c>
      <c r="AL208" s="237">
        <v>217</v>
      </c>
    </row>
    <row r="209">
      <c r="A209" s="216"/>
      <c r="B209" s="217" t="s">
        <v>224</v>
      </c>
      <c r="C209" s="218" t="s">
        <v>213</v>
      </c>
      <c r="D209" s="219">
        <f t="shared" si="466"/>
      </c>
      <c r="E209" s="218">
        <v>513.28</v>
      </c>
      <c r="F209" s="249">
        <v>7625.64</v>
      </c>
      <c r="G209" s="221">
        <v>3246.86</v>
      </c>
      <c r="H209" s="221">
        <v>0</v>
      </c>
      <c r="I209" s="250">
        <f t="shared" si="353"/>
      </c>
      <c r="J209" s="251">
        <v>0</v>
      </c>
      <c r="K209" s="223">
        <f t="shared" si="238"/>
      </c>
      <c r="L209" s="223">
        <f t="shared" si="123"/>
      </c>
      <c r="M209" s="224">
        <f t="shared" si="74"/>
      </c>
      <c r="N209" s="225">
        <f t="shared" si="43"/>
      </c>
      <c r="O209" s="226">
        <f t="shared" si="12"/>
      </c>
      <c r="P209" s="227">
        <f t="shared" si="947"/>
      </c>
      <c r="Q209" s="227">
        <f t="shared" si="916"/>
      </c>
      <c r="R209" s="227">
        <f t="shared" si="885"/>
      </c>
      <c r="S209" s="228">
        <f t="shared" si="854"/>
      </c>
      <c r="T209" s="229">
        <f t="shared" si="792"/>
      </c>
      <c r="U209" s="227">
        <f t="shared" si="761"/>
      </c>
      <c r="V209" s="230">
        <f t="shared" si="823"/>
      </c>
      <c r="W209" s="230">
        <f t="shared" si="730"/>
      </c>
      <c r="X209" s="227">
        <f t="shared" si="699"/>
      </c>
      <c r="Y209" s="231">
        <f t="shared" si="571"/>
      </c>
      <c r="Z209" s="231">
        <v>4</v>
      </c>
      <c r="AA209" s="231">
        <v>11</v>
      </c>
      <c r="AB209" s="222">
        <v>11108.279999999999</v>
      </c>
      <c r="AC209" s="232">
        <v>4008</v>
      </c>
      <c r="AD209" s="228">
        <f t="shared" si="668"/>
      </c>
      <c r="AE209" s="233" t="s">
        <v>202</v>
      </c>
      <c r="AF209" s="234" t="s">
        <v>203</v>
      </c>
      <c r="AG209" s="235">
        <v>11</v>
      </c>
      <c r="AH209" s="236">
        <v>131754</v>
      </c>
      <c r="AI209" s="236">
        <v>3770</v>
      </c>
      <c r="AJ209" s="236">
        <v>3800</v>
      </c>
      <c r="AK209" s="237">
        <v>307</v>
      </c>
      <c r="AL209" s="237">
        <v>334</v>
      </c>
    </row>
    <row r="210">
      <c r="A210" s="216"/>
      <c r="B210" s="217" t="s">
        <v>224</v>
      </c>
      <c r="C210" s="252" t="s">
        <v>214</v>
      </c>
      <c r="D210" s="219">
        <f t="shared" si="466"/>
      </c>
      <c r="E210" s="218">
        <v>501.62</v>
      </c>
      <c r="F210" s="249">
        <v>4335</v>
      </c>
      <c r="G210" s="221">
        <v>952.14</v>
      </c>
      <c r="H210" s="221">
        <v>0</v>
      </c>
      <c r="I210" s="250">
        <f t="shared" si="353"/>
      </c>
      <c r="J210" s="251">
        <v>0</v>
      </c>
      <c r="K210" s="223">
        <f t="shared" si="238"/>
      </c>
      <c r="L210" s="223">
        <f t="shared" si="123"/>
      </c>
      <c r="M210" s="224">
        <f t="shared" si="74"/>
      </c>
      <c r="N210" s="225">
        <f t="shared" si="43"/>
      </c>
      <c r="O210" s="226">
        <f t="shared" si="12"/>
      </c>
      <c r="P210" s="227">
        <f t="shared" si="947"/>
      </c>
      <c r="Q210" s="227">
        <f t="shared" si="916"/>
      </c>
      <c r="R210" s="227">
        <f t="shared" si="885"/>
      </c>
      <c r="S210" s="228">
        <f t="shared" si="854"/>
      </c>
      <c r="T210" s="229">
        <f t="shared" si="792"/>
      </c>
      <c r="U210" s="227">
        <f t="shared" si="761"/>
      </c>
      <c r="V210" s="230">
        <f t="shared" si="823"/>
      </c>
      <c r="W210" s="230">
        <f t="shared" si="730"/>
      </c>
      <c r="X210" s="227">
        <f t="shared" si="699"/>
      </c>
      <c r="Y210" s="231">
        <f t="shared" si="571"/>
      </c>
      <c r="Z210" s="231">
        <v>2</v>
      </c>
      <c r="AA210" s="231">
        <v>5</v>
      </c>
      <c r="AB210" s="232">
        <v>12824.87999999999</v>
      </c>
      <c r="AC210" s="232">
        <v>0</v>
      </c>
      <c r="AD210" s="228">
        <f t="shared" si="668"/>
      </c>
      <c r="AE210" s="233" t="s">
        <v>202</v>
      </c>
      <c r="AF210" s="234" t="s">
        <v>203</v>
      </c>
      <c r="AG210" s="235">
        <v>5</v>
      </c>
      <c r="AH210" s="236">
        <v>84768</v>
      </c>
      <c r="AI210" s="236">
        <v>1965</v>
      </c>
      <c r="AJ210" s="236">
        <v>2012</v>
      </c>
      <c r="AK210" s="237">
        <v>195</v>
      </c>
      <c r="AL210" s="237">
        <v>207</v>
      </c>
    </row>
    <row r="211">
      <c r="A211" s="216"/>
      <c r="B211" s="239" t="s">
        <v>208</v>
      </c>
      <c r="C211" s="240">
        <v>5</v>
      </c>
      <c r="D211" s="241">
        <f>SUM(D206:D210)</f>
      </c>
      <c r="E211" s="241">
        <f>SUM(E206:E210)</f>
      </c>
      <c r="F211" s="241">
        <f>SUM(F206:F210)</f>
      </c>
      <c r="G211" s="241">
        <f>SUM(G206:G210)</f>
      </c>
      <c r="H211" s="241">
        <f>SUM(H206:H210)</f>
      </c>
      <c r="I211" s="260">
        <f>SUM(I206:I210)</f>
      </c>
      <c r="J211" s="241">
        <f>SUM(J206:J210)</f>
      </c>
      <c r="K211" s="241">
        <f>SUM(K206:K210)</f>
      </c>
      <c r="L211" s="241">
        <f>SUM(L206:L210)</f>
      </c>
      <c r="M211" s="242">
        <f t="shared" si="74"/>
      </c>
      <c r="N211" s="243">
        <f t="shared" si="43"/>
      </c>
      <c r="O211" s="243">
        <f t="shared" si="12"/>
      </c>
      <c r="P211" s="244">
        <f t="shared" si="947"/>
      </c>
      <c r="Q211" s="244">
        <f t="shared" si="916"/>
      </c>
      <c r="R211" s="244">
        <f t="shared" si="885"/>
      </c>
      <c r="S211" s="246">
        <f t="shared" si="854"/>
      </c>
      <c r="T211" s="246">
        <f t="shared" si="792"/>
      </c>
      <c r="U211" s="247">
        <f t="shared" si="761"/>
      </c>
      <c r="V211" s="246">
        <f t="shared" si="823"/>
      </c>
      <c r="W211" s="246">
        <f t="shared" si="730"/>
      </c>
      <c r="X211" s="244">
        <f t="shared" si="699"/>
      </c>
      <c r="Y211" s="241">
        <f>SUM(Y206:Y210)</f>
      </c>
      <c r="Z211" s="241">
        <f>SUM(Z206:Z210)</f>
      </c>
      <c r="AA211" s="241">
        <f>SUM(AA206:AA210)</f>
      </c>
      <c r="AB211" s="241">
        <f>SUM(AB206:AB210)</f>
      </c>
      <c r="AC211" s="241">
        <f>SUM(AC206:AC210)</f>
      </c>
      <c r="AD211" s="246">
        <f t="shared" si="668"/>
      </c>
      <c r="AE211" s="247"/>
      <c r="AF211" s="248"/>
      <c r="AG211" s="241">
        <f>SUM(AG206:AG210)</f>
      </c>
      <c r="AH211" s="241">
        <f>SUM(AH206:AH210)</f>
      </c>
      <c r="AI211" s="241">
        <f>SUM(AI206:AI210)</f>
      </c>
      <c r="AJ211" s="241">
        <f>SUM(AJ206:AJ210)</f>
      </c>
      <c r="AK211" s="241">
        <f>SUM(AK206:AK210)</f>
      </c>
      <c r="AL211" s="241">
        <f>SUM(AL206:AL210)</f>
      </c>
    </row>
    <row r="212">
      <c r="A212" s="216"/>
      <c r="B212" s="253" t="s">
        <v>208</v>
      </c>
      <c r="C212" s="254">
        <f>C199+C205+C211</f>
      </c>
      <c r="D212" s="254">
        <f>D199+D205+D211</f>
      </c>
      <c r="E212" s="254">
        <f>E199+E205+E211</f>
      </c>
      <c r="F212" s="254">
        <f>F199+F205+F211</f>
      </c>
      <c r="G212" s="254">
        <f>G199+G205+G211</f>
      </c>
      <c r="H212" s="254">
        <f>H199+H205+H211</f>
      </c>
      <c r="I212" s="254">
        <f>I199+I205+I211</f>
      </c>
      <c r="J212" s="254">
        <f>J199+J205+J211</f>
      </c>
      <c r="K212" s="254">
        <f>K199+K205+K211</f>
      </c>
      <c r="L212" s="254">
        <f>L199+L205+L211</f>
      </c>
      <c r="M212" s="256">
        <f t="shared" si="74"/>
      </c>
      <c r="N212" s="256">
        <f t="shared" si="43"/>
      </c>
      <c r="O212" s="256">
        <f t="shared" si="12"/>
      </c>
      <c r="P212" s="256">
        <f t="shared" si="947"/>
      </c>
      <c r="Q212" s="256">
        <f t="shared" si="916"/>
      </c>
      <c r="R212" s="256">
        <f t="shared" si="885"/>
      </c>
      <c r="S212" s="257">
        <f t="shared" si="854"/>
      </c>
      <c r="T212" s="257">
        <f t="shared" si="792"/>
      </c>
      <c r="U212" s="264">
        <f t="shared" si="761"/>
      </c>
      <c r="V212" s="257">
        <f t="shared" si="823"/>
      </c>
      <c r="W212" s="257">
        <f t="shared" si="730"/>
      </c>
      <c r="X212" s="256">
        <f t="shared" si="699"/>
      </c>
      <c r="Y212" s="255">
        <f>Y199+Y205+Y211</f>
      </c>
      <c r="Z212" s="255">
        <f>Z199+Z205+Z211</f>
      </c>
      <c r="AA212" s="255">
        <f>AA199+AA205+AA211</f>
      </c>
      <c r="AB212" s="255">
        <f>AB199+AB205+AB211</f>
      </c>
      <c r="AC212" s="255">
        <f>AC199+AC205+AC211</f>
      </c>
      <c r="AD212" s="258">
        <f t="shared" si="668"/>
      </c>
      <c r="AE212" s="253"/>
      <c r="AF212" s="253"/>
      <c r="AG212" s="255">
        <f>AG199+AG205+AG211</f>
      </c>
      <c r="AH212" s="255">
        <f>AH199+AH205+AH211</f>
      </c>
      <c r="AI212" s="255">
        <f>AI199+AI205+AI211</f>
      </c>
      <c r="AJ212" s="255">
        <f>AJ199+AJ205+AJ211</f>
      </c>
      <c r="AK212" s="255">
        <f>AK199+AK205+AK211</f>
      </c>
      <c r="AL212" s="255">
        <f>AL199+AL205+AL211</f>
      </c>
    </row>
    <row r="213">
      <c r="A213" s="202" t="s">
        <v>162</v>
      </c>
      <c r="B213" s="203" t="s">
        <v>163</v>
      </c>
      <c r="C213" s="203" t="s">
        <v>164</v>
      </c>
      <c r="D213" s="204" t="s">
        <v>165</v>
      </c>
      <c r="E213" s="203" t="s">
        <v>166</v>
      </c>
      <c r="F213" s="203" t="s">
        <v>167</v>
      </c>
      <c r="G213" s="205" t="s">
        <v>168</v>
      </c>
      <c r="H213" s="205" t="s">
        <v>169</v>
      </c>
      <c r="I213" s="204" t="s">
        <v>170</v>
      </c>
      <c r="J213" s="206" t="s">
        <v>171</v>
      </c>
      <c r="K213" s="207" t="s">
        <v>172</v>
      </c>
      <c r="L213" s="207" t="s">
        <v>173</v>
      </c>
      <c r="M213" s="208" t="s">
        <v>174</v>
      </c>
      <c r="N213" s="207" t="s">
        <v>175</v>
      </c>
      <c r="O213" s="203" t="s">
        <v>176</v>
      </c>
      <c r="P213" s="208" t="s">
        <v>177</v>
      </c>
      <c r="Q213" s="209" t="s">
        <v>178</v>
      </c>
      <c r="R213" s="209" t="s">
        <v>179</v>
      </c>
      <c r="S213" s="204" t="s">
        <v>180</v>
      </c>
      <c r="T213" s="210" t="s">
        <v>181</v>
      </c>
      <c r="U213" s="208" t="s">
        <v>182</v>
      </c>
      <c r="V213" s="211" t="s">
        <v>183</v>
      </c>
      <c r="W213" s="212" t="s">
        <v>184</v>
      </c>
      <c r="X213" s="208" t="s">
        <v>185</v>
      </c>
      <c r="Y213" s="213" t="s">
        <v>186</v>
      </c>
      <c r="Z213" s="214" t="s">
        <v>187</v>
      </c>
      <c r="AA213" s="213" t="s">
        <v>188</v>
      </c>
      <c r="AB213" s="215" t="s">
        <v>189</v>
      </c>
      <c r="AC213" s="215" t="s">
        <v>190</v>
      </c>
      <c r="AD213" s="207" t="s">
        <v>191</v>
      </c>
      <c r="AE213" s="206" t="s">
        <v>192</v>
      </c>
      <c r="AF213" s="207" t="s">
        <v>193</v>
      </c>
      <c r="AG213" s="206" t="s">
        <v>194</v>
      </c>
      <c r="AH213" s="206" t="s">
        <v>195</v>
      </c>
      <c r="AI213" s="207" t="s">
        <v>196</v>
      </c>
      <c r="AJ213" s="206" t="s">
        <v>197</v>
      </c>
      <c r="AK213" s="207" t="s">
        <v>198</v>
      </c>
      <c r="AL213" s="206" t="s">
        <v>199</v>
      </c>
    </row>
    <row r="214">
      <c r="A214" s="216">
        <v>46248</v>
      </c>
      <c r="B214" s="217" t="s">
        <v>200</v>
      </c>
      <c r="C214" s="218" t="s">
        <v>216</v>
      </c>
      <c r="D214" s="219">
        <f t="shared" ref="D214:D218" si="467">E214+F214+G214+H214</f>
      </c>
      <c r="E214" s="220">
        <v>1536.11</v>
      </c>
      <c r="F214" s="221">
        <v>2000</v>
      </c>
      <c r="G214" s="221">
        <v>1708.77</v>
      </c>
      <c r="H214" s="221">
        <v>0</v>
      </c>
      <c r="I214" s="221">
        <f t="shared" ref="I214:I218" si="354">AB214+AC214</f>
      </c>
      <c r="J214" s="222">
        <v>0</v>
      </c>
      <c r="K214" s="223">
        <f t="shared" ref="K214:K218" si="239">I214-J214</f>
      </c>
      <c r="L214" s="223">
        <f t="shared" ref="L214:L218" si="124">(I214-AC214)/12+AC214</f>
      </c>
      <c r="M214" s="224">
        <f t="shared" ref="M214:M233" si="75">I214/D214</f>
      </c>
      <c r="N214" s="225">
        <f t="shared" ref="N214:N233" si="44">(I214-J214)/D214</f>
      </c>
      <c r="O214" s="226">
        <f t="shared" ref="O214:O233" si="13">(AC214+AB214/12)/D214</f>
      </c>
      <c r="P214" s="227">
        <f t="shared" ref="P214:P233" si="948">I214/AA214</f>
      </c>
      <c r="Q214" s="227">
        <f t="shared" ref="Q214:Q233" si="917">D214/AA214</f>
      </c>
      <c r="R214" s="227">
        <f t="shared" ref="R214:R233" si="886">D214/AG214</f>
      </c>
      <c r="S214" s="228">
        <f t="shared" ref="S214:S233" si="855">AA214/Y214</f>
      </c>
      <c r="T214" s="229">
        <f t="shared" ref="T214:T233" si="793">AI214/AH214</f>
      </c>
      <c r="U214" s="227">
        <f t="shared" ref="U214:U233" si="762">D214/AJ214</f>
      </c>
      <c r="V214" s="230">
        <f t="shared" ref="V214:V233" si="824">AK214/AJ214</f>
      </c>
      <c r="W214" s="230">
        <f t="shared" ref="W214:W233" si="731">AL214/AJ214</f>
      </c>
      <c r="X214" s="227">
        <f t="shared" ref="X214:X233" si="700">D214/AL214</f>
      </c>
      <c r="Y214" s="231">
        <f t="shared" ref="Y214:Y218" si="572">Z214+AA214</f>
      </c>
      <c r="Z214" s="231">
        <v>2</v>
      </c>
      <c r="AA214" s="231">
        <v>2</v>
      </c>
      <c r="AB214" s="232">
        <v>1325.16</v>
      </c>
      <c r="AC214" s="232">
        <v>0</v>
      </c>
      <c r="AD214" s="228">
        <f t="shared" ref="AD214:AD233" si="669">AC214/I214</f>
      </c>
      <c r="AE214" s="233" t="s">
        <v>202</v>
      </c>
      <c r="AF214" s="234" t="s">
        <v>217</v>
      </c>
      <c r="AG214" s="235">
        <v>1</v>
      </c>
      <c r="AH214" s="235">
        <v>42794</v>
      </c>
      <c r="AI214" s="236">
        <v>994</v>
      </c>
      <c r="AJ214" s="236">
        <v>1016</v>
      </c>
      <c r="AK214" s="235">
        <v>132</v>
      </c>
      <c r="AL214" s="237">
        <v>137</v>
      </c>
    </row>
    <row r="215">
      <c r="A215" s="216"/>
      <c r="B215" s="217" t="s">
        <v>200</v>
      </c>
      <c r="C215" s="218" t="s">
        <v>218</v>
      </c>
      <c r="D215" s="219">
        <f t="shared" si="467"/>
      </c>
      <c r="E215" s="218">
        <v>1424.43</v>
      </c>
      <c r="F215" s="221">
        <v>1801.06</v>
      </c>
      <c r="G215" s="221">
        <v>897.88</v>
      </c>
      <c r="H215" s="221">
        <v>0</v>
      </c>
      <c r="I215" s="221">
        <f t="shared" si="354"/>
      </c>
      <c r="J215" s="222">
        <v>0</v>
      </c>
      <c r="K215" s="223">
        <f t="shared" si="239"/>
      </c>
      <c r="L215" s="223">
        <f t="shared" si="124"/>
      </c>
      <c r="M215" s="224">
        <f t="shared" si="75"/>
      </c>
      <c r="N215" s="225">
        <f t="shared" si="44"/>
      </c>
      <c r="O215" s="226">
        <f t="shared" si="13"/>
      </c>
      <c r="P215" s="227">
        <f t="shared" si="948"/>
      </c>
      <c r="Q215" s="227">
        <f t="shared" si="917"/>
      </c>
      <c r="R215" s="227">
        <f t="shared" si="886"/>
      </c>
      <c r="S215" s="228">
        <f t="shared" si="855"/>
      </c>
      <c r="T215" s="229">
        <f t="shared" si="793"/>
      </c>
      <c r="U215" s="227">
        <f t="shared" si="762"/>
      </c>
      <c r="V215" s="230">
        <f t="shared" si="824"/>
      </c>
      <c r="W215" s="230">
        <f t="shared" si="731"/>
      </c>
      <c r="X215" s="227">
        <f t="shared" si="700"/>
      </c>
      <c r="Y215" s="231">
        <f t="shared" si="572"/>
      </c>
      <c r="Z215" s="231">
        <v>2</v>
      </c>
      <c r="AA215" s="231">
        <v>0</v>
      </c>
      <c r="AB215" s="232">
        <v>0</v>
      </c>
      <c r="AC215" s="232">
        <v>0</v>
      </c>
      <c r="AD215" s="228">
        <f t="shared" si="669"/>
      </c>
      <c r="AE215" s="233" t="s">
        <v>202</v>
      </c>
      <c r="AF215" s="234" t="s">
        <v>217</v>
      </c>
      <c r="AG215" s="235">
        <v>0</v>
      </c>
      <c r="AH215" s="236">
        <v>31465</v>
      </c>
      <c r="AI215" s="236">
        <v>815</v>
      </c>
      <c r="AJ215" s="236">
        <v>845</v>
      </c>
      <c r="AK215" s="237">
        <v>117</v>
      </c>
      <c r="AL215" s="237">
        <v>132</v>
      </c>
    </row>
    <row r="216">
      <c r="A216" s="216"/>
      <c r="B216" s="217" t="s">
        <v>200</v>
      </c>
      <c r="C216" s="218" t="s">
        <v>219</v>
      </c>
      <c r="D216" s="219">
        <f t="shared" si="467"/>
      </c>
      <c r="E216" s="218">
        <v>21.76</v>
      </c>
      <c r="F216" s="218">
        <v>2125.3</v>
      </c>
      <c r="G216" s="218">
        <v>595.05</v>
      </c>
      <c r="H216" s="218">
        <v>0</v>
      </c>
      <c r="I216" s="221">
        <f t="shared" si="354"/>
      </c>
      <c r="J216" s="222">
        <v>0</v>
      </c>
      <c r="K216" s="223">
        <f t="shared" si="239"/>
      </c>
      <c r="L216" s="223">
        <f t="shared" si="124"/>
      </c>
      <c r="M216" s="224">
        <f t="shared" si="75"/>
      </c>
      <c r="N216" s="225">
        <f t="shared" si="44"/>
      </c>
      <c r="O216" s="226">
        <f t="shared" si="13"/>
      </c>
      <c r="P216" s="227">
        <f t="shared" si="948"/>
      </c>
      <c r="Q216" s="227">
        <f t="shared" si="917"/>
      </c>
      <c r="R216" s="227">
        <f t="shared" si="886"/>
      </c>
      <c r="S216" s="228">
        <f t="shared" si="855"/>
      </c>
      <c r="T216" s="229">
        <f t="shared" si="793"/>
      </c>
      <c r="U216" s="227">
        <f t="shared" si="762"/>
      </c>
      <c r="V216" s="230">
        <f t="shared" si="824"/>
      </c>
      <c r="W216" s="230">
        <f t="shared" si="731"/>
      </c>
      <c r="X216" s="227">
        <f t="shared" si="700"/>
      </c>
      <c r="Y216" s="231">
        <f t="shared" si="572"/>
      </c>
      <c r="Z216" s="231">
        <v>2</v>
      </c>
      <c r="AA216" s="231">
        <v>0</v>
      </c>
      <c r="AB216" s="232">
        <v>0</v>
      </c>
      <c r="AC216" s="232">
        <v>0</v>
      </c>
      <c r="AD216" s="228">
        <f t="shared" si="669"/>
      </c>
      <c r="AE216" s="233" t="s">
        <v>202</v>
      </c>
      <c r="AF216" s="234" t="s">
        <v>217</v>
      </c>
      <c r="AG216" s="237">
        <v>0</v>
      </c>
      <c r="AH216" s="236">
        <v>21454</v>
      </c>
      <c r="AI216" s="236">
        <v>338</v>
      </c>
      <c r="AJ216" s="236">
        <v>323</v>
      </c>
      <c r="AK216" s="237">
        <v>57</v>
      </c>
      <c r="AL216" s="237">
        <v>70</v>
      </c>
    </row>
    <row r="217">
      <c r="A217" s="216"/>
      <c r="B217" s="217" t="s">
        <v>200</v>
      </c>
      <c r="C217" s="218" t="s">
        <v>220</v>
      </c>
      <c r="D217" s="219">
        <f t="shared" si="467"/>
      </c>
      <c r="E217" s="218">
        <v>600.15</v>
      </c>
      <c r="F217" s="221">
        <v>1928.91</v>
      </c>
      <c r="G217" s="221">
        <v>516.47</v>
      </c>
      <c r="H217" s="221">
        <v>0</v>
      </c>
      <c r="I217" s="221">
        <f t="shared" si="354"/>
      </c>
      <c r="J217" s="222">
        <v>6255.36</v>
      </c>
      <c r="K217" s="223">
        <f t="shared" si="239"/>
      </c>
      <c r="L217" s="223">
        <f t="shared" si="124"/>
      </c>
      <c r="M217" s="224">
        <f t="shared" si="75"/>
      </c>
      <c r="N217" s="225">
        <f t="shared" si="44"/>
      </c>
      <c r="O217" s="226">
        <f t="shared" si="13"/>
      </c>
      <c r="P217" s="227">
        <f t="shared" si="948"/>
      </c>
      <c r="Q217" s="227">
        <f t="shared" si="917"/>
      </c>
      <c r="R217" s="227">
        <f t="shared" si="886"/>
      </c>
      <c r="S217" s="228">
        <f t="shared" si="855"/>
      </c>
      <c r="T217" s="229">
        <f t="shared" si="793"/>
      </c>
      <c r="U217" s="227">
        <f t="shared" si="762"/>
      </c>
      <c r="V217" s="230">
        <f t="shared" si="824"/>
      </c>
      <c r="W217" s="230">
        <f t="shared" si="731"/>
      </c>
      <c r="X217" s="227">
        <f t="shared" si="700"/>
      </c>
      <c r="Y217" s="231">
        <f t="shared" si="572"/>
      </c>
      <c r="Z217" s="231">
        <v>4</v>
      </c>
      <c r="AA217" s="231">
        <v>5</v>
      </c>
      <c r="AB217" s="222">
        <v>11767.68</v>
      </c>
      <c r="AC217" s="232">
        <v>0</v>
      </c>
      <c r="AD217" s="228">
        <f t="shared" si="669"/>
      </c>
      <c r="AE217" s="233" t="s">
        <v>202</v>
      </c>
      <c r="AF217" s="234" t="s">
        <v>217</v>
      </c>
      <c r="AG217" s="235">
        <v>4</v>
      </c>
      <c r="AH217" s="236">
        <v>18554</v>
      </c>
      <c r="AI217" s="236">
        <v>775</v>
      </c>
      <c r="AJ217" s="236">
        <v>809</v>
      </c>
      <c r="AK217" s="237">
        <v>89</v>
      </c>
      <c r="AL217" s="237">
        <v>103</v>
      </c>
    </row>
    <row r="218">
      <c r="A218" s="216"/>
      <c r="B218" s="217" t="s">
        <v>200</v>
      </c>
      <c r="C218" s="218" t="s">
        <v>221</v>
      </c>
      <c r="D218" s="219">
        <f t="shared" si="467"/>
      </c>
      <c r="E218" s="218">
        <v>566.76</v>
      </c>
      <c r="F218" s="221">
        <v>2869.39</v>
      </c>
      <c r="G218" s="221">
        <v>95.61</v>
      </c>
      <c r="H218" s="221">
        <v>0</v>
      </c>
      <c r="I218" s="238">
        <f t="shared" si="354"/>
      </c>
      <c r="J218" s="222">
        <v>0</v>
      </c>
      <c r="K218" s="223">
        <f t="shared" si="239"/>
      </c>
      <c r="L218" s="223">
        <f t="shared" si="124"/>
      </c>
      <c r="M218" s="224">
        <f t="shared" si="75"/>
      </c>
      <c r="N218" s="225">
        <f t="shared" si="44"/>
      </c>
      <c r="O218" s="226">
        <f t="shared" si="13"/>
      </c>
      <c r="P218" s="227">
        <f t="shared" si="948"/>
      </c>
      <c r="Q218" s="227">
        <f t="shared" si="917"/>
      </c>
      <c r="R218" s="227">
        <f t="shared" si="886"/>
      </c>
      <c r="S218" s="228">
        <f t="shared" si="855"/>
      </c>
      <c r="T218" s="229">
        <f t="shared" si="793"/>
      </c>
      <c r="U218" s="227">
        <f t="shared" si="762"/>
      </c>
      <c r="V218" s="230">
        <f t="shared" si="824"/>
      </c>
      <c r="W218" s="230">
        <f t="shared" si="731"/>
      </c>
      <c r="X218" s="227">
        <f t="shared" si="700"/>
      </c>
      <c r="Y218" s="231">
        <f t="shared" si="572"/>
      </c>
      <c r="Z218" s="231">
        <v>2</v>
      </c>
      <c r="AA218" s="231">
        <v>2</v>
      </c>
      <c r="AB218" s="232">
        <v>1655.6399999999994</v>
      </c>
      <c r="AC218" s="232">
        <v>0</v>
      </c>
      <c r="AD218" s="228">
        <f t="shared" si="669"/>
      </c>
      <c r="AE218" s="233" t="s">
        <v>202</v>
      </c>
      <c r="AF218" s="234" t="s">
        <v>217</v>
      </c>
      <c r="AG218" s="235">
        <v>2</v>
      </c>
      <c r="AH218" s="236">
        <v>23192</v>
      </c>
      <c r="AI218" s="236">
        <v>839</v>
      </c>
      <c r="AJ218" s="236">
        <v>878</v>
      </c>
      <c r="AK218" s="237">
        <v>86</v>
      </c>
      <c r="AL218" s="237">
        <v>107</v>
      </c>
    </row>
    <row r="219">
      <c r="A219" s="216"/>
      <c r="B219" s="239" t="s">
        <v>208</v>
      </c>
      <c r="C219" s="240">
        <v>5</v>
      </c>
      <c r="D219" s="241">
        <f>SUM(D214:D218)</f>
      </c>
      <c r="E219" s="241">
        <f>SUM(E214:E218)</f>
      </c>
      <c r="F219" s="241">
        <f>SUM(F214:F218)</f>
      </c>
      <c r="G219" s="241">
        <f>SUM(G214:G218)</f>
      </c>
      <c r="H219" s="241">
        <f>SUM(H214:H218)</f>
      </c>
      <c r="I219" s="259">
        <f>SUM(I214:I218)</f>
      </c>
      <c r="J219" s="241">
        <f>SUM(J214:J218)</f>
      </c>
      <c r="K219" s="241">
        <f>SUM(K214:K218)</f>
      </c>
      <c r="L219" s="241">
        <f>SUM(L214:L218)</f>
      </c>
      <c r="M219" s="242">
        <f t="shared" si="75"/>
      </c>
      <c r="N219" s="243">
        <f t="shared" si="44"/>
      </c>
      <c r="O219" s="243">
        <f t="shared" si="13"/>
      </c>
      <c r="P219" s="244">
        <f t="shared" si="948"/>
      </c>
      <c r="Q219" s="244">
        <f t="shared" si="917"/>
      </c>
      <c r="R219" s="244">
        <f t="shared" si="886"/>
      </c>
      <c r="S219" s="245">
        <f t="shared" si="855"/>
      </c>
      <c r="T219" s="245">
        <f t="shared" si="793"/>
      </c>
      <c r="U219" s="244">
        <f t="shared" si="762"/>
      </c>
      <c r="V219" s="245">
        <f t="shared" si="824"/>
      </c>
      <c r="W219" s="245">
        <f t="shared" si="731"/>
      </c>
      <c r="X219" s="244">
        <f t="shared" si="700"/>
      </c>
      <c r="Y219" s="241">
        <f>SUM(Y214:Y218)</f>
      </c>
      <c r="Z219" s="241">
        <f>SUM(Z214:Z218)</f>
      </c>
      <c r="AA219" s="241">
        <f>SUM(AA214:AA218)</f>
      </c>
      <c r="AB219" s="241">
        <f>SUM(AB214:AB218)</f>
      </c>
      <c r="AC219" s="241">
        <f>SUM(AC214:AC218)</f>
      </c>
      <c r="AD219" s="246">
        <f t="shared" si="669"/>
      </c>
      <c r="AE219" s="247"/>
      <c r="AF219" s="248"/>
      <c r="AG219" s="241">
        <f>SUM(AG214:AG218)</f>
      </c>
      <c r="AH219" s="241">
        <f>SUM(AH214:AH218)</f>
      </c>
      <c r="AI219" s="241">
        <f>SUM(AI214:AI218)</f>
      </c>
      <c r="AJ219" s="241">
        <f>SUM(AJ214:AJ218)</f>
      </c>
      <c r="AK219" s="241">
        <f>SUM(AK214:AK218)</f>
      </c>
      <c r="AL219" s="241">
        <f>SUM(AL214:AL218)</f>
      </c>
    </row>
    <row r="220">
      <c r="A220" s="216"/>
      <c r="B220" s="217" t="s">
        <v>209</v>
      </c>
      <c r="C220" s="218" t="s">
        <v>201</v>
      </c>
      <c r="D220" s="219">
        <f t="shared" ref="D220:D223" si="468">E220+F220+G220+H220</f>
      </c>
      <c r="E220" s="220">
        <v>470.34</v>
      </c>
      <c r="F220" s="221">
        <v>3107.93</v>
      </c>
      <c r="G220" s="221">
        <v>143.01</v>
      </c>
      <c r="H220" s="221">
        <v>0</v>
      </c>
      <c r="I220" s="221">
        <f t="shared" ref="I220:I223" si="355">AB220+AC220</f>
      </c>
      <c r="J220" s="222">
        <v>0</v>
      </c>
      <c r="K220" s="223">
        <f t="shared" ref="K220:K223" si="240">I220-J220</f>
      </c>
      <c r="L220" s="223">
        <f t="shared" ref="L220:L223" si="125">(I220-AC220)/12+AC220</f>
      </c>
      <c r="M220" s="224">
        <f t="shared" si="75"/>
      </c>
      <c r="N220" s="225">
        <f t="shared" si="44"/>
      </c>
      <c r="O220" s="226">
        <f t="shared" si="13"/>
      </c>
      <c r="P220" s="227">
        <f t="shared" si="948"/>
      </c>
      <c r="Q220" s="227">
        <f t="shared" si="917"/>
      </c>
      <c r="R220" s="227">
        <f t="shared" si="886"/>
      </c>
      <c r="S220" s="228">
        <f t="shared" si="855"/>
      </c>
      <c r="T220" s="229">
        <f t="shared" si="793"/>
      </c>
      <c r="U220" s="227">
        <f t="shared" si="762"/>
      </c>
      <c r="V220" s="230">
        <f t="shared" si="824"/>
      </c>
      <c r="W220" s="230">
        <f t="shared" si="731"/>
      </c>
      <c r="X220" s="227">
        <f t="shared" si="700"/>
      </c>
      <c r="Y220" s="231">
        <f t="shared" ref="Y220:Y223" si="573">Z220+AA220</f>
      </c>
      <c r="Z220" s="231">
        <v>2</v>
      </c>
      <c r="AA220" s="231">
        <v>2</v>
      </c>
      <c r="AB220" s="232">
        <v>2174.040000000001</v>
      </c>
      <c r="AC220" s="232">
        <v>0</v>
      </c>
      <c r="AD220" s="228">
        <f t="shared" si="669"/>
      </c>
      <c r="AE220" s="233" t="s">
        <v>202</v>
      </c>
      <c r="AF220" s="234" t="s">
        <v>217</v>
      </c>
      <c r="AG220" s="235">
        <v>2</v>
      </c>
      <c r="AH220" s="236">
        <v>22221</v>
      </c>
      <c r="AI220" s="236">
        <v>705</v>
      </c>
      <c r="AJ220" s="236">
        <v>706</v>
      </c>
      <c r="AK220" s="235">
        <v>104</v>
      </c>
      <c r="AL220" s="235">
        <v>100</v>
      </c>
    </row>
    <row r="221">
      <c r="A221" s="216"/>
      <c r="B221" s="217" t="s">
        <v>209</v>
      </c>
      <c r="C221" s="218" t="s">
        <v>204</v>
      </c>
      <c r="D221" s="219">
        <f t="shared" si="468"/>
      </c>
      <c r="E221" s="218">
        <v>427.09</v>
      </c>
      <c r="F221" s="221">
        <v>4264.39</v>
      </c>
      <c r="G221" s="221">
        <v>86.73</v>
      </c>
      <c r="H221" s="221">
        <v>0</v>
      </c>
      <c r="I221" s="221">
        <f t="shared" si="355"/>
      </c>
      <c r="J221" s="222">
        <v>388.8</v>
      </c>
      <c r="K221" s="223">
        <f t="shared" si="240"/>
      </c>
      <c r="L221" s="223">
        <f t="shared" si="125"/>
      </c>
      <c r="M221" s="224">
        <f t="shared" si="75"/>
      </c>
      <c r="N221" s="225">
        <f t="shared" si="44"/>
      </c>
      <c r="O221" s="226">
        <f t="shared" si="13"/>
      </c>
      <c r="P221" s="227">
        <f t="shared" si="948"/>
      </c>
      <c r="Q221" s="227">
        <f t="shared" si="917"/>
      </c>
      <c r="R221" s="227">
        <f t="shared" si="886"/>
      </c>
      <c r="S221" s="228">
        <f t="shared" si="855"/>
      </c>
      <c r="T221" s="229">
        <f t="shared" si="793"/>
      </c>
      <c r="U221" s="227">
        <f t="shared" si="762"/>
      </c>
      <c r="V221" s="230">
        <f t="shared" si="824"/>
      </c>
      <c r="W221" s="230">
        <f t="shared" si="731"/>
      </c>
      <c r="X221" s="227">
        <f t="shared" si="700"/>
      </c>
      <c r="Y221" s="231">
        <f t="shared" si="573"/>
      </c>
      <c r="Z221" s="231">
        <v>1</v>
      </c>
      <c r="AA221" s="231">
        <v>4</v>
      </c>
      <c r="AB221" s="232">
        <v>4480.919999999998</v>
      </c>
      <c r="AC221" s="232">
        <v>2415</v>
      </c>
      <c r="AD221" s="228">
        <f t="shared" si="669"/>
      </c>
      <c r="AE221" s="233" t="s">
        <v>202</v>
      </c>
      <c r="AF221" s="234" t="s">
        <v>217</v>
      </c>
      <c r="AG221" s="235">
        <v>3</v>
      </c>
      <c r="AH221" s="236">
        <v>34397</v>
      </c>
      <c r="AI221" s="236">
        <v>705</v>
      </c>
      <c r="AJ221" s="236">
        <v>708</v>
      </c>
      <c r="AK221" s="237">
        <v>118</v>
      </c>
      <c r="AL221" s="237">
        <v>124</v>
      </c>
    </row>
    <row r="222">
      <c r="A222" s="216"/>
      <c r="B222" s="217" t="s">
        <v>209</v>
      </c>
      <c r="C222" s="218" t="s">
        <v>205</v>
      </c>
      <c r="D222" s="219">
        <f t="shared" si="468"/>
      </c>
      <c r="E222" s="218">
        <v>889.25</v>
      </c>
      <c r="F222" s="218">
        <v>2186.88</v>
      </c>
      <c r="G222" s="218">
        <v>100.94</v>
      </c>
      <c r="H222" s="218">
        <v>0</v>
      </c>
      <c r="I222" s="221">
        <f t="shared" si="355"/>
      </c>
      <c r="J222" s="222">
        <v>0</v>
      </c>
      <c r="K222" s="223">
        <f t="shared" si="240"/>
      </c>
      <c r="L222" s="223">
        <f t="shared" si="125"/>
      </c>
      <c r="M222" s="224">
        <f t="shared" si="75"/>
      </c>
      <c r="N222" s="225">
        <f t="shared" si="44"/>
      </c>
      <c r="O222" s="226">
        <f t="shared" si="13"/>
      </c>
      <c r="P222" s="227">
        <f t="shared" si="948"/>
      </c>
      <c r="Q222" s="227">
        <f t="shared" si="917"/>
      </c>
      <c r="R222" s="227">
        <f t="shared" si="886"/>
      </c>
      <c r="S222" s="228">
        <f t="shared" si="855"/>
      </c>
      <c r="T222" s="229">
        <f t="shared" si="793"/>
      </c>
      <c r="U222" s="227">
        <f t="shared" si="762"/>
      </c>
      <c r="V222" s="230">
        <f t="shared" si="824"/>
      </c>
      <c r="W222" s="230">
        <f t="shared" si="731"/>
      </c>
      <c r="X222" s="227">
        <f t="shared" si="700"/>
      </c>
      <c r="Y222" s="231">
        <f t="shared" si="573"/>
      </c>
      <c r="Z222" s="231">
        <v>2</v>
      </c>
      <c r="AA222" s="231">
        <v>3</v>
      </c>
      <c r="AB222" s="232">
        <v>4106.16</v>
      </c>
      <c r="AC222" s="232">
        <v>0</v>
      </c>
      <c r="AD222" s="228">
        <f t="shared" si="669"/>
      </c>
      <c r="AE222" s="233" t="s">
        <v>202</v>
      </c>
      <c r="AF222" s="234" t="s">
        <v>203</v>
      </c>
      <c r="AG222" s="237">
        <v>1</v>
      </c>
      <c r="AH222" s="236">
        <v>21307</v>
      </c>
      <c r="AI222" s="236">
        <v>695</v>
      </c>
      <c r="AJ222" s="236">
        <v>716</v>
      </c>
      <c r="AK222" s="237">
        <v>98</v>
      </c>
      <c r="AL222" s="237">
        <v>88</v>
      </c>
    </row>
    <row r="223">
      <c r="A223" s="216"/>
      <c r="B223" s="217" t="s">
        <v>209</v>
      </c>
      <c r="C223" s="218" t="s">
        <v>206</v>
      </c>
      <c r="D223" s="219">
        <f t="shared" si="468"/>
      </c>
      <c r="E223" s="218">
        <v>461.63</v>
      </c>
      <c r="F223" s="221">
        <v>3131.78</v>
      </c>
      <c r="G223" s="221">
        <v>170.11</v>
      </c>
      <c r="H223" s="221">
        <v>0</v>
      </c>
      <c r="I223" s="221">
        <f t="shared" si="355"/>
      </c>
      <c r="J223" s="222">
        <v>0</v>
      </c>
      <c r="K223" s="223">
        <f t="shared" si="240"/>
      </c>
      <c r="L223" s="223">
        <f t="shared" si="125"/>
      </c>
      <c r="M223" s="224">
        <f t="shared" si="75"/>
      </c>
      <c r="N223" s="225">
        <f t="shared" si="44"/>
      </c>
      <c r="O223" s="226">
        <f t="shared" si="13"/>
      </c>
      <c r="P223" s="227">
        <f t="shared" si="948"/>
      </c>
      <c r="Q223" s="227">
        <f t="shared" si="917"/>
      </c>
      <c r="R223" s="227">
        <f t="shared" si="886"/>
      </c>
      <c r="S223" s="228">
        <f t="shared" si="855"/>
      </c>
      <c r="T223" s="229">
        <f t="shared" si="793"/>
      </c>
      <c r="U223" s="227">
        <f t="shared" si="762"/>
      </c>
      <c r="V223" s="230">
        <f t="shared" si="824"/>
      </c>
      <c r="W223" s="230">
        <f t="shared" si="731"/>
      </c>
      <c r="X223" s="227">
        <f t="shared" si="700"/>
      </c>
      <c r="Y223" s="231">
        <f t="shared" si="573"/>
      </c>
      <c r="Z223" s="231">
        <v>1</v>
      </c>
      <c r="AA223" s="231">
        <v>1</v>
      </c>
      <c r="AB223" s="222">
        <v>1159.920000000002</v>
      </c>
      <c r="AC223" s="232">
        <v>0</v>
      </c>
      <c r="AD223" s="228">
        <f t="shared" si="669"/>
      </c>
      <c r="AE223" s="233" t="s">
        <v>202</v>
      </c>
      <c r="AF223" s="234" t="s">
        <v>203</v>
      </c>
      <c r="AG223" s="235">
        <v>1</v>
      </c>
      <c r="AH223" s="236">
        <v>25419</v>
      </c>
      <c r="AI223" s="236">
        <v>595</v>
      </c>
      <c r="AJ223" s="236">
        <v>605</v>
      </c>
      <c r="AK223" s="237">
        <v>74</v>
      </c>
      <c r="AL223" s="237">
        <v>91</v>
      </c>
    </row>
    <row r="224">
      <c r="A224" s="216"/>
      <c r="B224" s="239" t="s">
        <v>208</v>
      </c>
      <c r="C224" s="240">
        <v>4</v>
      </c>
      <c r="D224" s="241">
        <f>SUM(D220:D223)</f>
      </c>
      <c r="E224" s="241">
        <f>SUM(E220:E223)</f>
      </c>
      <c r="F224" s="241">
        <f>SUM(F220:F223)</f>
      </c>
      <c r="G224" s="241">
        <f>SUM(G220:G223)</f>
      </c>
      <c r="H224" s="241">
        <f>SUM(H220:H223)</f>
      </c>
      <c r="I224" s="259">
        <f>SUM(I220:I223)</f>
      </c>
      <c r="J224" s="241">
        <f>SUM(J220:J223)</f>
      </c>
      <c r="K224" s="241">
        <f>SUM(K220:K223)</f>
      </c>
      <c r="L224" s="241">
        <f>SUM(L220:L223)</f>
      </c>
      <c r="M224" s="242">
        <f t="shared" si="75"/>
      </c>
      <c r="N224" s="243">
        <f t="shared" si="44"/>
      </c>
      <c r="O224" s="243">
        <f t="shared" si="13"/>
      </c>
      <c r="P224" s="244">
        <f t="shared" si="948"/>
      </c>
      <c r="Q224" s="244">
        <f t="shared" si="917"/>
      </c>
      <c r="R224" s="244">
        <f t="shared" si="886"/>
      </c>
      <c r="S224" s="245">
        <f t="shared" si="855"/>
      </c>
      <c r="T224" s="245">
        <f t="shared" si="793"/>
      </c>
      <c r="U224" s="244">
        <f t="shared" si="762"/>
      </c>
      <c r="V224" s="245">
        <f t="shared" si="824"/>
      </c>
      <c r="W224" s="245">
        <f t="shared" si="731"/>
      </c>
      <c r="X224" s="244">
        <f t="shared" si="700"/>
      </c>
      <c r="Y224" s="241">
        <f>SUM(Y220:Y223)</f>
      </c>
      <c r="Z224" s="241">
        <f>SUM(Z220:Z223)</f>
      </c>
      <c r="AA224" s="241">
        <f>SUM(AA220:AA223)</f>
      </c>
      <c r="AB224" s="241">
        <f>SUM(AB220:AB223)</f>
      </c>
      <c r="AC224" s="241">
        <f>SUM(AC220:AC223)</f>
      </c>
      <c r="AD224" s="246">
        <f t="shared" si="669"/>
      </c>
      <c r="AE224" s="247"/>
      <c r="AF224" s="248"/>
      <c r="AG224" s="241">
        <f>SUM(AG220:AG223)</f>
      </c>
      <c r="AH224" s="241">
        <f>SUM(AH220:AH223)</f>
      </c>
      <c r="AI224" s="241">
        <f>SUM(AI220:AI223)</f>
      </c>
      <c r="AJ224" s="241">
        <f>SUM(AJ220:AJ223)</f>
      </c>
      <c r="AK224" s="241">
        <f>SUM(AK220:AK223)</f>
      </c>
      <c r="AL224" s="241">
        <f>SUM(AL220:AL223)</f>
      </c>
    </row>
    <row r="225">
      <c r="A225" s="216"/>
      <c r="B225" s="265" t="s">
        <v>225</v>
      </c>
      <c r="C225" s="218" t="s">
        <v>207</v>
      </c>
      <c r="D225" s="219">
        <f t="shared" ref="D225:D226" si="469">E225+F225+G225+H225</f>
      </c>
      <c r="E225" s="218">
        <v>380.17</v>
      </c>
      <c r="F225" s="249">
        <v>1487.04</v>
      </c>
      <c r="G225" s="221">
        <v>128.64</v>
      </c>
      <c r="H225" s="221">
        <v>0</v>
      </c>
      <c r="I225" s="250">
        <f t="shared" ref="I225:I226" si="356">AB225+AC225</f>
      </c>
      <c r="J225" s="251">
        <v>0</v>
      </c>
      <c r="K225" s="223">
        <f t="shared" ref="K225:K226" si="241">I225-J225</f>
      </c>
      <c r="L225" s="223">
        <f t="shared" ref="L225:L226" si="126">(I225-AC225)/12+AC225</f>
      </c>
      <c r="M225" s="224">
        <f t="shared" si="75"/>
      </c>
      <c r="N225" s="225">
        <f t="shared" si="44"/>
      </c>
      <c r="O225" s="226">
        <f t="shared" si="13"/>
      </c>
      <c r="P225" s="227">
        <f t="shared" si="948"/>
      </c>
      <c r="Q225" s="227">
        <f t="shared" si="917"/>
      </c>
      <c r="R225" s="227">
        <f t="shared" si="886"/>
      </c>
      <c r="S225" s="228">
        <f t="shared" si="855"/>
      </c>
      <c r="T225" s="229">
        <f t="shared" si="793"/>
      </c>
      <c r="U225" s="227">
        <f t="shared" si="762"/>
      </c>
      <c r="V225" s="230">
        <f t="shared" si="824"/>
      </c>
      <c r="W225" s="230">
        <f t="shared" si="731"/>
      </c>
      <c r="X225" s="227">
        <f t="shared" si="700"/>
      </c>
      <c r="Y225" s="231">
        <f t="shared" ref="Y225:Y226" si="574">Z225+AA225</f>
      </c>
      <c r="Z225" s="231">
        <v>0</v>
      </c>
      <c r="AA225" s="231">
        <v>1</v>
      </c>
      <c r="AB225" s="232">
        <v>2748.5999999999985</v>
      </c>
      <c r="AC225" s="232">
        <v>0</v>
      </c>
      <c r="AD225" s="228">
        <f t="shared" si="669"/>
      </c>
      <c r="AE225" s="233" t="s">
        <v>202</v>
      </c>
      <c r="AF225" s="234" t="s">
        <v>203</v>
      </c>
      <c r="AG225" s="235">
        <v>1</v>
      </c>
      <c r="AH225" s="236">
        <v>14720</v>
      </c>
      <c r="AI225" s="236">
        <v>398</v>
      </c>
      <c r="AJ225" s="236">
        <v>408</v>
      </c>
      <c r="AK225" s="237">
        <v>49</v>
      </c>
      <c r="AL225" s="237">
        <v>57</v>
      </c>
    </row>
    <row r="226">
      <c r="A226" s="216"/>
      <c r="B226" s="265" t="s">
        <v>225</v>
      </c>
      <c r="C226" s="218" t="s">
        <v>210</v>
      </c>
      <c r="D226" s="219">
        <f t="shared" si="469"/>
      </c>
      <c r="E226" s="218">
        <v>291.89</v>
      </c>
      <c r="F226" s="249">
        <v>1102.01</v>
      </c>
      <c r="G226" s="221">
        <v>65.63</v>
      </c>
      <c r="H226" s="221">
        <v>0</v>
      </c>
      <c r="I226" s="250">
        <f t="shared" si="356"/>
      </c>
      <c r="J226" s="251">
        <v>3110.4</v>
      </c>
      <c r="K226" s="223">
        <f t="shared" si="241"/>
      </c>
      <c r="L226" s="223">
        <f t="shared" si="126"/>
      </c>
      <c r="M226" s="224">
        <f t="shared" si="75"/>
      </c>
      <c r="N226" s="225">
        <f t="shared" si="44"/>
      </c>
      <c r="O226" s="226">
        <f t="shared" si="13"/>
      </c>
      <c r="P226" s="227">
        <f t="shared" si="948"/>
      </c>
      <c r="Q226" s="227">
        <f t="shared" si="917"/>
      </c>
      <c r="R226" s="227">
        <f t="shared" si="886"/>
      </c>
      <c r="S226" s="228">
        <f t="shared" si="855"/>
      </c>
      <c r="T226" s="229">
        <f t="shared" si="793"/>
      </c>
      <c r="U226" s="227">
        <f t="shared" si="762"/>
      </c>
      <c r="V226" s="230">
        <f t="shared" si="824"/>
      </c>
      <c r="W226" s="230">
        <f t="shared" si="731"/>
      </c>
      <c r="X226" s="227">
        <f t="shared" si="700"/>
      </c>
      <c r="Y226" s="231">
        <f t="shared" si="574"/>
      </c>
      <c r="Z226" s="231">
        <v>5</v>
      </c>
      <c r="AA226" s="231">
        <v>2</v>
      </c>
      <c r="AB226" s="232">
        <v>4431.240000000002</v>
      </c>
      <c r="AC226" s="232">
        <v>0</v>
      </c>
      <c r="AD226" s="228">
        <f t="shared" si="669"/>
      </c>
      <c r="AE226" s="233" t="s">
        <v>202</v>
      </c>
      <c r="AF226" s="234" t="s">
        <v>203</v>
      </c>
      <c r="AG226" s="235">
        <v>2</v>
      </c>
      <c r="AH226" s="236">
        <v>10538</v>
      </c>
      <c r="AI226" s="236">
        <v>439</v>
      </c>
      <c r="AJ226" s="236">
        <v>456</v>
      </c>
      <c r="AK226" s="237">
        <v>42</v>
      </c>
      <c r="AL226" s="237">
        <v>45</v>
      </c>
    </row>
    <row r="227">
      <c r="A227" s="216"/>
      <c r="B227" s="239" t="s">
        <v>208</v>
      </c>
      <c r="C227" s="240">
        <v>2</v>
      </c>
      <c r="D227" s="241">
        <f>SUM(D225:D226)</f>
      </c>
      <c r="E227" s="241">
        <f>SUM(E225:E226)</f>
      </c>
      <c r="F227" s="241">
        <f>SUM(F225:F226)</f>
      </c>
      <c r="G227" s="241">
        <f>SUM(G225:G226)</f>
      </c>
      <c r="H227" s="241">
        <f>SUM(H225:H226)</f>
      </c>
      <c r="I227" s="260">
        <f>SUM(I225:I226)</f>
      </c>
      <c r="J227" s="241">
        <f>SUM(J225:J226)</f>
      </c>
      <c r="K227" s="241">
        <f>SUM(K225:K226)</f>
      </c>
      <c r="L227" s="241">
        <f>SUM(L225:L226)</f>
      </c>
      <c r="M227" s="242">
        <f t="shared" si="75"/>
      </c>
      <c r="N227" s="243">
        <f t="shared" si="44"/>
      </c>
      <c r="O227" s="243">
        <f t="shared" si="13"/>
      </c>
      <c r="P227" s="244">
        <f t="shared" si="948"/>
      </c>
      <c r="Q227" s="244">
        <f t="shared" si="917"/>
      </c>
      <c r="R227" s="244">
        <f t="shared" si="886"/>
      </c>
      <c r="S227" s="245">
        <f t="shared" si="855"/>
      </c>
      <c r="T227" s="245">
        <f t="shared" si="793"/>
      </c>
      <c r="U227" s="244">
        <f t="shared" si="762"/>
      </c>
      <c r="V227" s="245">
        <f t="shared" si="824"/>
      </c>
      <c r="W227" s="245">
        <f t="shared" si="731"/>
      </c>
      <c r="X227" s="244">
        <f t="shared" si="700"/>
      </c>
      <c r="Y227" s="241">
        <f>SUM(Y225:Y226)</f>
      </c>
      <c r="Z227" s="241">
        <f>SUM(Z225:Z226)</f>
      </c>
      <c r="AA227" s="241">
        <f>SUM(AA225:AA226)</f>
      </c>
      <c r="AB227" s="241">
        <f>SUM(AB225:AB226)</f>
      </c>
      <c r="AC227" s="241">
        <f>SUM(AC225:AC226)</f>
      </c>
      <c r="AD227" s="246">
        <f t="shared" si="669"/>
      </c>
      <c r="AE227" s="247"/>
      <c r="AF227" s="248"/>
      <c r="AG227" s="241">
        <f>SUM(AG225:AG226)</f>
      </c>
      <c r="AH227" s="241">
        <f>SUM(AH225:AH226)</f>
      </c>
      <c r="AI227" s="241">
        <f>SUM(AI225:AI226)</f>
      </c>
      <c r="AJ227" s="241">
        <f>SUM(AJ225:AJ226)</f>
      </c>
      <c r="AK227" s="241">
        <f>SUM(AK225:AK226)</f>
      </c>
      <c r="AL227" s="241">
        <f>SUM(AL225:AL226)</f>
      </c>
    </row>
    <row r="228">
      <c r="A228" s="216"/>
      <c r="B228" s="217" t="s">
        <v>224</v>
      </c>
      <c r="C228" s="252" t="s">
        <v>211</v>
      </c>
      <c r="D228" s="219">
        <f t="shared" ref="D228:D231" si="470">E228+F228+G228+H228</f>
      </c>
      <c r="E228" s="218">
        <v>276.81</v>
      </c>
      <c r="F228" s="249">
        <v>1203.57</v>
      </c>
      <c r="G228" s="221">
        <v>216.78</v>
      </c>
      <c r="H228" s="221">
        <v>0</v>
      </c>
      <c r="I228" s="250">
        <f t="shared" ref="I228:I231" si="357">AB228+AC228</f>
      </c>
      <c r="J228" s="251">
        <v>0</v>
      </c>
      <c r="K228" s="223">
        <f t="shared" ref="K228:K231" si="242">I228-J228</f>
      </c>
      <c r="L228" s="223">
        <f t="shared" ref="L228:L231" si="127">(I228-AC228)/12+AC228</f>
      </c>
      <c r="M228" s="224">
        <f t="shared" si="75"/>
      </c>
      <c r="N228" s="225">
        <f t="shared" si="44"/>
      </c>
      <c r="O228" s="226">
        <f t="shared" si="13"/>
      </c>
      <c r="P228" s="227">
        <f t="shared" si="948"/>
      </c>
      <c r="Q228" s="227">
        <f t="shared" si="917"/>
      </c>
      <c r="R228" s="227">
        <f t="shared" si="886"/>
      </c>
      <c r="S228" s="228">
        <f t="shared" si="855"/>
      </c>
      <c r="T228" s="229">
        <f t="shared" si="793"/>
      </c>
      <c r="U228" s="227">
        <f t="shared" si="762"/>
      </c>
      <c r="V228" s="230">
        <f t="shared" si="824"/>
      </c>
      <c r="W228" s="230">
        <f t="shared" si="731"/>
      </c>
      <c r="X228" s="227">
        <f t="shared" si="700"/>
      </c>
      <c r="Y228" s="231">
        <f t="shared" ref="Y228:Y231" si="575">Z228+AA228</f>
      </c>
      <c r="Z228" s="231">
        <v>1</v>
      </c>
      <c r="AA228" s="231">
        <v>0</v>
      </c>
      <c r="AB228" s="232">
        <v>0</v>
      </c>
      <c r="AC228" s="232">
        <v>0</v>
      </c>
      <c r="AD228" s="228">
        <f t="shared" si="669"/>
      </c>
      <c r="AE228" s="233" t="s">
        <v>202</v>
      </c>
      <c r="AF228" s="234" t="s">
        <v>203</v>
      </c>
      <c r="AG228" s="235">
        <v>0</v>
      </c>
      <c r="AH228" s="236">
        <v>12092</v>
      </c>
      <c r="AI228" s="236">
        <v>486</v>
      </c>
      <c r="AJ228" s="236">
        <v>507</v>
      </c>
      <c r="AK228" s="237">
        <v>42</v>
      </c>
      <c r="AL228" s="237">
        <v>52</v>
      </c>
    </row>
    <row r="229">
      <c r="A229" s="216"/>
      <c r="B229" s="217" t="s">
        <v>224</v>
      </c>
      <c r="C229" s="252" t="s">
        <v>212</v>
      </c>
      <c r="D229" s="219">
        <f t="shared" si="470"/>
      </c>
      <c r="E229" s="218">
        <v>433</v>
      </c>
      <c r="F229" s="249">
        <v>920.25</v>
      </c>
      <c r="G229" s="221">
        <v>592.63</v>
      </c>
      <c r="H229" s="221">
        <v>0</v>
      </c>
      <c r="I229" s="250">
        <f t="shared" si="357"/>
      </c>
      <c r="J229" s="251">
        <v>0</v>
      </c>
      <c r="K229" s="223">
        <f t="shared" si="242"/>
      </c>
      <c r="L229" s="223">
        <f t="shared" si="127"/>
      </c>
      <c r="M229" s="224">
        <f t="shared" si="75"/>
      </c>
      <c r="N229" s="225">
        <f t="shared" si="44"/>
      </c>
      <c r="O229" s="226">
        <f t="shared" si="13"/>
      </c>
      <c r="P229" s="227">
        <f t="shared" si="948"/>
      </c>
      <c r="Q229" s="227">
        <f t="shared" si="917"/>
      </c>
      <c r="R229" s="227">
        <f t="shared" si="886"/>
      </c>
      <c r="S229" s="228">
        <f t="shared" si="855"/>
      </c>
      <c r="T229" s="229">
        <f t="shared" si="793"/>
      </c>
      <c r="U229" s="227">
        <f t="shared" si="762"/>
      </c>
      <c r="V229" s="230">
        <f t="shared" si="824"/>
      </c>
      <c r="W229" s="230">
        <f t="shared" si="731"/>
      </c>
      <c r="X229" s="227">
        <f t="shared" si="700"/>
      </c>
      <c r="Y229" s="231">
        <f t="shared" si="575"/>
      </c>
      <c r="Z229" s="231">
        <v>2</v>
      </c>
      <c r="AA229" s="231">
        <v>3</v>
      </c>
      <c r="AB229" s="232">
        <v>2476.9199999999983</v>
      </c>
      <c r="AC229" s="232">
        <v>506</v>
      </c>
      <c r="AD229" s="228">
        <f t="shared" si="669"/>
      </c>
      <c r="AE229" s="233" t="s">
        <v>202</v>
      </c>
      <c r="AF229" s="234" t="s">
        <v>203</v>
      </c>
      <c r="AG229" s="235">
        <v>3</v>
      </c>
      <c r="AH229" s="236">
        <v>16609</v>
      </c>
      <c r="AI229" s="236">
        <v>592</v>
      </c>
      <c r="AJ229" s="236">
        <v>600</v>
      </c>
      <c r="AK229" s="237">
        <v>72</v>
      </c>
      <c r="AL229" s="237">
        <v>79</v>
      </c>
    </row>
    <row r="230">
      <c r="A230" s="216"/>
      <c r="B230" s="217" t="s">
        <v>224</v>
      </c>
      <c r="C230" s="218" t="s">
        <v>213</v>
      </c>
      <c r="D230" s="219">
        <f t="shared" si="470"/>
      </c>
      <c r="E230" s="218">
        <v>617.22</v>
      </c>
      <c r="F230" s="249">
        <v>1448.04</v>
      </c>
      <c r="G230" s="218">
        <v>1632.74</v>
      </c>
      <c r="H230" s="218">
        <v>0</v>
      </c>
      <c r="I230" s="250">
        <f t="shared" si="357"/>
      </c>
      <c r="J230" s="251">
        <v>0</v>
      </c>
      <c r="K230" s="223">
        <f t="shared" si="242"/>
      </c>
      <c r="L230" s="223">
        <f t="shared" si="127"/>
      </c>
      <c r="M230" s="224">
        <f t="shared" si="75"/>
      </c>
      <c r="N230" s="225">
        <f t="shared" si="44"/>
      </c>
      <c r="O230" s="226">
        <f t="shared" si="13"/>
      </c>
      <c r="P230" s="227">
        <f t="shared" si="948"/>
      </c>
      <c r="Q230" s="227">
        <f t="shared" si="917"/>
      </c>
      <c r="R230" s="227">
        <f t="shared" si="886"/>
      </c>
      <c r="S230" s="228">
        <f t="shared" si="855"/>
      </c>
      <c r="T230" s="229">
        <f t="shared" si="793"/>
      </c>
      <c r="U230" s="227">
        <f t="shared" si="762"/>
      </c>
      <c r="V230" s="230">
        <f t="shared" si="824"/>
      </c>
      <c r="W230" s="230">
        <f t="shared" si="731"/>
      </c>
      <c r="X230" s="227">
        <f t="shared" si="700"/>
      </c>
      <c r="Y230" s="231">
        <f t="shared" si="575"/>
      </c>
      <c r="Z230" s="231">
        <v>3</v>
      </c>
      <c r="AA230" s="231">
        <v>3</v>
      </c>
      <c r="AB230" s="232">
        <v>4423.200000000004</v>
      </c>
      <c r="AC230" s="232">
        <v>0</v>
      </c>
      <c r="AD230" s="228">
        <f t="shared" si="669"/>
      </c>
      <c r="AE230" s="233" t="s">
        <v>202</v>
      </c>
      <c r="AF230" s="234" t="s">
        <v>203</v>
      </c>
      <c r="AG230" s="237">
        <v>3</v>
      </c>
      <c r="AH230" s="236">
        <v>37947</v>
      </c>
      <c r="AI230" s="236">
        <v>976</v>
      </c>
      <c r="AJ230" s="236">
        <v>1005</v>
      </c>
      <c r="AK230" s="237">
        <v>106</v>
      </c>
      <c r="AL230" s="237">
        <v>134</v>
      </c>
    </row>
    <row r="231">
      <c r="A231" s="216"/>
      <c r="B231" s="217" t="s">
        <v>224</v>
      </c>
      <c r="C231" s="252" t="s">
        <v>214</v>
      </c>
      <c r="D231" s="219">
        <f t="shared" si="470"/>
      </c>
      <c r="E231" s="218">
        <v>258.63</v>
      </c>
      <c r="F231" s="249">
        <v>870.18</v>
      </c>
      <c r="G231" s="221">
        <v>1146.91</v>
      </c>
      <c r="H231" s="221">
        <v>0</v>
      </c>
      <c r="I231" s="250">
        <f t="shared" si="357"/>
      </c>
      <c r="J231" s="251">
        <v>0</v>
      </c>
      <c r="K231" s="223">
        <f t="shared" si="242"/>
      </c>
      <c r="L231" s="223">
        <f t="shared" si="127"/>
      </c>
      <c r="M231" s="224">
        <f t="shared" si="75"/>
      </c>
      <c r="N231" s="225">
        <f t="shared" si="44"/>
      </c>
      <c r="O231" s="226">
        <f t="shared" si="13"/>
      </c>
      <c r="P231" s="227">
        <f t="shared" si="948"/>
      </c>
      <c r="Q231" s="227">
        <f t="shared" si="917"/>
      </c>
      <c r="R231" s="227">
        <f t="shared" si="886"/>
      </c>
      <c r="S231" s="228">
        <f t="shared" si="855"/>
      </c>
      <c r="T231" s="229">
        <f t="shared" si="793"/>
      </c>
      <c r="U231" s="227">
        <f t="shared" si="762"/>
      </c>
      <c r="V231" s="230">
        <f t="shared" si="824"/>
      </c>
      <c r="W231" s="230">
        <f t="shared" si="731"/>
      </c>
      <c r="X231" s="227">
        <f t="shared" si="700"/>
      </c>
      <c r="Y231" s="231">
        <f t="shared" si="575"/>
      </c>
      <c r="Z231" s="231">
        <v>0</v>
      </c>
      <c r="AA231" s="231">
        <v>0</v>
      </c>
      <c r="AB231" s="222">
        <v>0</v>
      </c>
      <c r="AC231" s="232">
        <v>0</v>
      </c>
      <c r="AD231" s="228">
        <f t="shared" si="669"/>
      </c>
      <c r="AE231" s="233" t="s">
        <v>202</v>
      </c>
      <c r="AF231" s="234" t="s">
        <v>203</v>
      </c>
      <c r="AG231" s="235">
        <v>0</v>
      </c>
      <c r="AH231" s="236">
        <v>27705</v>
      </c>
      <c r="AI231" s="236">
        <v>645</v>
      </c>
      <c r="AJ231" s="236">
        <v>656</v>
      </c>
      <c r="AK231" s="237">
        <v>71</v>
      </c>
      <c r="AL231" s="237">
        <v>105</v>
      </c>
    </row>
    <row r="232">
      <c r="A232" s="216"/>
      <c r="B232" s="239" t="s">
        <v>208</v>
      </c>
      <c r="C232" s="240">
        <v>4</v>
      </c>
      <c r="D232" s="241">
        <f>SUM(D228:D231)</f>
      </c>
      <c r="E232" s="241">
        <f>SUM(E228:E231)</f>
      </c>
      <c r="F232" s="241">
        <f>SUM(F228:F231)</f>
      </c>
      <c r="G232" s="241">
        <f>SUM(G228:G231)</f>
      </c>
      <c r="H232" s="241">
        <f>SUM(H228:H231)</f>
      </c>
      <c r="I232" s="260">
        <f>SUM(I228:I231)</f>
      </c>
      <c r="J232" s="241">
        <f>SUM(J228:J231)</f>
      </c>
      <c r="K232" s="241">
        <f>SUM(K228:K231)</f>
      </c>
      <c r="L232" s="241">
        <f>SUM(L228:L231)</f>
      </c>
      <c r="M232" s="242">
        <f t="shared" si="75"/>
      </c>
      <c r="N232" s="243">
        <f t="shared" si="44"/>
      </c>
      <c r="O232" s="243">
        <f t="shared" si="13"/>
      </c>
      <c r="P232" s="244">
        <f t="shared" si="948"/>
      </c>
      <c r="Q232" s="244">
        <f t="shared" si="917"/>
      </c>
      <c r="R232" s="244">
        <f t="shared" si="886"/>
      </c>
      <c r="S232" s="245">
        <f t="shared" si="855"/>
      </c>
      <c r="T232" s="245">
        <f t="shared" si="793"/>
      </c>
      <c r="U232" s="244">
        <f t="shared" si="762"/>
      </c>
      <c r="V232" s="245">
        <f t="shared" si="824"/>
      </c>
      <c r="W232" s="245">
        <f t="shared" si="731"/>
      </c>
      <c r="X232" s="244">
        <f t="shared" si="700"/>
      </c>
      <c r="Y232" s="241">
        <f>SUM(Y228:Y231)</f>
      </c>
      <c r="Z232" s="241">
        <f>SUM(Z228:Z231)</f>
      </c>
      <c r="AA232" s="241">
        <f>SUM(AA228:AA231)</f>
      </c>
      <c r="AB232" s="241">
        <f>SUM(AB228:AB231)</f>
      </c>
      <c r="AC232" s="241">
        <f>SUM(AC228:AC231)</f>
      </c>
      <c r="AD232" s="246">
        <f t="shared" si="669"/>
      </c>
      <c r="AE232" s="247"/>
      <c r="AF232" s="248"/>
      <c r="AG232" s="241">
        <f>SUM(AG228:AG231)</f>
      </c>
      <c r="AH232" s="241">
        <f>SUM(AH228:AH231)</f>
      </c>
      <c r="AI232" s="241">
        <f>SUM(AI228:AI231)</f>
      </c>
      <c r="AJ232" s="241">
        <f>SUM(AJ228:AJ231)</f>
      </c>
      <c r="AK232" s="241">
        <f>SUM(AK228:AK231)</f>
      </c>
      <c r="AL232" s="241">
        <f>SUM(AL228:AL231)</f>
      </c>
    </row>
    <row r="233">
      <c r="A233" s="216"/>
      <c r="B233" s="253" t="s">
        <v>208</v>
      </c>
      <c r="C233" s="254">
        <f>C219+C224+C227+C232</f>
      </c>
      <c r="D233" s="254">
        <f>D219+D224+D227+D232</f>
      </c>
      <c r="E233" s="254">
        <f>E219+E224+E227+E232</f>
      </c>
      <c r="F233" s="254">
        <f>F219+F224+F227+F232</f>
      </c>
      <c r="G233" s="254">
        <f>G219+G224+G227+G232</f>
      </c>
      <c r="H233" s="254">
        <f>H219+H224+H227+H232</f>
      </c>
      <c r="I233" s="254">
        <f>I219+I224+I227+I232</f>
      </c>
      <c r="J233" s="254">
        <f>J219+J224+J227+J232</f>
      </c>
      <c r="K233" s="254">
        <f>K219+K224+K227+K232</f>
      </c>
      <c r="L233" s="254">
        <f>L219+L224+L227+L232</f>
      </c>
      <c r="M233" s="256">
        <f t="shared" si="75"/>
      </c>
      <c r="N233" s="256">
        <f t="shared" si="44"/>
      </c>
      <c r="O233" s="256">
        <f t="shared" si="13"/>
      </c>
      <c r="P233" s="256">
        <f t="shared" si="948"/>
      </c>
      <c r="Q233" s="256">
        <f t="shared" si="917"/>
      </c>
      <c r="R233" s="256">
        <f t="shared" si="886"/>
      </c>
      <c r="S233" s="257">
        <f t="shared" si="855"/>
      </c>
      <c r="T233" s="257">
        <f t="shared" si="793"/>
      </c>
      <c r="U233" s="256">
        <f t="shared" si="762"/>
      </c>
      <c r="V233" s="257">
        <f t="shared" si="824"/>
      </c>
      <c r="W233" s="257">
        <f t="shared" si="731"/>
      </c>
      <c r="X233" s="256">
        <f t="shared" si="700"/>
      </c>
      <c r="Y233" s="266">
        <f>Y219+Y224+Y227+Y232</f>
      </c>
      <c r="Z233" s="266">
        <f>Z219+Z224+Z227+Z232</f>
      </c>
      <c r="AA233" s="266">
        <f>AA219+AA224+AA227+AA232</f>
      </c>
      <c r="AB233" s="266">
        <f>AB219+AB224+AB227+AB232</f>
      </c>
      <c r="AC233" s="266">
        <f>AC219+AC224+AC227+AC232</f>
      </c>
      <c r="AD233" s="258">
        <f t="shared" si="669"/>
      </c>
      <c r="AE233" s="253"/>
      <c r="AF233" s="253"/>
      <c r="AG233" s="266">
        <f>AG219+AG224+AG227+AG232</f>
      </c>
      <c r="AH233" s="266">
        <f>AH219+AH224+AH227+AH232</f>
      </c>
      <c r="AI233" s="266">
        <f>AI219+AI224+AI227+AI232</f>
      </c>
      <c r="AJ233" s="266">
        <f>AJ219+AJ224+AJ227+AJ232</f>
      </c>
      <c r="AK233" s="266">
        <f>AK219+AK224+AK227+AK232</f>
      </c>
      <c r="AL233" s="266">
        <f>AL219+AL224+AL227+AL232</f>
      </c>
    </row>
    <row r="234">
      <c r="A234" s="202" t="s">
        <v>162</v>
      </c>
      <c r="B234" s="203" t="s">
        <v>163</v>
      </c>
      <c r="C234" s="203" t="s">
        <v>164</v>
      </c>
      <c r="D234" s="204" t="s">
        <v>165</v>
      </c>
      <c r="E234" s="203" t="s">
        <v>166</v>
      </c>
      <c r="F234" s="203" t="s">
        <v>167</v>
      </c>
      <c r="G234" s="205" t="s">
        <v>168</v>
      </c>
      <c r="H234" s="205" t="s">
        <v>169</v>
      </c>
      <c r="I234" s="204" t="s">
        <v>170</v>
      </c>
      <c r="J234" s="206" t="s">
        <v>171</v>
      </c>
      <c r="K234" s="207" t="s">
        <v>172</v>
      </c>
      <c r="L234" s="207" t="s">
        <v>173</v>
      </c>
      <c r="M234" s="208" t="s">
        <v>174</v>
      </c>
      <c r="N234" s="207" t="s">
        <v>175</v>
      </c>
      <c r="O234" s="203" t="s">
        <v>176</v>
      </c>
      <c r="P234" s="208" t="s">
        <v>177</v>
      </c>
      <c r="Q234" s="209" t="s">
        <v>178</v>
      </c>
      <c r="R234" s="209" t="s">
        <v>179</v>
      </c>
      <c r="S234" s="204" t="s">
        <v>180</v>
      </c>
      <c r="T234" s="210" t="s">
        <v>181</v>
      </c>
      <c r="U234" s="208" t="s">
        <v>182</v>
      </c>
      <c r="V234" s="211" t="s">
        <v>183</v>
      </c>
      <c r="W234" s="212" t="s">
        <v>184</v>
      </c>
      <c r="X234" s="208" t="s">
        <v>185</v>
      </c>
      <c r="Y234" s="213" t="s">
        <v>186</v>
      </c>
      <c r="Z234" s="214" t="s">
        <v>187</v>
      </c>
      <c r="AA234" s="213" t="s">
        <v>188</v>
      </c>
      <c r="AB234" s="215" t="s">
        <v>189</v>
      </c>
      <c r="AC234" s="215" t="s">
        <v>190</v>
      </c>
      <c r="AD234" s="207" t="s">
        <v>191</v>
      </c>
      <c r="AE234" s="206" t="s">
        <v>192</v>
      </c>
      <c r="AF234" s="207" t="s">
        <v>193</v>
      </c>
      <c r="AG234" s="206" t="s">
        <v>194</v>
      </c>
      <c r="AH234" s="206" t="s">
        <v>195</v>
      </c>
      <c r="AI234" s="207" t="s">
        <v>196</v>
      </c>
      <c r="AJ234" s="206" t="s">
        <v>197</v>
      </c>
      <c r="AK234" s="207" t="s">
        <v>198</v>
      </c>
      <c r="AL234" s="206" t="s">
        <v>199</v>
      </c>
    </row>
    <row r="235">
      <c r="A235" s="216">
        <v>46249</v>
      </c>
      <c r="B235" s="217" t="s">
        <v>200</v>
      </c>
      <c r="C235" s="218" t="s">
        <v>216</v>
      </c>
      <c r="D235" s="219">
        <f t="shared" ref="D235:D239" si="471">E235+F235+G235+H235</f>
      </c>
      <c r="E235" s="220">
        <v>1230.39</v>
      </c>
      <c r="F235" s="221">
        <v>1500</v>
      </c>
      <c r="G235" s="221">
        <v>1500</v>
      </c>
      <c r="H235" s="221">
        <v>0</v>
      </c>
      <c r="I235" s="221">
        <f t="shared" ref="I235:I239" si="358">AB235+AC235</f>
      </c>
      <c r="J235" s="222">
        <v>0</v>
      </c>
      <c r="K235" s="223">
        <f t="shared" ref="K235:K239" si="243">I235-J235</f>
      </c>
      <c r="L235" s="223">
        <f t="shared" ref="L235:L239" si="128">(I235-AC235)/12+AC235</f>
      </c>
      <c r="M235" s="224">
        <f t="shared" ref="M235:M254" si="76">I235/D235</f>
      </c>
      <c r="N235" s="225">
        <f t="shared" ref="N235:N254" si="45">(I235-J235)/D235</f>
      </c>
      <c r="O235" s="226">
        <f t="shared" ref="O235:O254" si="14">(AC235+AB235/12)/D235</f>
      </c>
      <c r="P235" s="227">
        <f t="shared" ref="P235:P254" si="949">I235/AA235</f>
      </c>
      <c r="Q235" s="227">
        <f t="shared" ref="Q235:Q254" si="918">D235/AA235</f>
      </c>
      <c r="R235" s="227">
        <f t="shared" ref="R235:R254" si="887">D235/AG235</f>
      </c>
      <c r="S235" s="228">
        <f t="shared" ref="S235:S254" si="856">AA235/Y235</f>
      </c>
      <c r="T235" s="229">
        <f t="shared" ref="T235:T254" si="794">AI235/AH235</f>
      </c>
      <c r="U235" s="227">
        <f t="shared" ref="U235:U254" si="763">D235/AJ235</f>
      </c>
      <c r="V235" s="230">
        <f t="shared" ref="V235:V254" si="825">AK235/AJ235</f>
      </c>
      <c r="W235" s="230">
        <f t="shared" ref="W235:W254" si="732">AL235/AJ235</f>
      </c>
      <c r="X235" s="227">
        <f t="shared" ref="X235:X254" si="701">D235/AL235</f>
      </c>
      <c r="Y235" s="231">
        <f t="shared" ref="Y235:Y239" si="576">Z235+AA235</f>
      </c>
      <c r="Z235" s="231">
        <v>0</v>
      </c>
      <c r="AA235" s="231">
        <v>5</v>
      </c>
      <c r="AB235" s="232">
        <v>6810.48</v>
      </c>
      <c r="AC235" s="232">
        <v>0</v>
      </c>
      <c r="AD235" s="228">
        <f t="shared" ref="AD235:AD254" si="670">AC235/I235</f>
      </c>
      <c r="AE235" s="233" t="s">
        <v>202</v>
      </c>
      <c r="AF235" s="234" t="s">
        <v>217</v>
      </c>
      <c r="AG235" s="235">
        <v>5</v>
      </c>
      <c r="AH235" s="235">
        <v>32824</v>
      </c>
      <c r="AI235" s="236">
        <v>703</v>
      </c>
      <c r="AJ235" s="236">
        <v>701</v>
      </c>
      <c r="AK235" s="235">
        <v>111</v>
      </c>
      <c r="AL235" s="237">
        <v>128</v>
      </c>
    </row>
    <row r="236">
      <c r="A236" s="216"/>
      <c r="B236" s="217" t="s">
        <v>200</v>
      </c>
      <c r="C236" s="218" t="s">
        <v>218</v>
      </c>
      <c r="D236" s="219">
        <f t="shared" si="471"/>
      </c>
      <c r="E236" s="218">
        <v>1304.67</v>
      </c>
      <c r="F236" s="221">
        <v>3274.03</v>
      </c>
      <c r="G236" s="221">
        <v>788.32</v>
      </c>
      <c r="H236" s="221">
        <v>0.35</v>
      </c>
      <c r="I236" s="221">
        <f t="shared" si="358"/>
      </c>
      <c r="J236" s="222">
        <v>0</v>
      </c>
      <c r="K236" s="223">
        <f t="shared" si="243"/>
      </c>
      <c r="L236" s="223">
        <f t="shared" si="128"/>
      </c>
      <c r="M236" s="224">
        <f t="shared" si="76"/>
      </c>
      <c r="N236" s="225">
        <f t="shared" si="45"/>
      </c>
      <c r="O236" s="226">
        <f t="shared" si="14"/>
      </c>
      <c r="P236" s="227">
        <f t="shared" si="949"/>
      </c>
      <c r="Q236" s="227">
        <f t="shared" si="918"/>
      </c>
      <c r="R236" s="227">
        <f t="shared" si="887"/>
      </c>
      <c r="S236" s="228">
        <f t="shared" si="856"/>
      </c>
      <c r="T236" s="229">
        <f t="shared" si="794"/>
      </c>
      <c r="U236" s="227">
        <f t="shared" si="763"/>
      </c>
      <c r="V236" s="230">
        <f t="shared" si="825"/>
      </c>
      <c r="W236" s="230">
        <f t="shared" si="732"/>
      </c>
      <c r="X236" s="227">
        <f t="shared" si="701"/>
      </c>
      <c r="Y236" s="231">
        <f t="shared" si="576"/>
      </c>
      <c r="Z236" s="231">
        <v>1</v>
      </c>
      <c r="AA236" s="231">
        <v>4</v>
      </c>
      <c r="AB236" s="232">
        <v>5520.960000000001</v>
      </c>
      <c r="AC236" s="232">
        <v>0</v>
      </c>
      <c r="AD236" s="228">
        <f t="shared" si="670"/>
      </c>
      <c r="AE236" s="233" t="s">
        <v>202</v>
      </c>
      <c r="AF236" s="234" t="s">
        <v>217</v>
      </c>
      <c r="AG236" s="235">
        <v>1</v>
      </c>
      <c r="AH236" s="236">
        <v>43617</v>
      </c>
      <c r="AI236" s="236">
        <v>744</v>
      </c>
      <c r="AJ236" s="236">
        <v>754</v>
      </c>
      <c r="AK236" s="237">
        <v>114</v>
      </c>
      <c r="AL236" s="237">
        <v>116</v>
      </c>
    </row>
    <row r="237">
      <c r="A237" s="216"/>
      <c r="B237" s="217" t="s">
        <v>200</v>
      </c>
      <c r="C237" s="218" t="s">
        <v>219</v>
      </c>
      <c r="D237" s="219">
        <f t="shared" si="471"/>
      </c>
      <c r="E237" s="218">
        <v>807.62</v>
      </c>
      <c r="F237" s="218">
        <v>4803.57</v>
      </c>
      <c r="G237" s="218">
        <v>1679.21</v>
      </c>
      <c r="H237" s="218">
        <v>492.7</v>
      </c>
      <c r="I237" s="221">
        <f t="shared" si="358"/>
      </c>
      <c r="J237" s="222">
        <v>6016.68</v>
      </c>
      <c r="K237" s="223">
        <f t="shared" si="243"/>
      </c>
      <c r="L237" s="223">
        <f t="shared" si="128"/>
      </c>
      <c r="M237" s="224">
        <f t="shared" si="76"/>
      </c>
      <c r="N237" s="225">
        <f t="shared" si="45"/>
      </c>
      <c r="O237" s="226">
        <f t="shared" si="14"/>
      </c>
      <c r="P237" s="227">
        <f t="shared" si="949"/>
      </c>
      <c r="Q237" s="227">
        <f t="shared" si="918"/>
      </c>
      <c r="R237" s="227">
        <f t="shared" si="887"/>
      </c>
      <c r="S237" s="228">
        <f t="shared" si="856"/>
      </c>
      <c r="T237" s="229">
        <f t="shared" si="794"/>
      </c>
      <c r="U237" s="227">
        <f t="shared" si="763"/>
      </c>
      <c r="V237" s="230">
        <f t="shared" si="825"/>
      </c>
      <c r="W237" s="230">
        <f t="shared" si="732"/>
      </c>
      <c r="X237" s="227">
        <f t="shared" si="701"/>
      </c>
      <c r="Y237" s="231">
        <f t="shared" si="576"/>
      </c>
      <c r="Z237" s="231">
        <v>9</v>
      </c>
      <c r="AA237" s="231">
        <v>9</v>
      </c>
      <c r="AB237" s="232">
        <v>25815.72</v>
      </c>
      <c r="AC237" s="232">
        <v>0</v>
      </c>
      <c r="AD237" s="228">
        <f t="shared" si="670"/>
      </c>
      <c r="AE237" s="233" t="s">
        <v>202</v>
      </c>
      <c r="AF237" s="234" t="s">
        <v>217</v>
      </c>
      <c r="AG237" s="237">
        <v>7</v>
      </c>
      <c r="AH237" s="236">
        <v>63232</v>
      </c>
      <c r="AI237" s="236">
        <v>1078</v>
      </c>
      <c r="AJ237" s="236">
        <v>1044</v>
      </c>
      <c r="AK237" s="237">
        <v>174</v>
      </c>
      <c r="AL237" s="237">
        <v>224</v>
      </c>
    </row>
    <row r="238">
      <c r="A238" s="216"/>
      <c r="B238" s="217" t="s">
        <v>200</v>
      </c>
      <c r="C238" s="218" t="s">
        <v>220</v>
      </c>
      <c r="D238" s="219">
        <f t="shared" si="471"/>
      </c>
      <c r="E238" s="218">
        <v>575.06</v>
      </c>
      <c r="F238" s="221">
        <v>2121.67</v>
      </c>
      <c r="G238" s="221">
        <v>1486.02</v>
      </c>
      <c r="H238" s="221">
        <v>62.4</v>
      </c>
      <c r="I238" s="221">
        <f t="shared" si="358"/>
      </c>
      <c r="J238" s="222">
        <v>3861.76</v>
      </c>
      <c r="K238" s="223">
        <f t="shared" si="243"/>
      </c>
      <c r="L238" s="223">
        <f t="shared" si="128"/>
      </c>
      <c r="M238" s="224">
        <f t="shared" si="76"/>
      </c>
      <c r="N238" s="225">
        <f t="shared" si="45"/>
      </c>
      <c r="O238" s="226">
        <f t="shared" si="14"/>
      </c>
      <c r="P238" s="227">
        <f t="shared" si="949"/>
      </c>
      <c r="Q238" s="227">
        <f t="shared" si="918"/>
      </c>
      <c r="R238" s="227">
        <f t="shared" si="887"/>
      </c>
      <c r="S238" s="228">
        <f t="shared" si="856"/>
      </c>
      <c r="T238" s="229">
        <f t="shared" si="794"/>
      </c>
      <c r="U238" s="227">
        <f t="shared" si="763"/>
      </c>
      <c r="V238" s="230">
        <f t="shared" si="825"/>
      </c>
      <c r="W238" s="230">
        <f t="shared" si="732"/>
      </c>
      <c r="X238" s="227">
        <f t="shared" si="701"/>
      </c>
      <c r="Y238" s="231">
        <f t="shared" si="576"/>
      </c>
      <c r="Z238" s="231">
        <v>9</v>
      </c>
      <c r="AA238" s="231">
        <v>7</v>
      </c>
      <c r="AB238" s="222">
        <v>7263</v>
      </c>
      <c r="AC238" s="232">
        <v>3934</v>
      </c>
      <c r="AD238" s="228">
        <f t="shared" si="670"/>
      </c>
      <c r="AE238" s="233" t="s">
        <v>202</v>
      </c>
      <c r="AF238" s="234" t="s">
        <v>217</v>
      </c>
      <c r="AG238" s="235">
        <v>6</v>
      </c>
      <c r="AH238" s="236">
        <v>33722</v>
      </c>
      <c r="AI238" s="236">
        <v>875</v>
      </c>
      <c r="AJ238" s="236">
        <v>869</v>
      </c>
      <c r="AK238" s="237">
        <v>144</v>
      </c>
      <c r="AL238" s="237">
        <v>161</v>
      </c>
    </row>
    <row r="239">
      <c r="A239" s="216"/>
      <c r="B239" s="217" t="s">
        <v>200</v>
      </c>
      <c r="C239" s="218" t="s">
        <v>221</v>
      </c>
      <c r="D239" s="219">
        <f t="shared" si="471"/>
      </c>
      <c r="E239" s="218">
        <v>483.59</v>
      </c>
      <c r="F239" s="221">
        <v>1335.16</v>
      </c>
      <c r="G239" s="221">
        <v>1474.94</v>
      </c>
      <c r="H239" s="221">
        <v>91.84</v>
      </c>
      <c r="I239" s="238">
        <f t="shared" si="358"/>
      </c>
      <c r="J239" s="222">
        <v>0</v>
      </c>
      <c r="K239" s="223">
        <f t="shared" si="243"/>
      </c>
      <c r="L239" s="223">
        <f t="shared" si="128"/>
      </c>
      <c r="M239" s="224">
        <f t="shared" si="76"/>
      </c>
      <c r="N239" s="225">
        <f t="shared" si="45"/>
      </c>
      <c r="O239" s="226">
        <f t="shared" si="14"/>
      </c>
      <c r="P239" s="227">
        <f t="shared" si="949"/>
      </c>
      <c r="Q239" s="227">
        <f t="shared" si="918"/>
      </c>
      <c r="R239" s="227">
        <f t="shared" si="887"/>
      </c>
      <c r="S239" s="228">
        <f t="shared" si="856"/>
      </c>
      <c r="T239" s="229">
        <f t="shared" si="794"/>
      </c>
      <c r="U239" s="227">
        <f t="shared" si="763"/>
      </c>
      <c r="V239" s="230">
        <f t="shared" si="825"/>
      </c>
      <c r="W239" s="230">
        <f t="shared" si="732"/>
      </c>
      <c r="X239" s="227">
        <f t="shared" si="701"/>
      </c>
      <c r="Y239" s="231">
        <f t="shared" si="576"/>
      </c>
      <c r="Z239" s="231">
        <v>5</v>
      </c>
      <c r="AA239" s="231">
        <v>4</v>
      </c>
      <c r="AB239" s="232">
        <v>3681.72</v>
      </c>
      <c r="AC239" s="232">
        <v>0</v>
      </c>
      <c r="AD239" s="228">
        <f t="shared" si="670"/>
      </c>
      <c r="AE239" s="233" t="s">
        <v>202</v>
      </c>
      <c r="AF239" s="234" t="s">
        <v>217</v>
      </c>
      <c r="AG239" s="235">
        <v>6</v>
      </c>
      <c r="AH239" s="236">
        <v>33005</v>
      </c>
      <c r="AI239" s="236">
        <v>878</v>
      </c>
      <c r="AJ239" s="236">
        <v>865</v>
      </c>
      <c r="AK239" s="237">
        <v>146</v>
      </c>
      <c r="AL239" s="237">
        <v>160</v>
      </c>
    </row>
    <row r="240">
      <c r="A240" s="216"/>
      <c r="B240" s="239" t="s">
        <v>208</v>
      </c>
      <c r="C240" s="240">
        <v>5</v>
      </c>
      <c r="D240" s="241">
        <f>SUM(D235:D239)</f>
      </c>
      <c r="E240" s="241">
        <f>SUM(E235:E239)</f>
      </c>
      <c r="F240" s="241">
        <f>SUM(F235:F239)</f>
      </c>
      <c r="G240" s="241">
        <f>SUM(G235:G239)</f>
      </c>
      <c r="H240" s="241">
        <f>SUM(H235:H239)</f>
      </c>
      <c r="I240" s="259">
        <f>SUM(I235:I239)</f>
      </c>
      <c r="J240" s="241">
        <f>SUM(J235:J239)</f>
      </c>
      <c r="K240" s="241">
        <f>SUM(K235:K239)</f>
      </c>
      <c r="L240" s="241">
        <f>SUM(L235:L239)</f>
      </c>
      <c r="M240" s="242">
        <f t="shared" si="76"/>
      </c>
      <c r="N240" s="243">
        <f t="shared" si="45"/>
      </c>
      <c r="O240" s="243">
        <f t="shared" si="14"/>
      </c>
      <c r="P240" s="244">
        <f t="shared" si="949"/>
      </c>
      <c r="Q240" s="244">
        <f t="shared" si="918"/>
      </c>
      <c r="R240" s="244">
        <f t="shared" si="887"/>
      </c>
      <c r="S240" s="245">
        <f t="shared" si="856"/>
      </c>
      <c r="T240" s="245">
        <f t="shared" si="794"/>
      </c>
      <c r="U240" s="244">
        <f t="shared" si="763"/>
      </c>
      <c r="V240" s="245">
        <f t="shared" si="825"/>
      </c>
      <c r="W240" s="245">
        <f t="shared" si="732"/>
      </c>
      <c r="X240" s="244">
        <f t="shared" si="701"/>
      </c>
      <c r="Y240" s="241">
        <f>SUM(Y235:Y239)</f>
      </c>
      <c r="Z240" s="241">
        <f>SUM(Z235:Z239)</f>
      </c>
      <c r="AA240" s="241">
        <f>SUM(AA235:AA239)</f>
      </c>
      <c r="AB240" s="241">
        <f>SUM(AB235:AB239)</f>
      </c>
      <c r="AC240" s="241">
        <f>SUM(AC235:AC239)</f>
      </c>
      <c r="AD240" s="246">
        <f t="shared" si="670"/>
      </c>
      <c r="AE240" s="247"/>
      <c r="AF240" s="248"/>
      <c r="AG240" s="241">
        <f>SUM(AG235:AG239)</f>
      </c>
      <c r="AH240" s="241">
        <f>SUM(AH235:AH239)</f>
      </c>
      <c r="AI240" s="241">
        <f>SUM(AI235:AI239)</f>
      </c>
      <c r="AJ240" s="241">
        <f>SUM(AJ235:AJ239)</f>
      </c>
      <c r="AK240" s="241">
        <f>SUM(AK235:AK239)</f>
      </c>
      <c r="AL240" s="241">
        <f>SUM(AL235:AL239)</f>
      </c>
    </row>
    <row r="241">
      <c r="A241" s="216"/>
      <c r="B241" s="217" t="s">
        <v>209</v>
      </c>
      <c r="C241" s="218" t="s">
        <v>201</v>
      </c>
      <c r="D241" s="219">
        <f t="shared" ref="D241:D244" si="472">E241+F241+G241+H241</f>
      </c>
      <c r="E241" s="220">
        <v>628.01</v>
      </c>
      <c r="F241" s="221">
        <v>2734.61</v>
      </c>
      <c r="G241" s="221">
        <v>1475.86</v>
      </c>
      <c r="H241" s="221">
        <v>14.17</v>
      </c>
      <c r="I241" s="221">
        <f t="shared" ref="I241:I244" si="359">AB241+AC241</f>
      </c>
      <c r="J241" s="222">
        <v>0</v>
      </c>
      <c r="K241" s="223">
        <f t="shared" ref="K241:K244" si="244">I241-J241</f>
      </c>
      <c r="L241" s="223">
        <f t="shared" ref="L241:L244" si="129">(I241-AC241)/12+AC241</f>
      </c>
      <c r="M241" s="224">
        <f t="shared" si="76"/>
      </c>
      <c r="N241" s="225">
        <f t="shared" si="45"/>
      </c>
      <c r="O241" s="226">
        <f t="shared" si="14"/>
      </c>
      <c r="P241" s="227">
        <f t="shared" si="949"/>
      </c>
      <c r="Q241" s="227">
        <f t="shared" si="918"/>
      </c>
      <c r="R241" s="227">
        <f t="shared" si="887"/>
      </c>
      <c r="S241" s="228">
        <f t="shared" si="856"/>
      </c>
      <c r="T241" s="229">
        <f t="shared" si="794"/>
      </c>
      <c r="U241" s="227">
        <f t="shared" si="763"/>
      </c>
      <c r="V241" s="230">
        <f t="shared" si="825"/>
      </c>
      <c r="W241" s="230">
        <f t="shared" si="732"/>
      </c>
      <c r="X241" s="227">
        <f t="shared" si="701"/>
      </c>
      <c r="Y241" s="231">
        <f t="shared" ref="Y241:Y244" si="577">Z241+AA241</f>
      </c>
      <c r="Z241" s="231">
        <v>2</v>
      </c>
      <c r="AA241" s="231">
        <v>1</v>
      </c>
      <c r="AB241" s="232">
        <v>3556.3199999999924</v>
      </c>
      <c r="AC241" s="232">
        <v>0</v>
      </c>
      <c r="AD241" s="228">
        <f t="shared" si="670"/>
      </c>
      <c r="AE241" s="233" t="s">
        <v>202</v>
      </c>
      <c r="AF241" s="234" t="s">
        <v>217</v>
      </c>
      <c r="AG241" s="235">
        <v>2</v>
      </c>
      <c r="AH241" s="236">
        <v>32610</v>
      </c>
      <c r="AI241" s="236">
        <v>759</v>
      </c>
      <c r="AJ241" s="236">
        <v>750</v>
      </c>
      <c r="AK241" s="235">
        <v>111</v>
      </c>
      <c r="AL241" s="235">
        <v>169</v>
      </c>
    </row>
    <row r="242">
      <c r="A242" s="216"/>
      <c r="B242" s="217" t="s">
        <v>209</v>
      </c>
      <c r="C242" s="218" t="s">
        <v>204</v>
      </c>
      <c r="D242" s="219">
        <f t="shared" si="472"/>
      </c>
      <c r="E242" s="218">
        <v>583.79</v>
      </c>
      <c r="F242" s="221">
        <v>2344.33</v>
      </c>
      <c r="G242" s="221">
        <v>1046.34</v>
      </c>
      <c r="H242" s="221">
        <v>25.47</v>
      </c>
      <c r="I242" s="221">
        <f t="shared" si="359"/>
      </c>
      <c r="J242" s="222">
        <v>2819.88</v>
      </c>
      <c r="K242" s="223">
        <f t="shared" si="244"/>
      </c>
      <c r="L242" s="223">
        <f t="shared" si="129"/>
      </c>
      <c r="M242" s="224">
        <f t="shared" si="76"/>
      </c>
      <c r="N242" s="225">
        <f t="shared" si="45"/>
      </c>
      <c r="O242" s="226">
        <f t="shared" si="14"/>
      </c>
      <c r="P242" s="227">
        <f t="shared" si="949"/>
      </c>
      <c r="Q242" s="227">
        <f t="shared" si="918"/>
      </c>
      <c r="R242" s="227">
        <f t="shared" si="887"/>
      </c>
      <c r="S242" s="228">
        <f t="shared" si="856"/>
      </c>
      <c r="T242" s="229">
        <f t="shared" si="794"/>
      </c>
      <c r="U242" s="227">
        <f t="shared" si="763"/>
      </c>
      <c r="V242" s="230">
        <f t="shared" si="825"/>
      </c>
      <c r="W242" s="230">
        <f t="shared" si="732"/>
      </c>
      <c r="X242" s="227">
        <f t="shared" si="701"/>
      </c>
      <c r="Y242" s="231">
        <f t="shared" si="577"/>
      </c>
      <c r="Z242" s="231">
        <v>1</v>
      </c>
      <c r="AA242" s="231">
        <v>3</v>
      </c>
      <c r="AB242" s="232">
        <v>7649.639999999999</v>
      </c>
      <c r="AC242" s="232">
        <v>0</v>
      </c>
      <c r="AD242" s="228">
        <f t="shared" si="670"/>
      </c>
      <c r="AE242" s="233" t="s">
        <v>202</v>
      </c>
      <c r="AF242" s="234" t="s">
        <v>217</v>
      </c>
      <c r="AG242" s="235">
        <v>3</v>
      </c>
      <c r="AH242" s="236">
        <v>31170</v>
      </c>
      <c r="AI242" s="236">
        <v>631</v>
      </c>
      <c r="AJ242" s="236">
        <v>646</v>
      </c>
      <c r="AK242" s="237">
        <v>116</v>
      </c>
      <c r="AL242" s="237">
        <v>121</v>
      </c>
    </row>
    <row r="243">
      <c r="A243" s="216"/>
      <c r="B243" s="217" t="s">
        <v>209</v>
      </c>
      <c r="C243" s="218" t="s">
        <v>205</v>
      </c>
      <c r="D243" s="219">
        <f t="shared" si="472"/>
      </c>
      <c r="E243" s="218">
        <v>314.24</v>
      </c>
      <c r="F243" s="218">
        <v>3710.92</v>
      </c>
      <c r="G243" s="218">
        <v>218.74</v>
      </c>
      <c r="H243" s="218">
        <v>68.03</v>
      </c>
      <c r="I243" s="221">
        <f t="shared" si="359"/>
      </c>
      <c r="J243" s="222">
        <v>0</v>
      </c>
      <c r="K243" s="223">
        <f t="shared" si="244"/>
      </c>
      <c r="L243" s="223">
        <f t="shared" si="129"/>
      </c>
      <c r="M243" s="224">
        <f t="shared" si="76"/>
      </c>
      <c r="N243" s="225">
        <f t="shared" si="45"/>
      </c>
      <c r="O243" s="226">
        <f t="shared" si="14"/>
      </c>
      <c r="P243" s="227">
        <f t="shared" si="949"/>
      </c>
      <c r="Q243" s="227">
        <f t="shared" si="918"/>
      </c>
      <c r="R243" s="227">
        <f t="shared" si="887"/>
      </c>
      <c r="S243" s="228">
        <f t="shared" si="856"/>
      </c>
      <c r="T243" s="229">
        <f t="shared" si="794"/>
      </c>
      <c r="U243" s="227">
        <f t="shared" si="763"/>
      </c>
      <c r="V243" s="230">
        <f t="shared" si="825"/>
      </c>
      <c r="W243" s="230">
        <f t="shared" si="732"/>
      </c>
      <c r="X243" s="227">
        <f t="shared" si="701"/>
      </c>
      <c r="Y243" s="231">
        <f t="shared" si="577"/>
      </c>
      <c r="Z243" s="231">
        <v>2</v>
      </c>
      <c r="AA243" s="231">
        <v>3</v>
      </c>
      <c r="AB243" s="232">
        <v>5261.400000000009</v>
      </c>
      <c r="AC243" s="232">
        <v>0</v>
      </c>
      <c r="AD243" s="228">
        <f t="shared" si="670"/>
      </c>
      <c r="AE243" s="233" t="s">
        <v>202</v>
      </c>
      <c r="AF243" s="234" t="s">
        <v>203</v>
      </c>
      <c r="AG243" s="237">
        <v>3</v>
      </c>
      <c r="AH243" s="236">
        <v>34022</v>
      </c>
      <c r="AI243" s="236">
        <v>605</v>
      </c>
      <c r="AJ243" s="236">
        <v>601</v>
      </c>
      <c r="AK243" s="237">
        <v>78</v>
      </c>
      <c r="AL243" s="237">
        <v>123</v>
      </c>
    </row>
    <row r="244">
      <c r="A244" s="216"/>
      <c r="B244" s="217" t="s">
        <v>209</v>
      </c>
      <c r="C244" s="218" t="s">
        <v>206</v>
      </c>
      <c r="D244" s="219">
        <f t="shared" si="472"/>
      </c>
      <c r="E244" s="218">
        <v>212.21</v>
      </c>
      <c r="F244" s="221">
        <v>4944.12</v>
      </c>
      <c r="G244" s="221">
        <v>362.28</v>
      </c>
      <c r="H244" s="221">
        <v>50.52</v>
      </c>
      <c r="I244" s="221">
        <f t="shared" si="359"/>
      </c>
      <c r="J244" s="222">
        <v>1551.96</v>
      </c>
      <c r="K244" s="223">
        <f t="shared" si="244"/>
      </c>
      <c r="L244" s="223">
        <f t="shared" si="129"/>
      </c>
      <c r="M244" s="224">
        <f t="shared" si="76"/>
      </c>
      <c r="N244" s="225">
        <f t="shared" si="45"/>
      </c>
      <c r="O244" s="226">
        <f t="shared" si="14"/>
      </c>
      <c r="P244" s="227">
        <f t="shared" si="949"/>
      </c>
      <c r="Q244" s="227">
        <f t="shared" si="918"/>
      </c>
      <c r="R244" s="227">
        <f t="shared" si="887"/>
      </c>
      <c r="S244" s="228">
        <f t="shared" si="856"/>
      </c>
      <c r="T244" s="229">
        <f t="shared" si="794"/>
      </c>
      <c r="U244" s="227">
        <f t="shared" si="763"/>
      </c>
      <c r="V244" s="230">
        <f t="shared" si="825"/>
      </c>
      <c r="W244" s="230">
        <f t="shared" si="732"/>
      </c>
      <c r="X244" s="227">
        <f t="shared" si="701"/>
      </c>
      <c r="Y244" s="231">
        <f t="shared" si="577"/>
      </c>
      <c r="Z244" s="231">
        <v>6</v>
      </c>
      <c r="AA244" s="231">
        <v>6</v>
      </c>
      <c r="AB244" s="222">
        <v>18393.959999999992</v>
      </c>
      <c r="AC244" s="232">
        <v>0</v>
      </c>
      <c r="AD244" s="228">
        <f t="shared" si="670"/>
      </c>
      <c r="AE244" s="233" t="s">
        <v>202</v>
      </c>
      <c r="AF244" s="234" t="s">
        <v>203</v>
      </c>
      <c r="AG244" s="235">
        <v>5</v>
      </c>
      <c r="AH244" s="236">
        <v>51303</v>
      </c>
      <c r="AI244" s="236">
        <v>785</v>
      </c>
      <c r="AJ244" s="236">
        <v>751</v>
      </c>
      <c r="AK244" s="237">
        <v>108</v>
      </c>
      <c r="AL244" s="237">
        <v>153</v>
      </c>
    </row>
    <row r="245">
      <c r="A245" s="216"/>
      <c r="B245" s="239" t="s">
        <v>208</v>
      </c>
      <c r="C245" s="240">
        <v>4</v>
      </c>
      <c r="D245" s="241">
        <f>SUM(D241:D244)</f>
      </c>
      <c r="E245" s="241">
        <f>SUM(E241:E244)</f>
      </c>
      <c r="F245" s="241">
        <f>SUM(F241:F244)</f>
      </c>
      <c r="G245" s="241">
        <f>SUM(G241:G244)</f>
      </c>
      <c r="H245" s="241">
        <f>SUM(H241:H244)</f>
      </c>
      <c r="I245" s="241">
        <f>SUM(I241:I244)</f>
      </c>
      <c r="J245" s="241">
        <f>SUM(J241:J244)</f>
      </c>
      <c r="K245" s="241">
        <f>SUM(K241:K244)</f>
      </c>
      <c r="L245" s="241">
        <f>SUM(L241:L244)</f>
      </c>
      <c r="M245" s="242">
        <f t="shared" si="76"/>
      </c>
      <c r="N245" s="243">
        <f t="shared" si="45"/>
      </c>
      <c r="O245" s="243">
        <f t="shared" si="14"/>
      </c>
      <c r="P245" s="244">
        <f t="shared" si="949"/>
      </c>
      <c r="Q245" s="244">
        <f t="shared" si="918"/>
      </c>
      <c r="R245" s="244">
        <f t="shared" si="887"/>
      </c>
      <c r="S245" s="245">
        <f t="shared" si="856"/>
      </c>
      <c r="T245" s="245">
        <f t="shared" si="794"/>
      </c>
      <c r="U245" s="244">
        <f t="shared" si="763"/>
      </c>
      <c r="V245" s="245">
        <f t="shared" si="825"/>
      </c>
      <c r="W245" s="245">
        <f t="shared" si="732"/>
      </c>
      <c r="X245" s="244">
        <f t="shared" si="701"/>
      </c>
      <c r="Y245" s="241">
        <f>SUM(Y241:Y244)</f>
      </c>
      <c r="Z245" s="241">
        <f>SUM(Z241:Z244)</f>
      </c>
      <c r="AA245" s="241">
        <f>SUM(AA241:AA244)</f>
      </c>
      <c r="AB245" s="241">
        <f>SUM(AB241:AB244)</f>
      </c>
      <c r="AC245" s="241">
        <f>SUM(AC241:AC244)</f>
      </c>
      <c r="AD245" s="246">
        <f t="shared" si="670"/>
      </c>
      <c r="AE245" s="247"/>
      <c r="AF245" s="248"/>
      <c r="AG245" s="241">
        <f>SUM(AG241:AG244)</f>
      </c>
      <c r="AH245" s="241">
        <f>SUM(AH241:AH244)</f>
      </c>
      <c r="AI245" s="241">
        <f>SUM(AI241:AI244)</f>
      </c>
      <c r="AJ245" s="241">
        <f>SUM(AJ241:AJ244)</f>
      </c>
      <c r="AK245" s="241">
        <f>SUM(AK241:AK244)</f>
      </c>
      <c r="AL245" s="241">
        <f>SUM(AL241:AL244)</f>
      </c>
    </row>
    <row r="246">
      <c r="A246" s="216"/>
      <c r="B246" s="217" t="s">
        <v>226</v>
      </c>
      <c r="C246" s="218" t="s">
        <v>207</v>
      </c>
      <c r="D246" s="219">
        <f t="shared" ref="D246:D247" si="473">E246+F246+G246+H246</f>
      </c>
      <c r="E246" s="218">
        <v>126.4</v>
      </c>
      <c r="F246" s="249">
        <v>2761.14</v>
      </c>
      <c r="G246" s="221">
        <v>779.4</v>
      </c>
      <c r="H246" s="221">
        <v>72.99</v>
      </c>
      <c r="I246" s="250">
        <f t="shared" ref="I246:I247" si="360">AB246+AC246</f>
      </c>
      <c r="J246" s="251">
        <v>0</v>
      </c>
      <c r="K246" s="223">
        <f t="shared" ref="K246:K247" si="245">I246-J246</f>
      </c>
      <c r="L246" s="223">
        <f t="shared" ref="L246:L247" si="130">(I246-AC246)/12+AC246</f>
      </c>
      <c r="M246" s="224">
        <f t="shared" si="76"/>
      </c>
      <c r="N246" s="225">
        <f t="shared" si="45"/>
      </c>
      <c r="O246" s="226">
        <f t="shared" si="14"/>
      </c>
      <c r="P246" s="227">
        <f t="shared" si="949"/>
      </c>
      <c r="Q246" s="227">
        <f t="shared" si="918"/>
      </c>
      <c r="R246" s="227">
        <f t="shared" si="887"/>
      </c>
      <c r="S246" s="228">
        <f t="shared" si="856"/>
      </c>
      <c r="T246" s="229">
        <f t="shared" si="794"/>
      </c>
      <c r="U246" s="227">
        <f t="shared" si="763"/>
      </c>
      <c r="V246" s="230">
        <f t="shared" si="825"/>
      </c>
      <c r="W246" s="230">
        <f t="shared" si="732"/>
      </c>
      <c r="X246" s="227">
        <f t="shared" si="701"/>
      </c>
      <c r="Y246" s="231">
        <f t="shared" ref="Y246:Y247" si="578">Z246+AA246</f>
      </c>
      <c r="Z246" s="231">
        <v>0</v>
      </c>
      <c r="AA246" s="231">
        <v>2</v>
      </c>
      <c r="AB246" s="232">
        <v>3118.5599999999977</v>
      </c>
      <c r="AC246" s="232">
        <v>0</v>
      </c>
      <c r="AD246" s="228">
        <f t="shared" si="670"/>
      </c>
      <c r="AE246" s="233" t="s">
        <v>202</v>
      </c>
      <c r="AF246" s="234" t="s">
        <v>203</v>
      </c>
      <c r="AG246" s="235">
        <v>2</v>
      </c>
      <c r="AH246" s="236">
        <v>33951</v>
      </c>
      <c r="AI246" s="236">
        <v>664</v>
      </c>
      <c r="AJ246" s="236">
        <v>662</v>
      </c>
      <c r="AK246" s="237">
        <v>87</v>
      </c>
      <c r="AL246" s="237">
        <v>114</v>
      </c>
    </row>
    <row r="247">
      <c r="A247" s="216"/>
      <c r="B247" s="217" t="s">
        <v>226</v>
      </c>
      <c r="C247" s="218" t="s">
        <v>210</v>
      </c>
      <c r="D247" s="219">
        <f t="shared" si="473"/>
      </c>
      <c r="E247" s="218">
        <v>300.79</v>
      </c>
      <c r="F247" s="249">
        <v>2340.98</v>
      </c>
      <c r="G247" s="221">
        <v>673.82</v>
      </c>
      <c r="H247" s="221">
        <v>67.13</v>
      </c>
      <c r="I247" s="250">
        <f t="shared" si="360"/>
      </c>
      <c r="J247" s="251">
        <v>0</v>
      </c>
      <c r="K247" s="223">
        <f t="shared" si="245"/>
      </c>
      <c r="L247" s="223">
        <f t="shared" si="130"/>
      </c>
      <c r="M247" s="224">
        <f t="shared" si="76"/>
      </c>
      <c r="N247" s="225">
        <f t="shared" si="45"/>
      </c>
      <c r="O247" s="226">
        <f t="shared" si="14"/>
      </c>
      <c r="P247" s="227">
        <f t="shared" si="949"/>
      </c>
      <c r="Q247" s="227">
        <f t="shared" si="918"/>
      </c>
      <c r="R247" s="227">
        <f t="shared" si="887"/>
      </c>
      <c r="S247" s="228">
        <f t="shared" si="856"/>
      </c>
      <c r="T247" s="229">
        <f t="shared" si="794"/>
      </c>
      <c r="U247" s="227">
        <f t="shared" si="763"/>
      </c>
      <c r="V247" s="230">
        <f t="shared" si="825"/>
      </c>
      <c r="W247" s="230">
        <f t="shared" si="732"/>
      </c>
      <c r="X247" s="227">
        <f t="shared" si="701"/>
      </c>
      <c r="Y247" s="231">
        <f t="shared" si="578"/>
      </c>
      <c r="Z247" s="231">
        <v>4</v>
      </c>
      <c r="AA247" s="231">
        <v>3</v>
      </c>
      <c r="AB247" s="232">
        <v>6511.320000000007</v>
      </c>
      <c r="AC247" s="232">
        <v>0</v>
      </c>
      <c r="AD247" s="228">
        <f t="shared" si="670"/>
      </c>
      <c r="AE247" s="233" t="s">
        <v>202</v>
      </c>
      <c r="AF247" s="234" t="s">
        <v>203</v>
      </c>
      <c r="AG247" s="235">
        <v>2</v>
      </c>
      <c r="AH247" s="236">
        <v>26038</v>
      </c>
      <c r="AI247" s="236">
        <v>673</v>
      </c>
      <c r="AJ247" s="236">
        <v>634</v>
      </c>
      <c r="AK247" s="237">
        <v>79</v>
      </c>
      <c r="AL247" s="237">
        <v>111</v>
      </c>
    </row>
    <row r="248">
      <c r="A248" s="216"/>
      <c r="B248" s="239" t="s">
        <v>208</v>
      </c>
      <c r="C248" s="240">
        <v>2</v>
      </c>
      <c r="D248" s="241">
        <f>SUM(D246:D247)</f>
      </c>
      <c r="E248" s="241">
        <f>SUM(E246:E247)</f>
      </c>
      <c r="F248" s="241">
        <f>SUM(F246:F247)</f>
      </c>
      <c r="G248" s="241">
        <f>SUM(G246:G247)</f>
      </c>
      <c r="H248" s="241">
        <f>SUM(H246:H247)</f>
      </c>
      <c r="I248" s="241">
        <f>SUM(I246:I247)</f>
      </c>
      <c r="J248" s="241">
        <f>SUM(J246:J247)</f>
      </c>
      <c r="K248" s="241">
        <f>SUM(K246:K247)</f>
      </c>
      <c r="L248" s="241">
        <f>SUM(L246:L247)</f>
      </c>
      <c r="M248" s="242">
        <f t="shared" si="76"/>
      </c>
      <c r="N248" s="243">
        <f t="shared" si="45"/>
      </c>
      <c r="O248" s="243">
        <f t="shared" si="14"/>
      </c>
      <c r="P248" s="244">
        <f t="shared" si="949"/>
      </c>
      <c r="Q248" s="244">
        <f t="shared" si="918"/>
      </c>
      <c r="R248" s="244">
        <f t="shared" si="887"/>
      </c>
      <c r="S248" s="245">
        <f t="shared" si="856"/>
      </c>
      <c r="T248" s="245">
        <f t="shared" si="794"/>
      </c>
      <c r="U248" s="244">
        <f t="shared" si="763"/>
      </c>
      <c r="V248" s="245">
        <f t="shared" si="825"/>
      </c>
      <c r="W248" s="245">
        <f t="shared" si="732"/>
      </c>
      <c r="X248" s="244">
        <f t="shared" si="701"/>
      </c>
      <c r="Y248" s="241">
        <f>SUM(Y246:Y247)</f>
      </c>
      <c r="Z248" s="241">
        <f>SUM(Z246:Z247)</f>
      </c>
      <c r="AA248" s="241">
        <f>SUM(AA246:AA247)</f>
      </c>
      <c r="AB248" s="241">
        <f>SUM(AB246:AB247)</f>
      </c>
      <c r="AC248" s="241">
        <f>SUM(AC246:AC247)</f>
      </c>
      <c r="AD248" s="246">
        <f t="shared" si="670"/>
      </c>
      <c r="AE248" s="247"/>
      <c r="AF248" s="248"/>
      <c r="AG248" s="241">
        <f>SUM(AG246:AG247)</f>
      </c>
      <c r="AH248" s="241">
        <f>SUM(AH246:AH247)</f>
      </c>
      <c r="AI248" s="241">
        <f>SUM(AI246:AI247)</f>
      </c>
      <c r="AJ248" s="241">
        <f>SUM(AJ246:AJ247)</f>
      </c>
      <c r="AK248" s="241">
        <f>SUM(AK246:AK247)</f>
      </c>
      <c r="AL248" s="241">
        <f>SUM(AL246:AL247)</f>
      </c>
    </row>
    <row r="249">
      <c r="A249" s="216"/>
      <c r="B249" s="217" t="s">
        <v>224</v>
      </c>
      <c r="C249" s="252" t="s">
        <v>211</v>
      </c>
      <c r="D249" s="219">
        <f t="shared" ref="D249:D252" si="474">E249+F249+G249+H249</f>
      </c>
      <c r="E249" s="218">
        <v>400.43</v>
      </c>
      <c r="F249" s="249">
        <v>4934.69</v>
      </c>
      <c r="G249" s="221">
        <v>552.45</v>
      </c>
      <c r="H249" s="221">
        <v>122.19</v>
      </c>
      <c r="I249" s="250">
        <f t="shared" ref="I249:I252" si="361">AB249+AC249</f>
      </c>
      <c r="J249" s="251">
        <v>0</v>
      </c>
      <c r="K249" s="223">
        <f t="shared" ref="K249:K252" si="246">I249-J249</f>
      </c>
      <c r="L249" s="223">
        <f t="shared" ref="L249:L252" si="131">(I249-AC249)/12+AC249</f>
      </c>
      <c r="M249" s="224">
        <f t="shared" si="76"/>
      </c>
      <c r="N249" s="225">
        <f t="shared" si="45"/>
      </c>
      <c r="O249" s="226">
        <f t="shared" si="14"/>
      </c>
      <c r="P249" s="227">
        <f t="shared" si="949"/>
      </c>
      <c r="Q249" s="227">
        <f t="shared" si="918"/>
      </c>
      <c r="R249" s="227">
        <f t="shared" si="887"/>
      </c>
      <c r="S249" s="228">
        <f t="shared" si="856"/>
      </c>
      <c r="T249" s="229">
        <f t="shared" si="794"/>
      </c>
      <c r="U249" s="227">
        <f t="shared" si="763"/>
      </c>
      <c r="V249" s="230">
        <f t="shared" si="825"/>
      </c>
      <c r="W249" s="230">
        <f t="shared" si="732"/>
      </c>
      <c r="X249" s="227">
        <f t="shared" si="701"/>
      </c>
      <c r="Y249" s="231">
        <f t="shared" ref="Y249:Y252" si="579">Z249+AA249</f>
      </c>
      <c r="Z249" s="231">
        <v>3</v>
      </c>
      <c r="AA249" s="231">
        <v>5</v>
      </c>
      <c r="AB249" s="232">
        <v>6210</v>
      </c>
      <c r="AC249" s="232">
        <v>899</v>
      </c>
      <c r="AD249" s="228">
        <f t="shared" si="670"/>
      </c>
      <c r="AE249" s="233" t="s">
        <v>202</v>
      </c>
      <c r="AF249" s="234" t="s">
        <v>203</v>
      </c>
      <c r="AG249" s="235">
        <v>6</v>
      </c>
      <c r="AH249" s="236">
        <v>47038</v>
      </c>
      <c r="AI249" s="236">
        <v>925</v>
      </c>
      <c r="AJ249" s="236">
        <v>900</v>
      </c>
      <c r="AK249" s="237">
        <v>129</v>
      </c>
      <c r="AL249" s="237">
        <v>167</v>
      </c>
    </row>
    <row r="250">
      <c r="A250" s="216"/>
      <c r="B250" s="217" t="s">
        <v>224</v>
      </c>
      <c r="C250" s="252" t="s">
        <v>212</v>
      </c>
      <c r="D250" s="219">
        <f t="shared" si="474"/>
      </c>
      <c r="E250" s="218">
        <v>489.11</v>
      </c>
      <c r="F250" s="249">
        <v>5209.64</v>
      </c>
      <c r="G250" s="221">
        <v>1923</v>
      </c>
      <c r="H250" s="221">
        <v>148.04</v>
      </c>
      <c r="I250" s="250">
        <f t="shared" si="361"/>
      </c>
      <c r="J250" s="251">
        <v>1735.56</v>
      </c>
      <c r="K250" s="223">
        <f t="shared" si="246"/>
      </c>
      <c r="L250" s="223">
        <f t="shared" si="131"/>
      </c>
      <c r="M250" s="224">
        <f t="shared" si="76"/>
      </c>
      <c r="N250" s="225">
        <f t="shared" si="45"/>
      </c>
      <c r="O250" s="226">
        <f t="shared" si="14"/>
      </c>
      <c r="P250" s="227">
        <f t="shared" si="949"/>
      </c>
      <c r="Q250" s="227">
        <f t="shared" si="918"/>
      </c>
      <c r="R250" s="227">
        <f t="shared" si="887"/>
      </c>
      <c r="S250" s="228">
        <f t="shared" si="856"/>
      </c>
      <c r="T250" s="229">
        <f t="shared" si="794"/>
      </c>
      <c r="U250" s="227">
        <f t="shared" si="763"/>
      </c>
      <c r="V250" s="230">
        <f t="shared" si="825"/>
      </c>
      <c r="W250" s="230">
        <f t="shared" si="732"/>
      </c>
      <c r="X250" s="227">
        <f t="shared" si="701"/>
      </c>
      <c r="Y250" s="231">
        <f t="shared" si="579"/>
      </c>
      <c r="Z250" s="231">
        <v>3</v>
      </c>
      <c r="AA250" s="231">
        <v>3</v>
      </c>
      <c r="AB250" s="232">
        <v>9567.959999999992</v>
      </c>
      <c r="AC250" s="232">
        <v>0</v>
      </c>
      <c r="AD250" s="228">
        <f t="shared" si="670"/>
      </c>
      <c r="AE250" s="233" t="s">
        <v>202</v>
      </c>
      <c r="AF250" s="234" t="s">
        <v>203</v>
      </c>
      <c r="AG250" s="235">
        <v>3</v>
      </c>
      <c r="AH250" s="236">
        <v>72506</v>
      </c>
      <c r="AI250" s="236">
        <v>1481</v>
      </c>
      <c r="AJ250" s="236">
        <v>1467</v>
      </c>
      <c r="AK250" s="237">
        <v>185</v>
      </c>
      <c r="AL250" s="237">
        <v>223</v>
      </c>
    </row>
    <row r="251">
      <c r="A251" s="216"/>
      <c r="B251" s="217" t="s">
        <v>224</v>
      </c>
      <c r="C251" s="218" t="s">
        <v>213</v>
      </c>
      <c r="D251" s="219">
        <f t="shared" si="474"/>
      </c>
      <c r="E251" s="218">
        <v>295.22</v>
      </c>
      <c r="F251" s="249">
        <v>4340.36</v>
      </c>
      <c r="G251" s="218">
        <v>773.8</v>
      </c>
      <c r="H251" s="218">
        <v>251.83</v>
      </c>
      <c r="I251" s="250">
        <f t="shared" si="361"/>
      </c>
      <c r="J251" s="251">
        <v>0</v>
      </c>
      <c r="K251" s="223">
        <f t="shared" si="246"/>
      </c>
      <c r="L251" s="223">
        <f t="shared" si="131"/>
      </c>
      <c r="M251" s="224">
        <f t="shared" si="76"/>
      </c>
      <c r="N251" s="225">
        <f t="shared" si="45"/>
      </c>
      <c r="O251" s="226">
        <f t="shared" si="14"/>
      </c>
      <c r="P251" s="227">
        <f t="shared" si="949"/>
      </c>
      <c r="Q251" s="227">
        <f t="shared" si="918"/>
      </c>
      <c r="R251" s="227">
        <f t="shared" si="887"/>
      </c>
      <c r="S251" s="228">
        <f t="shared" si="856"/>
      </c>
      <c r="T251" s="229">
        <f t="shared" si="794"/>
      </c>
      <c r="U251" s="227">
        <f t="shared" si="763"/>
      </c>
      <c r="V251" s="230">
        <f t="shared" si="825"/>
      </c>
      <c r="W251" s="230">
        <f t="shared" si="732"/>
      </c>
      <c r="X251" s="227">
        <f t="shared" si="701"/>
      </c>
      <c r="Y251" s="231">
        <f t="shared" si="579"/>
      </c>
      <c r="Z251" s="231">
        <v>1</v>
      </c>
      <c r="AA251" s="231">
        <v>6</v>
      </c>
      <c r="AB251" s="232">
        <v>6851.520000000004</v>
      </c>
      <c r="AC251" s="232">
        <v>584</v>
      </c>
      <c r="AD251" s="228">
        <f t="shared" si="670"/>
      </c>
      <c r="AE251" s="233" t="s">
        <v>202</v>
      </c>
      <c r="AF251" s="234" t="s">
        <v>203</v>
      </c>
      <c r="AG251" s="237">
        <v>6</v>
      </c>
      <c r="AH251" s="236">
        <v>55627</v>
      </c>
      <c r="AI251" s="236">
        <v>1195</v>
      </c>
      <c r="AJ251" s="236">
        <v>1192</v>
      </c>
      <c r="AK251" s="237">
        <v>152</v>
      </c>
      <c r="AL251" s="237">
        <v>179</v>
      </c>
    </row>
    <row r="252">
      <c r="A252" s="216"/>
      <c r="B252" s="217" t="s">
        <v>224</v>
      </c>
      <c r="C252" s="252" t="s">
        <v>214</v>
      </c>
      <c r="D252" s="219">
        <f t="shared" si="474"/>
      </c>
      <c r="E252" s="218">
        <v>102.91</v>
      </c>
      <c r="F252" s="249">
        <v>2462.28</v>
      </c>
      <c r="G252" s="221">
        <v>312.18</v>
      </c>
      <c r="H252" s="221">
        <v>27.41</v>
      </c>
      <c r="I252" s="250">
        <f t="shared" si="361"/>
      </c>
      <c r="J252" s="251">
        <v>0</v>
      </c>
      <c r="K252" s="223">
        <f t="shared" si="246"/>
      </c>
      <c r="L252" s="223">
        <f t="shared" si="131"/>
      </c>
      <c r="M252" s="224">
        <f t="shared" si="76"/>
      </c>
      <c r="N252" s="225">
        <f t="shared" si="45"/>
      </c>
      <c r="O252" s="226">
        <f t="shared" si="14"/>
      </c>
      <c r="P252" s="227">
        <f t="shared" si="949"/>
      </c>
      <c r="Q252" s="227">
        <f t="shared" si="918"/>
      </c>
      <c r="R252" s="227">
        <f t="shared" si="887"/>
      </c>
      <c r="S252" s="228">
        <f t="shared" si="856"/>
      </c>
      <c r="T252" s="229">
        <f t="shared" si="794"/>
      </c>
      <c r="U252" s="227">
        <f t="shared" si="763"/>
      </c>
      <c r="V252" s="230">
        <f t="shared" si="825"/>
      </c>
      <c r="W252" s="230">
        <f t="shared" si="732"/>
      </c>
      <c r="X252" s="227">
        <f t="shared" si="701"/>
      </c>
      <c r="Y252" s="231">
        <f t="shared" si="579"/>
      </c>
      <c r="Z252" s="231">
        <v>2</v>
      </c>
      <c r="AA252" s="231">
        <v>3</v>
      </c>
      <c r="AB252" s="222">
        <v>4284.360000000001</v>
      </c>
      <c r="AC252" s="232">
        <v>0</v>
      </c>
      <c r="AD252" s="228">
        <f t="shared" si="670"/>
      </c>
      <c r="AE252" s="233" t="s">
        <v>202</v>
      </c>
      <c r="AF252" s="234" t="s">
        <v>203</v>
      </c>
      <c r="AG252" s="235">
        <v>2</v>
      </c>
      <c r="AH252" s="236">
        <v>28840</v>
      </c>
      <c r="AI252" s="236">
        <v>653</v>
      </c>
      <c r="AJ252" s="236">
        <v>675</v>
      </c>
      <c r="AK252" s="237">
        <v>75</v>
      </c>
      <c r="AL252" s="237">
        <v>97</v>
      </c>
    </row>
    <row r="253">
      <c r="A253" s="216"/>
      <c r="B253" s="239" t="s">
        <v>208</v>
      </c>
      <c r="C253" s="240">
        <v>4</v>
      </c>
      <c r="D253" s="241">
        <f>SUM(D249:D252)</f>
      </c>
      <c r="E253" s="241">
        <f>SUM(E249:E252)</f>
      </c>
      <c r="F253" s="241">
        <f>SUM(F249:F252)</f>
      </c>
      <c r="G253" s="241">
        <f>SUM(G249:G252)</f>
      </c>
      <c r="H253" s="241">
        <f>SUM(H249:H252)</f>
      </c>
      <c r="I253" s="241">
        <f>SUM(I249:I252)</f>
      </c>
      <c r="J253" s="241">
        <f>SUM(J249:J252)</f>
      </c>
      <c r="K253" s="241">
        <f>SUM(K249:K252)</f>
      </c>
      <c r="L253" s="241">
        <f>SUM(L249:L252)</f>
      </c>
      <c r="M253" s="242">
        <f t="shared" si="76"/>
      </c>
      <c r="N253" s="243">
        <f t="shared" si="45"/>
      </c>
      <c r="O253" s="243">
        <f t="shared" si="14"/>
      </c>
      <c r="P253" s="244">
        <f t="shared" si="949"/>
      </c>
      <c r="Q253" s="244">
        <f t="shared" si="918"/>
      </c>
      <c r="R253" s="244">
        <f t="shared" si="887"/>
      </c>
      <c r="S253" s="245">
        <f t="shared" si="856"/>
      </c>
      <c r="T253" s="245">
        <f t="shared" si="794"/>
      </c>
      <c r="U253" s="244">
        <f t="shared" si="763"/>
      </c>
      <c r="V253" s="245">
        <f t="shared" si="825"/>
      </c>
      <c r="W253" s="245">
        <f t="shared" si="732"/>
      </c>
      <c r="X253" s="244">
        <f t="shared" si="701"/>
      </c>
      <c r="Y253" s="241">
        <f>SUM(Y249:Y252)</f>
      </c>
      <c r="Z253" s="241">
        <f>SUM(Z249:Z252)</f>
      </c>
      <c r="AA253" s="241">
        <f>SUM(AA249:AA252)</f>
      </c>
      <c r="AB253" s="241">
        <f>SUM(AB249:AB252)</f>
      </c>
      <c r="AC253" s="241">
        <f>SUM(AC249:AC252)</f>
      </c>
      <c r="AD253" s="246">
        <f t="shared" si="670"/>
      </c>
      <c r="AE253" s="247"/>
      <c r="AF253" s="248"/>
      <c r="AG253" s="241">
        <f>SUM(AG249:AG252)</f>
      </c>
      <c r="AH253" s="241">
        <f>SUM(AH249:AH252)</f>
      </c>
      <c r="AI253" s="241">
        <f>SUM(AI249:AI252)</f>
      </c>
      <c r="AJ253" s="241">
        <f>SUM(AJ249:AJ252)</f>
      </c>
      <c r="AK253" s="241">
        <f>SUM(AK249:AK252)</f>
      </c>
      <c r="AL253" s="241">
        <f>SUM(AL249:AL252)</f>
      </c>
    </row>
    <row r="254">
      <c r="A254" s="216"/>
      <c r="B254" s="253" t="s">
        <v>208</v>
      </c>
      <c r="C254" s="254">
        <f>C240+C245+C248+C253</f>
      </c>
      <c r="D254" s="254">
        <f>D240+D245+D248+D253</f>
      </c>
      <c r="E254" s="254">
        <f>E240+E245+E248+E253</f>
      </c>
      <c r="F254" s="254">
        <f>F240+F245+F248+F253</f>
      </c>
      <c r="G254" s="254">
        <f>G240+G245+G248+G253</f>
      </c>
      <c r="H254" s="254">
        <f>H240+H245+H248+H253</f>
      </c>
      <c r="I254" s="254">
        <f>I240+I245+I248+I253</f>
      </c>
      <c r="J254" s="254">
        <f>J240+J245+J248+J253</f>
      </c>
      <c r="K254" s="254">
        <f>K240+K245+K248+K253</f>
      </c>
      <c r="L254" s="254">
        <f>L240+L245+L248+L253</f>
      </c>
      <c r="M254" s="256">
        <f t="shared" si="76"/>
      </c>
      <c r="N254" s="256">
        <f t="shared" si="45"/>
      </c>
      <c r="O254" s="256">
        <f t="shared" si="14"/>
      </c>
      <c r="P254" s="256">
        <f t="shared" si="949"/>
      </c>
      <c r="Q254" s="256">
        <f t="shared" si="918"/>
      </c>
      <c r="R254" s="256">
        <f t="shared" si="887"/>
      </c>
      <c r="S254" s="257">
        <f t="shared" si="856"/>
      </c>
      <c r="T254" s="257">
        <f t="shared" si="794"/>
      </c>
      <c r="U254" s="256">
        <f t="shared" si="763"/>
      </c>
      <c r="V254" s="257">
        <f t="shared" si="825"/>
      </c>
      <c r="W254" s="257">
        <f t="shared" si="732"/>
      </c>
      <c r="X254" s="256">
        <f t="shared" si="701"/>
      </c>
      <c r="Y254" s="266">
        <f>Y240+Y245+Y248+Y253</f>
      </c>
      <c r="Z254" s="266">
        <f>Z240+Z245+Z248+Z253</f>
      </c>
      <c r="AA254" s="266">
        <f>AA240+AA245+AA248+AA253</f>
      </c>
      <c r="AB254" s="266">
        <f>AB240+AB245+AB248+AB253</f>
      </c>
      <c r="AC254" s="266">
        <f>AC240+AC245+AC248+AC253</f>
      </c>
      <c r="AD254" s="258">
        <f t="shared" si="670"/>
      </c>
      <c r="AE254" s="253"/>
      <c r="AF254" s="253"/>
      <c r="AG254" s="266">
        <f>AG240+AG245+AG248+AG253</f>
      </c>
      <c r="AH254" s="266">
        <f>AH240+AH245+AH248+AH253</f>
      </c>
      <c r="AI254" s="266">
        <f>AI240+AI245+AI248+AI253</f>
      </c>
      <c r="AJ254" s="266">
        <f>AJ240+AJ245+AJ248+AJ253</f>
      </c>
      <c r="AK254" s="266">
        <f>AK240+AK245+AK248+AK253</f>
      </c>
      <c r="AL254" s="266">
        <f>AL240+AL245+AL248+AL253</f>
      </c>
    </row>
    <row r="255">
      <c r="A255" s="202" t="s">
        <v>162</v>
      </c>
      <c r="B255" s="203" t="s">
        <v>163</v>
      </c>
      <c r="C255" s="203" t="s">
        <v>164</v>
      </c>
      <c r="D255" s="204" t="s">
        <v>165</v>
      </c>
      <c r="E255" s="203" t="s">
        <v>166</v>
      </c>
      <c r="F255" s="203" t="s">
        <v>167</v>
      </c>
      <c r="G255" s="205" t="s">
        <v>168</v>
      </c>
      <c r="H255" s="205" t="s">
        <v>169</v>
      </c>
      <c r="I255" s="204" t="s">
        <v>170</v>
      </c>
      <c r="J255" s="206" t="s">
        <v>171</v>
      </c>
      <c r="K255" s="207" t="s">
        <v>172</v>
      </c>
      <c r="L255" s="207" t="s">
        <v>173</v>
      </c>
      <c r="M255" s="208" t="s">
        <v>174</v>
      </c>
      <c r="N255" s="207" t="s">
        <v>175</v>
      </c>
      <c r="O255" s="203" t="s">
        <v>176</v>
      </c>
      <c r="P255" s="208" t="s">
        <v>177</v>
      </c>
      <c r="Q255" s="209" t="s">
        <v>178</v>
      </c>
      <c r="R255" s="209" t="s">
        <v>179</v>
      </c>
      <c r="S255" s="204" t="s">
        <v>180</v>
      </c>
      <c r="T255" s="210" t="s">
        <v>181</v>
      </c>
      <c r="U255" s="208" t="s">
        <v>182</v>
      </c>
      <c r="V255" s="211" t="s">
        <v>183</v>
      </c>
      <c r="W255" s="212" t="s">
        <v>184</v>
      </c>
      <c r="X255" s="208" t="s">
        <v>185</v>
      </c>
      <c r="Y255" s="213" t="s">
        <v>186</v>
      </c>
      <c r="Z255" s="214" t="s">
        <v>187</v>
      </c>
      <c r="AA255" s="213" t="s">
        <v>188</v>
      </c>
      <c r="AB255" s="215" t="s">
        <v>189</v>
      </c>
      <c r="AC255" s="215" t="s">
        <v>190</v>
      </c>
      <c r="AD255" s="207" t="s">
        <v>191</v>
      </c>
      <c r="AE255" s="206" t="s">
        <v>192</v>
      </c>
      <c r="AF255" s="207" t="s">
        <v>193</v>
      </c>
      <c r="AG255" s="206" t="s">
        <v>194</v>
      </c>
      <c r="AH255" s="206" t="s">
        <v>195</v>
      </c>
      <c r="AI255" s="207" t="s">
        <v>196</v>
      </c>
      <c r="AJ255" s="206" t="s">
        <v>197</v>
      </c>
      <c r="AK255" s="207" t="s">
        <v>198</v>
      </c>
      <c r="AL255" s="206" t="s">
        <v>199</v>
      </c>
    </row>
    <row r="256">
      <c r="A256" s="216">
        <v>46250</v>
      </c>
      <c r="B256" s="217" t="s">
        <v>200</v>
      </c>
      <c r="C256" s="218" t="s">
        <v>216</v>
      </c>
      <c r="D256" s="219">
        <f t="shared" ref="D256:D260" si="475">E256+F256+G256+H256</f>
      </c>
      <c r="E256" s="220">
        <v>916.24</v>
      </c>
      <c r="F256" s="221">
        <v>1502.61</v>
      </c>
      <c r="G256" s="221">
        <v>2151.2</v>
      </c>
      <c r="H256" s="221">
        <v>0.71</v>
      </c>
      <c r="I256" s="221">
        <f t="shared" ref="I256:I260" si="362">AB256+AC256</f>
      </c>
      <c r="J256" s="222">
        <v>1204</v>
      </c>
      <c r="K256" s="223">
        <f t="shared" ref="K256:K260" si="247">I256-J256</f>
      </c>
      <c r="L256" s="223">
        <f t="shared" ref="L256:L260" si="132">(I256-AC256)/12+AC256</f>
      </c>
      <c r="M256" s="224">
        <f t="shared" ref="M256:M275" si="77">I256/D256</f>
      </c>
      <c r="N256" s="225">
        <f t="shared" ref="N256:N275" si="46">(I256-J256)/D256</f>
      </c>
      <c r="O256" s="226">
        <f t="shared" ref="O256:O275" si="15">(AC256+AB256/12)/D256</f>
      </c>
      <c r="P256" s="227">
        <f t="shared" ref="P256:P275" si="950">I256/AA256</f>
      </c>
      <c r="Q256" s="227">
        <f t="shared" ref="Q256:Q275" si="919">D256/AA256</f>
      </c>
      <c r="R256" s="227">
        <f t="shared" ref="R256:R275" si="888">D256/AG256</f>
      </c>
      <c r="S256" s="228">
        <f t="shared" ref="S256:S275" si="857">AA256/Y256</f>
      </c>
      <c r="T256" s="229">
        <f t="shared" ref="T256:T275" si="795">AI256/AH256</f>
      </c>
      <c r="U256" s="227">
        <f t="shared" ref="U256:U275" si="764">D256/AJ256</f>
      </c>
      <c r="V256" s="230">
        <f t="shared" ref="V256:V275" si="826">AK256/AJ256</f>
      </c>
      <c r="W256" s="230">
        <f t="shared" ref="W256:W275" si="733">AL256/AJ256</f>
      </c>
      <c r="X256" s="227">
        <f t="shared" ref="X256:X275" si="702">D256/AL256</f>
      </c>
      <c r="Y256" s="231">
        <f t="shared" ref="Y256:Y260" si="580">Z256+AA256</f>
      </c>
      <c r="Z256" s="231">
        <v>5</v>
      </c>
      <c r="AA256" s="231">
        <v>1</v>
      </c>
      <c r="AB256" s="232">
        <v>0</v>
      </c>
      <c r="AC256" s="232">
        <v>1204</v>
      </c>
      <c r="AD256" s="228">
        <f t="shared" ref="AD256:AD275" si="671">AC256/I256</f>
      </c>
      <c r="AE256" s="233" t="s">
        <v>202</v>
      </c>
      <c r="AF256" s="234" t="s">
        <v>227</v>
      </c>
      <c r="AG256" s="235">
        <v>1</v>
      </c>
      <c r="AH256" s="235">
        <v>28567</v>
      </c>
      <c r="AI256" s="236">
        <v>623</v>
      </c>
      <c r="AJ256" s="236">
        <v>635</v>
      </c>
      <c r="AK256" s="235">
        <v>105</v>
      </c>
      <c r="AL256" s="237">
        <v>140</v>
      </c>
    </row>
    <row r="257">
      <c r="A257" s="216"/>
      <c r="B257" s="217" t="s">
        <v>200</v>
      </c>
      <c r="C257" s="218" t="s">
        <v>218</v>
      </c>
      <c r="D257" s="219">
        <f t="shared" si="475"/>
      </c>
      <c r="E257" s="218">
        <v>582.41</v>
      </c>
      <c r="F257" s="221">
        <v>1991.28</v>
      </c>
      <c r="G257" s="221">
        <v>2157.36</v>
      </c>
      <c r="H257" s="221">
        <v>76.67</v>
      </c>
      <c r="I257" s="221">
        <f t="shared" si="362"/>
      </c>
      <c r="J257" s="222">
        <v>405</v>
      </c>
      <c r="K257" s="223">
        <f t="shared" si="247"/>
      </c>
      <c r="L257" s="223">
        <f t="shared" si="132"/>
      </c>
      <c r="M257" s="224">
        <f t="shared" si="77"/>
      </c>
      <c r="N257" s="225">
        <f t="shared" si="46"/>
      </c>
      <c r="O257" s="226">
        <f t="shared" si="15"/>
      </c>
      <c r="P257" s="227">
        <f t="shared" si="950"/>
      </c>
      <c r="Q257" s="227">
        <f t="shared" si="919"/>
      </c>
      <c r="R257" s="227">
        <f t="shared" si="888"/>
      </c>
      <c r="S257" s="228">
        <f t="shared" si="857"/>
      </c>
      <c r="T257" s="229">
        <f t="shared" si="795"/>
      </c>
      <c r="U257" s="227">
        <f t="shared" si="764"/>
      </c>
      <c r="V257" s="230">
        <f t="shared" si="826"/>
      </c>
      <c r="W257" s="230">
        <f t="shared" si="733"/>
      </c>
      <c r="X257" s="227">
        <f t="shared" si="702"/>
      </c>
      <c r="Y257" s="231">
        <f t="shared" si="580"/>
      </c>
      <c r="Z257" s="231">
        <v>3</v>
      </c>
      <c r="AA257" s="231">
        <v>5</v>
      </c>
      <c r="AB257" s="232">
        <v>4893.48</v>
      </c>
      <c r="AC257" s="232">
        <v>1024</v>
      </c>
      <c r="AD257" s="228">
        <f t="shared" si="671"/>
      </c>
      <c r="AE257" s="233" t="s">
        <v>202</v>
      </c>
      <c r="AF257" s="234" t="s">
        <v>227</v>
      </c>
      <c r="AG257" s="235">
        <v>5</v>
      </c>
      <c r="AH257" s="236">
        <v>30107</v>
      </c>
      <c r="AI257" s="236">
        <v>569</v>
      </c>
      <c r="AJ257" s="236">
        <v>553</v>
      </c>
      <c r="AK257" s="237">
        <v>112</v>
      </c>
      <c r="AL257" s="237">
        <v>145</v>
      </c>
    </row>
    <row r="258">
      <c r="A258" s="216"/>
      <c r="B258" s="217" t="s">
        <v>200</v>
      </c>
      <c r="C258" s="218" t="s">
        <v>219</v>
      </c>
      <c r="D258" s="219">
        <f t="shared" si="475"/>
      </c>
      <c r="E258" s="218">
        <v>420.54</v>
      </c>
      <c r="F258" s="218">
        <v>1539.36</v>
      </c>
      <c r="G258" s="218">
        <v>1775.73</v>
      </c>
      <c r="H258" s="218">
        <v>151.96</v>
      </c>
      <c r="I258" s="221">
        <f t="shared" si="362"/>
      </c>
      <c r="J258" s="222">
        <v>733.32</v>
      </c>
      <c r="K258" s="223">
        <f t="shared" si="247"/>
      </c>
      <c r="L258" s="223">
        <f t="shared" si="132"/>
      </c>
      <c r="M258" s="224">
        <f t="shared" si="77"/>
      </c>
      <c r="N258" s="225">
        <f t="shared" si="46"/>
      </c>
      <c r="O258" s="226">
        <f t="shared" si="15"/>
      </c>
      <c r="P258" s="227">
        <f t="shared" si="950"/>
      </c>
      <c r="Q258" s="227">
        <f t="shared" si="919"/>
      </c>
      <c r="R258" s="227">
        <f t="shared" si="888"/>
      </c>
      <c r="S258" s="228">
        <f t="shared" si="857"/>
      </c>
      <c r="T258" s="229">
        <f t="shared" si="795"/>
      </c>
      <c r="U258" s="227">
        <f t="shared" si="764"/>
      </c>
      <c r="V258" s="230">
        <f t="shared" si="826"/>
      </c>
      <c r="W258" s="230">
        <f t="shared" si="733"/>
      </c>
      <c r="X258" s="227">
        <f t="shared" si="702"/>
      </c>
      <c r="Y258" s="231">
        <f t="shared" si="580"/>
      </c>
      <c r="Z258" s="231">
        <v>5</v>
      </c>
      <c r="AA258" s="231">
        <v>2</v>
      </c>
      <c r="AB258" s="232">
        <v>1938.6000000000004</v>
      </c>
      <c r="AC258" s="232">
        <v>0</v>
      </c>
      <c r="AD258" s="228">
        <f t="shared" si="671"/>
      </c>
      <c r="AE258" s="233" t="s">
        <v>202</v>
      </c>
      <c r="AF258" s="234" t="s">
        <v>227</v>
      </c>
      <c r="AG258" s="237">
        <v>2</v>
      </c>
      <c r="AH258" s="236">
        <v>32763</v>
      </c>
      <c r="AI258" s="236">
        <v>605</v>
      </c>
      <c r="AJ258" s="236">
        <v>588</v>
      </c>
      <c r="AK258" s="237">
        <v>111</v>
      </c>
      <c r="AL258" s="237">
        <v>158</v>
      </c>
    </row>
    <row r="259">
      <c r="A259" s="216"/>
      <c r="B259" s="217" t="s">
        <v>200</v>
      </c>
      <c r="C259" s="218" t="s">
        <v>220</v>
      </c>
      <c r="D259" s="219">
        <f t="shared" si="475"/>
      </c>
      <c r="E259" s="218">
        <v>709.89</v>
      </c>
      <c r="F259" s="221">
        <v>821.55</v>
      </c>
      <c r="G259" s="221">
        <v>93.16</v>
      </c>
      <c r="H259" s="221">
        <v>6.58</v>
      </c>
      <c r="I259" s="221">
        <f t="shared" si="362"/>
      </c>
      <c r="J259" s="222">
        <v>0</v>
      </c>
      <c r="K259" s="223">
        <f t="shared" si="247"/>
      </c>
      <c r="L259" s="223">
        <f t="shared" si="132"/>
      </c>
      <c r="M259" s="224">
        <f t="shared" si="77"/>
      </c>
      <c r="N259" s="225">
        <f t="shared" si="46"/>
      </c>
      <c r="O259" s="226">
        <f t="shared" si="15"/>
      </c>
      <c r="P259" s="227">
        <f t="shared" si="950"/>
      </c>
      <c r="Q259" s="227">
        <f t="shared" si="919"/>
      </c>
      <c r="R259" s="227">
        <f t="shared" si="888"/>
      </c>
      <c r="S259" s="228">
        <f t="shared" si="857"/>
      </c>
      <c r="T259" s="229">
        <f t="shared" si="795"/>
      </c>
      <c r="U259" s="227">
        <f t="shared" si="764"/>
      </c>
      <c r="V259" s="230">
        <f t="shared" si="826"/>
      </c>
      <c r="W259" s="230">
        <f t="shared" si="733"/>
      </c>
      <c r="X259" s="227">
        <f t="shared" si="702"/>
      </c>
      <c r="Y259" s="231">
        <f t="shared" si="580"/>
      </c>
      <c r="Z259" s="231">
        <v>0</v>
      </c>
      <c r="AA259" s="231">
        <v>3</v>
      </c>
      <c r="AB259" s="222">
        <v>1505.5200000000004</v>
      </c>
      <c r="AC259" s="232">
        <v>0</v>
      </c>
      <c r="AD259" s="228">
        <f t="shared" si="671"/>
      </c>
      <c r="AE259" s="233" t="s">
        <v>202</v>
      </c>
      <c r="AF259" s="234" t="s">
        <v>228</v>
      </c>
      <c r="AG259" s="235">
        <v>2</v>
      </c>
      <c r="AH259" s="236">
        <v>11260</v>
      </c>
      <c r="AI259" s="236">
        <v>345</v>
      </c>
      <c r="AJ259" s="236">
        <v>347</v>
      </c>
      <c r="AK259" s="237">
        <v>25</v>
      </c>
      <c r="AL259" s="237">
        <v>36</v>
      </c>
    </row>
    <row r="260">
      <c r="A260" s="216"/>
      <c r="B260" s="217" t="s">
        <v>200</v>
      </c>
      <c r="C260" s="218" t="s">
        <v>221</v>
      </c>
      <c r="D260" s="219">
        <f t="shared" si="475"/>
      </c>
      <c r="E260" s="218">
        <v>614.39</v>
      </c>
      <c r="F260" s="221">
        <v>298.33</v>
      </c>
      <c r="G260" s="221">
        <v>310.65</v>
      </c>
      <c r="H260" s="221">
        <v>2.59</v>
      </c>
      <c r="I260" s="238">
        <f t="shared" si="362"/>
      </c>
      <c r="J260" s="222">
        <v>403</v>
      </c>
      <c r="K260" s="223">
        <f t="shared" si="247"/>
      </c>
      <c r="L260" s="223">
        <f t="shared" si="132"/>
      </c>
      <c r="M260" s="224">
        <f t="shared" si="77"/>
      </c>
      <c r="N260" s="225">
        <f t="shared" si="46"/>
      </c>
      <c r="O260" s="226">
        <f t="shared" si="15"/>
      </c>
      <c r="P260" s="227">
        <f t="shared" si="950"/>
      </c>
      <c r="Q260" s="227">
        <f t="shared" si="919"/>
      </c>
      <c r="R260" s="227">
        <f t="shared" si="888"/>
      </c>
      <c r="S260" s="228">
        <f t="shared" si="857"/>
      </c>
      <c r="T260" s="229">
        <f t="shared" si="795"/>
      </c>
      <c r="U260" s="227">
        <f t="shared" si="764"/>
      </c>
      <c r="V260" s="230">
        <f t="shared" si="826"/>
      </c>
      <c r="W260" s="230">
        <f t="shared" si="733"/>
      </c>
      <c r="X260" s="227">
        <f t="shared" si="702"/>
      </c>
      <c r="Y260" s="231">
        <f t="shared" si="580"/>
      </c>
      <c r="Z260" s="231">
        <v>1</v>
      </c>
      <c r="AA260" s="231">
        <v>1</v>
      </c>
      <c r="AB260" s="232">
        <v>0</v>
      </c>
      <c r="AC260" s="232">
        <v>403</v>
      </c>
      <c r="AD260" s="228">
        <f t="shared" si="671"/>
      </c>
      <c r="AE260" s="233" t="s">
        <v>202</v>
      </c>
      <c r="AF260" s="234" t="s">
        <v>228</v>
      </c>
      <c r="AG260" s="235">
        <v>0</v>
      </c>
      <c r="AH260" s="236">
        <v>8741</v>
      </c>
      <c r="AI260" s="236">
        <v>350</v>
      </c>
      <c r="AJ260" s="236">
        <v>359</v>
      </c>
      <c r="AK260" s="237">
        <v>38</v>
      </c>
      <c r="AL260" s="237">
        <v>49</v>
      </c>
    </row>
    <row r="261">
      <c r="A261" s="216"/>
      <c r="B261" s="239" t="s">
        <v>208</v>
      </c>
      <c r="C261" s="240">
        <v>5</v>
      </c>
      <c r="D261" s="241">
        <f>SUM(D256:D260)</f>
      </c>
      <c r="E261" s="241">
        <f>SUM(E256:E260)</f>
      </c>
      <c r="F261" s="241">
        <f>SUM(F256:F260)</f>
      </c>
      <c r="G261" s="241">
        <f>SUM(G256:G260)</f>
      </c>
      <c r="H261" s="241">
        <f>SUM(H256:H260)</f>
      </c>
      <c r="I261" s="259">
        <f>SUM(I256:I260)</f>
      </c>
      <c r="J261" s="241">
        <f>SUM(J256:J260)</f>
      </c>
      <c r="K261" s="241">
        <f>SUM(K256:K260)</f>
      </c>
      <c r="L261" s="241">
        <f>SUM(L256:L260)</f>
      </c>
      <c r="M261" s="242">
        <f t="shared" si="77"/>
      </c>
      <c r="N261" s="243">
        <f t="shared" si="46"/>
      </c>
      <c r="O261" s="243">
        <f t="shared" si="15"/>
      </c>
      <c r="P261" s="244">
        <f t="shared" si="950"/>
      </c>
      <c r="Q261" s="244">
        <f t="shared" si="919"/>
      </c>
      <c r="R261" s="244">
        <f t="shared" si="888"/>
      </c>
      <c r="S261" s="245">
        <f t="shared" si="857"/>
      </c>
      <c r="T261" s="245">
        <f t="shared" si="795"/>
      </c>
      <c r="U261" s="244">
        <f t="shared" si="764"/>
      </c>
      <c r="V261" s="245">
        <f t="shared" si="826"/>
      </c>
      <c r="W261" s="245">
        <f t="shared" si="733"/>
      </c>
      <c r="X261" s="244">
        <f t="shared" si="702"/>
      </c>
      <c r="Y261" s="241">
        <f>SUM(Y256:Y260)</f>
      </c>
      <c r="Z261" s="241">
        <f>SUM(Z256:Z260)</f>
      </c>
      <c r="AA261" s="241">
        <f>SUM(AA256:AA260)</f>
      </c>
      <c r="AB261" s="241">
        <f>SUM(AB256:AB260)</f>
      </c>
      <c r="AC261" s="241">
        <f>SUM(AC256:AC260)</f>
      </c>
      <c r="AD261" s="246">
        <f t="shared" si="671"/>
      </c>
      <c r="AE261" s="247"/>
      <c r="AF261" s="248"/>
      <c r="AG261" s="241">
        <f>SUM(AG256:AG260)</f>
      </c>
      <c r="AH261" s="241">
        <f>SUM(AH256:AH260)</f>
      </c>
      <c r="AI261" s="241">
        <f>SUM(AI256:AI260)</f>
      </c>
      <c r="AJ261" s="241">
        <f>SUM(AJ256:AJ260)</f>
      </c>
      <c r="AK261" s="241">
        <f>SUM(AK256:AK260)</f>
      </c>
      <c r="AL261" s="241">
        <f>SUM(AL256:AL260)</f>
      </c>
    </row>
    <row r="262">
      <c r="A262" s="216"/>
      <c r="B262" s="217" t="s">
        <v>209</v>
      </c>
      <c r="C262" s="218" t="s">
        <v>201</v>
      </c>
      <c r="D262" s="219">
        <f t="shared" ref="D262:D265" si="476">E262+F262+G262+H262</f>
      </c>
      <c r="E262" s="220">
        <v>624.04</v>
      </c>
      <c r="F262" s="221">
        <v>1097.08</v>
      </c>
      <c r="G262" s="221">
        <v>323.25</v>
      </c>
      <c r="H262" s="221">
        <v>140.69</v>
      </c>
      <c r="I262" s="221">
        <f t="shared" ref="I262:I265" si="363">AB262+AC262</f>
      </c>
      <c r="J262" s="222">
        <v>0</v>
      </c>
      <c r="K262" s="223">
        <f t="shared" ref="K262:K265" si="248">I262-J262</f>
      </c>
      <c r="L262" s="223">
        <f t="shared" ref="L262:L265" si="133">(I262-AC262)/12+AC262</f>
      </c>
      <c r="M262" s="224">
        <f t="shared" si="77"/>
      </c>
      <c r="N262" s="225">
        <f t="shared" si="46"/>
      </c>
      <c r="O262" s="226">
        <f t="shared" si="15"/>
      </c>
      <c r="P262" s="227">
        <f t="shared" si="950"/>
      </c>
      <c r="Q262" s="227">
        <f t="shared" si="919"/>
      </c>
      <c r="R262" s="227">
        <f t="shared" si="888"/>
      </c>
      <c r="S262" s="228">
        <f t="shared" si="857"/>
      </c>
      <c r="T262" s="229">
        <f t="shared" si="795"/>
      </c>
      <c r="U262" s="227">
        <f t="shared" si="764"/>
      </c>
      <c r="V262" s="230">
        <f t="shared" si="826"/>
      </c>
      <c r="W262" s="230">
        <f t="shared" si="733"/>
      </c>
      <c r="X262" s="227">
        <f t="shared" si="702"/>
      </c>
      <c r="Y262" s="231">
        <f t="shared" ref="Y262:Y265" si="581">Z262+AA262</f>
      </c>
      <c r="Z262" s="231">
        <v>1</v>
      </c>
      <c r="AA262" s="231">
        <v>0</v>
      </c>
      <c r="AB262" s="232">
        <v>0</v>
      </c>
      <c r="AC262" s="232">
        <v>0</v>
      </c>
      <c r="AD262" s="228">
        <f t="shared" si="671"/>
      </c>
      <c r="AE262" s="233" t="s">
        <v>202</v>
      </c>
      <c r="AF262" s="234" t="s">
        <v>228</v>
      </c>
      <c r="AG262" s="235">
        <v>0</v>
      </c>
      <c r="AH262" s="236">
        <v>16725</v>
      </c>
      <c r="AI262" s="236">
        <v>434</v>
      </c>
      <c r="AJ262" s="236">
        <v>426</v>
      </c>
      <c r="AK262" s="235">
        <v>53</v>
      </c>
      <c r="AL262" s="235">
        <v>80</v>
      </c>
    </row>
    <row r="263">
      <c r="A263" s="216"/>
      <c r="B263" s="217" t="s">
        <v>209</v>
      </c>
      <c r="C263" s="218" t="s">
        <v>204</v>
      </c>
      <c r="D263" s="219">
        <f t="shared" si="476"/>
      </c>
      <c r="E263" s="218">
        <v>279.58</v>
      </c>
      <c r="F263" s="221">
        <v>721.82</v>
      </c>
      <c r="G263" s="221">
        <v>614.73</v>
      </c>
      <c r="H263" s="221">
        <v>195.46</v>
      </c>
      <c r="I263" s="221">
        <f t="shared" si="363"/>
      </c>
      <c r="J263" s="222">
        <v>0</v>
      </c>
      <c r="K263" s="223">
        <f t="shared" si="248"/>
      </c>
      <c r="L263" s="223">
        <f t="shared" si="133"/>
      </c>
      <c r="M263" s="224">
        <f t="shared" si="77"/>
      </c>
      <c r="N263" s="225">
        <f t="shared" si="46"/>
      </c>
      <c r="O263" s="226">
        <f t="shared" si="15"/>
      </c>
      <c r="P263" s="227">
        <f t="shared" si="950"/>
      </c>
      <c r="Q263" s="227">
        <f t="shared" si="919"/>
      </c>
      <c r="R263" s="227">
        <f t="shared" si="888"/>
      </c>
      <c r="S263" s="228">
        <f t="shared" si="857"/>
      </c>
      <c r="T263" s="229">
        <f t="shared" si="795"/>
      </c>
      <c r="U263" s="227">
        <f t="shared" si="764"/>
      </c>
      <c r="V263" s="230">
        <f t="shared" si="826"/>
      </c>
      <c r="W263" s="230">
        <f t="shared" si="733"/>
      </c>
      <c r="X263" s="227">
        <f t="shared" si="702"/>
      </c>
      <c r="Y263" s="231">
        <f t="shared" si="581"/>
      </c>
      <c r="Z263" s="231">
        <v>2</v>
      </c>
      <c r="AA263" s="231">
        <v>0</v>
      </c>
      <c r="AB263" s="232">
        <v>0</v>
      </c>
      <c r="AC263" s="232">
        <v>0</v>
      </c>
      <c r="AD263" s="228">
        <f t="shared" si="671"/>
      </c>
      <c r="AE263" s="233" t="s">
        <v>202</v>
      </c>
      <c r="AF263" s="234" t="s">
        <v>228</v>
      </c>
      <c r="AG263" s="235">
        <v>0</v>
      </c>
      <c r="AH263" s="236">
        <v>12946</v>
      </c>
      <c r="AI263" s="236">
        <v>352</v>
      </c>
      <c r="AJ263" s="236">
        <v>364</v>
      </c>
      <c r="AK263" s="237">
        <v>46</v>
      </c>
      <c r="AL263" s="237">
        <v>61</v>
      </c>
    </row>
    <row r="264">
      <c r="A264" s="216"/>
      <c r="B264" s="217" t="s">
        <v>209</v>
      </c>
      <c r="C264" s="218" t="s">
        <v>205</v>
      </c>
      <c r="D264" s="219">
        <f t="shared" si="476"/>
      </c>
      <c r="E264" s="218">
        <v>275.28</v>
      </c>
      <c r="F264" s="218">
        <v>791.04</v>
      </c>
      <c r="G264" s="218">
        <v>550.75</v>
      </c>
      <c r="H264" s="218">
        <v>91.68</v>
      </c>
      <c r="I264" s="221">
        <f t="shared" si="363"/>
      </c>
      <c r="J264" s="222">
        <v>0</v>
      </c>
      <c r="K264" s="223">
        <f t="shared" si="248"/>
      </c>
      <c r="L264" s="223">
        <f t="shared" si="133"/>
      </c>
      <c r="M264" s="224">
        <f t="shared" si="77"/>
      </c>
      <c r="N264" s="225">
        <f t="shared" si="46"/>
      </c>
      <c r="O264" s="226">
        <f t="shared" si="15"/>
      </c>
      <c r="P264" s="227">
        <f t="shared" si="950"/>
      </c>
      <c r="Q264" s="227">
        <f t="shared" si="919"/>
      </c>
      <c r="R264" s="227">
        <f t="shared" si="888"/>
      </c>
      <c r="S264" s="228">
        <f t="shared" si="857"/>
      </c>
      <c r="T264" s="229">
        <f t="shared" si="795"/>
      </c>
      <c r="U264" s="227">
        <f t="shared" si="764"/>
      </c>
      <c r="V264" s="230">
        <f t="shared" si="826"/>
      </c>
      <c r="W264" s="230">
        <f t="shared" si="733"/>
      </c>
      <c r="X264" s="227">
        <f t="shared" si="702"/>
      </c>
      <c r="Y264" s="231">
        <f t="shared" si="581"/>
      </c>
      <c r="Z264" s="231">
        <v>2</v>
      </c>
      <c r="AA264" s="231">
        <v>4</v>
      </c>
      <c r="AB264" s="232">
        <v>8535.359999999999</v>
      </c>
      <c r="AC264" s="232">
        <v>0</v>
      </c>
      <c r="AD264" s="228">
        <f t="shared" si="671"/>
      </c>
      <c r="AE264" s="233" t="s">
        <v>202</v>
      </c>
      <c r="AF264" s="234" t="s">
        <v>203</v>
      </c>
      <c r="AG264" s="237">
        <v>3</v>
      </c>
      <c r="AH264" s="236">
        <v>12258</v>
      </c>
      <c r="AI264" s="236">
        <v>302</v>
      </c>
      <c r="AJ264" s="236">
        <v>309</v>
      </c>
      <c r="AK264" s="237">
        <v>35</v>
      </c>
      <c r="AL264" s="237">
        <v>44</v>
      </c>
    </row>
    <row r="265">
      <c r="A265" s="216"/>
      <c r="B265" s="217" t="s">
        <v>209</v>
      </c>
      <c r="C265" s="218" t="s">
        <v>206</v>
      </c>
      <c r="D265" s="219">
        <f t="shared" si="476"/>
      </c>
      <c r="E265" s="218">
        <v>160.92</v>
      </c>
      <c r="F265" s="221">
        <v>257.12</v>
      </c>
      <c r="G265" s="221">
        <v>2188.37</v>
      </c>
      <c r="H265" s="221">
        <v>75.15</v>
      </c>
      <c r="I265" s="221">
        <f t="shared" si="363"/>
      </c>
      <c r="J265" s="222">
        <v>1290.1</v>
      </c>
      <c r="K265" s="223">
        <f t="shared" si="248"/>
      </c>
      <c r="L265" s="223">
        <f t="shared" si="133"/>
      </c>
      <c r="M265" s="224">
        <f t="shared" si="77"/>
      </c>
      <c r="N265" s="225">
        <f t="shared" si="46"/>
      </c>
      <c r="O265" s="226">
        <f t="shared" si="15"/>
      </c>
      <c r="P265" s="227">
        <f t="shared" si="950"/>
      </c>
      <c r="Q265" s="227">
        <f t="shared" si="919"/>
      </c>
      <c r="R265" s="227">
        <f t="shared" si="888"/>
      </c>
      <c r="S265" s="228">
        <f t="shared" si="857"/>
      </c>
      <c r="T265" s="229">
        <f t="shared" si="795"/>
      </c>
      <c r="U265" s="227">
        <f t="shared" si="764"/>
      </c>
      <c r="V265" s="230">
        <f t="shared" si="826"/>
      </c>
      <c r="W265" s="230">
        <f t="shared" si="733"/>
      </c>
      <c r="X265" s="227">
        <f t="shared" si="702"/>
      </c>
      <c r="Y265" s="231">
        <f t="shared" si="581"/>
      </c>
      <c r="Z265" s="231">
        <v>2</v>
      </c>
      <c r="AA265" s="231">
        <v>3</v>
      </c>
      <c r="AB265" s="222">
        <v>1644.8400000000001</v>
      </c>
      <c r="AC265" s="232">
        <v>1290.1</v>
      </c>
      <c r="AD265" s="228">
        <f t="shared" si="671"/>
      </c>
      <c r="AE265" s="233" t="s">
        <v>202</v>
      </c>
      <c r="AF265" s="234" t="s">
        <v>203</v>
      </c>
      <c r="AG265" s="235">
        <v>3</v>
      </c>
      <c r="AH265" s="236">
        <v>20804</v>
      </c>
      <c r="AI265" s="236">
        <v>354</v>
      </c>
      <c r="AJ265" s="236">
        <v>342</v>
      </c>
      <c r="AK265" s="237">
        <v>74</v>
      </c>
      <c r="AL265" s="237">
        <v>97</v>
      </c>
    </row>
    <row r="266">
      <c r="A266" s="216"/>
      <c r="B266" s="239" t="s">
        <v>208</v>
      </c>
      <c r="C266" s="240">
        <v>4</v>
      </c>
      <c r="D266" s="241">
        <f>SUM(D262:D265)</f>
      </c>
      <c r="E266" s="241">
        <f>SUM(E262:E265)</f>
      </c>
      <c r="F266" s="241">
        <f>SUM(F262:F265)</f>
      </c>
      <c r="G266" s="241">
        <f>SUM(G262:G265)</f>
      </c>
      <c r="H266" s="241">
        <f>SUM(H262:H265)</f>
      </c>
      <c r="I266" s="241">
        <f>SUM(I262:I265)</f>
      </c>
      <c r="J266" s="241">
        <f>SUM(J262:J265)</f>
      </c>
      <c r="K266" s="241">
        <f>SUM(K262:K265)</f>
      </c>
      <c r="L266" s="241">
        <f>SUM(L262:L265)</f>
      </c>
      <c r="M266" s="242">
        <f t="shared" si="77"/>
      </c>
      <c r="N266" s="243">
        <f t="shared" si="46"/>
      </c>
      <c r="O266" s="243">
        <f t="shared" si="15"/>
      </c>
      <c r="P266" s="244">
        <f t="shared" si="950"/>
      </c>
      <c r="Q266" s="244">
        <f t="shared" si="919"/>
      </c>
      <c r="R266" s="244">
        <f t="shared" si="888"/>
      </c>
      <c r="S266" s="245">
        <f t="shared" si="857"/>
      </c>
      <c r="T266" s="245">
        <f t="shared" si="795"/>
      </c>
      <c r="U266" s="244">
        <f t="shared" si="764"/>
      </c>
      <c r="V266" s="245">
        <f t="shared" si="826"/>
      </c>
      <c r="W266" s="245">
        <f t="shared" si="733"/>
      </c>
      <c r="X266" s="244">
        <f t="shared" si="702"/>
      </c>
      <c r="Y266" s="241">
        <f>SUM(Y262:Y265)</f>
      </c>
      <c r="Z266" s="241">
        <f>SUM(Z262:Z265)</f>
      </c>
      <c r="AA266" s="241">
        <f>SUM(AA262:AA265)</f>
      </c>
      <c r="AB266" s="241">
        <f>SUM(AB262:AB265)</f>
      </c>
      <c r="AC266" s="241">
        <f>SUM(AC262:AC265)</f>
      </c>
      <c r="AD266" s="246">
        <f t="shared" si="671"/>
      </c>
      <c r="AE266" s="247"/>
      <c r="AF266" s="248"/>
      <c r="AG266" s="241">
        <f>SUM(AG262:AG265)</f>
      </c>
      <c r="AH266" s="241">
        <f>SUM(AH262:AH265)</f>
      </c>
      <c r="AI266" s="241">
        <f>SUM(AI262:AI265)</f>
      </c>
      <c r="AJ266" s="241">
        <f>SUM(AJ262:AJ265)</f>
      </c>
      <c r="AK266" s="241">
        <f>SUM(AK262:AK265)</f>
      </c>
      <c r="AL266" s="241">
        <f>SUM(AL262:AL265)</f>
      </c>
    </row>
    <row r="267">
      <c r="A267" s="216"/>
      <c r="B267" s="217" t="s">
        <v>229</v>
      </c>
      <c r="C267" s="218" t="s">
        <v>207</v>
      </c>
      <c r="D267" s="219">
        <f t="shared" ref="D267:D268" si="477">E267+F267+G267+H267</f>
      </c>
      <c r="E267" s="218">
        <v>184.09</v>
      </c>
      <c r="F267" s="249">
        <v>208.88</v>
      </c>
      <c r="G267" s="221">
        <v>1429.16</v>
      </c>
      <c r="H267" s="221">
        <v>84.92</v>
      </c>
      <c r="I267" s="250">
        <f t="shared" ref="I267:I268" si="364">AB267+AC267</f>
      </c>
      <c r="J267" s="251">
        <v>0</v>
      </c>
      <c r="K267" s="223">
        <f t="shared" ref="K267:K268" si="249">I267-J267</f>
      </c>
      <c r="L267" s="223">
        <f t="shared" ref="L267:L268" si="134">(I267-AC267)/12+AC267</f>
      </c>
      <c r="M267" s="224">
        <f t="shared" si="77"/>
      </c>
      <c r="N267" s="225">
        <f t="shared" si="46"/>
      </c>
      <c r="O267" s="226">
        <f t="shared" si="15"/>
      </c>
      <c r="P267" s="227">
        <f t="shared" si="950"/>
      </c>
      <c r="Q267" s="227">
        <f t="shared" si="919"/>
      </c>
      <c r="R267" s="227">
        <f t="shared" si="888"/>
      </c>
      <c r="S267" s="228">
        <f t="shared" si="857"/>
      </c>
      <c r="T267" s="229">
        <f t="shared" si="795"/>
      </c>
      <c r="U267" s="227">
        <f t="shared" si="764"/>
      </c>
      <c r="V267" s="230">
        <f t="shared" si="826"/>
      </c>
      <c r="W267" s="230">
        <f t="shared" si="733"/>
      </c>
      <c r="X267" s="227">
        <f t="shared" si="702"/>
      </c>
      <c r="Y267" s="231">
        <f t="shared" ref="Y267:Y268" si="582">Z267+AA267</f>
      </c>
      <c r="Z267" s="231">
        <v>3</v>
      </c>
      <c r="AA267" s="231">
        <v>2</v>
      </c>
      <c r="AB267" s="232">
        <v>1544.4000000000015</v>
      </c>
      <c r="AC267" s="232">
        <v>0</v>
      </c>
      <c r="AD267" s="228">
        <f t="shared" si="671"/>
      </c>
      <c r="AE267" s="233" t="s">
        <v>202</v>
      </c>
      <c r="AF267" s="234" t="s">
        <v>203</v>
      </c>
      <c r="AG267" s="235">
        <v>1</v>
      </c>
      <c r="AH267" s="236">
        <v>16386</v>
      </c>
      <c r="AI267" s="236">
        <v>311</v>
      </c>
      <c r="AJ267" s="236">
        <v>306</v>
      </c>
      <c r="AK267" s="237">
        <v>61</v>
      </c>
      <c r="AL267" s="237">
        <v>73</v>
      </c>
    </row>
    <row r="268">
      <c r="A268" s="216"/>
      <c r="B268" s="217" t="s">
        <v>229</v>
      </c>
      <c r="C268" s="218" t="s">
        <v>210</v>
      </c>
      <c r="D268" s="219">
        <f t="shared" si="477"/>
      </c>
      <c r="E268" s="218">
        <v>197.02</v>
      </c>
      <c r="F268" s="249">
        <v>258</v>
      </c>
      <c r="G268" s="221">
        <v>933.17</v>
      </c>
      <c r="H268" s="221">
        <v>71.17</v>
      </c>
      <c r="I268" s="250">
        <f t="shared" si="364"/>
      </c>
      <c r="J268" s="251">
        <v>0</v>
      </c>
      <c r="K268" s="223">
        <f t="shared" si="249"/>
      </c>
      <c r="L268" s="223">
        <f t="shared" si="134"/>
      </c>
      <c r="M268" s="224">
        <f t="shared" si="77"/>
      </c>
      <c r="N268" s="225">
        <f t="shared" si="46"/>
      </c>
      <c r="O268" s="226">
        <f t="shared" si="15"/>
      </c>
      <c r="P268" s="227">
        <f t="shared" si="950"/>
      </c>
      <c r="Q268" s="227">
        <f t="shared" si="919"/>
      </c>
      <c r="R268" s="227">
        <f t="shared" si="888"/>
      </c>
      <c r="S268" s="228">
        <f t="shared" si="857"/>
      </c>
      <c r="T268" s="229">
        <f t="shared" si="795"/>
      </c>
      <c r="U268" s="227">
        <f t="shared" si="764"/>
      </c>
      <c r="V268" s="230">
        <f t="shared" si="826"/>
      </c>
      <c r="W268" s="230">
        <f t="shared" si="733"/>
      </c>
      <c r="X268" s="227">
        <f t="shared" si="702"/>
      </c>
      <c r="Y268" s="231">
        <f t="shared" si="582"/>
      </c>
      <c r="Z268" s="231">
        <v>1</v>
      </c>
      <c r="AA268" s="231">
        <v>2</v>
      </c>
      <c r="AB268" s="232">
        <v>7554.84</v>
      </c>
      <c r="AC268" s="232">
        <v>0</v>
      </c>
      <c r="AD268" s="228">
        <f t="shared" si="671"/>
      </c>
      <c r="AE268" s="233" t="s">
        <v>202</v>
      </c>
      <c r="AF268" s="234" t="s">
        <v>203</v>
      </c>
      <c r="AG268" s="235">
        <v>1</v>
      </c>
      <c r="AH268" s="236">
        <v>9164</v>
      </c>
      <c r="AI268" s="236">
        <v>297</v>
      </c>
      <c r="AJ268" s="236">
        <v>292</v>
      </c>
      <c r="AK268" s="237">
        <v>51</v>
      </c>
      <c r="AL268" s="237">
        <v>62</v>
      </c>
    </row>
    <row r="269">
      <c r="A269" s="216"/>
      <c r="B269" s="239" t="s">
        <v>208</v>
      </c>
      <c r="C269" s="240">
        <v>2</v>
      </c>
      <c r="D269" s="241">
        <f>SUM(D267:D268)</f>
      </c>
      <c r="E269" s="241">
        <f>SUM(E267:E268)</f>
      </c>
      <c r="F269" s="241">
        <f>SUM(F267:F268)</f>
      </c>
      <c r="G269" s="241">
        <f>SUM(G267:G268)</f>
      </c>
      <c r="H269" s="241">
        <f>SUM(H267:H268)</f>
      </c>
      <c r="I269" s="241">
        <f>SUM(I267:I268)</f>
      </c>
      <c r="J269" s="241">
        <f>SUM(J267:J268)</f>
      </c>
      <c r="K269" s="241">
        <f>SUM(K267:K268)</f>
      </c>
      <c r="L269" s="241">
        <f>SUM(L267:L268)</f>
      </c>
      <c r="M269" s="242">
        <f t="shared" si="77"/>
      </c>
      <c r="N269" s="243">
        <f t="shared" si="46"/>
      </c>
      <c r="O269" s="243">
        <f t="shared" si="15"/>
      </c>
      <c r="P269" s="244">
        <f t="shared" si="950"/>
      </c>
      <c r="Q269" s="244">
        <f t="shared" si="919"/>
      </c>
      <c r="R269" s="244">
        <f t="shared" si="888"/>
      </c>
      <c r="S269" s="245">
        <f t="shared" si="857"/>
      </c>
      <c r="T269" s="245">
        <f t="shared" si="795"/>
      </c>
      <c r="U269" s="244">
        <f t="shared" si="764"/>
      </c>
      <c r="V269" s="245">
        <f t="shared" si="826"/>
      </c>
      <c r="W269" s="245">
        <f t="shared" si="733"/>
      </c>
      <c r="X269" s="244">
        <f t="shared" si="702"/>
      </c>
      <c r="Y269" s="241">
        <f>SUM(Y267:Y268)</f>
      </c>
      <c r="Z269" s="241">
        <f>SUM(Z267:Z268)</f>
      </c>
      <c r="AA269" s="241">
        <f>SUM(AA267:AA268)</f>
      </c>
      <c r="AB269" s="241">
        <f>SUM(AB267:AB268)</f>
      </c>
      <c r="AC269" s="241">
        <f>SUM(AC267:AC268)</f>
      </c>
      <c r="AD269" s="246">
        <f t="shared" si="671"/>
      </c>
      <c r="AE269" s="247"/>
      <c r="AF269" s="248"/>
      <c r="AG269" s="241">
        <f>SUM(AG267:AG268)</f>
      </c>
      <c r="AH269" s="241">
        <f>SUM(AH267:AH268)</f>
      </c>
      <c r="AI269" s="241">
        <f>SUM(AI267:AI268)</f>
      </c>
      <c r="AJ269" s="241">
        <f>SUM(AJ267:AJ268)</f>
      </c>
      <c r="AK269" s="241">
        <f>SUM(AK267:AK268)</f>
      </c>
      <c r="AL269" s="241">
        <f>SUM(AL267:AL268)</f>
      </c>
    </row>
    <row r="270">
      <c r="A270" s="216"/>
      <c r="B270" s="217" t="s">
        <v>224</v>
      </c>
      <c r="C270" s="252" t="s">
        <v>211</v>
      </c>
      <c r="D270" s="219">
        <f t="shared" ref="D270:D273" si="478">E270+F270+G270+H270</f>
      </c>
      <c r="E270" s="218">
        <v>277.17</v>
      </c>
      <c r="F270" s="249">
        <v>479.6</v>
      </c>
      <c r="G270" s="221">
        <v>1177.56</v>
      </c>
      <c r="H270" s="221">
        <v>192.33</v>
      </c>
      <c r="I270" s="250">
        <f t="shared" ref="I270:I273" si="365">AB270+AC270</f>
      </c>
      <c r="J270" s="251">
        <v>0</v>
      </c>
      <c r="K270" s="223">
        <f t="shared" ref="K270:K273" si="250">I270-J270</f>
      </c>
      <c r="L270" s="223">
        <f t="shared" ref="L270:L273" si="135">(I270-AC270)/12+AC270</f>
      </c>
      <c r="M270" s="224">
        <f t="shared" si="77"/>
      </c>
      <c r="N270" s="225">
        <f t="shared" si="46"/>
      </c>
      <c r="O270" s="226">
        <f t="shared" si="15"/>
      </c>
      <c r="P270" s="227">
        <f t="shared" si="950"/>
      </c>
      <c r="Q270" s="227">
        <f t="shared" si="919"/>
      </c>
      <c r="R270" s="227">
        <f t="shared" si="888"/>
      </c>
      <c r="S270" s="228">
        <f t="shared" si="857"/>
      </c>
      <c r="T270" s="229">
        <f t="shared" si="795"/>
      </c>
      <c r="U270" s="227">
        <f t="shared" si="764"/>
      </c>
      <c r="V270" s="230">
        <f t="shared" si="826"/>
      </c>
      <c r="W270" s="230">
        <f t="shared" si="733"/>
      </c>
      <c r="X270" s="227">
        <f t="shared" si="702"/>
      </c>
      <c r="Y270" s="231">
        <f t="shared" ref="Y270:Y273" si="583">Z270+AA270</f>
      </c>
      <c r="Z270" s="231">
        <v>1</v>
      </c>
      <c r="AA270" s="231">
        <v>1</v>
      </c>
      <c r="AB270" s="232">
        <v>1788.4799999999996</v>
      </c>
      <c r="AC270" s="232">
        <v>0</v>
      </c>
      <c r="AD270" s="228">
        <f t="shared" si="671"/>
      </c>
      <c r="AE270" s="233" t="s">
        <v>202</v>
      </c>
      <c r="AF270" s="234" t="s">
        <v>203</v>
      </c>
      <c r="AG270" s="235">
        <v>1</v>
      </c>
      <c r="AH270" s="236">
        <v>14737</v>
      </c>
      <c r="AI270" s="236">
        <v>398</v>
      </c>
      <c r="AJ270" s="236">
        <v>394</v>
      </c>
      <c r="AK270" s="237">
        <v>61</v>
      </c>
      <c r="AL270" s="237">
        <v>74</v>
      </c>
    </row>
    <row r="271">
      <c r="A271" s="216"/>
      <c r="B271" s="217" t="s">
        <v>224</v>
      </c>
      <c r="C271" s="252" t="s">
        <v>212</v>
      </c>
      <c r="D271" s="219">
        <f t="shared" si="478"/>
      </c>
      <c r="E271" s="218">
        <v>276.16</v>
      </c>
      <c r="F271" s="249">
        <v>2095.39</v>
      </c>
      <c r="G271" s="221">
        <v>1075.57</v>
      </c>
      <c r="H271" s="221">
        <v>217.87</v>
      </c>
      <c r="I271" s="250">
        <f t="shared" si="365"/>
      </c>
      <c r="J271" s="251">
        <v>3194.64</v>
      </c>
      <c r="K271" s="223">
        <f t="shared" si="250"/>
      </c>
      <c r="L271" s="223">
        <f t="shared" si="135"/>
      </c>
      <c r="M271" s="224">
        <f t="shared" si="77"/>
      </c>
      <c r="N271" s="225">
        <f t="shared" si="46"/>
      </c>
      <c r="O271" s="226">
        <f t="shared" si="15"/>
      </c>
      <c r="P271" s="227">
        <f t="shared" si="950"/>
      </c>
      <c r="Q271" s="227">
        <f t="shared" si="919"/>
      </c>
      <c r="R271" s="227">
        <f t="shared" si="888"/>
      </c>
      <c r="S271" s="228">
        <f t="shared" si="857"/>
      </c>
      <c r="T271" s="229">
        <f t="shared" si="795"/>
      </c>
      <c r="U271" s="227">
        <f t="shared" si="764"/>
      </c>
      <c r="V271" s="230">
        <f t="shared" si="826"/>
      </c>
      <c r="W271" s="230">
        <f t="shared" si="733"/>
      </c>
      <c r="X271" s="227">
        <f t="shared" si="702"/>
      </c>
      <c r="Y271" s="231">
        <f t="shared" si="583"/>
      </c>
      <c r="Z271" s="231">
        <v>3</v>
      </c>
      <c r="AA271" s="231">
        <v>8</v>
      </c>
      <c r="AB271" s="232">
        <v>14669.640000000003</v>
      </c>
      <c r="AC271" s="232">
        <v>0</v>
      </c>
      <c r="AD271" s="228">
        <f t="shared" si="671"/>
      </c>
      <c r="AE271" s="233" t="s">
        <v>202</v>
      </c>
      <c r="AF271" s="234" t="s">
        <v>203</v>
      </c>
      <c r="AG271" s="235">
        <v>5</v>
      </c>
      <c r="AH271" s="236">
        <v>24956</v>
      </c>
      <c r="AI271" s="236">
        <v>540</v>
      </c>
      <c r="AJ271" s="236">
        <v>532</v>
      </c>
      <c r="AK271" s="237">
        <v>67</v>
      </c>
      <c r="AL271" s="237">
        <v>113</v>
      </c>
    </row>
    <row r="272">
      <c r="A272" s="216"/>
      <c r="B272" s="217" t="s">
        <v>224</v>
      </c>
      <c r="C272" s="218" t="s">
        <v>213</v>
      </c>
      <c r="D272" s="219">
        <f t="shared" si="478"/>
      </c>
      <c r="E272" s="218">
        <v>178.3</v>
      </c>
      <c r="F272" s="249">
        <v>3366.15</v>
      </c>
      <c r="G272" s="218">
        <v>570.43</v>
      </c>
      <c r="H272" s="218">
        <v>98.28</v>
      </c>
      <c r="I272" s="250">
        <f t="shared" si="365"/>
      </c>
      <c r="J272" s="251">
        <v>0</v>
      </c>
      <c r="K272" s="223">
        <f t="shared" si="250"/>
      </c>
      <c r="L272" s="223">
        <f t="shared" si="135"/>
      </c>
      <c r="M272" s="224">
        <f t="shared" si="77"/>
      </c>
      <c r="N272" s="225">
        <f t="shared" si="46"/>
      </c>
      <c r="O272" s="226">
        <f t="shared" si="15"/>
      </c>
      <c r="P272" s="227">
        <f t="shared" si="950"/>
      </c>
      <c r="Q272" s="227">
        <f t="shared" si="919"/>
      </c>
      <c r="R272" s="227">
        <f t="shared" si="888"/>
      </c>
      <c r="S272" s="228">
        <f t="shared" si="857"/>
      </c>
      <c r="T272" s="229">
        <f t="shared" si="795"/>
      </c>
      <c r="U272" s="227">
        <f t="shared" si="764"/>
      </c>
      <c r="V272" s="230">
        <f t="shared" si="826"/>
      </c>
      <c r="W272" s="230">
        <f t="shared" si="733"/>
      </c>
      <c r="X272" s="227">
        <f t="shared" si="702"/>
      </c>
      <c r="Y272" s="231">
        <f t="shared" si="583"/>
      </c>
      <c r="Z272" s="231">
        <v>3</v>
      </c>
      <c r="AA272" s="231">
        <v>0</v>
      </c>
      <c r="AB272" s="232">
        <v>0</v>
      </c>
      <c r="AC272" s="232">
        <v>0</v>
      </c>
      <c r="AD272" s="228">
        <f t="shared" si="671"/>
      </c>
      <c r="AE272" s="233" t="s">
        <v>202</v>
      </c>
      <c r="AF272" s="234" t="s">
        <v>203</v>
      </c>
      <c r="AG272" s="237">
        <v>0</v>
      </c>
      <c r="AH272" s="236">
        <v>34228</v>
      </c>
      <c r="AI272" s="236">
        <v>576</v>
      </c>
      <c r="AJ272" s="236">
        <v>587</v>
      </c>
      <c r="AK272" s="237">
        <v>73</v>
      </c>
      <c r="AL272" s="237">
        <v>99</v>
      </c>
    </row>
    <row r="273">
      <c r="A273" s="216"/>
      <c r="B273" s="217" t="s">
        <v>224</v>
      </c>
      <c r="C273" s="252" t="s">
        <v>214</v>
      </c>
      <c r="D273" s="219">
        <f t="shared" si="478"/>
      </c>
      <c r="E273" s="218">
        <v>140.38</v>
      </c>
      <c r="F273" s="249">
        <v>1260.61</v>
      </c>
      <c r="G273" s="221">
        <v>198.39</v>
      </c>
      <c r="H273" s="221">
        <v>13.56</v>
      </c>
      <c r="I273" s="250">
        <f t="shared" si="365"/>
      </c>
      <c r="J273" s="251">
        <v>0</v>
      </c>
      <c r="K273" s="223">
        <f t="shared" si="250"/>
      </c>
      <c r="L273" s="223">
        <f t="shared" si="135"/>
      </c>
      <c r="M273" s="224">
        <f t="shared" si="77"/>
      </c>
      <c r="N273" s="225">
        <f t="shared" si="46"/>
      </c>
      <c r="O273" s="226">
        <f t="shared" si="15"/>
      </c>
      <c r="P273" s="227">
        <f t="shared" si="950"/>
      </c>
      <c r="Q273" s="227">
        <f t="shared" si="919"/>
      </c>
      <c r="R273" s="227">
        <f t="shared" si="888"/>
      </c>
      <c r="S273" s="228">
        <f t="shared" si="857"/>
      </c>
      <c r="T273" s="229">
        <f t="shared" si="795"/>
      </c>
      <c r="U273" s="227">
        <f t="shared" si="764"/>
      </c>
      <c r="V273" s="230">
        <f t="shared" si="826"/>
      </c>
      <c r="W273" s="230">
        <f t="shared" si="733"/>
      </c>
      <c r="X273" s="227">
        <f t="shared" si="702"/>
      </c>
      <c r="Y273" s="231">
        <f t="shared" si="583"/>
      </c>
      <c r="Z273" s="231">
        <v>2</v>
      </c>
      <c r="AA273" s="231">
        <v>1</v>
      </c>
      <c r="AB273" s="222">
        <v>733.3199999999997</v>
      </c>
      <c r="AC273" s="232">
        <v>0</v>
      </c>
      <c r="AD273" s="228">
        <f t="shared" si="671"/>
      </c>
      <c r="AE273" s="233" t="s">
        <v>202</v>
      </c>
      <c r="AF273" s="234" t="s">
        <v>203</v>
      </c>
      <c r="AG273" s="235">
        <v>1</v>
      </c>
      <c r="AH273" s="236">
        <v>11250</v>
      </c>
      <c r="AI273" s="236">
        <v>278</v>
      </c>
      <c r="AJ273" s="236">
        <v>290</v>
      </c>
      <c r="AK273" s="237">
        <v>44</v>
      </c>
      <c r="AL273" s="237">
        <v>59</v>
      </c>
    </row>
    <row r="274">
      <c r="A274" s="216"/>
      <c r="B274" s="239" t="s">
        <v>208</v>
      </c>
      <c r="C274" s="240">
        <v>4</v>
      </c>
      <c r="D274" s="241">
        <f>SUM(D270:D273)</f>
      </c>
      <c r="E274" s="241">
        <f>SUM(E270:E273)</f>
      </c>
      <c r="F274" s="241">
        <f>SUM(F270:F273)</f>
      </c>
      <c r="G274" s="241">
        <f>SUM(G270:G273)</f>
      </c>
      <c r="H274" s="241">
        <f>SUM(H270:H273)</f>
      </c>
      <c r="I274" s="241">
        <f>SUM(I270:I273)</f>
      </c>
      <c r="J274" s="241">
        <f>SUM(J270:J273)</f>
      </c>
      <c r="K274" s="241">
        <f>SUM(K270:K273)</f>
      </c>
      <c r="L274" s="241">
        <f>SUM(L270:L273)</f>
      </c>
      <c r="M274" s="242">
        <f t="shared" si="77"/>
      </c>
      <c r="N274" s="243">
        <f t="shared" si="46"/>
      </c>
      <c r="O274" s="243">
        <f t="shared" si="15"/>
      </c>
      <c r="P274" s="244">
        <f t="shared" si="950"/>
      </c>
      <c r="Q274" s="244">
        <f t="shared" si="919"/>
      </c>
      <c r="R274" s="244">
        <f t="shared" si="888"/>
      </c>
      <c r="S274" s="245">
        <f t="shared" si="857"/>
      </c>
      <c r="T274" s="245">
        <f t="shared" si="795"/>
      </c>
      <c r="U274" s="244">
        <f t="shared" si="764"/>
      </c>
      <c r="V274" s="245">
        <f t="shared" si="826"/>
      </c>
      <c r="W274" s="245">
        <f t="shared" si="733"/>
      </c>
      <c r="X274" s="244">
        <f t="shared" si="702"/>
      </c>
      <c r="Y274" s="241">
        <f>SUM(Y270:Y273)</f>
      </c>
      <c r="Z274" s="241">
        <f>SUM(Z270:Z273)</f>
      </c>
      <c r="AA274" s="241">
        <f>SUM(AA270:AA273)</f>
      </c>
      <c r="AB274" s="241">
        <f>SUM(AB270:AB273)</f>
      </c>
      <c r="AC274" s="241">
        <f>SUM(AC270:AC273)</f>
      </c>
      <c r="AD274" s="246">
        <f t="shared" si="671"/>
      </c>
      <c r="AE274" s="247"/>
      <c r="AF274" s="248"/>
      <c r="AG274" s="241">
        <f>SUM(AG270:AG273)</f>
      </c>
      <c r="AH274" s="241">
        <f>SUM(AH270:AH273)</f>
      </c>
      <c r="AI274" s="241">
        <f>SUM(AI270:AI273)</f>
      </c>
      <c r="AJ274" s="241">
        <f>SUM(AJ270:AJ273)</f>
      </c>
      <c r="AK274" s="241">
        <f>SUM(AK270:AK273)</f>
      </c>
      <c r="AL274" s="241">
        <f>SUM(AL270:AL273)</f>
      </c>
    </row>
    <row r="275">
      <c r="A275" s="216"/>
      <c r="B275" s="253" t="s">
        <v>208</v>
      </c>
      <c r="C275" s="254">
        <f>C261+C266+C269+C274</f>
      </c>
      <c r="D275" s="254">
        <f>D261+D266+D269+D274</f>
      </c>
      <c r="E275" s="254">
        <f>E261+E266+E269+E274</f>
      </c>
      <c r="F275" s="254">
        <f>F261+F266+F269+F274</f>
      </c>
      <c r="G275" s="254">
        <f>G261+G266+G269+G274</f>
      </c>
      <c r="H275" s="254">
        <f>H261+H266+H269+H274</f>
      </c>
      <c r="I275" s="254">
        <f>I261+I266+I269+I274</f>
      </c>
      <c r="J275" s="254">
        <f>J261+J266+J269+J274</f>
      </c>
      <c r="K275" s="254">
        <f>K261+K266+K269+K274</f>
      </c>
      <c r="L275" s="254">
        <f>L261+L266+L269+L274</f>
      </c>
      <c r="M275" s="256">
        <f t="shared" si="77"/>
      </c>
      <c r="N275" s="256">
        <f t="shared" si="46"/>
      </c>
      <c r="O275" s="256">
        <f t="shared" si="15"/>
      </c>
      <c r="P275" s="256">
        <f t="shared" si="950"/>
      </c>
      <c r="Q275" s="256">
        <f t="shared" si="919"/>
      </c>
      <c r="R275" s="256">
        <f t="shared" si="888"/>
      </c>
      <c r="S275" s="257">
        <f t="shared" si="857"/>
      </c>
      <c r="T275" s="257">
        <f t="shared" si="795"/>
      </c>
      <c r="U275" s="256">
        <f t="shared" si="764"/>
      </c>
      <c r="V275" s="257">
        <f t="shared" si="826"/>
      </c>
      <c r="W275" s="257">
        <f t="shared" si="733"/>
      </c>
      <c r="X275" s="256">
        <f t="shared" si="702"/>
      </c>
      <c r="Y275" s="266">
        <f>Y261+Y266+Y269+Y274</f>
      </c>
      <c r="Z275" s="266">
        <f>Z261+Z266+Z269+Z274</f>
      </c>
      <c r="AA275" s="266">
        <f>AA261+AA266+AA269+AA274</f>
      </c>
      <c r="AB275" s="266">
        <f>AB261+AB266+AB269+AB274</f>
      </c>
      <c r="AC275" s="266">
        <f>AC261+AC266+AC269+AC274</f>
      </c>
      <c r="AD275" s="258">
        <f t="shared" si="671"/>
      </c>
      <c r="AE275" s="253"/>
      <c r="AF275" s="253"/>
      <c r="AG275" s="266">
        <f>AG261+AG266+AG269+AG274</f>
      </c>
      <c r="AH275" s="266">
        <f>AH261+AH266+AH269+AH274</f>
      </c>
      <c r="AI275" s="266">
        <f>AI261+AI266+AI269+AI274</f>
      </c>
      <c r="AJ275" s="266">
        <f>AJ261+AJ266+AJ269+AJ274</f>
      </c>
      <c r="AK275" s="266">
        <f>AK261+AK266+AK269+AK274</f>
      </c>
      <c r="AL275" s="266">
        <f>AL261+AL266+AL269+AL274</f>
      </c>
    </row>
    <row r="276">
      <c r="A276" s="202" t="s">
        <v>162</v>
      </c>
      <c r="B276" s="203" t="s">
        <v>163</v>
      </c>
      <c r="C276" s="203" t="s">
        <v>164</v>
      </c>
      <c r="D276" s="204" t="s">
        <v>165</v>
      </c>
      <c r="E276" s="203" t="s">
        <v>166</v>
      </c>
      <c r="F276" s="203" t="s">
        <v>167</v>
      </c>
      <c r="G276" s="205" t="s">
        <v>168</v>
      </c>
      <c r="H276" s="205" t="s">
        <v>169</v>
      </c>
      <c r="I276" s="204" t="s">
        <v>170</v>
      </c>
      <c r="J276" s="206" t="s">
        <v>171</v>
      </c>
      <c r="K276" s="207" t="s">
        <v>172</v>
      </c>
      <c r="L276" s="207" t="s">
        <v>173</v>
      </c>
      <c r="M276" s="208" t="s">
        <v>174</v>
      </c>
      <c r="N276" s="207" t="s">
        <v>175</v>
      </c>
      <c r="O276" s="203" t="s">
        <v>176</v>
      </c>
      <c r="P276" s="208" t="s">
        <v>177</v>
      </c>
      <c r="Q276" s="209" t="s">
        <v>178</v>
      </c>
      <c r="R276" s="209" t="s">
        <v>179</v>
      </c>
      <c r="S276" s="204" t="s">
        <v>180</v>
      </c>
      <c r="T276" s="210" t="s">
        <v>181</v>
      </c>
      <c r="U276" s="208" t="s">
        <v>182</v>
      </c>
      <c r="V276" s="211" t="s">
        <v>183</v>
      </c>
      <c r="W276" s="212" t="s">
        <v>184</v>
      </c>
      <c r="X276" s="208" t="s">
        <v>185</v>
      </c>
      <c r="Y276" s="213" t="s">
        <v>186</v>
      </c>
      <c r="Z276" s="214" t="s">
        <v>187</v>
      </c>
      <c r="AA276" s="213" t="s">
        <v>188</v>
      </c>
      <c r="AB276" s="215" t="s">
        <v>189</v>
      </c>
      <c r="AC276" s="215" t="s">
        <v>190</v>
      </c>
      <c r="AD276" s="207" t="s">
        <v>191</v>
      </c>
      <c r="AE276" s="206" t="s">
        <v>192</v>
      </c>
      <c r="AF276" s="207" t="s">
        <v>193</v>
      </c>
      <c r="AG276" s="206" t="s">
        <v>194</v>
      </c>
      <c r="AH276" s="206" t="s">
        <v>195</v>
      </c>
      <c r="AI276" s="207" t="s">
        <v>196</v>
      </c>
      <c r="AJ276" s="206" t="s">
        <v>197</v>
      </c>
      <c r="AK276" s="207" t="s">
        <v>198</v>
      </c>
      <c r="AL276" s="206" t="s">
        <v>199</v>
      </c>
    </row>
    <row r="277">
      <c r="A277" s="216">
        <v>46251</v>
      </c>
      <c r="B277" s="217" t="s">
        <v>200</v>
      </c>
      <c r="C277" s="218" t="s">
        <v>216</v>
      </c>
      <c r="D277" s="219">
        <f t="shared" ref="D277:D280" si="479">E277+F277+G277+H277</f>
      </c>
      <c r="E277" s="220">
        <v>413.13</v>
      </c>
      <c r="F277" s="221">
        <v>2074.3</v>
      </c>
      <c r="G277" s="221">
        <v>266.07</v>
      </c>
      <c r="H277" s="221">
        <v>42.16</v>
      </c>
      <c r="I277" s="221">
        <f t="shared" ref="I277:I280" si="366">AB277+AC277</f>
      </c>
      <c r="J277" s="222">
        <v>0</v>
      </c>
      <c r="K277" s="223">
        <f t="shared" ref="K277:K280" si="251">I277-J277</f>
      </c>
      <c r="L277" s="223">
        <f t="shared" ref="L277:L280" si="136">(I277-AC277)/12+AC277</f>
      </c>
      <c r="M277" s="224">
        <f t="shared" ref="M277:M296" si="78">I277/D277</f>
      </c>
      <c r="N277" s="225">
        <f t="shared" ref="N277:N296" si="47">(I277-J277)/D277</f>
      </c>
      <c r="O277" s="226">
        <f t="shared" ref="O277:O296" si="16">(AC277+AB277/12)/D277</f>
      </c>
      <c r="P277" s="227">
        <f t="shared" ref="P277:P296" si="951">I277/AA277</f>
      </c>
      <c r="Q277" s="227">
        <f t="shared" ref="Q277:Q296" si="920">D277/AA277</f>
      </c>
      <c r="R277" s="227">
        <f t="shared" ref="R277:R296" si="889">D277/AG277</f>
      </c>
      <c r="S277" s="228">
        <f t="shared" ref="S277:S296" si="858">AA277/Y277</f>
      </c>
      <c r="T277" s="229">
        <f t="shared" ref="T277:T296" si="796">AI277/AH277</f>
      </c>
      <c r="U277" s="227">
        <f t="shared" ref="U277:U296" si="765">D277/AJ277</f>
      </c>
      <c r="V277" s="230">
        <f t="shared" ref="V277:V296" si="827">AK277/AJ277</f>
      </c>
      <c r="W277" s="230">
        <f t="shared" ref="W277:W296" si="734">AL277/AJ277</f>
      </c>
      <c r="X277" s="227">
        <f t="shared" ref="X277:X296" si="703">D277/AL277</f>
      </c>
      <c r="Y277" s="231">
        <f t="shared" ref="Y277:Y280" si="584">Z277+AA277</f>
      </c>
      <c r="Z277" s="231">
        <v>2</v>
      </c>
      <c r="AA277" s="231">
        <v>0</v>
      </c>
      <c r="AB277" s="232">
        <v>0</v>
      </c>
      <c r="AC277" s="232">
        <v>0</v>
      </c>
      <c r="AD277" s="228">
        <f t="shared" ref="AD277:AD296" si="672">AC277/I277</f>
      </c>
      <c r="AE277" s="233" t="s">
        <v>202</v>
      </c>
      <c r="AF277" s="234" t="s">
        <v>228</v>
      </c>
      <c r="AG277" s="235">
        <v>0</v>
      </c>
      <c r="AH277" s="235">
        <v>16875</v>
      </c>
      <c r="AI277" s="236">
        <v>359</v>
      </c>
      <c r="AJ277" s="236">
        <v>348</v>
      </c>
      <c r="AK277" s="235">
        <v>63</v>
      </c>
      <c r="AL277" s="237">
        <v>78</v>
      </c>
    </row>
    <row r="278">
      <c r="A278" s="216"/>
      <c r="B278" s="217" t="s">
        <v>200</v>
      </c>
      <c r="C278" s="218" t="s">
        <v>218</v>
      </c>
      <c r="D278" s="219">
        <f t="shared" si="479"/>
      </c>
      <c r="E278" s="218">
        <v>223.11</v>
      </c>
      <c r="F278" s="221">
        <v>1615.84</v>
      </c>
      <c r="G278" s="221">
        <v>896.77</v>
      </c>
      <c r="H278" s="221">
        <v>49.82</v>
      </c>
      <c r="I278" s="221">
        <f t="shared" si="366"/>
      </c>
      <c r="J278" s="222">
        <v>4350.12</v>
      </c>
      <c r="K278" s="223">
        <f t="shared" si="251"/>
      </c>
      <c r="L278" s="223">
        <f t="shared" si="136"/>
      </c>
      <c r="M278" s="224">
        <f t="shared" si="78"/>
      </c>
      <c r="N278" s="225">
        <f t="shared" si="47"/>
      </c>
      <c r="O278" s="226">
        <f t="shared" si="16"/>
      </c>
      <c r="P278" s="227">
        <f t="shared" si="951"/>
      </c>
      <c r="Q278" s="227">
        <f t="shared" si="920"/>
      </c>
      <c r="R278" s="227">
        <f t="shared" si="889"/>
      </c>
      <c r="S278" s="228">
        <f t="shared" si="858"/>
      </c>
      <c r="T278" s="229">
        <f t="shared" si="796"/>
      </c>
      <c r="U278" s="227">
        <f t="shared" si="765"/>
      </c>
      <c r="V278" s="230">
        <f t="shared" si="827"/>
      </c>
      <c r="W278" s="230">
        <f t="shared" si="734"/>
      </c>
      <c r="X278" s="227">
        <f t="shared" si="703"/>
      </c>
      <c r="Y278" s="231">
        <f t="shared" si="584"/>
      </c>
      <c r="Z278" s="231">
        <v>1</v>
      </c>
      <c r="AA278" s="231">
        <v>3</v>
      </c>
      <c r="AB278" s="232">
        <v>9097.8</v>
      </c>
      <c r="AC278" s="232">
        <v>0</v>
      </c>
      <c r="AD278" s="228">
        <f t="shared" si="672"/>
      </c>
      <c r="AE278" s="233" t="s">
        <v>202</v>
      </c>
      <c r="AF278" s="234" t="s">
        <v>228</v>
      </c>
      <c r="AG278" s="235">
        <v>3</v>
      </c>
      <c r="AH278" s="236">
        <v>17501</v>
      </c>
      <c r="AI278" s="236">
        <v>368</v>
      </c>
      <c r="AJ278" s="236">
        <v>369</v>
      </c>
      <c r="AK278" s="237">
        <v>71</v>
      </c>
      <c r="AL278" s="237">
        <v>84</v>
      </c>
    </row>
    <row r="279">
      <c r="A279" s="216"/>
      <c r="B279" s="217" t="s">
        <v>200</v>
      </c>
      <c r="C279" s="218" t="s">
        <v>219</v>
      </c>
      <c r="D279" s="219">
        <f t="shared" si="479"/>
      </c>
      <c r="E279" s="218">
        <v>253.12</v>
      </c>
      <c r="F279" s="218">
        <v>2125.47</v>
      </c>
      <c r="G279" s="218">
        <v>656.61</v>
      </c>
      <c r="H279" s="218">
        <v>36.99</v>
      </c>
      <c r="I279" s="221">
        <f t="shared" si="366"/>
      </c>
      <c r="J279" s="222">
        <v>0</v>
      </c>
      <c r="K279" s="223">
        <f t="shared" si="251"/>
      </c>
      <c r="L279" s="223">
        <f t="shared" si="136"/>
      </c>
      <c r="M279" s="224">
        <f t="shared" si="78"/>
      </c>
      <c r="N279" s="225">
        <f t="shared" si="47"/>
      </c>
      <c r="O279" s="226">
        <f t="shared" si="16"/>
      </c>
      <c r="P279" s="227">
        <f t="shared" si="951"/>
      </c>
      <c r="Q279" s="227">
        <f t="shared" si="920"/>
      </c>
      <c r="R279" s="227">
        <f t="shared" si="889"/>
      </c>
      <c r="S279" s="228">
        <f t="shared" si="858"/>
      </c>
      <c r="T279" s="229">
        <f t="shared" si="796"/>
      </c>
      <c r="U279" s="227">
        <f t="shared" si="765"/>
      </c>
      <c r="V279" s="230">
        <f t="shared" si="827"/>
      </c>
      <c r="W279" s="230">
        <f t="shared" si="734"/>
      </c>
      <c r="X279" s="227">
        <f t="shared" si="703"/>
      </c>
      <c r="Y279" s="231">
        <f t="shared" si="584"/>
      </c>
      <c r="Z279" s="231">
        <v>0</v>
      </c>
      <c r="AA279" s="231">
        <v>2</v>
      </c>
      <c r="AB279" s="232">
        <v>1871.6400000000012</v>
      </c>
      <c r="AC279" s="232">
        <v>0</v>
      </c>
      <c r="AD279" s="228">
        <f t="shared" si="672"/>
      </c>
      <c r="AE279" s="233" t="s">
        <v>202</v>
      </c>
      <c r="AF279" s="234" t="s">
        <v>228</v>
      </c>
      <c r="AG279" s="237">
        <v>2</v>
      </c>
      <c r="AH279" s="236">
        <v>19281</v>
      </c>
      <c r="AI279" s="236">
        <v>393</v>
      </c>
      <c r="AJ279" s="236">
        <v>377</v>
      </c>
      <c r="AK279" s="237">
        <v>79</v>
      </c>
      <c r="AL279" s="237">
        <v>98</v>
      </c>
    </row>
    <row r="280">
      <c r="A280" s="216"/>
      <c r="B280" s="217" t="s">
        <v>200</v>
      </c>
      <c r="C280" s="218" t="s">
        <v>220</v>
      </c>
      <c r="D280" s="219">
        <f t="shared" si="479"/>
      </c>
      <c r="E280" s="218">
        <v>242.68</v>
      </c>
      <c r="F280" s="221">
        <v>1166.65</v>
      </c>
      <c r="G280" s="221">
        <v>836.88</v>
      </c>
      <c r="H280" s="221">
        <v>36.27</v>
      </c>
      <c r="I280" s="238">
        <f t="shared" si="366"/>
      </c>
      <c r="J280" s="222">
        <v>6016.68</v>
      </c>
      <c r="K280" s="223">
        <f t="shared" si="251"/>
      </c>
      <c r="L280" s="223">
        <f t="shared" si="136"/>
      </c>
      <c r="M280" s="224">
        <f t="shared" si="78"/>
      </c>
      <c r="N280" s="225">
        <f t="shared" si="47"/>
      </c>
      <c r="O280" s="226">
        <f t="shared" si="16"/>
      </c>
      <c r="P280" s="227">
        <f t="shared" si="951"/>
      </c>
      <c r="Q280" s="227">
        <f t="shared" si="920"/>
      </c>
      <c r="R280" s="227">
        <f t="shared" si="889"/>
      </c>
      <c r="S280" s="228">
        <f t="shared" si="858"/>
      </c>
      <c r="T280" s="229">
        <f t="shared" si="796"/>
      </c>
      <c r="U280" s="227">
        <f t="shared" si="765"/>
      </c>
      <c r="V280" s="230">
        <f t="shared" si="827"/>
      </c>
      <c r="W280" s="230">
        <f t="shared" si="734"/>
      </c>
      <c r="X280" s="227">
        <f t="shared" si="703"/>
      </c>
      <c r="Y280" s="231">
        <f t="shared" si="584"/>
      </c>
      <c r="Z280" s="231">
        <v>0</v>
      </c>
      <c r="AA280" s="231">
        <v>4</v>
      </c>
      <c r="AB280" s="232">
        <v>10087.199999999999</v>
      </c>
      <c r="AC280" s="232">
        <v>0</v>
      </c>
      <c r="AD280" s="228">
        <f t="shared" si="672"/>
      </c>
      <c r="AE280" s="233" t="s">
        <v>202</v>
      </c>
      <c r="AF280" s="234" t="s">
        <v>228</v>
      </c>
      <c r="AG280" s="235">
        <v>4</v>
      </c>
      <c r="AH280" s="236">
        <v>282</v>
      </c>
      <c r="AI280" s="236">
        <v>3</v>
      </c>
      <c r="AJ280" s="236">
        <v>2</v>
      </c>
      <c r="AK280" s="237">
        <v>0</v>
      </c>
      <c r="AL280" s="237">
        <v>0</v>
      </c>
    </row>
    <row r="281">
      <c r="A281" s="216"/>
      <c r="B281" s="239" t="s">
        <v>208</v>
      </c>
      <c r="C281" s="240">
        <v>4</v>
      </c>
      <c r="D281" s="241">
        <f>SUM(D277:D280)</f>
      </c>
      <c r="E281" s="241">
        <f>SUM(E277:E280)</f>
      </c>
      <c r="F281" s="241">
        <f>SUM(F277:F280)</f>
      </c>
      <c r="G281" s="241">
        <f>SUM(G277:G280)</f>
      </c>
      <c r="H281" s="241">
        <f>SUM(H277:H280)</f>
      </c>
      <c r="I281" s="259">
        <f>SUM(I277:I280)</f>
      </c>
      <c r="J281" s="241">
        <f>SUM(J277:J280)</f>
      </c>
      <c r="K281" s="241">
        <f>SUM(K277:K280)</f>
      </c>
      <c r="L281" s="241">
        <f>SUM(L277:L280)</f>
      </c>
      <c r="M281" s="242">
        <f t="shared" si="78"/>
      </c>
      <c r="N281" s="243">
        <f t="shared" si="47"/>
      </c>
      <c r="O281" s="243">
        <f t="shared" si="16"/>
      </c>
      <c r="P281" s="244">
        <f t="shared" si="951"/>
      </c>
      <c r="Q281" s="244">
        <f t="shared" si="920"/>
      </c>
      <c r="R281" s="244">
        <f t="shared" si="889"/>
      </c>
      <c r="S281" s="245">
        <f t="shared" si="858"/>
      </c>
      <c r="T281" s="245">
        <f t="shared" si="796"/>
      </c>
      <c r="U281" s="244">
        <f t="shared" si="765"/>
      </c>
      <c r="V281" s="245">
        <f t="shared" si="827"/>
      </c>
      <c r="W281" s="245">
        <f t="shared" si="734"/>
      </c>
      <c r="X281" s="244">
        <f t="shared" si="703"/>
      </c>
      <c r="Y281" s="241">
        <f>SUM(Y277:Y280)</f>
      </c>
      <c r="Z281" s="241">
        <f>SUM(Z277:Z280)</f>
      </c>
      <c r="AA281" s="241">
        <f>SUM(AA277:AA280)</f>
      </c>
      <c r="AB281" s="241">
        <f>SUM(AB277:AB280)</f>
      </c>
      <c r="AC281" s="241">
        <f>SUM(AC277:AC280)</f>
      </c>
      <c r="AD281" s="246">
        <f t="shared" si="672"/>
      </c>
      <c r="AE281" s="247"/>
      <c r="AF281" s="248"/>
      <c r="AG281" s="241">
        <f>SUM(AG277:AG280)</f>
      </c>
      <c r="AH281" s="241">
        <f>SUM(AH277:AH280)</f>
      </c>
      <c r="AI281" s="241">
        <f>SUM(AI277:AI280)</f>
      </c>
      <c r="AJ281" s="241">
        <f>SUM(AJ277:AJ280)</f>
      </c>
      <c r="AK281" s="241">
        <f>SUM(AK277:AK280)</f>
      </c>
      <c r="AL281" s="241">
        <f>SUM(AL277:AL280)</f>
      </c>
    </row>
    <row r="282">
      <c r="A282" s="216"/>
      <c r="B282" s="217" t="s">
        <v>209</v>
      </c>
      <c r="C282" s="218" t="s">
        <v>221</v>
      </c>
      <c r="D282" s="219">
        <f t="shared" ref="D282:D285" si="480">E282+F282+G282+H282</f>
      </c>
      <c r="E282" s="220">
        <v>186.58</v>
      </c>
      <c r="F282" s="221">
        <v>1054</v>
      </c>
      <c r="G282" s="221">
        <v>1446.91</v>
      </c>
      <c r="H282" s="221">
        <v>2.69</v>
      </c>
      <c r="I282" s="221">
        <f t="shared" ref="I282:I285" si="367">AB282+AC282</f>
      </c>
      <c r="J282" s="222">
        <v>13415.76</v>
      </c>
      <c r="K282" s="223">
        <f t="shared" ref="K282:K285" si="252">I282-J282</f>
      </c>
      <c r="L282" s="223">
        <f t="shared" ref="L282:L285" si="137">(I282-AC282)/12+AC282</f>
      </c>
      <c r="M282" s="224">
        <f t="shared" si="78"/>
      </c>
      <c r="N282" s="225">
        <f t="shared" si="47"/>
      </c>
      <c r="O282" s="226">
        <f t="shared" si="16"/>
      </c>
      <c r="P282" s="227">
        <f t="shared" si="951"/>
      </c>
      <c r="Q282" s="227">
        <f t="shared" si="920"/>
      </c>
      <c r="R282" s="227">
        <f t="shared" si="889"/>
      </c>
      <c r="S282" s="228">
        <f t="shared" si="858"/>
      </c>
      <c r="T282" s="229">
        <f t="shared" si="796"/>
      </c>
      <c r="U282" s="227">
        <f t="shared" si="765"/>
      </c>
      <c r="V282" s="230">
        <f t="shared" si="827"/>
      </c>
      <c r="W282" s="230">
        <f t="shared" si="734"/>
      </c>
      <c r="X282" s="227">
        <f t="shared" si="703"/>
      </c>
      <c r="Y282" s="231">
        <f t="shared" ref="Y282:Y285" si="585">Z282+AA282</f>
      </c>
      <c r="Z282" s="231">
        <v>1</v>
      </c>
      <c r="AA282" s="231">
        <v>4</v>
      </c>
      <c r="AB282" s="232">
        <v>19611.6</v>
      </c>
      <c r="AC282" s="232">
        <v>0</v>
      </c>
      <c r="AD282" s="228">
        <f t="shared" si="672"/>
      </c>
      <c r="AE282" s="233" t="s">
        <v>202</v>
      </c>
      <c r="AF282" s="234" t="s">
        <v>228</v>
      </c>
      <c r="AG282" s="235">
        <v>4</v>
      </c>
      <c r="AH282" s="236">
        <v>17888</v>
      </c>
      <c r="AI282" s="236">
        <v>437</v>
      </c>
      <c r="AJ282" s="236">
        <v>423</v>
      </c>
      <c r="AK282" s="235">
        <v>80</v>
      </c>
      <c r="AL282" s="235">
        <v>93</v>
      </c>
    </row>
    <row r="283">
      <c r="A283" s="216"/>
      <c r="B283" s="217" t="s">
        <v>209</v>
      </c>
      <c r="C283" s="218" t="s">
        <v>201</v>
      </c>
      <c r="D283" s="219">
        <f t="shared" si="480"/>
      </c>
      <c r="E283" s="218">
        <v>201.48</v>
      </c>
      <c r="F283" s="221">
        <v>1799.17</v>
      </c>
      <c r="G283" s="221">
        <v>2483.25</v>
      </c>
      <c r="H283" s="221">
        <v>0.24</v>
      </c>
      <c r="I283" s="221">
        <f t="shared" si="367"/>
      </c>
      <c r="J283" s="222">
        <v>3054.11</v>
      </c>
      <c r="K283" s="223">
        <f t="shared" si="252"/>
      </c>
      <c r="L283" s="223">
        <f t="shared" si="137"/>
      </c>
      <c r="M283" s="224">
        <f t="shared" si="78"/>
      </c>
      <c r="N283" s="225">
        <f t="shared" si="47"/>
      </c>
      <c r="O283" s="226">
        <f t="shared" si="16"/>
      </c>
      <c r="P283" s="227">
        <f t="shared" si="951"/>
      </c>
      <c r="Q283" s="227">
        <f t="shared" si="920"/>
      </c>
      <c r="R283" s="227">
        <f t="shared" si="889"/>
      </c>
      <c r="S283" s="228">
        <f t="shared" si="858"/>
      </c>
      <c r="T283" s="229">
        <f t="shared" si="796"/>
      </c>
      <c r="U283" s="227">
        <f t="shared" si="765"/>
      </c>
      <c r="V283" s="230">
        <f t="shared" si="827"/>
      </c>
      <c r="W283" s="230">
        <f t="shared" si="734"/>
      </c>
      <c r="X283" s="227">
        <f t="shared" si="703"/>
      </c>
      <c r="Y283" s="231">
        <f t="shared" si="585"/>
      </c>
      <c r="Z283" s="231">
        <v>2</v>
      </c>
      <c r="AA283" s="231">
        <v>1</v>
      </c>
      <c r="AB283" s="232">
        <v>0</v>
      </c>
      <c r="AC283" s="232">
        <v>4146.75</v>
      </c>
      <c r="AD283" s="228">
        <f t="shared" si="672"/>
      </c>
      <c r="AE283" s="233" t="s">
        <v>202</v>
      </c>
      <c r="AF283" s="234" t="s">
        <v>228</v>
      </c>
      <c r="AG283" s="235">
        <v>1</v>
      </c>
      <c r="AH283" s="236">
        <v>32595</v>
      </c>
      <c r="AI283" s="236">
        <v>455</v>
      </c>
      <c r="AJ283" s="236">
        <v>455</v>
      </c>
      <c r="AK283" s="237">
        <v>82</v>
      </c>
      <c r="AL283" s="237">
        <v>103</v>
      </c>
    </row>
    <row r="284">
      <c r="A284" s="216"/>
      <c r="B284" s="217" t="s">
        <v>209</v>
      </c>
      <c r="C284" s="218" t="s">
        <v>204</v>
      </c>
      <c r="D284" s="219">
        <f t="shared" si="480"/>
      </c>
      <c r="E284" s="218">
        <v>181.07</v>
      </c>
      <c r="F284" s="218">
        <v>1030.09</v>
      </c>
      <c r="G284" s="218">
        <v>3121.04</v>
      </c>
      <c r="H284" s="218">
        <v>0.14</v>
      </c>
      <c r="I284" s="221">
        <f t="shared" si="367"/>
      </c>
      <c r="J284" s="222">
        <v>1580.8</v>
      </c>
      <c r="K284" s="223">
        <f t="shared" si="252"/>
      </c>
      <c r="L284" s="223">
        <f t="shared" si="137"/>
      </c>
      <c r="M284" s="224">
        <f t="shared" si="78"/>
      </c>
      <c r="N284" s="225">
        <f t="shared" si="47"/>
      </c>
      <c r="O284" s="226">
        <f t="shared" si="16"/>
      </c>
      <c r="P284" s="227">
        <f t="shared" si="951"/>
      </c>
      <c r="Q284" s="227">
        <f t="shared" si="920"/>
      </c>
      <c r="R284" s="227">
        <f t="shared" si="889"/>
      </c>
      <c r="S284" s="228">
        <f t="shared" si="858"/>
      </c>
      <c r="T284" s="229">
        <f t="shared" si="796"/>
      </c>
      <c r="U284" s="227">
        <f t="shared" si="765"/>
      </c>
      <c r="V284" s="230">
        <f t="shared" si="827"/>
      </c>
      <c r="W284" s="230">
        <f t="shared" si="734"/>
      </c>
      <c r="X284" s="227">
        <f t="shared" si="703"/>
      </c>
      <c r="Y284" s="231">
        <f t="shared" si="585"/>
      </c>
      <c r="Z284" s="231">
        <v>2</v>
      </c>
      <c r="AA284" s="231">
        <v>4</v>
      </c>
      <c r="AB284" s="232">
        <v>6432.480000000003</v>
      </c>
      <c r="AC284" s="232">
        <v>1086</v>
      </c>
      <c r="AD284" s="228">
        <f t="shared" si="672"/>
      </c>
      <c r="AE284" s="233" t="s">
        <v>202</v>
      </c>
      <c r="AF284" s="234" t="s">
        <v>228</v>
      </c>
      <c r="AG284" s="237">
        <v>3</v>
      </c>
      <c r="AH284" s="236">
        <v>30520</v>
      </c>
      <c r="AI284" s="236">
        <v>533</v>
      </c>
      <c r="AJ284" s="236">
        <v>522</v>
      </c>
      <c r="AK284" s="237">
        <v>85</v>
      </c>
      <c r="AL284" s="237">
        <v>112</v>
      </c>
    </row>
    <row r="285">
      <c r="A285" s="216"/>
      <c r="B285" s="217" t="s">
        <v>209</v>
      </c>
      <c r="C285" s="218" t="s">
        <v>205</v>
      </c>
      <c r="D285" s="219">
        <f t="shared" si="480"/>
      </c>
      <c r="E285" s="218">
        <v>164.55</v>
      </c>
      <c r="F285" s="221">
        <v>954.56</v>
      </c>
      <c r="G285" s="221">
        <v>4872.19</v>
      </c>
      <c r="H285" s="221">
        <v>0.99</v>
      </c>
      <c r="I285" s="221">
        <f t="shared" si="367"/>
      </c>
      <c r="J285" s="222">
        <v>0</v>
      </c>
      <c r="K285" s="223">
        <f t="shared" si="252"/>
      </c>
      <c r="L285" s="223">
        <f t="shared" si="137"/>
      </c>
      <c r="M285" s="224">
        <f t="shared" si="78"/>
      </c>
      <c r="N285" s="225">
        <f t="shared" si="47"/>
      </c>
      <c r="O285" s="226">
        <f t="shared" si="16"/>
      </c>
      <c r="P285" s="227">
        <f t="shared" si="951"/>
      </c>
      <c r="Q285" s="227">
        <f t="shared" si="920"/>
      </c>
      <c r="R285" s="227">
        <f t="shared" si="889"/>
      </c>
      <c r="S285" s="228">
        <f t="shared" si="858"/>
      </c>
      <c r="T285" s="229">
        <f t="shared" si="796"/>
      </c>
      <c r="U285" s="227">
        <f t="shared" si="765"/>
      </c>
      <c r="V285" s="230">
        <f t="shared" si="827"/>
      </c>
      <c r="W285" s="230">
        <f t="shared" si="734"/>
      </c>
      <c r="X285" s="227">
        <f t="shared" si="703"/>
      </c>
      <c r="Y285" s="231">
        <f t="shared" si="585"/>
      </c>
      <c r="Z285" s="231">
        <v>1</v>
      </c>
      <c r="AA285" s="231">
        <v>4</v>
      </c>
      <c r="AB285" s="222">
        <v>8273.159999999996</v>
      </c>
      <c r="AC285" s="232">
        <v>0</v>
      </c>
      <c r="AD285" s="228">
        <f t="shared" si="672"/>
      </c>
      <c r="AE285" s="233" t="s">
        <v>202</v>
      </c>
      <c r="AF285" s="234" t="s">
        <v>203</v>
      </c>
      <c r="AG285" s="235">
        <v>4</v>
      </c>
      <c r="AH285" s="236">
        <v>48440</v>
      </c>
      <c r="AI285" s="236">
        <v>593</v>
      </c>
      <c r="AJ285" s="236">
        <v>546</v>
      </c>
      <c r="AK285" s="237">
        <v>109</v>
      </c>
      <c r="AL285" s="237">
        <v>158</v>
      </c>
    </row>
    <row r="286">
      <c r="A286" s="216"/>
      <c r="B286" s="239" t="s">
        <v>208</v>
      </c>
      <c r="C286" s="240">
        <v>4</v>
      </c>
      <c r="D286" s="241">
        <f>SUM(D282:D285)</f>
      </c>
      <c r="E286" s="241">
        <f>SUM(E282:E285)</f>
      </c>
      <c r="F286" s="241">
        <f>SUM(F282:F285)</f>
      </c>
      <c r="G286" s="241">
        <f>SUM(G282:G285)</f>
      </c>
      <c r="H286" s="241">
        <f>SUM(H282:H285)</f>
      </c>
      <c r="I286" s="241">
        <f>SUM(I282:I285)</f>
      </c>
      <c r="J286" s="241">
        <f>SUM(J282:J285)</f>
      </c>
      <c r="K286" s="241">
        <f>SUM(K282:K285)</f>
      </c>
      <c r="L286" s="241">
        <f>SUM(L282:L285)</f>
      </c>
      <c r="M286" s="242">
        <f t="shared" si="78"/>
      </c>
      <c r="N286" s="243">
        <f t="shared" si="47"/>
      </c>
      <c r="O286" s="243">
        <f t="shared" si="16"/>
      </c>
      <c r="P286" s="244">
        <f t="shared" si="951"/>
      </c>
      <c r="Q286" s="244">
        <f t="shared" si="920"/>
      </c>
      <c r="R286" s="244">
        <f t="shared" si="889"/>
      </c>
      <c r="S286" s="245">
        <f t="shared" si="858"/>
      </c>
      <c r="T286" s="245">
        <f t="shared" si="796"/>
      </c>
      <c r="U286" s="244">
        <f t="shared" si="765"/>
      </c>
      <c r="V286" s="245">
        <f t="shared" si="827"/>
      </c>
      <c r="W286" s="245">
        <f t="shared" si="734"/>
      </c>
      <c r="X286" s="244">
        <f t="shared" si="703"/>
      </c>
      <c r="Y286" s="241">
        <f>SUM(Y282:Y285)</f>
      </c>
      <c r="Z286" s="241">
        <f>SUM(Z282:Z285)</f>
      </c>
      <c r="AA286" s="241">
        <f>SUM(AA282:AA285)</f>
      </c>
      <c r="AB286" s="241">
        <f>SUM(AB282:AB285)</f>
      </c>
      <c r="AC286" s="241">
        <f>SUM(AC282:AC285)</f>
      </c>
      <c r="AD286" s="246">
        <f t="shared" si="672"/>
      </c>
      <c r="AE286" s="247"/>
      <c r="AF286" s="248"/>
      <c r="AG286" s="241">
        <f>SUM(AG282:AG285)</f>
      </c>
      <c r="AH286" s="241">
        <f>SUM(AH282:AH285)</f>
      </c>
      <c r="AI286" s="241">
        <f>SUM(AI282:AI285)</f>
      </c>
      <c r="AJ286" s="241">
        <f>SUM(AJ282:AJ285)</f>
      </c>
      <c r="AK286" s="241">
        <f>SUM(AK282:AK285)</f>
      </c>
      <c r="AL286" s="241">
        <f>SUM(AL282:AL285)</f>
      </c>
    </row>
    <row r="287">
      <c r="A287" s="216"/>
      <c r="B287" s="217" t="s">
        <v>230</v>
      </c>
      <c r="C287" s="218" t="s">
        <v>206</v>
      </c>
      <c r="D287" s="219">
        <f t="shared" ref="D287:D288" si="481">E287+F287+G287+H287</f>
      </c>
      <c r="E287" s="218">
        <v>229.09</v>
      </c>
      <c r="F287" s="249">
        <v>1217.44</v>
      </c>
      <c r="G287" s="221">
        <v>4637.24</v>
      </c>
      <c r="H287" s="221">
        <v>1.84</v>
      </c>
      <c r="I287" s="250">
        <f t="shared" ref="I287:I288" si="368">AB287+AC287</f>
      </c>
      <c r="J287" s="251">
        <v>0</v>
      </c>
      <c r="K287" s="223">
        <f t="shared" ref="K287:K288" si="253">I287-J287</f>
      </c>
      <c r="L287" s="223">
        <f t="shared" ref="L287:L288" si="138">(I287-AC287)/12+AC287</f>
      </c>
      <c r="M287" s="224">
        <f t="shared" si="78"/>
      </c>
      <c r="N287" s="225">
        <f t="shared" si="47"/>
      </c>
      <c r="O287" s="226">
        <f t="shared" si="16"/>
      </c>
      <c r="P287" s="227">
        <f t="shared" si="951"/>
      </c>
      <c r="Q287" s="227">
        <f t="shared" si="920"/>
      </c>
      <c r="R287" s="227">
        <f t="shared" si="889"/>
      </c>
      <c r="S287" s="228">
        <f t="shared" si="858"/>
      </c>
      <c r="T287" s="229">
        <f t="shared" si="796"/>
      </c>
      <c r="U287" s="227">
        <f t="shared" si="765"/>
      </c>
      <c r="V287" s="230">
        <f t="shared" si="827"/>
      </c>
      <c r="W287" s="230">
        <f t="shared" si="734"/>
      </c>
      <c r="X287" s="227">
        <f t="shared" si="703"/>
      </c>
      <c r="Y287" s="231">
        <f t="shared" ref="Y287:Y288" si="586">Z287+AA287</f>
      </c>
      <c r="Z287" s="231">
        <v>5</v>
      </c>
      <c r="AA287" s="231">
        <v>3</v>
      </c>
      <c r="AB287" s="232">
        <v>2984.040000000001</v>
      </c>
      <c r="AC287" s="232">
        <v>1733</v>
      </c>
      <c r="AD287" s="228">
        <f t="shared" si="672"/>
      </c>
      <c r="AE287" s="233" t="s">
        <v>202</v>
      </c>
      <c r="AF287" s="234" t="s">
        <v>203</v>
      </c>
      <c r="AG287" s="235">
        <v>3</v>
      </c>
      <c r="AH287" s="236">
        <v>48288</v>
      </c>
      <c r="AI287" s="236">
        <v>579</v>
      </c>
      <c r="AJ287" s="236">
        <v>546</v>
      </c>
      <c r="AK287" s="237">
        <v>128</v>
      </c>
      <c r="AL287" s="237">
        <v>151</v>
      </c>
    </row>
    <row r="288">
      <c r="A288" s="216"/>
      <c r="B288" s="217" t="s">
        <v>230</v>
      </c>
      <c r="C288" s="218" t="s">
        <v>207</v>
      </c>
      <c r="D288" s="219">
        <f t="shared" si="481"/>
      </c>
      <c r="E288" s="218">
        <v>292.42</v>
      </c>
      <c r="F288" s="249">
        <v>1434.24</v>
      </c>
      <c r="G288" s="221">
        <v>3792.24</v>
      </c>
      <c r="H288" s="221">
        <v>2.36</v>
      </c>
      <c r="I288" s="250">
        <f t="shared" si="368"/>
      </c>
      <c r="J288" s="251">
        <v>2072.52</v>
      </c>
      <c r="K288" s="223">
        <f t="shared" si="253"/>
      </c>
      <c r="L288" s="223">
        <f t="shared" si="138"/>
      </c>
      <c r="M288" s="224">
        <f t="shared" si="78"/>
      </c>
      <c r="N288" s="225">
        <f t="shared" si="47"/>
      </c>
      <c r="O288" s="226">
        <f t="shared" si="16"/>
      </c>
      <c r="P288" s="227">
        <f t="shared" si="951"/>
      </c>
      <c r="Q288" s="227">
        <f t="shared" si="920"/>
      </c>
      <c r="R288" s="227">
        <f t="shared" si="889"/>
      </c>
      <c r="S288" s="228">
        <f t="shared" si="858"/>
      </c>
      <c r="T288" s="229">
        <f t="shared" si="796"/>
      </c>
      <c r="U288" s="227">
        <f t="shared" si="765"/>
      </c>
      <c r="V288" s="230">
        <f t="shared" si="827"/>
      </c>
      <c r="W288" s="230">
        <f t="shared" si="734"/>
      </c>
      <c r="X288" s="227">
        <f t="shared" si="703"/>
      </c>
      <c r="Y288" s="231">
        <f t="shared" si="586"/>
      </c>
      <c r="Z288" s="231">
        <v>2</v>
      </c>
      <c r="AA288" s="231">
        <v>4</v>
      </c>
      <c r="AB288" s="232">
        <v>6142.68</v>
      </c>
      <c r="AC288" s="232">
        <v>0</v>
      </c>
      <c r="AD288" s="228">
        <f t="shared" si="672"/>
      </c>
      <c r="AE288" s="233" t="s">
        <v>202</v>
      </c>
      <c r="AF288" s="234" t="s">
        <v>203</v>
      </c>
      <c r="AG288" s="235">
        <v>3</v>
      </c>
      <c r="AH288" s="236">
        <v>51222</v>
      </c>
      <c r="AI288" s="236">
        <v>537</v>
      </c>
      <c r="AJ288" s="236">
        <v>500</v>
      </c>
      <c r="AK288" s="237">
        <v>103</v>
      </c>
      <c r="AL288" s="237">
        <v>125</v>
      </c>
    </row>
    <row r="289">
      <c r="A289" s="216"/>
      <c r="B289" s="239" t="s">
        <v>208</v>
      </c>
      <c r="C289" s="240">
        <v>2</v>
      </c>
      <c r="D289" s="241">
        <f>SUM(D287:D288)</f>
      </c>
      <c r="E289" s="241">
        <f>SUM(E287:E288)</f>
      </c>
      <c r="F289" s="241">
        <f>SUM(F287:F288)</f>
      </c>
      <c r="G289" s="241">
        <f>SUM(G287:G288)</f>
      </c>
      <c r="H289" s="241">
        <f>SUM(H287:H288)</f>
      </c>
      <c r="I289" s="241">
        <f>SUM(I287:I288)</f>
      </c>
      <c r="J289" s="241">
        <f>SUM(J287:J288)</f>
      </c>
      <c r="K289" s="241">
        <f>SUM(K287:K288)</f>
      </c>
      <c r="L289" s="241">
        <f>SUM(L287:L288)</f>
      </c>
      <c r="M289" s="242">
        <f t="shared" si="78"/>
      </c>
      <c r="N289" s="243">
        <f t="shared" si="47"/>
      </c>
      <c r="O289" s="243">
        <f t="shared" si="16"/>
      </c>
      <c r="P289" s="244">
        <f t="shared" si="951"/>
      </c>
      <c r="Q289" s="244">
        <f t="shared" si="920"/>
      </c>
      <c r="R289" s="244">
        <f t="shared" si="889"/>
      </c>
      <c r="S289" s="245">
        <f t="shared" si="858"/>
      </c>
      <c r="T289" s="245">
        <f t="shared" si="796"/>
      </c>
      <c r="U289" s="244">
        <f t="shared" si="765"/>
      </c>
      <c r="V289" s="245">
        <f t="shared" si="827"/>
      </c>
      <c r="W289" s="245">
        <f t="shared" si="734"/>
      </c>
      <c r="X289" s="244">
        <f t="shared" si="703"/>
      </c>
      <c r="Y289" s="241">
        <f>SUM(Y287:Y288)</f>
      </c>
      <c r="Z289" s="241">
        <f>SUM(Z287:Z288)</f>
      </c>
      <c r="AA289" s="241">
        <f>SUM(AA287:AA288)</f>
      </c>
      <c r="AB289" s="241">
        <f>SUM(AB287:AB288)</f>
      </c>
      <c r="AC289" s="241">
        <f>SUM(AC287:AC288)</f>
      </c>
      <c r="AD289" s="246">
        <f t="shared" si="672"/>
      </c>
      <c r="AE289" s="247"/>
      <c r="AF289" s="248"/>
      <c r="AG289" s="241">
        <f>SUM(AG287:AG288)</f>
      </c>
      <c r="AH289" s="241">
        <f>SUM(AH287:AH288)</f>
      </c>
      <c r="AI289" s="241">
        <f>SUM(AI287:AI288)</f>
      </c>
      <c r="AJ289" s="241">
        <f>SUM(AJ287:AJ288)</f>
      </c>
      <c r="AK289" s="241">
        <f>SUM(AK287:AK288)</f>
      </c>
      <c r="AL289" s="241">
        <f>SUM(AL287:AL288)</f>
      </c>
    </row>
    <row r="290">
      <c r="A290" s="216"/>
      <c r="B290" s="217" t="s">
        <v>231</v>
      </c>
      <c r="C290" s="218" t="s">
        <v>210</v>
      </c>
      <c r="D290" s="219">
        <f t="shared" ref="D290:D294" si="482">E290+F290+G290+H290</f>
      </c>
      <c r="E290" s="218">
        <v>360.83</v>
      </c>
      <c r="F290" s="249">
        <v>539.76</v>
      </c>
      <c r="G290" s="221">
        <v>2835.86</v>
      </c>
      <c r="H290" s="221">
        <v>0.77</v>
      </c>
      <c r="I290" s="250">
        <f t="shared" ref="I290:I294" si="369">AB290+AC290</f>
      </c>
      <c r="J290" s="251">
        <v>0</v>
      </c>
      <c r="K290" s="223">
        <f t="shared" ref="K290:K294" si="254">I290-J290</f>
      </c>
      <c r="L290" s="223">
        <f t="shared" ref="L290:L294" si="139">(I290-AC290)/12+AC290</f>
      </c>
      <c r="M290" s="224">
        <f t="shared" si="78"/>
      </c>
      <c r="N290" s="225">
        <f t="shared" si="47"/>
      </c>
      <c r="O290" s="226">
        <f t="shared" si="16"/>
      </c>
      <c r="P290" s="227">
        <f t="shared" si="951"/>
      </c>
      <c r="Q290" s="227">
        <f t="shared" si="920"/>
      </c>
      <c r="R290" s="227">
        <f t="shared" si="889"/>
      </c>
      <c r="S290" s="228">
        <f t="shared" si="858"/>
      </c>
      <c r="T290" s="229">
        <f t="shared" si="796"/>
      </c>
      <c r="U290" s="227">
        <f t="shared" si="765"/>
      </c>
      <c r="V290" s="230">
        <f t="shared" si="827"/>
      </c>
      <c r="W290" s="230">
        <f t="shared" si="734"/>
      </c>
      <c r="X290" s="227">
        <f t="shared" si="703"/>
      </c>
      <c r="Y290" s="231">
        <f t="shared" ref="Y290:Y294" si="587">Z290+AA290</f>
      </c>
      <c r="Z290" s="231">
        <v>2</v>
      </c>
      <c r="AA290" s="231">
        <v>5</v>
      </c>
      <c r="AB290" s="232">
        <v>4995.000000000007</v>
      </c>
      <c r="AC290" s="232">
        <v>0</v>
      </c>
      <c r="AD290" s="228">
        <f t="shared" si="672"/>
      </c>
      <c r="AE290" s="233" t="s">
        <v>202</v>
      </c>
      <c r="AF290" s="234" t="s">
        <v>203</v>
      </c>
      <c r="AG290" s="235">
        <v>5</v>
      </c>
      <c r="AH290" s="236">
        <v>30632</v>
      </c>
      <c r="AI290" s="236">
        <v>492</v>
      </c>
      <c r="AJ290" s="236">
        <v>488</v>
      </c>
      <c r="AK290" s="237">
        <v>81</v>
      </c>
      <c r="AL290" s="237">
        <v>92</v>
      </c>
    </row>
    <row customHeight="true" ht="16.666666666666668" r="291">
      <c r="A291" s="216"/>
      <c r="B291" s="217" t="s">
        <v>231</v>
      </c>
      <c r="C291" s="252" t="s">
        <v>211</v>
      </c>
      <c r="D291" s="219">
        <f t="shared" si="482"/>
      </c>
      <c r="E291" s="218">
        <v>452.49</v>
      </c>
      <c r="F291" s="249">
        <v>1716.71</v>
      </c>
      <c r="G291" s="221">
        <v>4307.5</v>
      </c>
      <c r="H291" s="221">
        <v>25.92</v>
      </c>
      <c r="I291" s="250">
        <f t="shared" si="369"/>
      </c>
      <c r="J291" s="251">
        <v>2603.88</v>
      </c>
      <c r="K291" s="223">
        <f t="shared" si="254"/>
      </c>
      <c r="L291" s="223">
        <f t="shared" si="139"/>
      </c>
      <c r="M291" s="224">
        <f t="shared" si="78"/>
      </c>
      <c r="N291" s="225">
        <f t="shared" si="47"/>
      </c>
      <c r="O291" s="226">
        <f t="shared" si="16"/>
      </c>
      <c r="P291" s="227">
        <f t="shared" si="951"/>
      </c>
      <c r="Q291" s="227">
        <f t="shared" si="920"/>
      </c>
      <c r="R291" s="227">
        <f t="shared" si="889"/>
      </c>
      <c r="S291" s="228">
        <f t="shared" si="858"/>
      </c>
      <c r="T291" s="229">
        <f t="shared" si="796"/>
      </c>
      <c r="U291" s="227">
        <f t="shared" si="765"/>
      </c>
      <c r="V291" s="230">
        <f t="shared" si="827"/>
      </c>
      <c r="W291" s="230">
        <f t="shared" si="734"/>
      </c>
      <c r="X291" s="227">
        <f t="shared" si="703"/>
      </c>
      <c r="Y291" s="231">
        <f t="shared" si="587"/>
      </c>
      <c r="Z291" s="231">
        <v>1</v>
      </c>
      <c r="AA291" s="231">
        <v>7</v>
      </c>
      <c r="AB291" s="232">
        <v>13664.039999999994</v>
      </c>
      <c r="AC291" s="232">
        <v>0</v>
      </c>
      <c r="AD291" s="228">
        <f t="shared" si="672"/>
      </c>
      <c r="AE291" s="233" t="s">
        <v>202</v>
      </c>
      <c r="AF291" s="234" t="s">
        <v>203</v>
      </c>
      <c r="AG291" s="235">
        <v>6</v>
      </c>
      <c r="AH291" s="236">
        <v>46486</v>
      </c>
      <c r="AI291" s="236">
        <v>752</v>
      </c>
      <c r="AJ291" s="236">
        <v>725</v>
      </c>
      <c r="AK291" s="237">
        <v>165</v>
      </c>
      <c r="AL291" s="237">
        <v>161</v>
      </c>
    </row>
    <row r="292">
      <c r="A292" s="216"/>
      <c r="B292" s="217" t="s">
        <v>231</v>
      </c>
      <c r="C292" s="252" t="s">
        <v>212</v>
      </c>
      <c r="D292" s="219">
        <f t="shared" si="482"/>
      </c>
      <c r="E292" s="218">
        <v>856.75</v>
      </c>
      <c r="F292" s="249">
        <v>2544.11</v>
      </c>
      <c r="G292" s="221">
        <v>4906.14</v>
      </c>
      <c r="H292" s="221">
        <v>7.67</v>
      </c>
      <c r="I292" s="250">
        <f t="shared" si="369"/>
      </c>
      <c r="J292" s="251">
        <v>1205.28</v>
      </c>
      <c r="K292" s="223">
        <f t="shared" si="254"/>
      </c>
      <c r="L292" s="223">
        <f t="shared" si="139"/>
      </c>
      <c r="M292" s="224">
        <f t="shared" si="78"/>
      </c>
      <c r="N292" s="225">
        <f t="shared" si="47"/>
      </c>
      <c r="O292" s="226">
        <f t="shared" si="16"/>
      </c>
      <c r="P292" s="227">
        <f t="shared" si="951"/>
      </c>
      <c r="Q292" s="227">
        <f t="shared" si="920"/>
      </c>
      <c r="R292" s="227">
        <f t="shared" si="889"/>
      </c>
      <c r="S292" s="228">
        <f t="shared" si="858"/>
      </c>
      <c r="T292" s="229">
        <f t="shared" si="796"/>
      </c>
      <c r="U292" s="227">
        <f t="shared" si="765"/>
      </c>
      <c r="V292" s="230">
        <f t="shared" si="827"/>
      </c>
      <c r="W292" s="230">
        <f t="shared" si="734"/>
      </c>
      <c r="X292" s="227">
        <f t="shared" si="703"/>
      </c>
      <c r="Y292" s="231">
        <f t="shared" si="587"/>
      </c>
      <c r="Z292" s="231">
        <v>10</v>
      </c>
      <c r="AA292" s="231">
        <v>8</v>
      </c>
      <c r="AB292" s="232">
        <v>10405.800000000003</v>
      </c>
      <c r="AC292" s="232">
        <v>0</v>
      </c>
      <c r="AD292" s="228">
        <f t="shared" si="672"/>
      </c>
      <c r="AE292" s="233" t="s">
        <v>202</v>
      </c>
      <c r="AF292" s="234" t="s">
        <v>203</v>
      </c>
      <c r="AG292" s="235">
        <v>7</v>
      </c>
      <c r="AH292" s="236">
        <v>60970</v>
      </c>
      <c r="AI292" s="236">
        <v>1106</v>
      </c>
      <c r="AJ292" s="236">
        <v>1088</v>
      </c>
      <c r="AK292" s="237">
        <v>180</v>
      </c>
      <c r="AL292" s="237">
        <v>179</v>
      </c>
    </row>
    <row r="293">
      <c r="A293" s="216"/>
      <c r="B293" s="217" t="s">
        <v>231</v>
      </c>
      <c r="C293" s="218" t="s">
        <v>213</v>
      </c>
      <c r="D293" s="219">
        <f t="shared" si="482"/>
      </c>
      <c r="E293" s="218">
        <v>741.86</v>
      </c>
      <c r="F293" s="249">
        <v>3411.91</v>
      </c>
      <c r="G293" s="218">
        <v>6087.57</v>
      </c>
      <c r="H293" s="218">
        <v>136.62</v>
      </c>
      <c r="I293" s="250">
        <f t="shared" si="369"/>
      </c>
      <c r="J293" s="251">
        <v>0</v>
      </c>
      <c r="K293" s="223">
        <f t="shared" si="254"/>
      </c>
      <c r="L293" s="223">
        <f t="shared" si="139"/>
      </c>
      <c r="M293" s="224">
        <f t="shared" si="78"/>
      </c>
      <c r="N293" s="225">
        <f t="shared" si="47"/>
      </c>
      <c r="O293" s="226">
        <f t="shared" si="16"/>
      </c>
      <c r="P293" s="227">
        <f t="shared" si="951"/>
      </c>
      <c r="Q293" s="227">
        <f t="shared" si="920"/>
      </c>
      <c r="R293" s="227">
        <f t="shared" si="889"/>
      </c>
      <c r="S293" s="228">
        <f t="shared" si="858"/>
      </c>
      <c r="T293" s="229">
        <f t="shared" si="796"/>
      </c>
      <c r="U293" s="227">
        <f t="shared" si="765"/>
      </c>
      <c r="V293" s="230">
        <f t="shared" si="827"/>
      </c>
      <c r="W293" s="230">
        <f t="shared" si="734"/>
      </c>
      <c r="X293" s="227">
        <f t="shared" si="703"/>
      </c>
      <c r="Y293" s="231">
        <f t="shared" si="587"/>
      </c>
      <c r="Z293" s="231">
        <v>3</v>
      </c>
      <c r="AA293" s="231">
        <v>7</v>
      </c>
      <c r="AB293" s="232">
        <v>9583.199999999997</v>
      </c>
      <c r="AC293" s="232">
        <v>2190.7000000000007</v>
      </c>
      <c r="AD293" s="228">
        <f t="shared" si="672"/>
      </c>
      <c r="AE293" s="233" t="s">
        <v>202</v>
      </c>
      <c r="AF293" s="234" t="s">
        <v>203</v>
      </c>
      <c r="AG293" s="237">
        <v>6</v>
      </c>
      <c r="AH293" s="236">
        <v>68836</v>
      </c>
      <c r="AI293" s="236">
        <v>1331</v>
      </c>
      <c r="AJ293" s="236">
        <v>1311</v>
      </c>
      <c r="AK293" s="237">
        <v>213</v>
      </c>
      <c r="AL293" s="237">
        <v>238</v>
      </c>
    </row>
    <row r="294">
      <c r="A294" s="216"/>
      <c r="B294" s="217" t="s">
        <v>231</v>
      </c>
      <c r="C294" s="252" t="s">
        <v>214</v>
      </c>
      <c r="D294" s="219">
        <f t="shared" si="482"/>
      </c>
      <c r="E294" s="218">
        <v>397.66</v>
      </c>
      <c r="F294" s="249">
        <v>1331.72</v>
      </c>
      <c r="G294" s="221">
        <v>2280.65</v>
      </c>
      <c r="H294" s="221">
        <v>97.77</v>
      </c>
      <c r="I294" s="250">
        <f t="shared" si="369"/>
      </c>
      <c r="J294" s="251">
        <v>0</v>
      </c>
      <c r="K294" s="223">
        <f t="shared" si="254"/>
      </c>
      <c r="L294" s="223">
        <f t="shared" si="139"/>
      </c>
      <c r="M294" s="224">
        <f t="shared" si="78"/>
      </c>
      <c r="N294" s="225">
        <f t="shared" si="47"/>
      </c>
      <c r="O294" s="226">
        <f t="shared" si="16"/>
      </c>
      <c r="P294" s="227">
        <f t="shared" si="951"/>
      </c>
      <c r="Q294" s="227">
        <f t="shared" si="920"/>
      </c>
      <c r="R294" s="227">
        <f t="shared" si="889"/>
      </c>
      <c r="S294" s="228">
        <f t="shared" si="858"/>
      </c>
      <c r="T294" s="229">
        <f t="shared" si="796"/>
      </c>
      <c r="U294" s="227">
        <f t="shared" si="765"/>
      </c>
      <c r="V294" s="230">
        <f t="shared" si="827"/>
      </c>
      <c r="W294" s="230">
        <f t="shared" si="734"/>
      </c>
      <c r="X294" s="227">
        <f t="shared" si="703"/>
      </c>
      <c r="Y294" s="231">
        <f t="shared" si="587"/>
      </c>
      <c r="Z294" s="231">
        <v>5</v>
      </c>
      <c r="AA294" s="231">
        <v>5</v>
      </c>
      <c r="AB294" s="222">
        <v>5058.600000000006</v>
      </c>
      <c r="AC294" s="232">
        <v>2282</v>
      </c>
      <c r="AD294" s="228">
        <f t="shared" si="672"/>
      </c>
      <c r="AE294" s="233" t="s">
        <v>202</v>
      </c>
      <c r="AF294" s="234" t="s">
        <v>203</v>
      </c>
      <c r="AG294" s="235">
        <v>5</v>
      </c>
      <c r="AH294" s="236">
        <v>27517</v>
      </c>
      <c r="AI294" s="236">
        <v>548</v>
      </c>
      <c r="AJ294" s="236">
        <v>557</v>
      </c>
      <c r="AK294" s="237">
        <v>101</v>
      </c>
      <c r="AL294" s="237">
        <v>129</v>
      </c>
    </row>
    <row r="295">
      <c r="A295" s="216"/>
      <c r="B295" s="239" t="s">
        <v>208</v>
      </c>
      <c r="C295" s="240">
        <v>5</v>
      </c>
      <c r="D295" s="241">
        <f>SUM(D290:D294)</f>
      </c>
      <c r="E295" s="241">
        <f>SUM(E290:E294)</f>
      </c>
      <c r="F295" s="241">
        <f>SUM(F290:F294)</f>
      </c>
      <c r="G295" s="241">
        <f>SUM(G290:G294)</f>
      </c>
      <c r="H295" s="241">
        <f>SUM(H290:H294)</f>
      </c>
      <c r="I295" s="241">
        <f>SUM(I290:I294)</f>
      </c>
      <c r="J295" s="241">
        <f>SUM(J290:J294)</f>
      </c>
      <c r="K295" s="241">
        <f>SUM(K290:K294)</f>
      </c>
      <c r="L295" s="241">
        <f>SUM(L290:L294)</f>
      </c>
      <c r="M295" s="242">
        <f t="shared" si="78"/>
      </c>
      <c r="N295" s="243">
        <f t="shared" si="47"/>
      </c>
      <c r="O295" s="243">
        <f t="shared" si="16"/>
      </c>
      <c r="P295" s="244">
        <f t="shared" si="951"/>
      </c>
      <c r="Q295" s="244">
        <f t="shared" si="920"/>
      </c>
      <c r="R295" s="244">
        <f t="shared" si="889"/>
      </c>
      <c r="S295" s="245">
        <f t="shared" si="858"/>
      </c>
      <c r="T295" s="245">
        <f t="shared" si="796"/>
      </c>
      <c r="U295" s="244">
        <f t="shared" si="765"/>
      </c>
      <c r="V295" s="245">
        <f t="shared" si="827"/>
      </c>
      <c r="W295" s="245">
        <f t="shared" si="734"/>
      </c>
      <c r="X295" s="244">
        <f t="shared" si="703"/>
      </c>
      <c r="Y295" s="241">
        <f>SUM(Y290:Y294)</f>
      </c>
      <c r="Z295" s="241">
        <f>SUM(Z290:Z294)</f>
      </c>
      <c r="AA295" s="241">
        <f>SUM(AA290:AA294)</f>
      </c>
      <c r="AB295" s="241">
        <f>SUM(AB290:AB294)</f>
      </c>
      <c r="AC295" s="241">
        <f>SUM(AC290:AC294)</f>
      </c>
      <c r="AD295" s="246">
        <f t="shared" si="672"/>
      </c>
      <c r="AE295" s="247"/>
      <c r="AF295" s="248"/>
      <c r="AG295" s="241">
        <f>SUM(AG290:AG294)</f>
      </c>
      <c r="AH295" s="241">
        <f>SUM(AH290:AH294)</f>
      </c>
      <c r="AI295" s="241">
        <f>SUM(AI290:AI294)</f>
      </c>
      <c r="AJ295" s="241">
        <f>SUM(AJ290:AJ294)</f>
      </c>
      <c r="AK295" s="241">
        <f>SUM(AK290:AK294)</f>
      </c>
      <c r="AL295" s="241">
        <f>SUM(AL290:AL294)</f>
      </c>
    </row>
    <row r="296">
      <c r="A296" s="216"/>
      <c r="B296" s="253" t="s">
        <v>208</v>
      </c>
      <c r="C296" s="254">
        <f>C281+C286+C289+C295</f>
      </c>
      <c r="D296" s="254">
        <f>D281+D286+D289+D295</f>
      </c>
      <c r="E296" s="254">
        <f>E281+E286+E289+E295</f>
      </c>
      <c r="F296" s="254">
        <f>F281+F286+F289+F295</f>
      </c>
      <c r="G296" s="254">
        <f>G281+G286+G289+G295</f>
      </c>
      <c r="H296" s="254">
        <f>H281+H286+H289+H295</f>
      </c>
      <c r="I296" s="254">
        <f>I281+I286+I289+I295</f>
      </c>
      <c r="J296" s="254">
        <f>J281+J286+J289+J295</f>
      </c>
      <c r="K296" s="254">
        <f>K281+K286+K289+K295</f>
      </c>
      <c r="L296" s="254">
        <f>L281+L286+L289+L295</f>
      </c>
      <c r="M296" s="256">
        <f t="shared" si="78"/>
      </c>
      <c r="N296" s="256">
        <f t="shared" si="47"/>
      </c>
      <c r="O296" s="256">
        <f t="shared" si="16"/>
      </c>
      <c r="P296" s="256">
        <f t="shared" si="951"/>
      </c>
      <c r="Q296" s="256">
        <f t="shared" si="920"/>
      </c>
      <c r="R296" s="256">
        <f t="shared" si="889"/>
      </c>
      <c r="S296" s="257">
        <f t="shared" si="858"/>
      </c>
      <c r="T296" s="257">
        <f t="shared" si="796"/>
      </c>
      <c r="U296" s="256">
        <f t="shared" si="765"/>
      </c>
      <c r="V296" s="257">
        <f t="shared" si="827"/>
      </c>
      <c r="W296" s="257">
        <f t="shared" si="734"/>
      </c>
      <c r="X296" s="256">
        <f t="shared" si="703"/>
      </c>
      <c r="Y296" s="266">
        <f>Y281+Y286+Y289+Y295</f>
      </c>
      <c r="Z296" s="266">
        <f>Z281+Z286+Z289+Z295</f>
      </c>
      <c r="AA296" s="266">
        <f>AA281+AA286+AA289+AA295</f>
      </c>
      <c r="AB296" s="266">
        <f>AB281+AB286+AB289+AB295</f>
      </c>
      <c r="AC296" s="266">
        <f>AC281+AC286+AC289+AC295</f>
      </c>
      <c r="AD296" s="258">
        <f t="shared" si="672"/>
      </c>
      <c r="AE296" s="253"/>
      <c r="AF296" s="253"/>
      <c r="AG296" s="266">
        <f>AG281+AG286+AG289+AG295</f>
      </c>
      <c r="AH296" s="266">
        <f>AH281+AH286+AH289+AH295</f>
      </c>
      <c r="AI296" s="266">
        <f>AI281+AI286+AI289+AI295</f>
      </c>
      <c r="AJ296" s="266">
        <f>AJ281+AJ286+AJ289+AJ295</f>
      </c>
      <c r="AK296" s="266">
        <f>AK281+AK286+AK289+AK295</f>
      </c>
      <c r="AL296" s="266">
        <f>AL281+AL286+AL289+AL295</f>
      </c>
    </row>
    <row r="297">
      <c r="A297" s="202" t="s">
        <v>162</v>
      </c>
      <c r="B297" s="203" t="s">
        <v>163</v>
      </c>
      <c r="C297" s="203" t="s">
        <v>164</v>
      </c>
      <c r="D297" s="204" t="s">
        <v>165</v>
      </c>
      <c r="E297" s="203" t="s">
        <v>166</v>
      </c>
      <c r="F297" s="203" t="s">
        <v>167</v>
      </c>
      <c r="G297" s="205" t="s">
        <v>168</v>
      </c>
      <c r="H297" s="205" t="s">
        <v>169</v>
      </c>
      <c r="I297" s="204" t="s">
        <v>170</v>
      </c>
      <c r="J297" s="206" t="s">
        <v>171</v>
      </c>
      <c r="K297" s="207" t="s">
        <v>172</v>
      </c>
      <c r="L297" s="207" t="s">
        <v>173</v>
      </c>
      <c r="M297" s="208" t="s">
        <v>174</v>
      </c>
      <c r="N297" s="207" t="s">
        <v>175</v>
      </c>
      <c r="O297" s="203" t="s">
        <v>176</v>
      </c>
      <c r="P297" s="208" t="s">
        <v>177</v>
      </c>
      <c r="Q297" s="209" t="s">
        <v>178</v>
      </c>
      <c r="R297" s="209" t="s">
        <v>179</v>
      </c>
      <c r="S297" s="204" t="s">
        <v>180</v>
      </c>
      <c r="T297" s="210" t="s">
        <v>181</v>
      </c>
      <c r="U297" s="208" t="s">
        <v>182</v>
      </c>
      <c r="V297" s="211" t="s">
        <v>183</v>
      </c>
      <c r="W297" s="212" t="s">
        <v>184</v>
      </c>
      <c r="X297" s="208" t="s">
        <v>185</v>
      </c>
      <c r="Y297" s="213" t="s">
        <v>186</v>
      </c>
      <c r="Z297" s="214" t="s">
        <v>187</v>
      </c>
      <c r="AA297" s="213" t="s">
        <v>188</v>
      </c>
      <c r="AB297" s="215" t="s">
        <v>189</v>
      </c>
      <c r="AC297" s="215" t="s">
        <v>190</v>
      </c>
      <c r="AD297" s="207" t="s">
        <v>191</v>
      </c>
      <c r="AE297" s="206" t="s">
        <v>192</v>
      </c>
      <c r="AF297" s="207" t="s">
        <v>193</v>
      </c>
      <c r="AG297" s="206" t="s">
        <v>194</v>
      </c>
      <c r="AH297" s="206" t="s">
        <v>195</v>
      </c>
      <c r="AI297" s="207" t="s">
        <v>196</v>
      </c>
      <c r="AJ297" s="206" t="s">
        <v>197</v>
      </c>
      <c r="AK297" s="207" t="s">
        <v>198</v>
      </c>
      <c r="AL297" s="206" t="s">
        <v>199</v>
      </c>
    </row>
    <row r="298">
      <c r="A298" s="216">
        <v>46252</v>
      </c>
      <c r="B298" s="217" t="s">
        <v>209</v>
      </c>
      <c r="C298" s="218" t="s">
        <v>216</v>
      </c>
      <c r="D298" s="219">
        <f t="shared" ref="D298:D302" si="483">E298+F298+G298+H298</f>
      </c>
      <c r="E298" s="220">
        <v>617.68</v>
      </c>
      <c r="F298" s="221">
        <v>2664.04</v>
      </c>
      <c r="G298" s="221">
        <v>1532.42</v>
      </c>
      <c r="H298" s="221">
        <v>140.59</v>
      </c>
      <c r="I298" s="221">
        <f t="shared" ref="I298:I302" si="370">AB298+AC298</f>
      </c>
      <c r="J298" s="222">
        <v>0</v>
      </c>
      <c r="K298" s="223">
        <f t="shared" ref="K298:K302" si="255">I298-J298</f>
      </c>
      <c r="L298" s="223">
        <f t="shared" ref="L298:L302" si="140">(I298-AC298)/12+AC298</f>
      </c>
      <c r="M298" s="224">
        <f t="shared" ref="M298:M317" si="79">I298/D298</f>
      </c>
      <c r="N298" s="225">
        <f t="shared" ref="N298:N317" si="48">(I298-J298)/D298</f>
      </c>
      <c r="O298" s="226">
        <f t="shared" ref="O298:O317" si="17">(AC298+AB298/12)/D298</f>
      </c>
      <c r="P298" s="227">
        <f t="shared" ref="P298:P317" si="952">I298/AA298</f>
      </c>
      <c r="Q298" s="227">
        <f t="shared" ref="Q298:Q317" si="921">D298/AA298</f>
      </c>
      <c r="R298" s="227">
        <f t="shared" ref="R298:R317" si="890">D298/AG298</f>
      </c>
      <c r="S298" s="228">
        <f t="shared" ref="S298:S317" si="859">AA298/Y298</f>
      </c>
      <c r="T298" s="229">
        <f t="shared" ref="T298:T317" si="797">AI298/AH298</f>
      </c>
      <c r="U298" s="227">
        <f t="shared" ref="U298:U317" si="766">D298/AJ298</f>
      </c>
      <c r="V298" s="230">
        <f t="shared" ref="V298:V317" si="828">AK298/AJ298</f>
      </c>
      <c r="W298" s="230">
        <f t="shared" ref="W298:W317" si="735">AL298/AJ298</f>
      </c>
      <c r="X298" s="227">
        <f t="shared" ref="X298:X317" si="704">D298/AL298</f>
      </c>
      <c r="Y298" s="231">
        <f t="shared" ref="Y298:Y302" si="588">Z298+AA298</f>
      </c>
      <c r="Z298" s="231">
        <v>1</v>
      </c>
      <c r="AA298" s="231">
        <v>2</v>
      </c>
      <c r="AB298" s="232">
        <v>2576.88</v>
      </c>
      <c r="AC298" s="232">
        <v>0</v>
      </c>
      <c r="AD298" s="228">
        <f t="shared" ref="AD298:AD317" si="673">AC298/I298</f>
      </c>
      <c r="AE298" s="233" t="s">
        <v>202</v>
      </c>
      <c r="AF298" s="234" t="s">
        <v>232</v>
      </c>
      <c r="AG298" s="235">
        <v>2</v>
      </c>
      <c r="AH298" s="235">
        <v>33304</v>
      </c>
      <c r="AI298" s="236">
        <v>601</v>
      </c>
      <c r="AJ298" s="236">
        <v>559</v>
      </c>
      <c r="AK298" s="235">
        <v>101</v>
      </c>
      <c r="AL298" s="237">
        <v>151</v>
      </c>
    </row>
    <row r="299">
      <c r="A299" s="216"/>
      <c r="B299" s="217" t="s">
        <v>209</v>
      </c>
      <c r="C299" s="218" t="s">
        <v>218</v>
      </c>
      <c r="D299" s="219">
        <f t="shared" si="483"/>
      </c>
      <c r="E299" s="218">
        <v>447.16</v>
      </c>
      <c r="F299" s="221">
        <v>3797.68</v>
      </c>
      <c r="G299" s="221">
        <v>138.95</v>
      </c>
      <c r="H299" s="221">
        <v>285.83</v>
      </c>
      <c r="I299" s="221">
        <f t="shared" si="370"/>
      </c>
      <c r="J299" s="222">
        <v>0</v>
      </c>
      <c r="K299" s="223">
        <f t="shared" si="255"/>
      </c>
      <c r="L299" s="223">
        <f t="shared" si="140"/>
      </c>
      <c r="M299" s="224">
        <f t="shared" si="79"/>
      </c>
      <c r="N299" s="225">
        <f t="shared" si="48"/>
      </c>
      <c r="O299" s="226">
        <f t="shared" si="17"/>
      </c>
      <c r="P299" s="227">
        <f t="shared" si="952"/>
      </c>
      <c r="Q299" s="227">
        <f t="shared" si="921"/>
      </c>
      <c r="R299" s="227">
        <f t="shared" si="890"/>
      </c>
      <c r="S299" s="228">
        <f t="shared" si="859"/>
      </c>
      <c r="T299" s="229">
        <f t="shared" si="797"/>
      </c>
      <c r="U299" s="227">
        <f t="shared" si="766"/>
      </c>
      <c r="V299" s="230">
        <f t="shared" si="828"/>
      </c>
      <c r="W299" s="230">
        <f t="shared" si="735"/>
      </c>
      <c r="X299" s="227">
        <f t="shared" si="704"/>
      </c>
      <c r="Y299" s="231">
        <f t="shared" si="588"/>
      </c>
      <c r="Z299" s="231">
        <v>1</v>
      </c>
      <c r="AA299" s="231">
        <v>5</v>
      </c>
      <c r="AB299" s="232">
        <v>9750.240000000002</v>
      </c>
      <c r="AC299" s="232">
        <v>0</v>
      </c>
      <c r="AD299" s="228">
        <f t="shared" si="673"/>
      </c>
      <c r="AE299" s="233" t="s">
        <v>202</v>
      </c>
      <c r="AF299" s="234" t="s">
        <v>232</v>
      </c>
      <c r="AG299" s="235">
        <v>4</v>
      </c>
      <c r="AH299" s="236">
        <v>32005</v>
      </c>
      <c r="AI299" s="236">
        <v>564</v>
      </c>
      <c r="AJ299" s="236">
        <v>560</v>
      </c>
      <c r="AK299" s="237">
        <v>98</v>
      </c>
      <c r="AL299" s="237">
        <v>129</v>
      </c>
    </row>
    <row r="300">
      <c r="A300" s="216"/>
      <c r="B300" s="217" t="s">
        <v>209</v>
      </c>
      <c r="C300" s="218" t="s">
        <v>219</v>
      </c>
      <c r="D300" s="219">
        <f t="shared" si="483"/>
      </c>
      <c r="E300" s="218">
        <v>342.55</v>
      </c>
      <c r="F300" s="218">
        <v>4797.1</v>
      </c>
      <c r="G300" s="218">
        <v>91.77</v>
      </c>
      <c r="H300" s="218">
        <v>50.42</v>
      </c>
      <c r="I300" s="221">
        <f t="shared" si="370"/>
      </c>
      <c r="J300" s="222">
        <v>1143.72</v>
      </c>
      <c r="K300" s="223">
        <f t="shared" si="255"/>
      </c>
      <c r="L300" s="223">
        <f t="shared" si="140"/>
      </c>
      <c r="M300" s="224">
        <f t="shared" si="79"/>
      </c>
      <c r="N300" s="225">
        <f t="shared" si="48"/>
      </c>
      <c r="O300" s="226">
        <f t="shared" si="17"/>
      </c>
      <c r="P300" s="227">
        <f t="shared" si="952"/>
      </c>
      <c r="Q300" s="227">
        <f t="shared" si="921"/>
      </c>
      <c r="R300" s="227">
        <f t="shared" si="890"/>
      </c>
      <c r="S300" s="228">
        <f t="shared" si="859"/>
      </c>
      <c r="T300" s="229">
        <f t="shared" si="797"/>
      </c>
      <c r="U300" s="227">
        <f t="shared" si="766"/>
      </c>
      <c r="V300" s="230">
        <f t="shared" si="828"/>
      </c>
      <c r="W300" s="230">
        <f t="shared" si="735"/>
      </c>
      <c r="X300" s="227">
        <f t="shared" si="704"/>
      </c>
      <c r="Y300" s="231">
        <f t="shared" si="588"/>
      </c>
      <c r="Z300" s="231">
        <v>1</v>
      </c>
      <c r="AA300" s="231">
        <v>5</v>
      </c>
      <c r="AB300" s="232">
        <v>8619.479999999996</v>
      </c>
      <c r="AC300" s="232">
        <v>0</v>
      </c>
      <c r="AD300" s="228">
        <f t="shared" si="673"/>
      </c>
      <c r="AE300" s="233" t="s">
        <v>202</v>
      </c>
      <c r="AF300" s="234" t="s">
        <v>232</v>
      </c>
      <c r="AG300" s="237">
        <v>5</v>
      </c>
      <c r="AH300" s="236">
        <v>37052</v>
      </c>
      <c r="AI300" s="236">
        <v>663</v>
      </c>
      <c r="AJ300" s="236">
        <v>639</v>
      </c>
      <c r="AK300" s="237">
        <v>112</v>
      </c>
      <c r="AL300" s="237">
        <v>178</v>
      </c>
    </row>
    <row r="301">
      <c r="A301" s="216"/>
      <c r="B301" s="217" t="s">
        <v>209</v>
      </c>
      <c r="C301" s="267" t="s">
        <v>220</v>
      </c>
      <c r="D301" s="219">
        <f t="shared" si="483"/>
      </c>
      <c r="E301" s="218">
        <v>4949.25</v>
      </c>
      <c r="F301" s="221">
        <v>238.23</v>
      </c>
      <c r="G301" s="221">
        <v>104.92</v>
      </c>
      <c r="H301" s="221">
        <v>20.36</v>
      </c>
      <c r="I301" s="238">
        <f t="shared" si="370"/>
      </c>
      <c r="J301" s="222">
        <v>0</v>
      </c>
      <c r="K301" s="223">
        <f t="shared" si="255"/>
      </c>
      <c r="L301" s="223">
        <f t="shared" si="140"/>
      </c>
      <c r="M301" s="224">
        <f t="shared" si="79"/>
      </c>
      <c r="N301" s="225">
        <f t="shared" si="48"/>
      </c>
      <c r="O301" s="226">
        <f t="shared" si="17"/>
      </c>
      <c r="P301" s="227">
        <f t="shared" si="952"/>
      </c>
      <c r="Q301" s="227">
        <f t="shared" si="921"/>
      </c>
      <c r="R301" s="227">
        <f t="shared" si="890"/>
      </c>
      <c r="S301" s="228">
        <f t="shared" si="859"/>
      </c>
      <c r="T301" s="229">
        <f t="shared" si="797"/>
      </c>
      <c r="U301" s="227">
        <f t="shared" si="766"/>
      </c>
      <c r="V301" s="230">
        <f t="shared" si="828"/>
      </c>
      <c r="W301" s="230">
        <f t="shared" si="735"/>
      </c>
      <c r="X301" s="227">
        <f t="shared" si="704"/>
      </c>
      <c r="Y301" s="231">
        <f t="shared" si="588"/>
      </c>
      <c r="Z301" s="231">
        <v>4</v>
      </c>
      <c r="AA301" s="231">
        <v>4</v>
      </c>
      <c r="AB301" s="232">
        <v>5512.32</v>
      </c>
      <c r="AC301" s="232">
        <v>0</v>
      </c>
      <c r="AD301" s="228">
        <f t="shared" si="673"/>
      </c>
      <c r="AE301" s="233" t="s">
        <v>202</v>
      </c>
      <c r="AF301" s="234" t="s">
        <v>232</v>
      </c>
      <c r="AG301" s="235">
        <v>3</v>
      </c>
      <c r="AH301" s="236">
        <v>38900</v>
      </c>
      <c r="AI301" s="236">
        <v>1052</v>
      </c>
      <c r="AJ301" s="236">
        <v>1040</v>
      </c>
      <c r="AK301" s="237">
        <v>122</v>
      </c>
      <c r="AL301" s="237">
        <v>163</v>
      </c>
    </row>
    <row customHeight="true" ht="16.666666666666668" r="302">
      <c r="A302" s="216"/>
      <c r="B302" s="217" t="s">
        <v>209</v>
      </c>
      <c r="C302" s="218" t="s">
        <v>221</v>
      </c>
      <c r="D302" s="219">
        <f t="shared" si="483"/>
      </c>
      <c r="E302" s="220">
        <v>4592.85</v>
      </c>
      <c r="F302" s="221">
        <v>270.67</v>
      </c>
      <c r="G302" s="221">
        <v>553.29</v>
      </c>
      <c r="H302" s="221">
        <v>25.95</v>
      </c>
      <c r="I302" s="221">
        <f t="shared" si="370"/>
      </c>
      <c r="J302" s="222">
        <v>7604.28</v>
      </c>
      <c r="K302" s="223">
        <f t="shared" si="255"/>
      </c>
      <c r="L302" s="223">
        <f t="shared" si="140"/>
      </c>
      <c r="M302" s="224">
        <f t="shared" si="79"/>
      </c>
      <c r="N302" s="225">
        <f t="shared" si="48"/>
      </c>
      <c r="O302" s="226">
        <f t="shared" si="17"/>
      </c>
      <c r="P302" s="227">
        <f t="shared" si="952"/>
      </c>
      <c r="Q302" s="227">
        <f t="shared" si="921"/>
      </c>
      <c r="R302" s="227">
        <f t="shared" si="890"/>
      </c>
      <c r="S302" s="228">
        <f t="shared" si="859"/>
      </c>
      <c r="T302" s="229">
        <f t="shared" si="797"/>
      </c>
      <c r="U302" s="227">
        <f t="shared" si="766"/>
      </c>
      <c r="V302" s="230">
        <f t="shared" si="828"/>
      </c>
      <c r="W302" s="230">
        <f t="shared" si="735"/>
      </c>
      <c r="X302" s="227">
        <f t="shared" si="704"/>
      </c>
      <c r="Y302" s="231">
        <f t="shared" si="588"/>
      </c>
      <c r="Z302" s="231">
        <v>6</v>
      </c>
      <c r="AA302" s="231">
        <v>6</v>
      </c>
      <c r="AB302" s="232">
        <v>9374.400000000001</v>
      </c>
      <c r="AC302" s="232">
        <v>0</v>
      </c>
      <c r="AD302" s="228">
        <f t="shared" si="673"/>
      </c>
      <c r="AE302" s="233" t="s">
        <v>202</v>
      </c>
      <c r="AF302" s="234" t="s">
        <v>232</v>
      </c>
      <c r="AG302" s="235">
        <v>5</v>
      </c>
      <c r="AH302" s="236">
        <v>37183</v>
      </c>
      <c r="AI302" s="236">
        <v>975</v>
      </c>
      <c r="AJ302" s="236">
        <v>973</v>
      </c>
      <c r="AK302" s="235">
        <v>137</v>
      </c>
      <c r="AL302" s="235">
        <v>182</v>
      </c>
    </row>
    <row r="303">
      <c r="A303" s="216"/>
      <c r="B303" s="239" t="s">
        <v>208</v>
      </c>
      <c r="C303" s="240">
        <v>5</v>
      </c>
      <c r="D303" s="241">
        <f>SUM(D298:D302)</f>
      </c>
      <c r="E303" s="241">
        <f>SUM(E298:E302)</f>
      </c>
      <c r="F303" s="241">
        <f>SUM(F298:F302)</f>
      </c>
      <c r="G303" s="241">
        <f>SUM(G298:G302)</f>
      </c>
      <c r="H303" s="241">
        <f>SUM(H298:H302)</f>
      </c>
      <c r="I303" s="241">
        <f>SUM(I298:I302)</f>
      </c>
      <c r="J303" s="241">
        <f>SUM(J298:J302)</f>
      </c>
      <c r="K303" s="241">
        <f>SUM(K298:K302)</f>
      </c>
      <c r="L303" s="241">
        <f>SUM(L298:L302)</f>
      </c>
      <c r="M303" s="242">
        <f t="shared" si="79"/>
      </c>
      <c r="N303" s="243">
        <f t="shared" si="48"/>
      </c>
      <c r="O303" s="243">
        <f t="shared" si="17"/>
      </c>
      <c r="P303" s="244">
        <f t="shared" si="952"/>
      </c>
      <c r="Q303" s="244">
        <f t="shared" si="921"/>
      </c>
      <c r="R303" s="244">
        <f t="shared" si="890"/>
      </c>
      <c r="S303" s="245">
        <f t="shared" si="859"/>
      </c>
      <c r="T303" s="245">
        <f t="shared" si="797"/>
      </c>
      <c r="U303" s="244">
        <f t="shared" si="766"/>
      </c>
      <c r="V303" s="245">
        <f t="shared" si="828"/>
      </c>
      <c r="W303" s="245">
        <f t="shared" si="735"/>
      </c>
      <c r="X303" s="244">
        <f t="shared" si="704"/>
      </c>
      <c r="Y303" s="241">
        <f>SUM(Y298:Y302)</f>
      </c>
      <c r="Z303" s="241">
        <f>SUM(Z298:Z302)</f>
      </c>
      <c r="AA303" s="241">
        <f>SUM(AA298:AA302)</f>
      </c>
      <c r="AB303" s="241">
        <f>SUM(AB298:AB302)</f>
      </c>
      <c r="AC303" s="241">
        <f>SUM(AC298:AC302)</f>
      </c>
      <c r="AD303" s="246">
        <f t="shared" si="673"/>
      </c>
      <c r="AE303" s="247"/>
      <c r="AF303" s="248"/>
      <c r="AG303" s="241">
        <f>SUM(AG298:AG302)</f>
      </c>
      <c r="AH303" s="241">
        <f>SUM(AH298:AH302)</f>
      </c>
      <c r="AI303" s="241">
        <f>SUM(AI298:AI302)</f>
      </c>
      <c r="AJ303" s="241">
        <f>SUM(AJ298:AJ302)</f>
      </c>
      <c r="AK303" s="241">
        <f>SUM(AK298:AK302)</f>
      </c>
      <c r="AL303" s="241">
        <f>SUM(AL298:AL302)</f>
      </c>
    </row>
    <row r="304">
      <c r="A304" s="216"/>
      <c r="B304" s="217" t="s">
        <v>225</v>
      </c>
      <c r="C304" s="218" t="s">
        <v>201</v>
      </c>
      <c r="D304" s="219">
        <f t="shared" ref="D304:D307" si="484">E304+F304+G304+H304</f>
      </c>
      <c r="E304" s="220">
        <v>6721.52</v>
      </c>
      <c r="F304" s="221">
        <v>235.29</v>
      </c>
      <c r="G304" s="221">
        <v>563.37</v>
      </c>
      <c r="H304" s="221">
        <v>0</v>
      </c>
      <c r="I304" s="221">
        <f t="shared" ref="I304:I307" si="371">AB304+AC304</f>
      </c>
      <c r="J304" s="222">
        <v>1957.72</v>
      </c>
      <c r="K304" s="223">
        <f t="shared" ref="K304:K307" si="256">I304-J304</f>
      </c>
      <c r="L304" s="223">
        <f t="shared" ref="L304:L307" si="141">(I304-AC304)/12+AC304</f>
      </c>
      <c r="M304" s="224">
        <f t="shared" si="79"/>
      </c>
      <c r="N304" s="225">
        <f t="shared" si="48"/>
      </c>
      <c r="O304" s="226">
        <f t="shared" si="17"/>
      </c>
      <c r="P304" s="227">
        <f t="shared" si="952"/>
      </c>
      <c r="Q304" s="227">
        <f t="shared" si="921"/>
      </c>
      <c r="R304" s="227">
        <f t="shared" si="890"/>
      </c>
      <c r="S304" s="228">
        <f t="shared" si="859"/>
      </c>
      <c r="T304" s="229">
        <f t="shared" si="797"/>
      </c>
      <c r="U304" s="227">
        <f t="shared" si="766"/>
      </c>
      <c r="V304" s="230">
        <f t="shared" si="828"/>
      </c>
      <c r="W304" s="230">
        <f t="shared" si="735"/>
      </c>
      <c r="X304" s="227">
        <f t="shared" si="704"/>
      </c>
      <c r="Y304" s="231">
        <f t="shared" ref="Y304:Y307" si="589">Z304+AA304</f>
      </c>
      <c r="Z304" s="231">
        <v>5</v>
      </c>
      <c r="AA304" s="231">
        <v>4</v>
      </c>
      <c r="AB304" s="232">
        <v>3615.840000000004</v>
      </c>
      <c r="AC304" s="232">
        <v>679</v>
      </c>
      <c r="AD304" s="228">
        <f t="shared" si="673"/>
      </c>
      <c r="AE304" s="233" t="s">
        <v>202</v>
      </c>
      <c r="AF304" s="234" t="s">
        <v>232</v>
      </c>
      <c r="AG304" s="235">
        <v>4</v>
      </c>
      <c r="AH304" s="236">
        <v>57095</v>
      </c>
      <c r="AI304" s="236">
        <v>978</v>
      </c>
      <c r="AJ304" s="236">
        <v>943</v>
      </c>
      <c r="AK304" s="235">
        <v>119</v>
      </c>
      <c r="AL304" s="235">
        <v>162</v>
      </c>
    </row>
    <row r="305">
      <c r="A305" s="216"/>
      <c r="B305" s="217" t="s">
        <v>225</v>
      </c>
      <c r="C305" s="218" t="s">
        <v>204</v>
      </c>
      <c r="D305" s="219">
        <f t="shared" si="484"/>
      </c>
      <c r="E305" s="218">
        <v>318.3</v>
      </c>
      <c r="F305" s="221">
        <v>5790.25</v>
      </c>
      <c r="G305" s="221">
        <v>264.73</v>
      </c>
      <c r="H305" s="221">
        <v>0</v>
      </c>
      <c r="I305" s="221">
        <f t="shared" si="371"/>
      </c>
      <c r="J305" s="222">
        <v>0</v>
      </c>
      <c r="K305" s="223">
        <f t="shared" si="256"/>
      </c>
      <c r="L305" s="223">
        <f t="shared" si="141"/>
      </c>
      <c r="M305" s="224">
        <f t="shared" si="79"/>
      </c>
      <c r="N305" s="225">
        <f t="shared" si="48"/>
      </c>
      <c r="O305" s="226">
        <f t="shared" si="17"/>
      </c>
      <c r="P305" s="227">
        <f t="shared" si="952"/>
      </c>
      <c r="Q305" s="227">
        <f t="shared" si="921"/>
      </c>
      <c r="R305" s="227">
        <f t="shared" si="890"/>
      </c>
      <c r="S305" s="228">
        <f t="shared" si="859"/>
      </c>
      <c r="T305" s="229">
        <f t="shared" si="797"/>
      </c>
      <c r="U305" s="227">
        <f t="shared" si="766"/>
      </c>
      <c r="V305" s="230">
        <f t="shared" si="828"/>
      </c>
      <c r="W305" s="230">
        <f t="shared" si="735"/>
      </c>
      <c r="X305" s="227">
        <f t="shared" si="704"/>
      </c>
      <c r="Y305" s="231">
        <f t="shared" si="589"/>
      </c>
      <c r="Z305" s="231">
        <v>2</v>
      </c>
      <c r="AA305" s="231">
        <v>6</v>
      </c>
      <c r="AB305" s="232">
        <v>13657.679999999993</v>
      </c>
      <c r="AC305" s="232">
        <v>0</v>
      </c>
      <c r="AD305" s="228">
        <f t="shared" si="673"/>
      </c>
      <c r="AE305" s="233" t="s">
        <v>202</v>
      </c>
      <c r="AF305" s="234" t="s">
        <v>232</v>
      </c>
      <c r="AG305" s="235">
        <v>4</v>
      </c>
      <c r="AH305" s="236">
        <v>57297</v>
      </c>
      <c r="AI305" s="236">
        <v>1022</v>
      </c>
      <c r="AJ305" s="236">
        <v>1000</v>
      </c>
      <c r="AK305" s="237">
        <v>132</v>
      </c>
      <c r="AL305" s="237">
        <v>182</v>
      </c>
    </row>
    <row r="306">
      <c r="A306" s="216"/>
      <c r="B306" s="217" t="s">
        <v>225</v>
      </c>
      <c r="C306" s="218" t="s">
        <v>205</v>
      </c>
      <c r="D306" s="219">
        <f t="shared" si="484"/>
      </c>
      <c r="E306" s="218">
        <v>305.95</v>
      </c>
      <c r="F306" s="218">
        <v>3483.11</v>
      </c>
      <c r="G306" s="218">
        <v>348.73</v>
      </c>
      <c r="H306" s="221">
        <v>0</v>
      </c>
      <c r="I306" s="221">
        <f t="shared" si="371"/>
      </c>
      <c r="J306" s="222">
        <v>3406.32</v>
      </c>
      <c r="K306" s="223">
        <f t="shared" si="256"/>
      </c>
      <c r="L306" s="223">
        <f t="shared" si="141"/>
      </c>
      <c r="M306" s="224">
        <f t="shared" si="79"/>
      </c>
      <c r="N306" s="225">
        <f t="shared" si="48"/>
      </c>
      <c r="O306" s="226">
        <f t="shared" si="17"/>
      </c>
      <c r="P306" s="227">
        <f t="shared" si="952"/>
      </c>
      <c r="Q306" s="227">
        <f t="shared" si="921"/>
      </c>
      <c r="R306" s="227">
        <f t="shared" si="890"/>
      </c>
      <c r="S306" s="228">
        <f t="shared" si="859"/>
      </c>
      <c r="T306" s="229">
        <f t="shared" si="797"/>
      </c>
      <c r="U306" s="227">
        <f t="shared" si="766"/>
      </c>
      <c r="V306" s="230">
        <f t="shared" si="828"/>
      </c>
      <c r="W306" s="230">
        <f t="shared" si="735"/>
      </c>
      <c r="X306" s="227">
        <f t="shared" si="704"/>
      </c>
      <c r="Y306" s="231">
        <f t="shared" si="589"/>
      </c>
      <c r="Z306" s="231">
        <v>2</v>
      </c>
      <c r="AA306" s="231">
        <v>3</v>
      </c>
      <c r="AB306" s="232">
        <v>4674.240000000005</v>
      </c>
      <c r="AC306" s="232">
        <v>0</v>
      </c>
      <c r="AD306" s="228">
        <f t="shared" si="673"/>
      </c>
      <c r="AE306" s="233" t="s">
        <v>202</v>
      </c>
      <c r="AF306" s="234" t="s">
        <v>203</v>
      </c>
      <c r="AG306" s="237">
        <v>2</v>
      </c>
      <c r="AH306" s="236">
        <v>37490</v>
      </c>
      <c r="AI306" s="236">
        <v>733</v>
      </c>
      <c r="AJ306" s="236">
        <v>740</v>
      </c>
      <c r="AK306" s="237">
        <v>125</v>
      </c>
      <c r="AL306" s="237">
        <v>158</v>
      </c>
    </row>
    <row r="307">
      <c r="A307" s="216"/>
      <c r="B307" s="217" t="s">
        <v>225</v>
      </c>
      <c r="C307" s="218" t="s">
        <v>206</v>
      </c>
      <c r="D307" s="219">
        <f t="shared" si="484"/>
      </c>
      <c r="E307" s="218">
        <v>190.7</v>
      </c>
      <c r="F307" s="221">
        <v>3313.93</v>
      </c>
      <c r="G307" s="221">
        <v>376.4</v>
      </c>
      <c r="H307" s="221">
        <v>0</v>
      </c>
      <c r="I307" s="221">
        <f t="shared" si="371"/>
      </c>
      <c r="J307" s="222">
        <v>2282.04</v>
      </c>
      <c r="K307" s="223">
        <f t="shared" si="256"/>
      </c>
      <c r="L307" s="223">
        <f t="shared" si="141"/>
      </c>
      <c r="M307" s="224">
        <f t="shared" si="79"/>
      </c>
      <c r="N307" s="225">
        <f t="shared" si="48"/>
      </c>
      <c r="O307" s="226">
        <f t="shared" si="17"/>
      </c>
      <c r="P307" s="227">
        <f t="shared" si="952"/>
      </c>
      <c r="Q307" s="227">
        <f t="shared" si="921"/>
      </c>
      <c r="R307" s="227">
        <f t="shared" si="890"/>
      </c>
      <c r="S307" s="228">
        <f t="shared" si="859"/>
      </c>
      <c r="T307" s="229">
        <f t="shared" si="797"/>
      </c>
      <c r="U307" s="227">
        <f t="shared" si="766"/>
      </c>
      <c r="V307" s="230">
        <f t="shared" si="828"/>
      </c>
      <c r="W307" s="230">
        <f t="shared" si="735"/>
      </c>
      <c r="X307" s="227">
        <f t="shared" si="704"/>
      </c>
      <c r="Y307" s="231">
        <f t="shared" si="589"/>
      </c>
      <c r="Z307" s="231">
        <v>1</v>
      </c>
      <c r="AA307" s="231">
        <v>5</v>
      </c>
      <c r="AB307" s="222">
        <v>4770.36</v>
      </c>
      <c r="AC307" s="232">
        <v>403</v>
      </c>
      <c r="AD307" s="228">
        <f t="shared" si="673"/>
      </c>
      <c r="AE307" s="233" t="s">
        <v>202</v>
      </c>
      <c r="AF307" s="234" t="s">
        <v>203</v>
      </c>
      <c r="AG307" s="235">
        <v>2</v>
      </c>
      <c r="AH307" s="236">
        <v>29757</v>
      </c>
      <c r="AI307" s="236">
        <v>409</v>
      </c>
      <c r="AJ307" s="236">
        <v>390</v>
      </c>
      <c r="AK307" s="237">
        <v>76</v>
      </c>
      <c r="AL307" s="237">
        <v>100</v>
      </c>
    </row>
    <row r="308">
      <c r="A308" s="216"/>
      <c r="B308" s="239" t="s">
        <v>208</v>
      </c>
      <c r="C308" s="240">
        <v>4</v>
      </c>
      <c r="D308" s="241">
        <f>SUM(D304:D307)</f>
      </c>
      <c r="E308" s="241">
        <f>SUM(E304:E307)</f>
      </c>
      <c r="F308" s="241">
        <f>SUM(F304:F307)</f>
      </c>
      <c r="G308" s="241">
        <f>SUM(G304:G307)</f>
      </c>
      <c r="H308" s="241">
        <f>SUM(H304:H307)</f>
      </c>
      <c r="I308" s="241">
        <f>SUM(I304:I307)</f>
      </c>
      <c r="J308" s="241">
        <f>SUM(J304:J307)</f>
      </c>
      <c r="K308" s="241">
        <f>SUM(K304:K307)</f>
      </c>
      <c r="L308" s="241">
        <f>SUM(L304:L307)</f>
      </c>
      <c r="M308" s="242">
        <f t="shared" si="79"/>
      </c>
      <c r="N308" s="243">
        <f t="shared" si="48"/>
      </c>
      <c r="O308" s="243">
        <f t="shared" si="17"/>
      </c>
      <c r="P308" s="244">
        <f t="shared" si="952"/>
      </c>
      <c r="Q308" s="244">
        <f t="shared" si="921"/>
      </c>
      <c r="R308" s="244">
        <f t="shared" si="890"/>
      </c>
      <c r="S308" s="245">
        <f t="shared" si="859"/>
      </c>
      <c r="T308" s="245">
        <f t="shared" si="797"/>
      </c>
      <c r="U308" s="244">
        <f t="shared" si="766"/>
      </c>
      <c r="V308" s="245">
        <f t="shared" si="828"/>
      </c>
      <c r="W308" s="245">
        <f t="shared" si="735"/>
      </c>
      <c r="X308" s="244">
        <f t="shared" si="704"/>
      </c>
      <c r="Y308" s="241">
        <f>SUM(Y304:Y307)</f>
      </c>
      <c r="Z308" s="241">
        <f>SUM(Z304:Z307)</f>
      </c>
      <c r="AA308" s="241">
        <f>SUM(AA304:AA307)</f>
      </c>
      <c r="AB308" s="241">
        <f>SUM(AB304:AB307)</f>
      </c>
      <c r="AC308" s="241">
        <f>SUM(AC304:AC307)</f>
      </c>
      <c r="AD308" s="246">
        <f t="shared" si="673"/>
      </c>
      <c r="AE308" s="247"/>
      <c r="AF308" s="248"/>
      <c r="AG308" s="241">
        <f>SUM(AG304:AG307)</f>
      </c>
      <c r="AH308" s="241">
        <f>SUM(AH304:AH307)</f>
      </c>
      <c r="AI308" s="241">
        <f>SUM(AI304:AI307)</f>
      </c>
      <c r="AJ308" s="241">
        <f>SUM(AJ304:AJ307)</f>
      </c>
      <c r="AK308" s="241">
        <f>SUM(AK304:AK307)</f>
      </c>
      <c r="AL308" s="241">
        <f>SUM(AL304:AL307)</f>
      </c>
    </row>
    <row r="309">
      <c r="A309" s="216"/>
      <c r="B309" s="217" t="s">
        <v>233</v>
      </c>
      <c r="C309" s="218" t="s">
        <v>207</v>
      </c>
      <c r="D309" s="219">
        <f t="shared" ref="D309:D310" si="485">E309+F309+G309+H309</f>
      </c>
      <c r="E309" s="218">
        <v>278.66</v>
      </c>
      <c r="F309" s="249">
        <v>2891.96</v>
      </c>
      <c r="G309" s="221">
        <v>198.87</v>
      </c>
      <c r="H309" s="221">
        <v>0</v>
      </c>
      <c r="I309" s="250">
        <f t="shared" ref="I309:I310" si="372">AB309+AC309</f>
      </c>
      <c r="J309" s="251">
        <v>0</v>
      </c>
      <c r="K309" s="223">
        <f t="shared" ref="K309:K310" si="257">I309-J309</f>
      </c>
      <c r="L309" s="223">
        <f t="shared" ref="L309:L310" si="142">(I309-AC309)/12+AC309</f>
      </c>
      <c r="M309" s="224">
        <f t="shared" si="79"/>
      </c>
      <c r="N309" s="225">
        <f t="shared" si="48"/>
      </c>
      <c r="O309" s="226">
        <f t="shared" si="17"/>
      </c>
      <c r="P309" s="227">
        <f t="shared" si="952"/>
      </c>
      <c r="Q309" s="227">
        <f t="shared" si="921"/>
      </c>
      <c r="R309" s="227">
        <f t="shared" si="890"/>
      </c>
      <c r="S309" s="228">
        <f t="shared" si="859"/>
      </c>
      <c r="T309" s="229">
        <f t="shared" si="797"/>
      </c>
      <c r="U309" s="227">
        <f t="shared" si="766"/>
      </c>
      <c r="V309" s="230">
        <f t="shared" si="828"/>
      </c>
      <c r="W309" s="230">
        <f t="shared" si="735"/>
      </c>
      <c r="X309" s="227">
        <f t="shared" si="704"/>
      </c>
      <c r="Y309" s="231">
        <f t="shared" ref="Y309:Y310" si="590">Z309+AA309</f>
      </c>
      <c r="Z309" s="231">
        <v>1</v>
      </c>
      <c r="AA309" s="231">
        <v>1</v>
      </c>
      <c r="AB309" s="232">
        <v>1871.6399999999994</v>
      </c>
      <c r="AC309" s="232">
        <v>0</v>
      </c>
      <c r="AD309" s="228">
        <f t="shared" si="673"/>
      </c>
      <c r="AE309" s="233" t="s">
        <v>202</v>
      </c>
      <c r="AF309" s="234" t="s">
        <v>203</v>
      </c>
      <c r="AG309" s="235">
        <v>2</v>
      </c>
      <c r="AH309" s="236">
        <v>29641</v>
      </c>
      <c r="AI309" s="236">
        <v>451</v>
      </c>
      <c r="AJ309" s="236">
        <v>427</v>
      </c>
      <c r="AK309" s="237">
        <v>81</v>
      </c>
      <c r="AL309" s="237">
        <v>108</v>
      </c>
    </row>
    <row customHeight="true" ht="16.666666666666668" r="310">
      <c r="A310" s="216"/>
      <c r="B310" s="217" t="s">
        <v>233</v>
      </c>
      <c r="C310" s="252" t="s">
        <v>210</v>
      </c>
      <c r="D310" s="219">
        <f t="shared" si="485"/>
      </c>
      <c r="E310" s="252">
        <v>224.16</v>
      </c>
      <c r="F310" s="268">
        <v>2308.68</v>
      </c>
      <c r="G310" s="269">
        <v>98.67</v>
      </c>
      <c r="H310" s="221">
        <v>0</v>
      </c>
      <c r="I310" s="270">
        <f t="shared" si="372"/>
      </c>
      <c r="J310" s="251">
        <v>0</v>
      </c>
      <c r="K310" s="223">
        <f t="shared" si="257"/>
      </c>
      <c r="L310" s="223">
        <f t="shared" si="142"/>
      </c>
      <c r="M310" s="224">
        <f t="shared" si="79"/>
      </c>
      <c r="N310" s="225">
        <f t="shared" si="48"/>
      </c>
      <c r="O310" s="226">
        <f t="shared" si="17"/>
      </c>
      <c r="P310" s="227">
        <f t="shared" si="952"/>
      </c>
      <c r="Q310" s="227">
        <f t="shared" si="921"/>
      </c>
      <c r="R310" s="227">
        <f t="shared" si="890"/>
      </c>
      <c r="S310" s="228">
        <f t="shared" si="859"/>
      </c>
      <c r="T310" s="229">
        <f t="shared" si="797"/>
      </c>
      <c r="U310" s="227">
        <f t="shared" si="766"/>
      </c>
      <c r="V310" s="230">
        <f t="shared" si="828"/>
      </c>
      <c r="W310" s="230">
        <f t="shared" si="735"/>
      </c>
      <c r="X310" s="227">
        <f t="shared" si="704"/>
      </c>
      <c r="Y310" s="271">
        <f t="shared" si="590"/>
      </c>
      <c r="Z310" s="231">
        <v>2</v>
      </c>
      <c r="AA310" s="231">
        <v>3</v>
      </c>
      <c r="AB310" s="272">
        <v>13034.16</v>
      </c>
      <c r="AC310" s="232">
        <v>0</v>
      </c>
      <c r="AD310" s="228">
        <f t="shared" si="673"/>
      </c>
      <c r="AE310" s="233" t="s">
        <v>202</v>
      </c>
      <c r="AF310" s="233" t="s">
        <v>203</v>
      </c>
      <c r="AG310" s="237">
        <v>1</v>
      </c>
      <c r="AH310" s="236">
        <v>23259</v>
      </c>
      <c r="AI310" s="236">
        <v>429</v>
      </c>
      <c r="AJ310" s="236">
        <v>427</v>
      </c>
      <c r="AK310" s="237">
        <v>75</v>
      </c>
      <c r="AL310" s="237">
        <v>89</v>
      </c>
    </row>
    <row r="311">
      <c r="A311" s="216"/>
      <c r="B311" s="239" t="s">
        <v>208</v>
      </c>
      <c r="C311" s="240">
        <v>2</v>
      </c>
      <c r="D311" s="273">
        <f>SUM(D309:D310)</f>
      </c>
      <c r="E311" s="273">
        <f>SUM(E309:E310)</f>
      </c>
      <c r="F311" s="273">
        <f>SUM(F309:F310)</f>
      </c>
      <c r="G311" s="273">
        <f>SUM(G309:G310)</f>
      </c>
      <c r="H311" s="273">
        <f>SUM(H309:H310)</f>
      </c>
      <c r="I311" s="273">
        <f>SUM(I309:I310)</f>
      </c>
      <c r="J311" s="273">
        <f>SUM(J309:J310)</f>
      </c>
      <c r="K311" s="273">
        <f>SUM(K309:K310)</f>
      </c>
      <c r="L311" s="273">
        <f>SUM(L309:L310)</f>
      </c>
      <c r="M311" s="242">
        <f t="shared" si="79"/>
      </c>
      <c r="N311" s="243">
        <f t="shared" si="48"/>
      </c>
      <c r="O311" s="243">
        <f t="shared" si="17"/>
      </c>
      <c r="P311" s="244">
        <f t="shared" si="952"/>
      </c>
      <c r="Q311" s="244">
        <f t="shared" si="921"/>
      </c>
      <c r="R311" s="244">
        <f t="shared" si="890"/>
      </c>
      <c r="S311" s="245">
        <f t="shared" si="859"/>
      </c>
      <c r="T311" s="245">
        <f t="shared" si="797"/>
      </c>
      <c r="U311" s="244">
        <f t="shared" si="766"/>
      </c>
      <c r="V311" s="245">
        <f t="shared" si="828"/>
      </c>
      <c r="W311" s="245">
        <f t="shared" si="735"/>
      </c>
      <c r="X311" s="244">
        <f t="shared" si="704"/>
      </c>
      <c r="Y311" s="273">
        <f>SUM(Y309:Y310)</f>
      </c>
      <c r="Z311" s="273">
        <f>SUM(Z309:Z310)</f>
      </c>
      <c r="AA311" s="273">
        <f>SUM(AA309:AA310)</f>
      </c>
      <c r="AB311" s="273">
        <f>SUM(AB309:AB310)</f>
      </c>
      <c r="AC311" s="273">
        <f>SUM(AC309:AC310)</f>
      </c>
      <c r="AD311" s="246">
        <f t="shared" si="673"/>
      </c>
      <c r="AE311" s="247"/>
      <c r="AF311" s="248"/>
      <c r="AG311" s="273">
        <f>SUM(AG309:AG310)</f>
      </c>
      <c r="AH311" s="273">
        <f>SUM(AH309:AH310)</f>
      </c>
      <c r="AI311" s="273">
        <f>SUM(AI309:AI310)</f>
      </c>
      <c r="AJ311" s="273">
        <f>SUM(AJ309:AJ310)</f>
      </c>
      <c r="AK311" s="273">
        <f>SUM(AK309:AK310)</f>
      </c>
      <c r="AL311" s="273">
        <f>SUM(AL309:AL310)</f>
      </c>
    </row>
    <row r="312">
      <c r="A312" s="216"/>
      <c r="B312" s="217" t="s">
        <v>231</v>
      </c>
      <c r="C312" s="252" t="s">
        <v>211</v>
      </c>
      <c r="D312" s="219">
        <f t="shared" ref="D312:D315" si="486">E312+F312+G312+H312</f>
      </c>
      <c r="E312" s="218">
        <v>473.96</v>
      </c>
      <c r="F312" s="249">
        <v>2084.73</v>
      </c>
      <c r="G312" s="221">
        <v>125.75</v>
      </c>
      <c r="H312" s="221">
        <v>0</v>
      </c>
      <c r="I312" s="250">
        <f t="shared" ref="I312:I315" si="373">AB312+AC312</f>
      </c>
      <c r="J312" s="251">
        <v>0</v>
      </c>
      <c r="K312" s="223">
        <f t="shared" ref="K312:K315" si="258">I312-J312</f>
      </c>
      <c r="L312" s="223">
        <f t="shared" ref="L312:L315" si="143">(I312-AC312)/12+AC312</f>
      </c>
      <c r="M312" s="224">
        <f t="shared" si="79"/>
      </c>
      <c r="N312" s="225">
        <f t="shared" si="48"/>
      </c>
      <c r="O312" s="226">
        <f t="shared" si="17"/>
      </c>
      <c r="P312" s="227">
        <f t="shared" si="952"/>
      </c>
      <c r="Q312" s="227">
        <f t="shared" si="921"/>
      </c>
      <c r="R312" s="227">
        <f t="shared" si="890"/>
      </c>
      <c r="S312" s="228">
        <f t="shared" si="859"/>
      </c>
      <c r="T312" s="229">
        <f t="shared" si="797"/>
      </c>
      <c r="U312" s="227">
        <f t="shared" si="766"/>
      </c>
      <c r="V312" s="230">
        <f t="shared" si="828"/>
      </c>
      <c r="W312" s="230">
        <f t="shared" si="735"/>
      </c>
      <c r="X312" s="227">
        <f t="shared" si="704"/>
      </c>
      <c r="Y312" s="231">
        <f t="shared" ref="Y312:Y315" si="591">Z312+AA312</f>
      </c>
      <c r="Z312" s="231">
        <v>5</v>
      </c>
      <c r="AA312" s="231">
        <v>4</v>
      </c>
      <c r="AB312" s="232">
        <v>11489.039999999994</v>
      </c>
      <c r="AC312" s="232">
        <v>1446</v>
      </c>
      <c r="AD312" s="228">
        <f t="shared" si="673"/>
      </c>
      <c r="AE312" s="233" t="s">
        <v>202</v>
      </c>
      <c r="AF312" s="234" t="s">
        <v>203</v>
      </c>
      <c r="AG312" s="235">
        <v>6</v>
      </c>
      <c r="AH312" s="236">
        <v>20435</v>
      </c>
      <c r="AI312" s="236">
        <v>527</v>
      </c>
      <c r="AJ312" s="236">
        <v>525</v>
      </c>
      <c r="AK312" s="237">
        <v>82</v>
      </c>
      <c r="AL312" s="237">
        <v>88</v>
      </c>
    </row>
    <row r="313">
      <c r="A313" s="216"/>
      <c r="B313" s="217" t="s">
        <v>231</v>
      </c>
      <c r="C313" s="252" t="s">
        <v>212</v>
      </c>
      <c r="D313" s="219">
        <f t="shared" si="486"/>
      </c>
      <c r="E313" s="218">
        <v>745.13</v>
      </c>
      <c r="F313" s="249">
        <v>6554.83</v>
      </c>
      <c r="G313" s="221">
        <v>138.47</v>
      </c>
      <c r="H313" s="221">
        <v>0</v>
      </c>
      <c r="I313" s="250">
        <f t="shared" si="373"/>
      </c>
      <c r="J313" s="251">
        <v>3360.96</v>
      </c>
      <c r="K313" s="223">
        <f t="shared" si="258"/>
      </c>
      <c r="L313" s="223">
        <f t="shared" si="143"/>
      </c>
      <c r="M313" s="224">
        <f t="shared" si="79"/>
      </c>
      <c r="N313" s="225">
        <f t="shared" si="48"/>
      </c>
      <c r="O313" s="226">
        <f t="shared" si="17"/>
      </c>
      <c r="P313" s="227">
        <f t="shared" si="952"/>
      </c>
      <c r="Q313" s="227">
        <f t="shared" si="921"/>
      </c>
      <c r="R313" s="227">
        <f t="shared" si="890"/>
      </c>
      <c r="S313" s="228">
        <f t="shared" si="859"/>
      </c>
      <c r="T313" s="229">
        <f t="shared" si="797"/>
      </c>
      <c r="U313" s="227">
        <f t="shared" si="766"/>
      </c>
      <c r="V313" s="230">
        <f t="shared" si="828"/>
      </c>
      <c r="W313" s="230">
        <f t="shared" si="735"/>
      </c>
      <c r="X313" s="227">
        <f t="shared" si="704"/>
      </c>
      <c r="Y313" s="231">
        <f t="shared" si="591"/>
      </c>
      <c r="Z313" s="231">
        <v>9</v>
      </c>
      <c r="AA313" s="231">
        <v>8</v>
      </c>
      <c r="AB313" s="232">
        <v>13528.080000000002</v>
      </c>
      <c r="AC313" s="232">
        <v>2259</v>
      </c>
      <c r="AD313" s="228">
        <f t="shared" si="673"/>
      </c>
      <c r="AE313" s="233" t="s">
        <v>202</v>
      </c>
      <c r="AF313" s="234" t="s">
        <v>203</v>
      </c>
      <c r="AG313" s="235">
        <v>6</v>
      </c>
      <c r="AH313" s="236">
        <v>66063</v>
      </c>
      <c r="AI313" s="236">
        <v>1563</v>
      </c>
      <c r="AJ313" s="236">
        <v>1579</v>
      </c>
      <c r="AK313" s="237">
        <v>200</v>
      </c>
      <c r="AL313" s="237">
        <v>196</v>
      </c>
    </row>
    <row r="314">
      <c r="A314" s="216"/>
      <c r="B314" s="217" t="s">
        <v>231</v>
      </c>
      <c r="C314" s="218" t="s">
        <v>213</v>
      </c>
      <c r="D314" s="219">
        <f t="shared" si="486"/>
      </c>
      <c r="E314" s="218">
        <v>1136.02</v>
      </c>
      <c r="F314" s="249">
        <v>5627.22</v>
      </c>
      <c r="G314" s="218">
        <v>88.37</v>
      </c>
      <c r="H314" s="218">
        <v>0</v>
      </c>
      <c r="I314" s="250">
        <f t="shared" si="373"/>
      </c>
      <c r="J314" s="251">
        <v>0</v>
      </c>
      <c r="K314" s="223">
        <f t="shared" si="258"/>
      </c>
      <c r="L314" s="223">
        <f t="shared" si="143"/>
      </c>
      <c r="M314" s="224">
        <f t="shared" si="79"/>
      </c>
      <c r="N314" s="225">
        <f t="shared" si="48"/>
      </c>
      <c r="O314" s="226">
        <f t="shared" si="17"/>
      </c>
      <c r="P314" s="227">
        <f t="shared" si="952"/>
      </c>
      <c r="Q314" s="227">
        <f t="shared" si="921"/>
      </c>
      <c r="R314" s="227">
        <f t="shared" si="890"/>
      </c>
      <c r="S314" s="228">
        <f t="shared" si="859"/>
      </c>
      <c r="T314" s="229">
        <f t="shared" si="797"/>
      </c>
      <c r="U314" s="227">
        <f t="shared" si="766"/>
      </c>
      <c r="V314" s="230">
        <f t="shared" si="828"/>
      </c>
      <c r="W314" s="230">
        <f t="shared" si="735"/>
      </c>
      <c r="X314" s="227">
        <f t="shared" si="704"/>
      </c>
      <c r="Y314" s="231">
        <f t="shared" si="591"/>
      </c>
      <c r="Z314" s="231">
        <v>10</v>
      </c>
      <c r="AA314" s="231">
        <v>7</v>
      </c>
      <c r="AB314" s="232">
        <v>9934.919999999998</v>
      </c>
      <c r="AC314" s="232">
        <v>1398</v>
      </c>
      <c r="AD314" s="228">
        <f t="shared" si="673"/>
      </c>
      <c r="AE314" s="233" t="s">
        <v>202</v>
      </c>
      <c r="AF314" s="234" t="s">
        <v>203</v>
      </c>
      <c r="AG314" s="237">
        <v>6</v>
      </c>
      <c r="AH314" s="236">
        <v>66381</v>
      </c>
      <c r="AI314" s="236">
        <v>1632</v>
      </c>
      <c r="AJ314" s="236">
        <v>1638</v>
      </c>
      <c r="AK314" s="237">
        <v>172</v>
      </c>
      <c r="AL314" s="237">
        <v>199</v>
      </c>
    </row>
    <row r="315">
      <c r="A315" s="216"/>
      <c r="B315" s="217" t="s">
        <v>231</v>
      </c>
      <c r="C315" s="252" t="s">
        <v>214</v>
      </c>
      <c r="D315" s="219">
        <f t="shared" si="486"/>
      </c>
      <c r="E315" s="218">
        <v>533.72</v>
      </c>
      <c r="F315" s="249">
        <v>2032.36</v>
      </c>
      <c r="G315" s="221">
        <v>43.75</v>
      </c>
      <c r="H315" s="221">
        <v>0</v>
      </c>
      <c r="I315" s="250">
        <f t="shared" si="373"/>
      </c>
      <c r="J315" s="251">
        <v>0</v>
      </c>
      <c r="K315" s="223">
        <f t="shared" si="258"/>
      </c>
      <c r="L315" s="223">
        <f t="shared" si="143"/>
      </c>
      <c r="M315" s="224">
        <f t="shared" si="79"/>
      </c>
      <c r="N315" s="225">
        <f t="shared" si="48"/>
      </c>
      <c r="O315" s="226">
        <f t="shared" si="17"/>
      </c>
      <c r="P315" s="227">
        <f t="shared" si="952"/>
      </c>
      <c r="Q315" s="227">
        <f t="shared" si="921"/>
      </c>
      <c r="R315" s="227">
        <f t="shared" si="890"/>
      </c>
      <c r="S315" s="228">
        <f t="shared" si="859"/>
      </c>
      <c r="T315" s="229">
        <f t="shared" si="797"/>
      </c>
      <c r="U315" s="227">
        <f t="shared" si="766"/>
      </c>
      <c r="V315" s="230">
        <f t="shared" si="828"/>
      </c>
      <c r="W315" s="230">
        <f t="shared" si="735"/>
      </c>
      <c r="X315" s="227">
        <f t="shared" si="704"/>
      </c>
      <c r="Y315" s="231">
        <f t="shared" si="591"/>
      </c>
      <c r="Z315" s="231">
        <v>3</v>
      </c>
      <c r="AA315" s="231">
        <v>3</v>
      </c>
      <c r="AB315" s="222">
        <v>4162.320000000007</v>
      </c>
      <c r="AC315" s="232">
        <v>1224.5500000000002</v>
      </c>
      <c r="AD315" s="228">
        <f t="shared" si="673"/>
      </c>
      <c r="AE315" s="233" t="s">
        <v>202</v>
      </c>
      <c r="AF315" s="234" t="s">
        <v>203</v>
      </c>
      <c r="AG315" s="235">
        <v>2</v>
      </c>
      <c r="AH315" s="236">
        <v>27858</v>
      </c>
      <c r="AI315" s="236">
        <v>590</v>
      </c>
      <c r="AJ315" s="236">
        <v>621</v>
      </c>
      <c r="AK315" s="237">
        <v>77</v>
      </c>
      <c r="AL315" s="237">
        <v>97</v>
      </c>
    </row>
    <row r="316">
      <c r="A316" s="216"/>
      <c r="B316" s="239" t="s">
        <v>208</v>
      </c>
      <c r="C316" s="240">
        <v>4</v>
      </c>
      <c r="D316" s="241">
        <f>SUM(D312:D315)</f>
      </c>
      <c r="E316" s="241">
        <f>SUM(E312:E315)</f>
      </c>
      <c r="F316" s="241">
        <f>SUM(F312:F315)</f>
      </c>
      <c r="G316" s="241">
        <f>SUM(G312:G315)</f>
      </c>
      <c r="H316" s="241">
        <f>SUM(H312:H315)</f>
      </c>
      <c r="I316" s="241">
        <f>SUM(I312:I315)</f>
      </c>
      <c r="J316" s="241">
        <f>SUM(J312:J315)</f>
      </c>
      <c r="K316" s="241">
        <f>SUM(K312:K315)</f>
      </c>
      <c r="L316" s="241">
        <f>SUM(L312:L315)</f>
      </c>
      <c r="M316" s="242">
        <f t="shared" si="79"/>
      </c>
      <c r="N316" s="243">
        <f t="shared" si="48"/>
      </c>
      <c r="O316" s="243">
        <f t="shared" si="17"/>
      </c>
      <c r="P316" s="244">
        <f t="shared" si="952"/>
      </c>
      <c r="Q316" s="244">
        <f t="shared" si="921"/>
      </c>
      <c r="R316" s="244">
        <f t="shared" si="890"/>
      </c>
      <c r="S316" s="245">
        <f t="shared" si="859"/>
      </c>
      <c r="T316" s="245">
        <f t="shared" si="797"/>
      </c>
      <c r="U316" s="244">
        <f t="shared" si="766"/>
      </c>
      <c r="V316" s="245">
        <f t="shared" si="828"/>
      </c>
      <c r="W316" s="245">
        <f t="shared" si="735"/>
      </c>
      <c r="X316" s="244">
        <f t="shared" si="704"/>
      </c>
      <c r="Y316" s="241">
        <f>SUM(Y312:Y315)</f>
      </c>
      <c r="Z316" s="241">
        <f>SUM(Z312:Z315)</f>
      </c>
      <c r="AA316" s="241">
        <f>SUM(AA312:AA315)</f>
      </c>
      <c r="AB316" s="241">
        <f>SUM(AB312:AB315)</f>
      </c>
      <c r="AC316" s="241">
        <f>SUM(AC312:AC315)</f>
      </c>
      <c r="AD316" s="246">
        <f t="shared" si="673"/>
      </c>
      <c r="AE316" s="247"/>
      <c r="AF316" s="248"/>
      <c r="AG316" s="241">
        <f>SUM(AG312:AG315)</f>
      </c>
      <c r="AH316" s="241">
        <f>SUM(AH312:AH315)</f>
      </c>
      <c r="AI316" s="241">
        <f>SUM(AI312:AI315)</f>
      </c>
      <c r="AJ316" s="241">
        <f>SUM(AJ312:AJ315)</f>
      </c>
      <c r="AK316" s="241">
        <f>SUM(AK312:AK315)</f>
      </c>
      <c r="AL316" s="241">
        <f>SUM(AL312:AL315)</f>
      </c>
    </row>
    <row r="317">
      <c r="A317" s="216"/>
      <c r="B317" s="253" t="s">
        <v>208</v>
      </c>
      <c r="C317" s="254">
        <f>C303+C308+C311+C316</f>
      </c>
      <c r="D317" s="254">
        <f>D303+D308+D311+D316</f>
      </c>
      <c r="E317" s="254">
        <f>E303+E308+E311+E316</f>
      </c>
      <c r="F317" s="254">
        <f>F303+F308+F311+F316</f>
      </c>
      <c r="G317" s="254">
        <f>G303+G308+G311+G316</f>
      </c>
      <c r="H317" s="254">
        <f>H303+H308+H311+H316</f>
      </c>
      <c r="I317" s="254">
        <f>I303+I308+I311+I316</f>
      </c>
      <c r="J317" s="254">
        <f>J303+J308+J311+J316</f>
      </c>
      <c r="K317" s="254">
        <f>K303+K308+K311+K316</f>
      </c>
      <c r="L317" s="254">
        <f>L303+L308+L311+L316</f>
      </c>
      <c r="M317" s="256">
        <f t="shared" si="79"/>
      </c>
      <c r="N317" s="256">
        <f t="shared" si="48"/>
      </c>
      <c r="O317" s="256">
        <f t="shared" si="17"/>
      </c>
      <c r="P317" s="256">
        <f t="shared" si="952"/>
      </c>
      <c r="Q317" s="256">
        <f t="shared" si="921"/>
      </c>
      <c r="R317" s="256">
        <f t="shared" si="890"/>
      </c>
      <c r="S317" s="257">
        <f t="shared" si="859"/>
      </c>
      <c r="T317" s="257">
        <f t="shared" si="797"/>
      </c>
      <c r="U317" s="256">
        <f t="shared" si="766"/>
      </c>
      <c r="V317" s="257">
        <f t="shared" si="828"/>
      </c>
      <c r="W317" s="257">
        <f t="shared" si="735"/>
      </c>
      <c r="X317" s="256">
        <f t="shared" si="704"/>
      </c>
      <c r="Y317" s="266">
        <f>Y303+Y308+Y311+Y316</f>
      </c>
      <c r="Z317" s="266">
        <f>Z303+Z308+Z311+Z316</f>
      </c>
      <c r="AA317" s="266">
        <f>AA303+AA308+AA311+AA316</f>
      </c>
      <c r="AB317" s="266">
        <f>AB303+AB308+AB311+AB316</f>
      </c>
      <c r="AC317" s="266">
        <f>AC303+AC308+AC311+AC316</f>
      </c>
      <c r="AD317" s="258">
        <f t="shared" si="673"/>
      </c>
      <c r="AE317" s="253"/>
      <c r="AF317" s="253"/>
      <c r="AG317" s="266">
        <f>AG303+AG308+AG311+AG316</f>
      </c>
      <c r="AH317" s="266">
        <f>AH303+AH308+AH311+AH316</f>
      </c>
      <c r="AI317" s="266">
        <f>AI303+AI308+AI311+AI316</f>
      </c>
      <c r="AJ317" s="266">
        <f>AJ303+AJ308+AJ311+AJ316</f>
      </c>
      <c r="AK317" s="266">
        <f>AK303+AK308+AK311+AK316</f>
      </c>
      <c r="AL317" s="266">
        <f>AL303+AL308+AL311+AL316</f>
      </c>
    </row>
    <row r="318">
      <c r="A318" s="202" t="s">
        <v>162</v>
      </c>
      <c r="B318" s="203" t="s">
        <v>163</v>
      </c>
      <c r="C318" s="203" t="s">
        <v>164</v>
      </c>
      <c r="D318" s="204" t="s">
        <v>165</v>
      </c>
      <c r="E318" s="203" t="s">
        <v>166</v>
      </c>
      <c r="F318" s="203" t="s">
        <v>167</v>
      </c>
      <c r="G318" s="205" t="s">
        <v>168</v>
      </c>
      <c r="H318" s="205" t="s">
        <v>169</v>
      </c>
      <c r="I318" s="204" t="s">
        <v>170</v>
      </c>
      <c r="J318" s="206" t="s">
        <v>171</v>
      </c>
      <c r="K318" s="207" t="s">
        <v>172</v>
      </c>
      <c r="L318" s="207" t="s">
        <v>173</v>
      </c>
      <c r="M318" s="208" t="s">
        <v>174</v>
      </c>
      <c r="N318" s="207" t="s">
        <v>175</v>
      </c>
      <c r="O318" s="203" t="s">
        <v>176</v>
      </c>
      <c r="P318" s="208" t="s">
        <v>177</v>
      </c>
      <c r="Q318" s="209" t="s">
        <v>178</v>
      </c>
      <c r="R318" s="209" t="s">
        <v>179</v>
      </c>
      <c r="S318" s="204" t="s">
        <v>180</v>
      </c>
      <c r="T318" s="210" t="s">
        <v>181</v>
      </c>
      <c r="U318" s="208" t="s">
        <v>182</v>
      </c>
      <c r="V318" s="211" t="s">
        <v>183</v>
      </c>
      <c r="W318" s="212" t="s">
        <v>184</v>
      </c>
      <c r="X318" s="208" t="s">
        <v>185</v>
      </c>
      <c r="Y318" s="213" t="s">
        <v>186</v>
      </c>
      <c r="Z318" s="214" t="s">
        <v>187</v>
      </c>
      <c r="AA318" s="213" t="s">
        <v>188</v>
      </c>
      <c r="AB318" s="215" t="s">
        <v>189</v>
      </c>
      <c r="AC318" s="215" t="s">
        <v>190</v>
      </c>
      <c r="AD318" s="207" t="s">
        <v>191</v>
      </c>
      <c r="AE318" s="206" t="s">
        <v>192</v>
      </c>
      <c r="AF318" s="207" t="s">
        <v>193</v>
      </c>
      <c r="AG318" s="206" t="s">
        <v>194</v>
      </c>
      <c r="AH318" s="206" t="s">
        <v>195</v>
      </c>
      <c r="AI318" s="207" t="s">
        <v>196</v>
      </c>
      <c r="AJ318" s="206" t="s">
        <v>197</v>
      </c>
      <c r="AK318" s="207" t="s">
        <v>198</v>
      </c>
      <c r="AL318" s="206" t="s">
        <v>199</v>
      </c>
    </row>
    <row r="319">
      <c r="A319" s="216">
        <v>46253</v>
      </c>
      <c r="B319" s="217" t="s">
        <v>200</v>
      </c>
      <c r="C319" s="218" t="s">
        <v>234</v>
      </c>
      <c r="D319" s="219">
        <f t="shared" ref="D319:D323" si="487">E319+F319+G319+H319</f>
      </c>
      <c r="E319" s="220">
        <v>834.34</v>
      </c>
      <c r="F319" s="221">
        <v>1500</v>
      </c>
      <c r="G319" s="221">
        <v>1261.04</v>
      </c>
      <c r="H319" s="221">
        <v>0</v>
      </c>
      <c r="I319" s="221">
        <f t="shared" ref="I319:I323" si="374">AB319+AC319</f>
      </c>
      <c r="J319" s="222">
        <v>1149.12</v>
      </c>
      <c r="K319" s="223">
        <f t="shared" ref="K319:K323" si="259">I319-J319</f>
      </c>
      <c r="L319" s="223">
        <f t="shared" ref="L319:L323" si="144">(I319-AC319)/12+AC319</f>
      </c>
      <c r="M319" s="224">
        <f t="shared" ref="M319:M344" si="80">I319/D319</f>
      </c>
      <c r="N319" s="225">
        <f t="shared" ref="N319:N344" si="49">(I319-J319)/D319</f>
      </c>
      <c r="O319" s="226">
        <f t="shared" ref="O319:O344" si="18">(AC319+AB319/12)/D319</f>
      </c>
      <c r="P319" s="227">
        <f t="shared" ref="P319:P344" si="953">I319/AA319</f>
      </c>
      <c r="Q319" s="227">
        <f t="shared" ref="Q319:Q344" si="922">D319/AA319</f>
      </c>
      <c r="R319" s="227">
        <f t="shared" ref="R319:R344" si="891">D319/AG319</f>
      </c>
      <c r="S319" s="228">
        <f t="shared" ref="S319:S344" si="860">AA319/Y319</f>
      </c>
      <c r="T319" s="229">
        <f t="shared" ref="T319:T344" si="798">AI319/AH319</f>
      </c>
      <c r="U319" s="227">
        <f t="shared" ref="U319:U344" si="767">D319/AJ319</f>
      </c>
      <c r="V319" s="230">
        <f t="shared" ref="V319:V344" si="829">AK319/AJ319</f>
      </c>
      <c r="W319" s="230">
        <f t="shared" ref="W319:W344" si="736">AL319/AJ319</f>
      </c>
      <c r="X319" s="227">
        <f t="shared" ref="X319:X344" si="705">D319/AL319</f>
      </c>
      <c r="Y319" s="231">
        <f t="shared" ref="Y319:Y323" si="592">Z319+AA319</f>
      </c>
      <c r="Z319" s="231">
        <v>2</v>
      </c>
      <c r="AA319" s="231">
        <v>5</v>
      </c>
      <c r="AB319" s="232">
        <v>2987.28</v>
      </c>
      <c r="AC319" s="232">
        <v>2954.5</v>
      </c>
      <c r="AD319" s="228">
        <f t="shared" ref="AD319:AD344" si="674">AC319/I319</f>
      </c>
      <c r="AE319" s="233" t="s">
        <v>202</v>
      </c>
      <c r="AF319" s="234" t="s">
        <v>232</v>
      </c>
      <c r="AG319" s="235">
        <v>5</v>
      </c>
      <c r="AH319" s="235">
        <v>27819</v>
      </c>
      <c r="AI319" s="236">
        <v>819</v>
      </c>
      <c r="AJ319" s="236">
        <v>835</v>
      </c>
      <c r="AK319" s="235">
        <v>101</v>
      </c>
      <c r="AL319" s="237">
        <v>125</v>
      </c>
    </row>
    <row r="320">
      <c r="A320" s="216"/>
      <c r="B320" s="217" t="s">
        <v>200</v>
      </c>
      <c r="C320" s="218" t="s">
        <v>235</v>
      </c>
      <c r="D320" s="219">
        <f t="shared" si="487"/>
      </c>
      <c r="E320" s="218">
        <v>1156.98</v>
      </c>
      <c r="F320" s="221">
        <v>1385.43</v>
      </c>
      <c r="G320" s="221">
        <v>323.77</v>
      </c>
      <c r="H320" s="221">
        <v>0</v>
      </c>
      <c r="I320" s="221">
        <f t="shared" si="374"/>
      </c>
      <c r="J320" s="222">
        <v>0</v>
      </c>
      <c r="K320" s="223">
        <f t="shared" si="259"/>
      </c>
      <c r="L320" s="223">
        <f t="shared" si="144"/>
      </c>
      <c r="M320" s="224">
        <f t="shared" si="80"/>
      </c>
      <c r="N320" s="225">
        <f t="shared" si="49"/>
      </c>
      <c r="O320" s="226">
        <f t="shared" si="18"/>
      </c>
      <c r="P320" s="227">
        <f t="shared" si="953"/>
      </c>
      <c r="Q320" s="227">
        <f t="shared" si="922"/>
      </c>
      <c r="R320" s="227">
        <f t="shared" si="891"/>
      </c>
      <c r="S320" s="228">
        <f t="shared" si="860"/>
      </c>
      <c r="T320" s="229">
        <f t="shared" si="798"/>
      </c>
      <c r="U320" s="227">
        <f t="shared" si="767"/>
      </c>
      <c r="V320" s="230">
        <f t="shared" si="829"/>
      </c>
      <c r="W320" s="230">
        <f t="shared" si="736"/>
      </c>
      <c r="X320" s="227">
        <f t="shared" si="705"/>
      </c>
      <c r="Y320" s="231">
        <f t="shared" si="592"/>
      </c>
      <c r="Z320" s="231">
        <v>3</v>
      </c>
      <c r="AA320" s="231">
        <v>1</v>
      </c>
      <c r="AB320" s="232">
        <v>3532.68</v>
      </c>
      <c r="AC320" s="232">
        <v>0</v>
      </c>
      <c r="AD320" s="228">
        <f t="shared" si="674"/>
      </c>
      <c r="AE320" s="233" t="s">
        <v>202</v>
      </c>
      <c r="AF320" s="234" t="s">
        <v>232</v>
      </c>
      <c r="AG320" s="235">
        <v>0</v>
      </c>
      <c r="AH320" s="236">
        <v>23585</v>
      </c>
      <c r="AI320" s="236">
        <v>558</v>
      </c>
      <c r="AJ320" s="236">
        <v>583</v>
      </c>
      <c r="AK320" s="237">
        <v>94</v>
      </c>
      <c r="AL320" s="237">
        <v>99</v>
      </c>
    </row>
    <row r="321">
      <c r="A321" s="216"/>
      <c r="B321" s="217" t="s">
        <v>200</v>
      </c>
      <c r="C321" s="218" t="s">
        <v>236</v>
      </c>
      <c r="D321" s="219">
        <f t="shared" si="487"/>
      </c>
      <c r="E321" s="218">
        <v>637.32</v>
      </c>
      <c r="F321" s="218">
        <v>3604.57</v>
      </c>
      <c r="G321" s="218">
        <v>160.84</v>
      </c>
      <c r="H321" s="218">
        <v>0</v>
      </c>
      <c r="I321" s="221">
        <f t="shared" si="374"/>
      </c>
      <c r="J321" s="222">
        <v>0</v>
      </c>
      <c r="K321" s="223">
        <f t="shared" si="259"/>
      </c>
      <c r="L321" s="223">
        <f t="shared" si="144"/>
      </c>
      <c r="M321" s="224">
        <f t="shared" si="80"/>
      </c>
      <c r="N321" s="225">
        <f t="shared" si="49"/>
      </c>
      <c r="O321" s="226">
        <f t="shared" si="18"/>
      </c>
      <c r="P321" s="227">
        <f t="shared" si="953"/>
      </c>
      <c r="Q321" s="227">
        <f t="shared" si="922"/>
      </c>
      <c r="R321" s="227">
        <f t="shared" si="891"/>
      </c>
      <c r="S321" s="228">
        <f t="shared" si="860"/>
      </c>
      <c r="T321" s="229">
        <f t="shared" si="798"/>
      </c>
      <c r="U321" s="227">
        <f t="shared" si="767"/>
      </c>
      <c r="V321" s="230">
        <f t="shared" si="829"/>
      </c>
      <c r="W321" s="230">
        <f t="shared" si="736"/>
      </c>
      <c r="X321" s="227">
        <f t="shared" si="705"/>
      </c>
      <c r="Y321" s="231">
        <f t="shared" si="592"/>
      </c>
      <c r="Z321" s="231">
        <v>4</v>
      </c>
      <c r="AA321" s="231">
        <v>0</v>
      </c>
      <c r="AB321" s="232">
        <v>0</v>
      </c>
      <c r="AC321" s="232">
        <v>0</v>
      </c>
      <c r="AD321" s="228">
        <f t="shared" si="674"/>
      </c>
      <c r="AE321" s="233" t="s">
        <v>202</v>
      </c>
      <c r="AF321" s="234" t="s">
        <v>232</v>
      </c>
      <c r="AG321" s="237">
        <v>0</v>
      </c>
      <c r="AH321" s="236">
        <v>30638</v>
      </c>
      <c r="AI321" s="236">
        <v>531</v>
      </c>
      <c r="AJ321" s="236">
        <v>541</v>
      </c>
      <c r="AK321" s="237">
        <v>109</v>
      </c>
      <c r="AL321" s="237">
        <v>147</v>
      </c>
    </row>
    <row r="322">
      <c r="A322" s="216"/>
      <c r="B322" s="217" t="s">
        <v>200</v>
      </c>
      <c r="C322" s="218" t="s">
        <v>216</v>
      </c>
      <c r="D322" s="219">
        <f t="shared" si="487"/>
      </c>
      <c r="E322" s="218">
        <v>766.79</v>
      </c>
      <c r="F322" s="221">
        <v>1464.46</v>
      </c>
      <c r="G322" s="221">
        <v>103.99</v>
      </c>
      <c r="H322" s="221">
        <v>0</v>
      </c>
      <c r="I322" s="238">
        <f t="shared" si="374"/>
      </c>
      <c r="J322" s="222">
        <v>0</v>
      </c>
      <c r="K322" s="223">
        <f t="shared" si="259"/>
      </c>
      <c r="L322" s="223">
        <f t="shared" si="144"/>
      </c>
      <c r="M322" s="224">
        <f t="shared" si="80"/>
      </c>
      <c r="N322" s="225">
        <f t="shared" si="49"/>
      </c>
      <c r="O322" s="226">
        <f t="shared" si="18"/>
      </c>
      <c r="P322" s="227">
        <f t="shared" si="953"/>
      </c>
      <c r="Q322" s="227">
        <f t="shared" si="922"/>
      </c>
      <c r="R322" s="227">
        <f t="shared" si="891"/>
      </c>
      <c r="S322" s="228">
        <f t="shared" si="860"/>
      </c>
      <c r="T322" s="229">
        <f t="shared" si="798"/>
      </c>
      <c r="U322" s="227">
        <f t="shared" si="767"/>
      </c>
      <c r="V322" s="230">
        <f t="shared" si="829"/>
      </c>
      <c r="W322" s="230">
        <f t="shared" si="736"/>
      </c>
      <c r="X322" s="227">
        <f t="shared" si="705"/>
      </c>
      <c r="Y322" s="231">
        <f t="shared" si="592"/>
      </c>
      <c r="Z322" s="231">
        <v>2</v>
      </c>
      <c r="AA322" s="231">
        <v>2</v>
      </c>
      <c r="AB322" s="232">
        <v>2572.8</v>
      </c>
      <c r="AC322" s="232">
        <v>0</v>
      </c>
      <c r="AD322" s="228">
        <f t="shared" si="674"/>
      </c>
      <c r="AE322" s="233" t="s">
        <v>202</v>
      </c>
      <c r="AF322" s="234" t="s">
        <v>232</v>
      </c>
      <c r="AG322" s="235">
        <v>2</v>
      </c>
      <c r="AH322" s="236">
        <v>14952</v>
      </c>
      <c r="AI322" s="236">
        <v>397</v>
      </c>
      <c r="AJ322" s="236">
        <v>407</v>
      </c>
      <c r="AK322" s="237">
        <v>57</v>
      </c>
      <c r="AL322" s="237">
        <v>64</v>
      </c>
    </row>
    <row r="323">
      <c r="A323" s="216"/>
      <c r="B323" s="217" t="s">
        <v>200</v>
      </c>
      <c r="C323" s="218" t="s">
        <v>218</v>
      </c>
      <c r="D323" s="219">
        <f t="shared" si="487"/>
      </c>
      <c r="E323" s="220">
        <v>701.39</v>
      </c>
      <c r="F323" s="221">
        <v>1717.89</v>
      </c>
      <c r="G323" s="221">
        <v>223.31</v>
      </c>
      <c r="H323" s="221">
        <v>0</v>
      </c>
      <c r="I323" s="221">
        <f t="shared" si="374"/>
      </c>
      <c r="J323" s="222">
        <v>1318.92</v>
      </c>
      <c r="K323" s="223">
        <f t="shared" si="259"/>
      </c>
      <c r="L323" s="223">
        <f t="shared" si="144"/>
      </c>
      <c r="M323" s="224">
        <f t="shared" si="80"/>
      </c>
      <c r="N323" s="225">
        <f t="shared" si="49"/>
      </c>
      <c r="O323" s="226">
        <f t="shared" si="18"/>
      </c>
      <c r="P323" s="227">
        <f t="shared" si="953"/>
      </c>
      <c r="Q323" s="227">
        <f t="shared" si="922"/>
      </c>
      <c r="R323" s="227">
        <f t="shared" si="891"/>
      </c>
      <c r="S323" s="228">
        <f t="shared" si="860"/>
      </c>
      <c r="T323" s="229">
        <f t="shared" si="798"/>
      </c>
      <c r="U323" s="227">
        <f t="shared" si="767"/>
      </c>
      <c r="V323" s="230">
        <f t="shared" si="829"/>
      </c>
      <c r="W323" s="230">
        <f t="shared" si="736"/>
      </c>
      <c r="X323" s="227">
        <f t="shared" si="705"/>
      </c>
      <c r="Y323" s="231">
        <f t="shared" si="592"/>
      </c>
      <c r="Z323" s="231">
        <v>4</v>
      </c>
      <c r="AA323" s="231">
        <v>2</v>
      </c>
      <c r="AB323" s="232">
        <v>3862.08</v>
      </c>
      <c r="AC323" s="232">
        <v>0</v>
      </c>
      <c r="AD323" s="228">
        <f t="shared" si="674"/>
      </c>
      <c r="AE323" s="233" t="s">
        <v>202</v>
      </c>
      <c r="AF323" s="234" t="s">
        <v>232</v>
      </c>
      <c r="AG323" s="235">
        <v>2</v>
      </c>
      <c r="AH323" s="236">
        <v>16456</v>
      </c>
      <c r="AI323" s="236">
        <v>356</v>
      </c>
      <c r="AJ323" s="236">
        <v>355</v>
      </c>
      <c r="AK323" s="235">
        <v>66</v>
      </c>
      <c r="AL323" s="235">
        <v>98</v>
      </c>
    </row>
    <row r="324">
      <c r="A324" s="216"/>
      <c r="B324" s="239" t="s">
        <v>208</v>
      </c>
      <c r="C324" s="240">
        <v>5</v>
      </c>
      <c r="D324" s="241">
        <f>SUM(D319:D323)</f>
      </c>
      <c r="E324" s="241">
        <f>SUM(E319:E323)</f>
      </c>
      <c r="F324" s="241">
        <f>SUM(F319:F323)</f>
      </c>
      <c r="G324" s="241">
        <f>SUM(G319:G323)</f>
      </c>
      <c r="H324" s="241">
        <f>SUM(H319:H323)</f>
      </c>
      <c r="I324" s="241">
        <f>SUM(I319:I323)</f>
      </c>
      <c r="J324" s="241">
        <f>SUM(J319:J323)</f>
      </c>
      <c r="K324" s="241">
        <f>SUM(K319:K323)</f>
      </c>
      <c r="L324" s="241">
        <f>SUM(L319:L323)</f>
      </c>
      <c r="M324" s="242">
        <f t="shared" si="80"/>
      </c>
      <c r="N324" s="243">
        <f t="shared" si="49"/>
      </c>
      <c r="O324" s="243">
        <f t="shared" si="18"/>
      </c>
      <c r="P324" s="244">
        <f t="shared" si="953"/>
      </c>
      <c r="Q324" s="244">
        <f t="shared" si="922"/>
      </c>
      <c r="R324" s="244">
        <f t="shared" si="891"/>
      </c>
      <c r="S324" s="245">
        <f t="shared" si="860"/>
      </c>
      <c r="T324" s="245">
        <f t="shared" si="798"/>
      </c>
      <c r="U324" s="244">
        <f t="shared" si="767"/>
      </c>
      <c r="V324" s="245">
        <f t="shared" si="829"/>
      </c>
      <c r="W324" s="245">
        <f t="shared" si="736"/>
      </c>
      <c r="X324" s="244">
        <f t="shared" si="705"/>
      </c>
      <c r="Y324" s="241">
        <f>SUM(Y319:Y323)</f>
      </c>
      <c r="Z324" s="241">
        <f>SUM(Z319:Z323)</f>
      </c>
      <c r="AA324" s="241">
        <f>SUM(AA319:AA323)</f>
      </c>
      <c r="AB324" s="241">
        <f>SUM(AB319:AB323)</f>
      </c>
      <c r="AC324" s="241">
        <f>SUM(AC319:AC323)</f>
      </c>
      <c r="AD324" s="246">
        <f t="shared" si="674"/>
      </c>
      <c r="AE324" s="247"/>
      <c r="AF324" s="248"/>
      <c r="AG324" s="241">
        <f>SUM(AG319:AG323)</f>
      </c>
      <c r="AH324" s="241">
        <f>SUM(AH319:AH323)</f>
      </c>
      <c r="AI324" s="241">
        <f>SUM(AI319:AI323)</f>
      </c>
      <c r="AJ324" s="241">
        <f>SUM(AJ319:AJ323)</f>
      </c>
      <c r="AK324" s="241">
        <f>SUM(AK319:AK323)</f>
      </c>
      <c r="AL324" s="241">
        <f>SUM(AL319:AL323)</f>
      </c>
    </row>
    <row r="325">
      <c r="A325" s="216"/>
      <c r="B325" s="217" t="s">
        <v>209</v>
      </c>
      <c r="C325" s="218" t="s">
        <v>219</v>
      </c>
      <c r="D325" s="219">
        <f t="shared" ref="D325:D328" si="488">E325+F325+G325+H325</f>
      </c>
      <c r="E325" s="220">
        <v>575.11</v>
      </c>
      <c r="F325" s="221">
        <v>1675.91</v>
      </c>
      <c r="G325" s="221">
        <v>568.13</v>
      </c>
      <c r="H325" s="221">
        <v>0</v>
      </c>
      <c r="I325" s="221">
        <f t="shared" ref="I325:I328" si="375">AB325+AC325</f>
      </c>
      <c r="J325" s="222">
        <v>0</v>
      </c>
      <c r="K325" s="223">
        <f t="shared" ref="K325:K328" si="260">I325-J325</f>
      </c>
      <c r="L325" s="223">
        <f t="shared" ref="L325:L328" si="145">(I325-AC325)/12+AC325</f>
      </c>
      <c r="M325" s="224">
        <f t="shared" si="80"/>
      </c>
      <c r="N325" s="225">
        <f t="shared" si="49"/>
      </c>
      <c r="O325" s="226">
        <f t="shared" si="18"/>
      </c>
      <c r="P325" s="227">
        <f t="shared" si="953"/>
      </c>
      <c r="Q325" s="227">
        <f t="shared" si="922"/>
      </c>
      <c r="R325" s="227">
        <f t="shared" si="891"/>
      </c>
      <c r="S325" s="228">
        <f t="shared" si="860"/>
      </c>
      <c r="T325" s="229">
        <f t="shared" si="798"/>
      </c>
      <c r="U325" s="227">
        <f t="shared" si="767"/>
      </c>
      <c r="V325" s="230">
        <f t="shared" si="829"/>
      </c>
      <c r="W325" s="230">
        <f t="shared" si="736"/>
      </c>
      <c r="X325" s="227">
        <f t="shared" si="705"/>
      </c>
      <c r="Y325" s="231">
        <f t="shared" ref="Y325:Y328" si="593">Z325+AA325</f>
      </c>
      <c r="Z325" s="231">
        <v>0</v>
      </c>
      <c r="AA325" s="231">
        <v>4</v>
      </c>
      <c r="AB325" s="232">
        <v>5371.919999999998</v>
      </c>
      <c r="AC325" s="232">
        <v>1547</v>
      </c>
      <c r="AD325" s="228">
        <f t="shared" si="674"/>
      </c>
      <c r="AE325" s="233" t="s">
        <v>202</v>
      </c>
      <c r="AF325" s="234" t="s">
        <v>232</v>
      </c>
      <c r="AG325" s="235">
        <v>3</v>
      </c>
      <c r="AH325" s="236">
        <v>16092</v>
      </c>
      <c r="AI325" s="236">
        <v>304</v>
      </c>
      <c r="AJ325" s="236">
        <v>297</v>
      </c>
      <c r="AK325" s="235">
        <v>63</v>
      </c>
      <c r="AL325" s="235">
        <v>88</v>
      </c>
    </row>
    <row r="326">
      <c r="A326" s="216"/>
      <c r="B326" s="217" t="s">
        <v>209</v>
      </c>
      <c r="C326" s="218" t="s">
        <v>220</v>
      </c>
      <c r="D326" s="219">
        <f t="shared" si="488"/>
      </c>
      <c r="E326" s="218">
        <v>648.02</v>
      </c>
      <c r="F326" s="221">
        <v>1080.93</v>
      </c>
      <c r="G326" s="221">
        <v>1329.24</v>
      </c>
      <c r="H326" s="221">
        <v>0</v>
      </c>
      <c r="I326" s="221">
        <f t="shared" si="375"/>
      </c>
      <c r="J326" s="222">
        <v>0</v>
      </c>
      <c r="K326" s="223">
        <f t="shared" si="260"/>
      </c>
      <c r="L326" s="223">
        <f t="shared" si="145"/>
      </c>
      <c r="M326" s="224">
        <f t="shared" si="80"/>
      </c>
      <c r="N326" s="225">
        <f t="shared" si="49"/>
      </c>
      <c r="O326" s="226">
        <f t="shared" si="18"/>
      </c>
      <c r="P326" s="227">
        <f t="shared" si="953"/>
      </c>
      <c r="Q326" s="227">
        <f t="shared" si="922"/>
      </c>
      <c r="R326" s="227">
        <f t="shared" si="891"/>
      </c>
      <c r="S326" s="228">
        <f t="shared" si="860"/>
      </c>
      <c r="T326" s="229">
        <f t="shared" si="798"/>
      </c>
      <c r="U326" s="227">
        <f t="shared" si="767"/>
      </c>
      <c r="V326" s="230">
        <f t="shared" si="829"/>
      </c>
      <c r="W326" s="230">
        <f t="shared" si="736"/>
      </c>
      <c r="X326" s="227">
        <f t="shared" si="705"/>
      </c>
      <c r="Y326" s="231">
        <f t="shared" si="593"/>
      </c>
      <c r="Z326" s="231">
        <v>2</v>
      </c>
      <c r="AA326" s="231">
        <v>4</v>
      </c>
      <c r="AB326" s="232">
        <v>9651.960000000003</v>
      </c>
      <c r="AC326" s="232">
        <v>0</v>
      </c>
      <c r="AD326" s="228">
        <f t="shared" si="674"/>
      </c>
      <c r="AE326" s="233" t="s">
        <v>202</v>
      </c>
      <c r="AF326" s="234" t="s">
        <v>232</v>
      </c>
      <c r="AG326" s="235">
        <v>4</v>
      </c>
      <c r="AH326" s="236">
        <v>18556</v>
      </c>
      <c r="AI326" s="236">
        <v>352</v>
      </c>
      <c r="AJ326" s="236">
        <v>356</v>
      </c>
      <c r="AK326" s="237">
        <v>65</v>
      </c>
      <c r="AL326" s="237">
        <v>78</v>
      </c>
    </row>
    <row r="327">
      <c r="A327" s="216"/>
      <c r="B327" s="217" t="s">
        <v>209</v>
      </c>
      <c r="C327" s="218" t="s">
        <v>221</v>
      </c>
      <c r="D327" s="219">
        <f t="shared" si="488"/>
      </c>
      <c r="E327" s="218">
        <v>719.76</v>
      </c>
      <c r="F327" s="218">
        <v>2046.75</v>
      </c>
      <c r="G327" s="218">
        <v>1333.33</v>
      </c>
      <c r="H327" s="221">
        <v>0</v>
      </c>
      <c r="I327" s="221">
        <f t="shared" si="375"/>
      </c>
      <c r="J327" s="222">
        <v>0</v>
      </c>
      <c r="K327" s="223">
        <f t="shared" si="260"/>
      </c>
      <c r="L327" s="223">
        <f t="shared" si="145"/>
      </c>
      <c r="M327" s="224">
        <f t="shared" si="80"/>
      </c>
      <c r="N327" s="225">
        <f t="shared" si="49"/>
      </c>
      <c r="O327" s="226">
        <f t="shared" si="18"/>
      </c>
      <c r="P327" s="227">
        <f t="shared" si="953"/>
      </c>
      <c r="Q327" s="227">
        <f t="shared" si="922"/>
      </c>
      <c r="R327" s="227">
        <f t="shared" si="891"/>
      </c>
      <c r="S327" s="228">
        <f t="shared" si="860"/>
      </c>
      <c r="T327" s="229">
        <f t="shared" si="798"/>
      </c>
      <c r="U327" s="227">
        <f t="shared" si="767"/>
      </c>
      <c r="V327" s="230">
        <f t="shared" si="829"/>
      </c>
      <c r="W327" s="230">
        <f t="shared" si="736"/>
      </c>
      <c r="X327" s="227">
        <f t="shared" si="705"/>
      </c>
      <c r="Y327" s="231">
        <f t="shared" si="593"/>
      </c>
      <c r="Z327" s="231">
        <v>3</v>
      </c>
      <c r="AA327" s="231">
        <v>3</v>
      </c>
      <c r="AB327" s="232">
        <v>2628.7199999999975</v>
      </c>
      <c r="AC327" s="232">
        <v>0</v>
      </c>
      <c r="AD327" s="228">
        <f t="shared" si="674"/>
      </c>
      <c r="AE327" s="233" t="s">
        <v>202</v>
      </c>
      <c r="AF327" s="234" t="s">
        <v>232</v>
      </c>
      <c r="AG327" s="237">
        <v>3</v>
      </c>
      <c r="AH327" s="236">
        <v>29535</v>
      </c>
      <c r="AI327" s="236">
        <v>521</v>
      </c>
      <c r="AJ327" s="236">
        <v>515</v>
      </c>
      <c r="AK327" s="237">
        <v>88</v>
      </c>
      <c r="AL327" s="237">
        <v>108</v>
      </c>
    </row>
    <row r="328">
      <c r="A328" s="216"/>
      <c r="B328" s="217" t="s">
        <v>209</v>
      </c>
      <c r="C328" s="218" t="s">
        <v>201</v>
      </c>
      <c r="D328" s="219">
        <f t="shared" si="488"/>
      </c>
      <c r="E328" s="218">
        <v>754.91</v>
      </c>
      <c r="F328" s="221">
        <v>2148.41</v>
      </c>
      <c r="G328" s="221">
        <v>352.68</v>
      </c>
      <c r="H328" s="221">
        <v>0</v>
      </c>
      <c r="I328" s="221">
        <f t="shared" si="375"/>
      </c>
      <c r="J328" s="222">
        <v>4411.8</v>
      </c>
      <c r="K328" s="223">
        <f t="shared" si="260"/>
      </c>
      <c r="L328" s="223">
        <f t="shared" si="145"/>
      </c>
      <c r="M328" s="224">
        <f t="shared" si="80"/>
      </c>
      <c r="N328" s="225">
        <f t="shared" si="49"/>
      </c>
      <c r="O328" s="226">
        <f t="shared" si="18"/>
      </c>
      <c r="P328" s="227">
        <f t="shared" si="953"/>
      </c>
      <c r="Q328" s="227">
        <f t="shared" si="922"/>
      </c>
      <c r="R328" s="227">
        <f t="shared" si="891"/>
      </c>
      <c r="S328" s="228">
        <f t="shared" si="860"/>
      </c>
      <c r="T328" s="229">
        <f t="shared" si="798"/>
      </c>
      <c r="U328" s="227">
        <f t="shared" si="767"/>
      </c>
      <c r="V328" s="230">
        <f t="shared" si="829"/>
      </c>
      <c r="W328" s="230">
        <f t="shared" si="736"/>
      </c>
      <c r="X328" s="227">
        <f t="shared" si="705"/>
      </c>
      <c r="Y328" s="231">
        <f t="shared" si="593"/>
      </c>
      <c r="Z328" s="231">
        <v>3</v>
      </c>
      <c r="AA328" s="231">
        <v>5</v>
      </c>
      <c r="AB328" s="222">
        <v>8763.119999999999</v>
      </c>
      <c r="AC328" s="232">
        <v>2282</v>
      </c>
      <c r="AD328" s="228">
        <f t="shared" si="674"/>
      </c>
      <c r="AE328" s="233" t="s">
        <v>202</v>
      </c>
      <c r="AF328" s="234" t="s">
        <v>232</v>
      </c>
      <c r="AG328" s="235">
        <v>5</v>
      </c>
      <c r="AH328" s="236">
        <v>27388</v>
      </c>
      <c r="AI328" s="236">
        <v>528</v>
      </c>
      <c r="AJ328" s="236">
        <v>554</v>
      </c>
      <c r="AK328" s="237">
        <v>95</v>
      </c>
      <c r="AL328" s="237">
        <v>114</v>
      </c>
    </row>
    <row r="329">
      <c r="A329" s="216"/>
      <c r="B329" s="239" t="s">
        <v>208</v>
      </c>
      <c r="C329" s="240">
        <v>4</v>
      </c>
      <c r="D329" s="241">
        <f>SUM(D325:D328)</f>
      </c>
      <c r="E329" s="241">
        <f>SUM(E325:E328)</f>
      </c>
      <c r="F329" s="241">
        <f>SUM(F325:F328)</f>
      </c>
      <c r="G329" s="241">
        <f>SUM(G325:G328)</f>
      </c>
      <c r="H329" s="241">
        <f>SUM(H325:H328)</f>
      </c>
      <c r="I329" s="241">
        <f>SUM(I325:I328)</f>
      </c>
      <c r="J329" s="241">
        <f>SUM(J325:J328)</f>
      </c>
      <c r="K329" s="241">
        <f>SUM(K325:K328)</f>
      </c>
      <c r="L329" s="241">
        <f>SUM(L325:L328)</f>
      </c>
      <c r="M329" s="242">
        <f t="shared" si="80"/>
      </c>
      <c r="N329" s="243">
        <f t="shared" si="49"/>
      </c>
      <c r="O329" s="243">
        <f t="shared" si="18"/>
      </c>
      <c r="P329" s="244">
        <f t="shared" si="953"/>
      </c>
      <c r="Q329" s="244">
        <f t="shared" si="922"/>
      </c>
      <c r="R329" s="244">
        <f t="shared" si="891"/>
      </c>
      <c r="S329" s="245">
        <f t="shared" si="860"/>
      </c>
      <c r="T329" s="245">
        <f t="shared" si="798"/>
      </c>
      <c r="U329" s="244">
        <f t="shared" si="767"/>
      </c>
      <c r="V329" s="245">
        <f t="shared" si="829"/>
      </c>
      <c r="W329" s="245">
        <f t="shared" si="736"/>
      </c>
      <c r="X329" s="244">
        <f t="shared" si="705"/>
      </c>
      <c r="Y329" s="241">
        <f>SUM(Y325:Y328)</f>
      </c>
      <c r="Z329" s="241">
        <f>SUM(Z325:Z328)</f>
      </c>
      <c r="AA329" s="241">
        <f>SUM(AA325:AA328)</f>
      </c>
      <c r="AB329" s="241">
        <f>SUM(AB325:AB328)</f>
      </c>
      <c r="AC329" s="241">
        <f>SUM(AC325:AC328)</f>
      </c>
      <c r="AD329" s="246">
        <f t="shared" si="674"/>
      </c>
      <c r="AE329" s="247"/>
      <c r="AF329" s="248"/>
      <c r="AG329" s="241">
        <f>SUM(AG325:AG328)</f>
      </c>
      <c r="AH329" s="241">
        <f>SUM(AH325:AH328)</f>
      </c>
      <c r="AI329" s="241">
        <f>SUM(AI325:AI328)</f>
      </c>
      <c r="AJ329" s="241">
        <f>SUM(AJ325:AJ328)</f>
      </c>
      <c r="AK329" s="241">
        <f>SUM(AK325:AK328)</f>
      </c>
      <c r="AL329" s="241">
        <f>SUM(AL325:AL328)</f>
      </c>
    </row>
    <row r="330">
      <c r="A330" s="216"/>
      <c r="B330" s="217" t="s">
        <v>225</v>
      </c>
      <c r="C330" s="218" t="s">
        <v>204</v>
      </c>
      <c r="D330" s="219">
        <f t="shared" ref="D330:D331" si="489">E330+F330+G330+H330</f>
      </c>
      <c r="E330" s="218">
        <v>1003.99</v>
      </c>
      <c r="F330" s="249">
        <v>2423.71</v>
      </c>
      <c r="G330" s="221">
        <v>940.21</v>
      </c>
      <c r="H330" s="221">
        <v>0</v>
      </c>
      <c r="I330" s="250">
        <f t="shared" ref="I330:I331" si="376">AB330+AC330</f>
      </c>
      <c r="J330" s="251">
        <v>7621.24</v>
      </c>
      <c r="K330" s="223">
        <f t="shared" ref="K330:K331" si="261">I330-J330</f>
      </c>
      <c r="L330" s="223">
        <f t="shared" ref="L330:L331" si="146">(I330-AC330)/12+AC330</f>
      </c>
      <c r="M330" s="224">
        <f t="shared" si="80"/>
      </c>
      <c r="N330" s="225">
        <f t="shared" si="49"/>
      </c>
      <c r="O330" s="226">
        <f t="shared" si="18"/>
      </c>
      <c r="P330" s="227">
        <f t="shared" si="953"/>
      </c>
      <c r="Q330" s="227">
        <f t="shared" si="922"/>
      </c>
      <c r="R330" s="227">
        <f t="shared" si="891"/>
      </c>
      <c r="S330" s="228">
        <f t="shared" si="860"/>
      </c>
      <c r="T330" s="229">
        <f t="shared" si="798"/>
      </c>
      <c r="U330" s="227">
        <f t="shared" si="767"/>
      </c>
      <c r="V330" s="230">
        <f t="shared" si="829"/>
      </c>
      <c r="W330" s="230">
        <f t="shared" si="736"/>
      </c>
      <c r="X330" s="227">
        <f t="shared" si="705"/>
      </c>
      <c r="Y330" s="231">
        <f t="shared" ref="Y330:Y331" si="594">Z330+AA330</f>
      </c>
      <c r="Z330" s="231">
        <v>0</v>
      </c>
      <c r="AA330" s="231">
        <v>7</v>
      </c>
      <c r="AB330" s="232">
        <v>7023.240000000005</v>
      </c>
      <c r="AC330" s="232">
        <v>1723</v>
      </c>
      <c r="AD330" s="228">
        <f t="shared" si="674"/>
      </c>
      <c r="AE330" s="233" t="s">
        <v>202</v>
      </c>
      <c r="AF330" s="234" t="s">
        <v>232</v>
      </c>
      <c r="AG330" s="235">
        <v>6</v>
      </c>
      <c r="AH330" s="236">
        <v>35443</v>
      </c>
      <c r="AI330" s="236">
        <v>631</v>
      </c>
      <c r="AJ330" s="236">
        <v>653</v>
      </c>
      <c r="AK330" s="237">
        <v>92</v>
      </c>
      <c r="AL330" s="237">
        <v>106</v>
      </c>
    </row>
    <row r="331">
      <c r="A331" s="216"/>
      <c r="B331" s="217" t="s">
        <v>225</v>
      </c>
      <c r="C331" s="218" t="s">
        <v>205</v>
      </c>
      <c r="D331" s="219">
        <f t="shared" si="489"/>
      </c>
      <c r="E331" s="252">
        <v>724.06</v>
      </c>
      <c r="F331" s="268">
        <v>3020.7</v>
      </c>
      <c r="G331" s="269">
        <v>1189.68</v>
      </c>
      <c r="H331" s="221">
        <v>0</v>
      </c>
      <c r="I331" s="270">
        <f t="shared" si="376"/>
      </c>
      <c r="J331" s="251">
        <v>6193.8</v>
      </c>
      <c r="K331" s="223">
        <f t="shared" si="261"/>
      </c>
      <c r="L331" s="223">
        <f t="shared" si="146"/>
      </c>
      <c r="M331" s="224">
        <f t="shared" si="80"/>
      </c>
      <c r="N331" s="225">
        <f t="shared" si="49"/>
      </c>
      <c r="O331" s="226">
        <f t="shared" si="18"/>
      </c>
      <c r="P331" s="227">
        <f t="shared" si="953"/>
      </c>
      <c r="Q331" s="227">
        <f t="shared" si="922"/>
      </c>
      <c r="R331" s="227">
        <f t="shared" si="891"/>
      </c>
      <c r="S331" s="228">
        <f t="shared" si="860"/>
      </c>
      <c r="T331" s="229">
        <f t="shared" si="798"/>
      </c>
      <c r="U331" s="227">
        <f t="shared" si="767"/>
      </c>
      <c r="V331" s="230">
        <f t="shared" si="829"/>
      </c>
      <c r="W331" s="230">
        <f t="shared" si="736"/>
      </c>
      <c r="X331" s="227">
        <f t="shared" si="705"/>
      </c>
      <c r="Y331" s="271">
        <f t="shared" si="594"/>
      </c>
      <c r="Z331" s="231">
        <v>2</v>
      </c>
      <c r="AA331" s="231">
        <v>2</v>
      </c>
      <c r="AB331" s="272">
        <v>4691.519999999997</v>
      </c>
      <c r="AC331" s="232">
        <v>6193.799999999999</v>
      </c>
      <c r="AD331" s="228">
        <f t="shared" si="674"/>
      </c>
      <c r="AE331" s="233" t="s">
        <v>202</v>
      </c>
      <c r="AF331" s="233" t="s">
        <v>203</v>
      </c>
      <c r="AG331" s="237">
        <v>2</v>
      </c>
      <c r="AH331" s="236">
        <v>48084</v>
      </c>
      <c r="AI331" s="236">
        <v>611</v>
      </c>
      <c r="AJ331" s="236">
        <v>594</v>
      </c>
      <c r="AK331" s="237">
        <v>81</v>
      </c>
      <c r="AL331" s="237">
        <v>113</v>
      </c>
    </row>
    <row r="332">
      <c r="A332" s="216"/>
      <c r="B332" s="239" t="s">
        <v>208</v>
      </c>
      <c r="C332" s="240">
        <v>2</v>
      </c>
      <c r="D332" s="273">
        <f>SUM(D330:D331)</f>
      </c>
      <c r="E332" s="273">
        <f>SUM(E330:E331)</f>
      </c>
      <c r="F332" s="273">
        <f>SUM(F330:F331)</f>
      </c>
      <c r="G332" s="273">
        <f>SUM(G330:G331)</f>
      </c>
      <c r="H332" s="273">
        <f>SUM(H330:H331)</f>
      </c>
      <c r="I332" s="273">
        <f>SUM(I330:I331)</f>
      </c>
      <c r="J332" s="273">
        <f>SUM(J330:J331)</f>
      </c>
      <c r="K332" s="273">
        <f>SUM(K330:K331)</f>
      </c>
      <c r="L332" s="273">
        <f>SUM(L330:L331)</f>
      </c>
      <c r="M332" s="242">
        <f t="shared" si="80"/>
      </c>
      <c r="N332" s="243">
        <f t="shared" si="49"/>
      </c>
      <c r="O332" s="243">
        <f t="shared" si="18"/>
      </c>
      <c r="P332" s="244">
        <f t="shared" si="953"/>
      </c>
      <c r="Q332" s="244">
        <f t="shared" si="922"/>
      </c>
      <c r="R332" s="244">
        <f t="shared" si="891"/>
      </c>
      <c r="S332" s="245">
        <f t="shared" si="860"/>
      </c>
      <c r="T332" s="245">
        <f t="shared" si="798"/>
      </c>
      <c r="U332" s="244">
        <f t="shared" si="767"/>
      </c>
      <c r="V332" s="245">
        <f t="shared" si="829"/>
      </c>
      <c r="W332" s="245">
        <f t="shared" si="736"/>
      </c>
      <c r="X332" s="244">
        <f t="shared" si="705"/>
      </c>
      <c r="Y332" s="273">
        <f>SUM(Y330:Y331)</f>
      </c>
      <c r="Z332" s="273">
        <f>SUM(Z330:Z331)</f>
      </c>
      <c r="AA332" s="273">
        <f>SUM(AA330:AA331)</f>
      </c>
      <c r="AB332" s="273">
        <f>SUM(AB330:AB331)</f>
      </c>
      <c r="AC332" s="273">
        <f>SUM(AC330:AC331)</f>
      </c>
      <c r="AD332" s="246">
        <f t="shared" si="674"/>
      </c>
      <c r="AE332" s="247"/>
      <c r="AF332" s="248"/>
      <c r="AG332" s="273">
        <f>SUM(AG330:AG331)</f>
      </c>
      <c r="AH332" s="273">
        <f>SUM(AH330:AH331)</f>
      </c>
      <c r="AI332" s="273">
        <f>SUM(AI330:AI331)</f>
      </c>
      <c r="AJ332" s="273">
        <f>SUM(AJ330:AJ331)</f>
      </c>
      <c r="AK332" s="273">
        <f>SUM(AK330:AK331)</f>
      </c>
      <c r="AL332" s="273">
        <f>SUM(AL330:AL331)</f>
      </c>
    </row>
    <row r="333">
      <c r="A333" s="216"/>
      <c r="B333" s="217" t="s">
        <v>224</v>
      </c>
      <c r="C333" s="218" t="s">
        <v>206</v>
      </c>
      <c r="D333" s="219">
        <f t="shared" ref="D333:D336" si="490">E333+F333+G333+H333</f>
      </c>
      <c r="E333" s="218">
        <v>580.83</v>
      </c>
      <c r="F333" s="249">
        <v>1902.75</v>
      </c>
      <c r="G333" s="221">
        <v>1536.07</v>
      </c>
      <c r="H333" s="221">
        <v>0</v>
      </c>
      <c r="I333" s="250">
        <f t="shared" ref="I333:I336" si="377">AB333+AC333</f>
      </c>
      <c r="J333" s="251">
        <v>1126.44</v>
      </c>
      <c r="K333" s="223">
        <f t="shared" ref="K333:K336" si="262">I333-J333</f>
      </c>
      <c r="L333" s="223">
        <f t="shared" ref="L333:L336" si="147">(I333-AC333)/12+AC333</f>
      </c>
      <c r="M333" s="224">
        <f t="shared" si="80"/>
      </c>
      <c r="N333" s="225">
        <f t="shared" si="49"/>
      </c>
      <c r="O333" s="226">
        <f t="shared" si="18"/>
      </c>
      <c r="P333" s="227">
        <f t="shared" si="953"/>
      </c>
      <c r="Q333" s="227">
        <f t="shared" si="922"/>
      </c>
      <c r="R333" s="227">
        <f t="shared" si="891"/>
      </c>
      <c r="S333" s="228">
        <f t="shared" si="860"/>
      </c>
      <c r="T333" s="229">
        <f t="shared" si="798"/>
      </c>
      <c r="U333" s="227">
        <f t="shared" si="767"/>
      </c>
      <c r="V333" s="230">
        <f t="shared" si="829"/>
      </c>
      <c r="W333" s="230">
        <f t="shared" si="736"/>
      </c>
      <c r="X333" s="227">
        <f t="shared" si="705"/>
      </c>
      <c r="Y333" s="231">
        <f t="shared" ref="Y333:Y336" si="595">Z333+AA333</f>
      </c>
      <c r="Z333" s="231">
        <v>2</v>
      </c>
      <c r="AA333" s="231">
        <v>6</v>
      </c>
      <c r="AB333" s="232">
        <v>7091.279999999999</v>
      </c>
      <c r="AC333" s="232">
        <v>0</v>
      </c>
      <c r="AD333" s="228">
        <f t="shared" si="674"/>
      </c>
      <c r="AE333" s="233" t="s">
        <v>202</v>
      </c>
      <c r="AF333" s="234" t="s">
        <v>203</v>
      </c>
      <c r="AG333" s="235">
        <v>6</v>
      </c>
      <c r="AH333" s="236">
        <v>34145</v>
      </c>
      <c r="AI333" s="236">
        <v>636</v>
      </c>
      <c r="AJ333" s="236">
        <v>639</v>
      </c>
      <c r="AK333" s="237">
        <v>88</v>
      </c>
      <c r="AL333" s="237">
        <v>106</v>
      </c>
    </row>
    <row r="334">
      <c r="A334" s="216"/>
      <c r="B334" s="217" t="s">
        <v>224</v>
      </c>
      <c r="C334" s="218" t="s">
        <v>207</v>
      </c>
      <c r="D334" s="219">
        <f t="shared" si="490"/>
      </c>
      <c r="E334" s="218">
        <v>553.15</v>
      </c>
      <c r="F334" s="249">
        <v>1781.96</v>
      </c>
      <c r="G334" s="221">
        <v>2102.06</v>
      </c>
      <c r="H334" s="221">
        <v>0</v>
      </c>
      <c r="I334" s="250">
        <f t="shared" si="377"/>
      </c>
      <c r="J334" s="251">
        <v>0</v>
      </c>
      <c r="K334" s="223">
        <f t="shared" si="262"/>
      </c>
      <c r="L334" s="223">
        <f t="shared" si="147"/>
      </c>
      <c r="M334" s="224">
        <f t="shared" si="80"/>
      </c>
      <c r="N334" s="225">
        <f t="shared" si="49"/>
      </c>
      <c r="O334" s="226">
        <f t="shared" si="18"/>
      </c>
      <c r="P334" s="227">
        <f t="shared" si="953"/>
      </c>
      <c r="Q334" s="227">
        <f t="shared" si="922"/>
      </c>
      <c r="R334" s="227">
        <f t="shared" si="891"/>
      </c>
      <c r="S334" s="228">
        <f t="shared" si="860"/>
      </c>
      <c r="T334" s="229">
        <f t="shared" si="798"/>
      </c>
      <c r="U334" s="227">
        <f t="shared" si="767"/>
      </c>
      <c r="V334" s="230">
        <f t="shared" si="829"/>
      </c>
      <c r="W334" s="230">
        <f t="shared" si="736"/>
      </c>
      <c r="X334" s="227">
        <f t="shared" si="705"/>
      </c>
      <c r="Y334" s="231">
        <f t="shared" si="595"/>
      </c>
      <c r="Z334" s="231">
        <v>5</v>
      </c>
      <c r="AA334" s="231">
        <v>1</v>
      </c>
      <c r="AB334" s="232">
        <v>1290.5999999999985</v>
      </c>
      <c r="AC334" s="232">
        <v>0</v>
      </c>
      <c r="AD334" s="228">
        <f t="shared" si="674"/>
      </c>
      <c r="AE334" s="233" t="s">
        <v>202</v>
      </c>
      <c r="AF334" s="234" t="s">
        <v>203</v>
      </c>
      <c r="AG334" s="235">
        <v>1</v>
      </c>
      <c r="AH334" s="236">
        <v>42474</v>
      </c>
      <c r="AI334" s="236">
        <v>651</v>
      </c>
      <c r="AJ334" s="236">
        <v>644</v>
      </c>
      <c r="AK334" s="237">
        <v>100</v>
      </c>
      <c r="AL334" s="237">
        <v>137</v>
      </c>
    </row>
    <row r="335">
      <c r="A335" s="216"/>
      <c r="B335" s="217" t="s">
        <v>224</v>
      </c>
      <c r="C335" s="252" t="s">
        <v>210</v>
      </c>
      <c r="D335" s="219">
        <f t="shared" si="490"/>
      </c>
      <c r="E335" s="218">
        <v>632.52</v>
      </c>
      <c r="F335" s="249">
        <v>1881.66</v>
      </c>
      <c r="G335" s="218">
        <v>527.94</v>
      </c>
      <c r="H335" s="218">
        <v>0</v>
      </c>
      <c r="I335" s="250">
        <f t="shared" si="377"/>
      </c>
      <c r="J335" s="251">
        <v>1092.96</v>
      </c>
      <c r="K335" s="223">
        <f t="shared" si="262"/>
      </c>
      <c r="L335" s="223">
        <f t="shared" si="147"/>
      </c>
      <c r="M335" s="224">
        <f t="shared" si="80"/>
      </c>
      <c r="N335" s="225">
        <f t="shared" si="49"/>
      </c>
      <c r="O335" s="226">
        <f t="shared" si="18"/>
      </c>
      <c r="P335" s="227">
        <f t="shared" si="953"/>
      </c>
      <c r="Q335" s="227">
        <f t="shared" si="922"/>
      </c>
      <c r="R335" s="227">
        <f t="shared" si="891"/>
      </c>
      <c r="S335" s="228">
        <f t="shared" si="860"/>
      </c>
      <c r="T335" s="229">
        <f t="shared" si="798"/>
      </c>
      <c r="U335" s="227">
        <f t="shared" si="767"/>
      </c>
      <c r="V335" s="230">
        <f t="shared" si="829"/>
      </c>
      <c r="W335" s="230">
        <f t="shared" si="736"/>
      </c>
      <c r="X335" s="227">
        <f t="shared" si="705"/>
      </c>
      <c r="Y335" s="231">
        <f t="shared" si="595"/>
      </c>
      <c r="Z335" s="231">
        <v>1</v>
      </c>
      <c r="AA335" s="231">
        <v>5</v>
      </c>
      <c r="AB335" s="232">
        <v>7841.880000000005</v>
      </c>
      <c r="AC335" s="232">
        <v>0</v>
      </c>
      <c r="AD335" s="228">
        <f t="shared" si="674"/>
      </c>
      <c r="AE335" s="233" t="s">
        <v>202</v>
      </c>
      <c r="AF335" s="234" t="s">
        <v>203</v>
      </c>
      <c r="AG335" s="237">
        <v>5</v>
      </c>
      <c r="AH335" s="236">
        <v>27192</v>
      </c>
      <c r="AI335" s="236">
        <v>550</v>
      </c>
      <c r="AJ335" s="236">
        <v>548</v>
      </c>
      <c r="AK335" s="237">
        <v>86</v>
      </c>
      <c r="AL335" s="237">
        <v>103</v>
      </c>
    </row>
    <row r="336">
      <c r="A336" s="216"/>
      <c r="B336" s="217" t="s">
        <v>224</v>
      </c>
      <c r="C336" s="252" t="s">
        <v>211</v>
      </c>
      <c r="D336" s="219">
        <f t="shared" si="490"/>
      </c>
      <c r="E336" s="218">
        <v>1257.22</v>
      </c>
      <c r="F336" s="249">
        <v>2837.03</v>
      </c>
      <c r="G336" s="221">
        <v>2342.44</v>
      </c>
      <c r="H336" s="221">
        <v>0</v>
      </c>
      <c r="I336" s="250">
        <f t="shared" si="377"/>
      </c>
      <c r="J336" s="251">
        <v>3110.4</v>
      </c>
      <c r="K336" s="223">
        <f t="shared" si="262"/>
      </c>
      <c r="L336" s="223">
        <f t="shared" si="147"/>
      </c>
      <c r="M336" s="224">
        <f t="shared" si="80"/>
      </c>
      <c r="N336" s="225">
        <f t="shared" si="49"/>
      </c>
      <c r="O336" s="226">
        <f t="shared" si="18"/>
      </c>
      <c r="P336" s="227">
        <f t="shared" si="953"/>
      </c>
      <c r="Q336" s="227">
        <f t="shared" si="922"/>
      </c>
      <c r="R336" s="227">
        <f t="shared" si="891"/>
      </c>
      <c r="S336" s="228">
        <f t="shared" si="860"/>
      </c>
      <c r="T336" s="229">
        <f t="shared" si="798"/>
      </c>
      <c r="U336" s="227">
        <f t="shared" si="767"/>
      </c>
      <c r="V336" s="230">
        <f t="shared" si="829"/>
      </c>
      <c r="W336" s="230">
        <f t="shared" si="736"/>
      </c>
      <c r="X336" s="227">
        <f t="shared" si="705"/>
      </c>
      <c r="Y336" s="231">
        <f t="shared" si="595"/>
      </c>
      <c r="Z336" s="231">
        <v>3</v>
      </c>
      <c r="AA336" s="231">
        <v>5</v>
      </c>
      <c r="AB336" s="222">
        <v>8421.839999999997</v>
      </c>
      <c r="AC336" s="232">
        <v>2238.2999999999993</v>
      </c>
      <c r="AD336" s="228">
        <f t="shared" si="674"/>
      </c>
      <c r="AE336" s="233" t="s">
        <v>202</v>
      </c>
      <c r="AF336" s="234" t="s">
        <v>203</v>
      </c>
      <c r="AG336" s="235">
        <v>5</v>
      </c>
      <c r="AH336" s="236">
        <v>52903</v>
      </c>
      <c r="AI336" s="236">
        <v>948</v>
      </c>
      <c r="AJ336" s="236">
        <v>943</v>
      </c>
      <c r="AK336" s="237">
        <v>137</v>
      </c>
      <c r="AL336" s="237">
        <v>195</v>
      </c>
    </row>
    <row r="337">
      <c r="A337" s="216"/>
      <c r="B337" s="239" t="s">
        <v>208</v>
      </c>
      <c r="C337" s="240">
        <v>4</v>
      </c>
      <c r="D337" s="241">
        <f>SUM(D333:D336)</f>
      </c>
      <c r="E337" s="241">
        <f>SUM(E333:E336)</f>
      </c>
      <c r="F337" s="241">
        <f>SUM(F333:F336)</f>
      </c>
      <c r="G337" s="241">
        <f>SUM(G333:G336)</f>
      </c>
      <c r="H337" s="241">
        <f>SUM(H333:H336)</f>
      </c>
      <c r="I337" s="241">
        <f>SUM(I333:I336)</f>
      </c>
      <c r="J337" s="241">
        <f>SUM(J333:J336)</f>
      </c>
      <c r="K337" s="241">
        <f>SUM(K333:K336)</f>
      </c>
      <c r="L337" s="241">
        <f>SUM(L333:L336)</f>
      </c>
      <c r="M337" s="242">
        <f t="shared" si="80"/>
      </c>
      <c r="N337" s="243">
        <f t="shared" si="49"/>
      </c>
      <c r="O337" s="243">
        <f t="shared" si="18"/>
      </c>
      <c r="P337" s="244">
        <f t="shared" si="953"/>
      </c>
      <c r="Q337" s="244">
        <f t="shared" si="922"/>
      </c>
      <c r="R337" s="244">
        <f t="shared" si="891"/>
      </c>
      <c r="S337" s="245">
        <f t="shared" si="860"/>
      </c>
      <c r="T337" s="245">
        <f t="shared" si="798"/>
      </c>
      <c r="U337" s="244">
        <f t="shared" si="767"/>
      </c>
      <c r="V337" s="245">
        <f t="shared" si="829"/>
      </c>
      <c r="W337" s="245">
        <f t="shared" si="736"/>
      </c>
      <c r="X337" s="244">
        <f t="shared" si="705"/>
      </c>
      <c r="Y337" s="241">
        <f>SUM(Y333:Y336)</f>
      </c>
      <c r="Z337" s="241">
        <f>SUM(Z333:Z336)</f>
      </c>
      <c r="AA337" s="241">
        <f>SUM(AA333:AA336)</f>
      </c>
      <c r="AB337" s="241">
        <f>SUM(AB333:AB336)</f>
      </c>
      <c r="AC337" s="241">
        <f>SUM(AC333:AC336)</f>
      </c>
      <c r="AD337" s="246">
        <f t="shared" si="674"/>
      </c>
      <c r="AE337" s="247"/>
      <c r="AF337" s="248"/>
      <c r="AG337" s="241">
        <f>SUM(AG333:AG336)</f>
      </c>
      <c r="AH337" s="241">
        <f>SUM(AH333:AH336)</f>
      </c>
      <c r="AI337" s="241">
        <f>SUM(AI333:AI336)</f>
      </c>
      <c r="AJ337" s="241">
        <f>SUM(AJ333:AJ336)</f>
      </c>
      <c r="AK337" s="241">
        <f>SUM(AK333:AK336)</f>
      </c>
      <c r="AL337" s="241">
        <f>SUM(AL333:AL336)</f>
      </c>
    </row>
    <row customHeight="true" ht="20.238095238095237" r="338">
      <c r="A338" s="216"/>
      <c r="B338" s="217" t="s">
        <v>231</v>
      </c>
      <c r="C338" s="252" t="s">
        <v>212</v>
      </c>
      <c r="D338" s="219">
        <f t="shared" ref="D338:D342" si="491">E338+F338+G338+H338</f>
      </c>
      <c r="E338" s="220">
        <v>1536.4</v>
      </c>
      <c r="F338" s="221">
        <v>6777.53</v>
      </c>
      <c r="G338" s="221">
        <v>2053.37</v>
      </c>
      <c r="H338" s="221">
        <v>0</v>
      </c>
      <c r="I338" s="221">
        <f t="shared" ref="I338:I342" si="378">AB338+AC338</f>
      </c>
      <c r="J338" s="222">
        <v>1677.24</v>
      </c>
      <c r="K338" s="223">
        <f t="shared" ref="K338:K342" si="263">I338-J338</f>
      </c>
      <c r="L338" s="223">
        <f t="shared" ref="L338:L342" si="148">(I338-AC338)/12+AC338</f>
      </c>
      <c r="M338" s="224">
        <f t="shared" si="80"/>
      </c>
      <c r="N338" s="225">
        <f t="shared" si="49"/>
      </c>
      <c r="O338" s="226">
        <f t="shared" si="18"/>
      </c>
      <c r="P338" s="227">
        <f t="shared" si="953"/>
      </c>
      <c r="Q338" s="227">
        <f t="shared" si="922"/>
      </c>
      <c r="R338" s="227">
        <f t="shared" si="891"/>
      </c>
      <c r="S338" s="228">
        <f t="shared" si="860"/>
      </c>
      <c r="T338" s="229">
        <f t="shared" si="798"/>
      </c>
      <c r="U338" s="227">
        <f t="shared" si="767"/>
      </c>
      <c r="V338" s="230">
        <f t="shared" si="829"/>
      </c>
      <c r="W338" s="230">
        <f t="shared" si="736"/>
      </c>
      <c r="X338" s="227">
        <f t="shared" si="705"/>
      </c>
      <c r="Y338" s="231">
        <f t="shared" ref="Y338:Y342" si="596">Z338+AA338</f>
      </c>
      <c r="Z338" s="231">
        <v>9</v>
      </c>
      <c r="AA338" s="231">
        <v>13</v>
      </c>
      <c r="AB338" s="232">
        <v>21161.520000000004</v>
      </c>
      <c r="AC338" s="232">
        <v>0</v>
      </c>
      <c r="AD338" s="228">
        <f t="shared" si="674"/>
      </c>
      <c r="AE338" s="233" t="s">
        <v>202</v>
      </c>
      <c r="AF338" s="234" t="s">
        <v>203</v>
      </c>
      <c r="AG338" s="235">
        <v>13</v>
      </c>
      <c r="AH338" s="235">
        <v>96213</v>
      </c>
      <c r="AI338" s="236">
        <v>1552</v>
      </c>
      <c r="AJ338" s="236">
        <v>1529</v>
      </c>
      <c r="AK338" s="235">
        <v>205</v>
      </c>
      <c r="AL338" s="237">
        <v>234</v>
      </c>
    </row>
    <row customHeight="true" ht="20.238095238095237" r="339">
      <c r="A339" s="216"/>
      <c r="B339" s="217" t="s">
        <v>231</v>
      </c>
      <c r="C339" s="218" t="s">
        <v>213</v>
      </c>
      <c r="D339" s="219">
        <f t="shared" si="491"/>
      </c>
      <c r="E339" s="218">
        <v>2131.07</v>
      </c>
      <c r="F339" s="221">
        <v>12163.36</v>
      </c>
      <c r="G339" s="221">
        <v>4091.44</v>
      </c>
      <c r="H339" s="221">
        <v>0</v>
      </c>
      <c r="I339" s="221">
        <f t="shared" si="378"/>
      </c>
      <c r="J339" s="222">
        <v>10197.6</v>
      </c>
      <c r="K339" s="223">
        <f t="shared" si="263"/>
      </c>
      <c r="L339" s="223">
        <f t="shared" si="148"/>
      </c>
      <c r="M339" s="224">
        <f t="shared" si="80"/>
      </c>
      <c r="N339" s="225">
        <f t="shared" si="49"/>
      </c>
      <c r="O339" s="226">
        <f t="shared" si="18"/>
      </c>
      <c r="P339" s="227">
        <f t="shared" si="953"/>
      </c>
      <c r="Q339" s="227">
        <f t="shared" si="922"/>
      </c>
      <c r="R339" s="227">
        <f t="shared" si="891"/>
      </c>
      <c r="S339" s="228">
        <f t="shared" si="860"/>
      </c>
      <c r="T339" s="229">
        <f t="shared" si="798"/>
      </c>
      <c r="U339" s="227">
        <f t="shared" si="767"/>
      </c>
      <c r="V339" s="230">
        <f t="shared" si="829"/>
      </c>
      <c r="W339" s="230">
        <f t="shared" si="736"/>
      </c>
      <c r="X339" s="227">
        <f t="shared" si="705"/>
      </c>
      <c r="Y339" s="231">
        <f t="shared" si="596"/>
      </c>
      <c r="Z339" s="231">
        <v>11</v>
      </c>
      <c r="AA339" s="231">
        <v>17</v>
      </c>
      <c r="AB339" s="232">
        <v>32412.119999999995</v>
      </c>
      <c r="AC339" s="232">
        <v>0</v>
      </c>
      <c r="AD339" s="228">
        <f t="shared" si="674"/>
      </c>
      <c r="AE339" s="233" t="s">
        <v>202</v>
      </c>
      <c r="AF339" s="234" t="s">
        <v>203</v>
      </c>
      <c r="AG339" s="235">
        <v>14</v>
      </c>
      <c r="AH339" s="236">
        <v>216316</v>
      </c>
      <c r="AI339" s="236">
        <v>2546</v>
      </c>
      <c r="AJ339" s="236">
        <v>2490</v>
      </c>
      <c r="AK339" s="237">
        <v>307</v>
      </c>
      <c r="AL339" s="237">
        <v>348</v>
      </c>
    </row>
    <row customHeight="true" ht="20.238095238095237" r="340">
      <c r="A340" s="216"/>
      <c r="B340" s="217" t="s">
        <v>231</v>
      </c>
      <c r="C340" s="252" t="s">
        <v>214</v>
      </c>
      <c r="D340" s="219">
        <f t="shared" si="491"/>
      </c>
      <c r="E340" s="218">
        <v>2527.7</v>
      </c>
      <c r="F340" s="218">
        <v>14059.2</v>
      </c>
      <c r="G340" s="218">
        <v>2837.45</v>
      </c>
      <c r="H340" s="221">
        <v>0</v>
      </c>
      <c r="I340" s="221">
        <f t="shared" si="378"/>
      </c>
      <c r="J340" s="222">
        <v>1551.96</v>
      </c>
      <c r="K340" s="223">
        <f t="shared" si="263"/>
      </c>
      <c r="L340" s="223">
        <f t="shared" si="148"/>
      </c>
      <c r="M340" s="224">
        <f t="shared" si="80"/>
      </c>
      <c r="N340" s="225">
        <f t="shared" si="49"/>
      </c>
      <c r="O340" s="226">
        <f t="shared" si="18"/>
      </c>
      <c r="P340" s="227">
        <f t="shared" si="953"/>
      </c>
      <c r="Q340" s="227">
        <f t="shared" si="922"/>
      </c>
      <c r="R340" s="227">
        <f t="shared" si="891"/>
      </c>
      <c r="S340" s="228">
        <f t="shared" si="860"/>
      </c>
      <c r="T340" s="229">
        <f t="shared" si="798"/>
      </c>
      <c r="U340" s="227">
        <f t="shared" si="767"/>
      </c>
      <c r="V340" s="230">
        <f t="shared" si="829"/>
      </c>
      <c r="W340" s="230">
        <f t="shared" si="736"/>
      </c>
      <c r="X340" s="227">
        <f t="shared" si="705"/>
      </c>
      <c r="Y340" s="231">
        <f t="shared" si="596"/>
      </c>
      <c r="Z340" s="231">
        <v>16</v>
      </c>
      <c r="AA340" s="231">
        <v>17</v>
      </c>
      <c r="AB340" s="232">
        <v>24135.360000000015</v>
      </c>
      <c r="AC340" s="232">
        <v>1715</v>
      </c>
      <c r="AD340" s="228">
        <f t="shared" si="674"/>
      </c>
      <c r="AE340" s="233" t="s">
        <v>202</v>
      </c>
      <c r="AF340" s="234" t="s">
        <v>203</v>
      </c>
      <c r="AG340" s="237">
        <v>16</v>
      </c>
      <c r="AH340" s="236">
        <v>233740</v>
      </c>
      <c r="AI340" s="236">
        <v>3910</v>
      </c>
      <c r="AJ340" s="236">
        <v>3851</v>
      </c>
      <c r="AK340" s="237">
        <v>409</v>
      </c>
      <c r="AL340" s="237">
        <v>475</v>
      </c>
    </row>
    <row customHeight="true" ht="20.238095238095237" r="341">
      <c r="A341" s="216"/>
      <c r="B341" s="217" t="s">
        <v>231</v>
      </c>
      <c r="C341" s="218" t="s">
        <v>237</v>
      </c>
      <c r="D341" s="219">
        <f t="shared" si="491"/>
      </c>
      <c r="E341" s="218">
        <v>604.4</v>
      </c>
      <c r="F341" s="221">
        <v>4785.02</v>
      </c>
      <c r="G341" s="221">
        <v>997.8</v>
      </c>
      <c r="H341" s="221">
        <v>0</v>
      </c>
      <c r="I341" s="238">
        <f t="shared" si="378"/>
      </c>
      <c r="J341" s="222">
        <v>0</v>
      </c>
      <c r="K341" s="223">
        <f t="shared" si="263"/>
      </c>
      <c r="L341" s="223">
        <f t="shared" si="148"/>
      </c>
      <c r="M341" s="224">
        <f t="shared" si="80"/>
      </c>
      <c r="N341" s="225">
        <f t="shared" si="49"/>
      </c>
      <c r="O341" s="226">
        <f t="shared" si="18"/>
      </c>
      <c r="P341" s="227">
        <f t="shared" si="953"/>
      </c>
      <c r="Q341" s="227">
        <f t="shared" si="922"/>
      </c>
      <c r="R341" s="227">
        <f t="shared" si="891"/>
      </c>
      <c r="S341" s="228">
        <f t="shared" si="860"/>
      </c>
      <c r="T341" s="229">
        <f t="shared" si="798"/>
      </c>
      <c r="U341" s="227">
        <f t="shared" si="767"/>
      </c>
      <c r="V341" s="230">
        <f t="shared" si="829"/>
      </c>
      <c r="W341" s="230">
        <f t="shared" si="736"/>
      </c>
      <c r="X341" s="227">
        <f t="shared" si="705"/>
      </c>
      <c r="Y341" s="231">
        <f t="shared" si="596"/>
      </c>
      <c r="Z341" s="231">
        <v>7</v>
      </c>
      <c r="AA341" s="231">
        <v>8</v>
      </c>
      <c r="AB341" s="232">
        <v>13454.64</v>
      </c>
      <c r="AC341" s="232">
        <v>0</v>
      </c>
      <c r="AD341" s="228">
        <f t="shared" si="674"/>
      </c>
      <c r="AE341" s="233" t="s">
        <v>202</v>
      </c>
      <c r="AF341" s="234" t="s">
        <v>203</v>
      </c>
      <c r="AG341" s="235">
        <v>7</v>
      </c>
      <c r="AH341" s="236">
        <v>86648</v>
      </c>
      <c r="AI341" s="236">
        <v>1491</v>
      </c>
      <c r="AJ341" s="236">
        <v>1523</v>
      </c>
      <c r="AK341" s="237">
        <v>161</v>
      </c>
      <c r="AL341" s="237">
        <v>184</v>
      </c>
    </row>
    <row customHeight="true" ht="20.238095238095237" r="342">
      <c r="A342" s="216"/>
      <c r="B342" s="217" t="s">
        <v>231</v>
      </c>
      <c r="C342" s="218" t="s">
        <v>238</v>
      </c>
      <c r="D342" s="219">
        <f t="shared" si="491"/>
      </c>
      <c r="E342" s="220">
        <v>334.17</v>
      </c>
      <c r="F342" s="221">
        <v>3180.05</v>
      </c>
      <c r="G342" s="221">
        <v>363.32</v>
      </c>
      <c r="H342" s="221">
        <v>0</v>
      </c>
      <c r="I342" s="221">
        <f t="shared" si="378"/>
      </c>
      <c r="J342" s="222">
        <v>0</v>
      </c>
      <c r="K342" s="223">
        <f t="shared" si="263"/>
      </c>
      <c r="L342" s="223">
        <f t="shared" si="148"/>
      </c>
      <c r="M342" s="224">
        <f t="shared" si="80"/>
      </c>
      <c r="N342" s="225">
        <f t="shared" si="49"/>
      </c>
      <c r="O342" s="226">
        <f t="shared" si="18"/>
      </c>
      <c r="P342" s="227">
        <f t="shared" si="953"/>
      </c>
      <c r="Q342" s="227">
        <f t="shared" si="922"/>
      </c>
      <c r="R342" s="227">
        <f t="shared" si="891"/>
      </c>
      <c r="S342" s="228">
        <f t="shared" si="860"/>
      </c>
      <c r="T342" s="229">
        <f t="shared" si="798"/>
      </c>
      <c r="U342" s="227">
        <f t="shared" si="767"/>
      </c>
      <c r="V342" s="230">
        <f t="shared" si="829"/>
      </c>
      <c r="W342" s="230">
        <f t="shared" si="736"/>
      </c>
      <c r="X342" s="227">
        <f t="shared" si="705"/>
      </c>
      <c r="Y342" s="231">
        <f t="shared" si="596"/>
      </c>
      <c r="Z342" s="231">
        <v>2</v>
      </c>
      <c r="AA342" s="231">
        <v>3</v>
      </c>
      <c r="AB342" s="232">
        <v>4926.600000000002</v>
      </c>
      <c r="AC342" s="232">
        <v>0</v>
      </c>
      <c r="AD342" s="228">
        <f t="shared" si="674"/>
      </c>
      <c r="AE342" s="233" t="s">
        <v>202</v>
      </c>
      <c r="AF342" s="234" t="s">
        <v>203</v>
      </c>
      <c r="AG342" s="235">
        <v>2</v>
      </c>
      <c r="AH342" s="236">
        <v>43848</v>
      </c>
      <c r="AI342" s="236">
        <v>1139</v>
      </c>
      <c r="AJ342" s="236">
        <v>1175</v>
      </c>
      <c r="AK342" s="235">
        <v>117</v>
      </c>
      <c r="AL342" s="235">
        <v>127</v>
      </c>
    </row>
    <row customHeight="true" ht="20.238095238095237" r="343">
      <c r="A343" s="216"/>
      <c r="B343" s="239" t="s">
        <v>208</v>
      </c>
      <c r="C343" s="240">
        <v>5</v>
      </c>
      <c r="D343" s="241">
        <f>SUM(D338:D342)</f>
      </c>
      <c r="E343" s="241">
        <f>SUM(E338:E342)</f>
      </c>
      <c r="F343" s="241">
        <f>SUM(F338:F342)</f>
      </c>
      <c r="G343" s="241">
        <f>SUM(G338:G342)</f>
      </c>
      <c r="H343" s="241">
        <f>SUM(H338:H342)</f>
      </c>
      <c r="I343" s="241">
        <f>SUM(I338:I342)</f>
      </c>
      <c r="J343" s="241">
        <f>SUM(J338:J342)</f>
      </c>
      <c r="K343" s="241">
        <f>SUM(K338:K342)</f>
      </c>
      <c r="L343" s="241">
        <f>SUM(L338:L342)</f>
      </c>
      <c r="M343" s="242">
        <f t="shared" si="80"/>
      </c>
      <c r="N343" s="243">
        <f t="shared" si="49"/>
      </c>
      <c r="O343" s="243">
        <f t="shared" si="18"/>
      </c>
      <c r="P343" s="244">
        <f t="shared" si="953"/>
      </c>
      <c r="Q343" s="244">
        <f t="shared" si="922"/>
      </c>
      <c r="R343" s="244">
        <f t="shared" si="891"/>
      </c>
      <c r="S343" s="245">
        <f t="shared" si="860"/>
      </c>
      <c r="T343" s="245">
        <f t="shared" si="798"/>
      </c>
      <c r="U343" s="244">
        <f t="shared" si="767"/>
      </c>
      <c r="V343" s="245">
        <f t="shared" si="829"/>
      </c>
      <c r="W343" s="245">
        <f t="shared" si="736"/>
      </c>
      <c r="X343" s="244">
        <f t="shared" si="705"/>
      </c>
      <c r="Y343" s="241">
        <f>SUM(Y338:Y342)</f>
      </c>
      <c r="Z343" s="241">
        <f>SUM(Z338:Z342)</f>
      </c>
      <c r="AA343" s="241">
        <f>SUM(AA338:AA342)</f>
      </c>
      <c r="AB343" s="241">
        <f>SUM(AB338:AB342)</f>
      </c>
      <c r="AC343" s="241">
        <f>SUM(AC338:AC342)</f>
      </c>
      <c r="AD343" s="246">
        <f t="shared" si="674"/>
      </c>
      <c r="AE343" s="247"/>
      <c r="AF343" s="248"/>
      <c r="AG343" s="241">
        <f>SUM(AG338:AG342)</f>
      </c>
      <c r="AH343" s="241">
        <f>SUM(AH338:AH342)</f>
      </c>
      <c r="AI343" s="241">
        <f>SUM(AI338:AI342)</f>
      </c>
      <c r="AJ343" s="241">
        <f>SUM(AJ338:AJ342)</f>
      </c>
      <c r="AK343" s="241">
        <f>SUM(AK338:AK342)</f>
      </c>
      <c r="AL343" s="241">
        <f>SUM(AL338:AL342)</f>
      </c>
    </row>
    <row r="344">
      <c r="A344" s="216"/>
      <c r="B344" s="253" t="s">
        <v>208</v>
      </c>
      <c r="C344" s="254">
        <f>C324+C329+C332+C337+C343</f>
      </c>
      <c r="D344" s="254">
        <f>D324+D329+D332+D337+D343</f>
      </c>
      <c r="E344" s="254">
        <f>E324+E329+E332+E337+E343</f>
      </c>
      <c r="F344" s="254">
        <f>F324+F329+F332+F337+F343</f>
      </c>
      <c r="G344" s="254">
        <f>G324+G329+G332+G337+G343</f>
      </c>
      <c r="H344" s="254">
        <f>H324+H329+H332+H337+H343</f>
      </c>
      <c r="I344" s="254">
        <f>I324+I329+I332+I337+I343</f>
      </c>
      <c r="J344" s="254">
        <f>J324+J329+J332+J337+J343</f>
      </c>
      <c r="K344" s="254">
        <f>K324+K329+K332+K337+K343</f>
      </c>
      <c r="L344" s="254">
        <f>L324+L329+L332+L337+L343</f>
      </c>
      <c r="M344" s="256">
        <f t="shared" si="80"/>
      </c>
      <c r="N344" s="256">
        <f t="shared" si="49"/>
      </c>
      <c r="O344" s="256">
        <f t="shared" si="18"/>
      </c>
      <c r="P344" s="256">
        <f t="shared" si="953"/>
      </c>
      <c r="Q344" s="256">
        <f t="shared" si="922"/>
      </c>
      <c r="R344" s="256">
        <f t="shared" si="891"/>
      </c>
      <c r="S344" s="257">
        <f t="shared" si="860"/>
      </c>
      <c r="T344" s="257">
        <f t="shared" si="798"/>
      </c>
      <c r="U344" s="256">
        <f t="shared" si="767"/>
      </c>
      <c r="V344" s="257">
        <f t="shared" si="829"/>
      </c>
      <c r="W344" s="257">
        <f t="shared" si="736"/>
      </c>
      <c r="X344" s="256">
        <f t="shared" si="705"/>
      </c>
      <c r="Y344" s="254">
        <f>Y324+Y329+Y332+Y337+Y343</f>
      </c>
      <c r="Z344" s="254">
        <f>Z324+Z329+Z332+Z337+Z343</f>
      </c>
      <c r="AA344" s="254">
        <f>AA324+AA329+AA332+AA337+AA343</f>
      </c>
      <c r="AB344" s="254">
        <f>AB324+AB329+AB332+AB337+AB343</f>
      </c>
      <c r="AC344" s="254">
        <f>AC324+AC329+AC332+AC337+AC343</f>
      </c>
      <c r="AD344" s="258">
        <f t="shared" si="674"/>
      </c>
      <c r="AE344" s="253"/>
      <c r="AF344" s="253"/>
      <c r="AG344" s="254">
        <f>AG324+AG329+AG332+AG337+AG343</f>
      </c>
      <c r="AH344" s="254">
        <f>AH324+AH329+AH332+AH337+AH343</f>
      </c>
      <c r="AI344" s="254">
        <f>AI324+AI329+AI332+AI337+AI343</f>
      </c>
      <c r="AJ344" s="254">
        <f>AJ324+AJ329+AJ332+AJ337+AJ343</f>
      </c>
      <c r="AK344" s="254">
        <f>AK324+AK329+AK332+AK337+AK343</f>
      </c>
      <c r="AL344" s="254">
        <f>AL324+AL329+AL332+AL337+AL343</f>
      </c>
    </row>
    <row r="345">
      <c r="A345" s="202" t="s">
        <v>162</v>
      </c>
      <c r="B345" s="203" t="s">
        <v>163</v>
      </c>
      <c r="C345" s="203" t="s">
        <v>164</v>
      </c>
      <c r="D345" s="204" t="s">
        <v>165</v>
      </c>
      <c r="E345" s="203" t="s">
        <v>166</v>
      </c>
      <c r="F345" s="203" t="s">
        <v>167</v>
      </c>
      <c r="G345" s="205" t="s">
        <v>168</v>
      </c>
      <c r="H345" s="205" t="s">
        <v>169</v>
      </c>
      <c r="I345" s="204" t="s">
        <v>170</v>
      </c>
      <c r="J345" s="206" t="s">
        <v>171</v>
      </c>
      <c r="K345" s="207" t="s">
        <v>172</v>
      </c>
      <c r="L345" s="207" t="s">
        <v>173</v>
      </c>
      <c r="M345" s="208" t="s">
        <v>174</v>
      </c>
      <c r="N345" s="207" t="s">
        <v>175</v>
      </c>
      <c r="O345" s="203" t="s">
        <v>176</v>
      </c>
      <c r="P345" s="208" t="s">
        <v>177</v>
      </c>
      <c r="Q345" s="209" t="s">
        <v>178</v>
      </c>
      <c r="R345" s="209" t="s">
        <v>179</v>
      </c>
      <c r="S345" s="204" t="s">
        <v>180</v>
      </c>
      <c r="T345" s="210" t="s">
        <v>181</v>
      </c>
      <c r="U345" s="208" t="s">
        <v>182</v>
      </c>
      <c r="V345" s="211" t="s">
        <v>183</v>
      </c>
      <c r="W345" s="212" t="s">
        <v>184</v>
      </c>
      <c r="X345" s="208" t="s">
        <v>185</v>
      </c>
      <c r="Y345" s="213" t="s">
        <v>186</v>
      </c>
      <c r="Z345" s="214" t="s">
        <v>187</v>
      </c>
      <c r="AA345" s="213" t="s">
        <v>188</v>
      </c>
      <c r="AB345" s="215" t="s">
        <v>189</v>
      </c>
      <c r="AC345" s="215" t="s">
        <v>190</v>
      </c>
      <c r="AD345" s="207" t="s">
        <v>191</v>
      </c>
      <c r="AE345" s="206" t="s">
        <v>192</v>
      </c>
      <c r="AF345" s="207" t="s">
        <v>193</v>
      </c>
      <c r="AG345" s="206" t="s">
        <v>194</v>
      </c>
      <c r="AH345" s="206" t="s">
        <v>195</v>
      </c>
      <c r="AI345" s="207" t="s">
        <v>196</v>
      </c>
      <c r="AJ345" s="206" t="s">
        <v>197</v>
      </c>
      <c r="AK345" s="207" t="s">
        <v>198</v>
      </c>
      <c r="AL345" s="206" t="s">
        <v>199</v>
      </c>
    </row>
    <row r="346">
      <c r="A346" s="216">
        <v>46254</v>
      </c>
      <c r="B346" s="217" t="s">
        <v>200</v>
      </c>
      <c r="C346" s="218" t="s">
        <v>234</v>
      </c>
      <c r="D346" s="219">
        <f t="shared" ref="D346:D350" si="492">E346+F346+G346+H346</f>
      </c>
      <c r="E346" s="220">
        <v>823.75</v>
      </c>
      <c r="F346" s="221">
        <v>2613.8</v>
      </c>
      <c r="G346" s="221">
        <v>2889.15</v>
      </c>
      <c r="H346" s="221">
        <v>0</v>
      </c>
      <c r="I346" s="221">
        <f t="shared" ref="I346:I350" si="379">AB346+AC346</f>
      </c>
      <c r="J346" s="222">
        <v>1641.6</v>
      </c>
      <c r="K346" s="223">
        <f t="shared" ref="K346:K350" si="264">I346-J346</f>
      </c>
      <c r="L346" s="223">
        <f t="shared" ref="L346:L350" si="149">(I346-AC346)/12+AC346</f>
      </c>
      <c r="M346" s="224">
        <f t="shared" ref="M346:M371" si="81">I346/D346</f>
      </c>
      <c r="N346" s="225">
        <f t="shared" ref="N346:N371" si="50">(I346-J346)/D346</f>
      </c>
      <c r="O346" s="226">
        <f t="shared" ref="O346:O371" si="19">(AC346+AB346/12)/D346</f>
      </c>
      <c r="P346" s="227">
        <f t="shared" ref="P346:P371" si="954">I346/AA346</f>
      </c>
      <c r="Q346" s="227">
        <f t="shared" ref="Q346:Q371" si="923">D346/AA346</f>
      </c>
      <c r="R346" s="227">
        <f t="shared" ref="R346:R371" si="892">D346/AG346</f>
      </c>
      <c r="S346" s="228">
        <f t="shared" ref="S346:S371" si="861">AA346/Y346</f>
      </c>
      <c r="T346" s="229">
        <f t="shared" ref="T346:T371" si="799">AI346/AH346</f>
      </c>
      <c r="U346" s="227">
        <f t="shared" ref="U346:U371" si="768">D346/AJ346</f>
      </c>
      <c r="V346" s="230">
        <f t="shared" ref="V346:V371" si="830">AK346/AJ346</f>
      </c>
      <c r="W346" s="230">
        <f t="shared" ref="W346:W371" si="737">AL346/AJ346</f>
      </c>
      <c r="X346" s="227">
        <f t="shared" ref="X346:X371" si="706">D346/AL346</f>
      </c>
      <c r="Y346" s="231">
        <f t="shared" ref="Y346:Y350" si="597">Z346+AA346</f>
      </c>
      <c r="Z346" s="231">
        <v>5</v>
      </c>
      <c r="AA346" s="231">
        <v>6</v>
      </c>
      <c r="AB346" s="232">
        <v>7670.879999999997</v>
      </c>
      <c r="AC346" s="232">
        <v>0</v>
      </c>
      <c r="AD346" s="228">
        <f t="shared" ref="AD346:AD371" si="675">AC346/I346</f>
      </c>
      <c r="AE346" s="233" t="s">
        <v>202</v>
      </c>
      <c r="AF346" s="234" t="s">
        <v>232</v>
      </c>
      <c r="AG346" s="235">
        <v>4</v>
      </c>
      <c r="AH346" s="235">
        <v>60238</v>
      </c>
      <c r="AI346" s="236">
        <v>1311</v>
      </c>
      <c r="AJ346" s="236">
        <v>1320</v>
      </c>
      <c r="AK346" s="235">
        <v>181</v>
      </c>
      <c r="AL346" s="237">
        <v>208</v>
      </c>
    </row>
    <row r="347">
      <c r="A347" s="216"/>
      <c r="B347" s="217" t="s">
        <v>200</v>
      </c>
      <c r="C347" s="218" t="s">
        <v>235</v>
      </c>
      <c r="D347" s="219">
        <f t="shared" si="492"/>
      </c>
      <c r="E347" s="218">
        <v>650.11</v>
      </c>
      <c r="F347" s="221">
        <v>2121.13</v>
      </c>
      <c r="G347" s="221">
        <v>2304.73</v>
      </c>
      <c r="H347" s="221">
        <v>0</v>
      </c>
      <c r="I347" s="221">
        <f t="shared" si="379"/>
      </c>
      <c r="J347" s="222">
        <v>638.28</v>
      </c>
      <c r="K347" s="223">
        <f t="shared" si="264"/>
      </c>
      <c r="L347" s="223">
        <f t="shared" si="149"/>
      </c>
      <c r="M347" s="224">
        <f t="shared" si="81"/>
      </c>
      <c r="N347" s="225">
        <f t="shared" si="50"/>
      </c>
      <c r="O347" s="226">
        <f t="shared" si="19"/>
      </c>
      <c r="P347" s="227">
        <f t="shared" si="954"/>
      </c>
      <c r="Q347" s="227">
        <f t="shared" si="923"/>
      </c>
      <c r="R347" s="227">
        <f t="shared" si="892"/>
      </c>
      <c r="S347" s="228">
        <f t="shared" si="861"/>
      </c>
      <c r="T347" s="229">
        <f t="shared" si="799"/>
      </c>
      <c r="U347" s="227">
        <f t="shared" si="768"/>
      </c>
      <c r="V347" s="230">
        <f t="shared" si="830"/>
      </c>
      <c r="W347" s="230">
        <f t="shared" si="737"/>
      </c>
      <c r="X347" s="227">
        <f t="shared" si="706"/>
      </c>
      <c r="Y347" s="231">
        <f t="shared" si="597"/>
      </c>
      <c r="Z347" s="231">
        <v>7</v>
      </c>
      <c r="AA347" s="231">
        <v>4</v>
      </c>
      <c r="AB347" s="232">
        <v>5901.120000000003</v>
      </c>
      <c r="AC347" s="232">
        <v>1474</v>
      </c>
      <c r="AD347" s="228">
        <f t="shared" si="675"/>
      </c>
      <c r="AE347" s="233" t="s">
        <v>202</v>
      </c>
      <c r="AF347" s="234" t="s">
        <v>232</v>
      </c>
      <c r="AG347" s="235">
        <v>4</v>
      </c>
      <c r="AH347" s="236">
        <v>45526</v>
      </c>
      <c r="AI347" s="236">
        <v>871</v>
      </c>
      <c r="AJ347" s="236">
        <v>876</v>
      </c>
      <c r="AK347" s="237">
        <v>130</v>
      </c>
      <c r="AL347" s="237">
        <v>160</v>
      </c>
    </row>
    <row r="348">
      <c r="A348" s="216"/>
      <c r="B348" s="217" t="s">
        <v>200</v>
      </c>
      <c r="C348" s="218" t="s">
        <v>236</v>
      </c>
      <c r="D348" s="219">
        <f t="shared" si="492"/>
      </c>
      <c r="E348" s="218">
        <v>550.14</v>
      </c>
      <c r="F348" s="218">
        <v>2473.63</v>
      </c>
      <c r="G348" s="218">
        <v>834.23</v>
      </c>
      <c r="H348" s="221">
        <v>0</v>
      </c>
      <c r="I348" s="221">
        <f t="shared" si="379"/>
      </c>
      <c r="J348" s="222">
        <v>0</v>
      </c>
      <c r="K348" s="223">
        <f t="shared" si="264"/>
      </c>
      <c r="L348" s="223">
        <f t="shared" si="149"/>
      </c>
      <c r="M348" s="224">
        <f t="shared" si="81"/>
      </c>
      <c r="N348" s="225">
        <f t="shared" si="50"/>
      </c>
      <c r="O348" s="226">
        <f t="shared" si="19"/>
      </c>
      <c r="P348" s="227">
        <f t="shared" si="954"/>
      </c>
      <c r="Q348" s="227">
        <f t="shared" si="923"/>
      </c>
      <c r="R348" s="227">
        <f t="shared" si="892"/>
      </c>
      <c r="S348" s="228">
        <f t="shared" si="861"/>
      </c>
      <c r="T348" s="229">
        <f t="shared" si="799"/>
      </c>
      <c r="U348" s="227">
        <f t="shared" si="768"/>
      </c>
      <c r="V348" s="230">
        <f t="shared" si="830"/>
      </c>
      <c r="W348" s="230">
        <f t="shared" si="737"/>
      </c>
      <c r="X348" s="227">
        <f t="shared" si="706"/>
      </c>
      <c r="Y348" s="231">
        <f t="shared" si="597"/>
      </c>
      <c r="Z348" s="231">
        <v>1</v>
      </c>
      <c r="AA348" s="231">
        <v>4</v>
      </c>
      <c r="AB348" s="232">
        <v>4469.28</v>
      </c>
      <c r="AC348" s="232">
        <v>0</v>
      </c>
      <c r="AD348" s="228">
        <f t="shared" si="675"/>
      </c>
      <c r="AE348" s="233" t="s">
        <v>202</v>
      </c>
      <c r="AF348" s="234" t="s">
        <v>232</v>
      </c>
      <c r="AG348" s="237">
        <v>3</v>
      </c>
      <c r="AH348" s="236">
        <v>33734</v>
      </c>
      <c r="AI348" s="236">
        <v>483</v>
      </c>
      <c r="AJ348" s="236">
        <v>481</v>
      </c>
      <c r="AK348" s="237">
        <v>103</v>
      </c>
      <c r="AL348" s="237">
        <v>105</v>
      </c>
    </row>
    <row r="349">
      <c r="A349" s="216"/>
      <c r="B349" s="217" t="s">
        <v>200</v>
      </c>
      <c r="C349" s="218" t="s">
        <v>216</v>
      </c>
      <c r="D349" s="219">
        <f t="shared" si="492"/>
      </c>
      <c r="E349" s="218">
        <v>589.92</v>
      </c>
      <c r="F349" s="221">
        <v>2863.38</v>
      </c>
      <c r="G349" s="221">
        <v>1950.59</v>
      </c>
      <c r="H349" s="221">
        <v>0</v>
      </c>
      <c r="I349" s="238">
        <f t="shared" si="379"/>
      </c>
      <c r="J349" s="222">
        <v>1480.68</v>
      </c>
      <c r="K349" s="223">
        <f t="shared" si="264"/>
      </c>
      <c r="L349" s="223">
        <f t="shared" si="149"/>
      </c>
      <c r="M349" s="224">
        <f t="shared" si="81"/>
      </c>
      <c r="N349" s="225">
        <f t="shared" si="50"/>
      </c>
      <c r="O349" s="226">
        <f t="shared" si="19"/>
      </c>
      <c r="P349" s="227">
        <f t="shared" si="954"/>
      </c>
      <c r="Q349" s="227">
        <f t="shared" si="923"/>
      </c>
      <c r="R349" s="227">
        <f t="shared" si="892"/>
      </c>
      <c r="S349" s="228">
        <f t="shared" si="861"/>
      </c>
      <c r="T349" s="229">
        <f t="shared" si="799"/>
      </c>
      <c r="U349" s="227">
        <f t="shared" si="768"/>
      </c>
      <c r="V349" s="230">
        <f t="shared" si="830"/>
      </c>
      <c r="W349" s="230">
        <f t="shared" si="737"/>
      </c>
      <c r="X349" s="227">
        <f t="shared" si="706"/>
      </c>
      <c r="Y349" s="231">
        <f t="shared" si="597"/>
      </c>
      <c r="Z349" s="231">
        <v>9</v>
      </c>
      <c r="AA349" s="231">
        <v>6</v>
      </c>
      <c r="AB349" s="232">
        <v>5809.319999999996</v>
      </c>
      <c r="AC349" s="232">
        <v>7871.1</v>
      </c>
      <c r="AD349" s="228">
        <f t="shared" si="675"/>
      </c>
      <c r="AE349" s="233" t="s">
        <v>202</v>
      </c>
      <c r="AF349" s="234" t="s">
        <v>232</v>
      </c>
      <c r="AG349" s="235">
        <v>4</v>
      </c>
      <c r="AH349" s="236">
        <v>36997</v>
      </c>
      <c r="AI349" s="236">
        <v>774</v>
      </c>
      <c r="AJ349" s="236">
        <v>758</v>
      </c>
      <c r="AK349" s="237">
        <v>112</v>
      </c>
      <c r="AL349" s="237">
        <v>158</v>
      </c>
    </row>
    <row r="350">
      <c r="A350" s="216"/>
      <c r="B350" s="217" t="s">
        <v>200</v>
      </c>
      <c r="C350" s="218" t="s">
        <v>218</v>
      </c>
      <c r="D350" s="219">
        <f t="shared" si="492"/>
      </c>
      <c r="E350" s="220">
        <v>562.94</v>
      </c>
      <c r="F350" s="221">
        <v>5053.21</v>
      </c>
      <c r="G350" s="221">
        <v>1474.95</v>
      </c>
      <c r="H350" s="221">
        <v>0</v>
      </c>
      <c r="I350" s="221">
        <f t="shared" si="379"/>
      </c>
      <c r="J350" s="222">
        <v>5553.36</v>
      </c>
      <c r="K350" s="223">
        <f t="shared" si="264"/>
      </c>
      <c r="L350" s="223">
        <f t="shared" si="149"/>
      </c>
      <c r="M350" s="224">
        <f t="shared" si="81"/>
      </c>
      <c r="N350" s="225">
        <f t="shared" si="50"/>
      </c>
      <c r="O350" s="226">
        <f t="shared" si="19"/>
      </c>
      <c r="P350" s="227">
        <f t="shared" si="954"/>
      </c>
      <c r="Q350" s="227">
        <f t="shared" si="923"/>
      </c>
      <c r="R350" s="227">
        <f t="shared" si="892"/>
      </c>
      <c r="S350" s="228">
        <f t="shared" si="861"/>
      </c>
      <c r="T350" s="229">
        <f t="shared" si="799"/>
      </c>
      <c r="U350" s="227">
        <f t="shared" si="768"/>
      </c>
      <c r="V350" s="230">
        <f t="shared" si="830"/>
      </c>
      <c r="W350" s="230">
        <f t="shared" si="737"/>
      </c>
      <c r="X350" s="227">
        <f t="shared" si="706"/>
      </c>
      <c r="Y350" s="231">
        <f t="shared" si="597"/>
      </c>
      <c r="Z350" s="231">
        <v>5</v>
      </c>
      <c r="AA350" s="231">
        <v>9</v>
      </c>
      <c r="AB350" s="232">
        <v>12152.04</v>
      </c>
      <c r="AC350" s="232">
        <v>1324</v>
      </c>
      <c r="AD350" s="228">
        <f t="shared" si="675"/>
      </c>
      <c r="AE350" s="233" t="s">
        <v>202</v>
      </c>
      <c r="AF350" s="234" t="s">
        <v>232</v>
      </c>
      <c r="AG350" s="235">
        <v>7</v>
      </c>
      <c r="AH350" s="236">
        <v>53456</v>
      </c>
      <c r="AI350" s="236">
        <v>1059</v>
      </c>
      <c r="AJ350" s="236">
        <v>1058</v>
      </c>
      <c r="AK350" s="235">
        <v>134</v>
      </c>
      <c r="AL350" s="235">
        <v>199</v>
      </c>
    </row>
    <row r="351">
      <c r="A351" s="216"/>
      <c r="B351" s="239" t="s">
        <v>208</v>
      </c>
      <c r="C351" s="240">
        <v>5</v>
      </c>
      <c r="D351" s="241">
        <f>SUM(D346:D350)</f>
      </c>
      <c r="E351" s="241">
        <f>SUM(E346:E350)</f>
      </c>
      <c r="F351" s="241">
        <f>SUM(F346:F350)</f>
      </c>
      <c r="G351" s="241">
        <f>SUM(G346:G350)</f>
      </c>
      <c r="H351" s="241">
        <f>SUM(H346:H350)</f>
      </c>
      <c r="I351" s="241">
        <f>SUM(I346:I350)</f>
      </c>
      <c r="J351" s="241">
        <f>SUM(J346:J350)</f>
      </c>
      <c r="K351" s="241">
        <f>SUM(K346:K350)</f>
      </c>
      <c r="L351" s="241">
        <f>SUM(L346:L350)</f>
      </c>
      <c r="M351" s="242">
        <f t="shared" si="81"/>
      </c>
      <c r="N351" s="243">
        <f t="shared" si="50"/>
      </c>
      <c r="O351" s="243">
        <f t="shared" si="19"/>
      </c>
      <c r="P351" s="244">
        <f t="shared" si="954"/>
      </c>
      <c r="Q351" s="244">
        <f t="shared" si="923"/>
      </c>
      <c r="R351" s="244">
        <f t="shared" si="892"/>
      </c>
      <c r="S351" s="245">
        <f t="shared" si="861"/>
      </c>
      <c r="T351" s="245">
        <f t="shared" si="799"/>
      </c>
      <c r="U351" s="244">
        <f t="shared" si="768"/>
      </c>
      <c r="V351" s="245">
        <f t="shared" si="830"/>
      </c>
      <c r="W351" s="245">
        <f t="shared" si="737"/>
      </c>
      <c r="X351" s="244">
        <f t="shared" si="706"/>
      </c>
      <c r="Y351" s="241">
        <f>SUM(Y346:Y350)</f>
      </c>
      <c r="Z351" s="241">
        <f>SUM(Z346:Z350)</f>
      </c>
      <c r="AA351" s="241">
        <f>SUM(AA346:AA350)</f>
      </c>
      <c r="AB351" s="241">
        <f>SUM(AB346:AB350)</f>
      </c>
      <c r="AC351" s="241">
        <f>SUM(AC346:AC350)</f>
      </c>
      <c r="AD351" s="246">
        <f t="shared" si="675"/>
      </c>
      <c r="AE351" s="247"/>
      <c r="AF351" s="248"/>
      <c r="AG351" s="241">
        <f>SUM(AG346:AG350)</f>
      </c>
      <c r="AH351" s="241">
        <f>SUM(AH346:AH350)</f>
      </c>
      <c r="AI351" s="241">
        <f>SUM(AI346:AI350)</f>
      </c>
      <c r="AJ351" s="241">
        <f>SUM(AJ346:AJ350)</f>
      </c>
      <c r="AK351" s="241">
        <f>SUM(AK346:AK350)</f>
      </c>
      <c r="AL351" s="241">
        <f>SUM(AL346:AL350)</f>
      </c>
    </row>
    <row r="352">
      <c r="A352" s="216"/>
      <c r="B352" s="217" t="s">
        <v>209</v>
      </c>
      <c r="C352" s="218" t="s">
        <v>219</v>
      </c>
      <c r="D352" s="219">
        <f t="shared" ref="D352:D355" si="493">E352+F352+G352+H352</f>
      </c>
      <c r="E352" s="220">
        <v>507.62</v>
      </c>
      <c r="F352" s="221">
        <v>5304.12</v>
      </c>
      <c r="G352" s="221">
        <v>1771.81</v>
      </c>
      <c r="H352" s="221">
        <v>0</v>
      </c>
      <c r="I352" s="221">
        <f t="shared" ref="I352:I355" si="380">AB352+AC352</f>
      </c>
      <c r="J352" s="222">
        <v>3881.52</v>
      </c>
      <c r="K352" s="223">
        <f t="shared" ref="K352:K355" si="265">I352-J352</f>
      </c>
      <c r="L352" s="223">
        <f t="shared" ref="L352:L355" si="150">(I352-AC352)/12+AC352</f>
      </c>
      <c r="M352" s="224">
        <f t="shared" si="81"/>
      </c>
      <c r="N352" s="225">
        <f t="shared" si="50"/>
      </c>
      <c r="O352" s="226">
        <f t="shared" si="19"/>
      </c>
      <c r="P352" s="227">
        <f t="shared" si="954"/>
      </c>
      <c r="Q352" s="227">
        <f t="shared" si="923"/>
      </c>
      <c r="R352" s="227">
        <f t="shared" si="892"/>
      </c>
      <c r="S352" s="228">
        <f t="shared" si="861"/>
      </c>
      <c r="T352" s="229">
        <f t="shared" si="799"/>
      </c>
      <c r="U352" s="227">
        <f t="shared" si="768"/>
      </c>
      <c r="V352" s="230">
        <f t="shared" si="830"/>
      </c>
      <c r="W352" s="230">
        <f t="shared" si="737"/>
      </c>
      <c r="X352" s="227">
        <f t="shared" si="706"/>
      </c>
      <c r="Y352" s="231">
        <f t="shared" ref="Y352:Y355" si="598">Z352+AA352</f>
      </c>
      <c r="Z352" s="231">
        <v>2</v>
      </c>
      <c r="AA352" s="231">
        <v>5</v>
      </c>
      <c r="AB352" s="232">
        <v>6483.240000000002</v>
      </c>
      <c r="AC352" s="232">
        <v>1204</v>
      </c>
      <c r="AD352" s="228">
        <f t="shared" si="675"/>
      </c>
      <c r="AE352" s="233" t="s">
        <v>202</v>
      </c>
      <c r="AF352" s="234" t="s">
        <v>232</v>
      </c>
      <c r="AG352" s="235">
        <v>2</v>
      </c>
      <c r="AH352" s="236">
        <v>66112</v>
      </c>
      <c r="AI352" s="236">
        <v>1008</v>
      </c>
      <c r="AJ352" s="236">
        <v>1022</v>
      </c>
      <c r="AK352" s="235">
        <v>132</v>
      </c>
      <c r="AL352" s="235">
        <v>196</v>
      </c>
    </row>
    <row r="353">
      <c r="A353" s="216"/>
      <c r="B353" s="217" t="s">
        <v>209</v>
      </c>
      <c r="C353" s="218" t="s">
        <v>220</v>
      </c>
      <c r="D353" s="219">
        <f t="shared" si="493"/>
      </c>
      <c r="E353" s="218">
        <v>387.55</v>
      </c>
      <c r="F353" s="221">
        <v>3253.81</v>
      </c>
      <c r="G353" s="221">
        <v>2238.74</v>
      </c>
      <c r="H353" s="221">
        <v>0</v>
      </c>
      <c r="I353" s="221">
        <f t="shared" si="380"/>
      </c>
      <c r="J353" s="222">
        <v>874</v>
      </c>
      <c r="K353" s="223">
        <f t="shared" si="265"/>
      </c>
      <c r="L353" s="223">
        <f t="shared" si="150"/>
      </c>
      <c r="M353" s="224">
        <f t="shared" si="81"/>
      </c>
      <c r="N353" s="225">
        <f t="shared" si="50"/>
      </c>
      <c r="O353" s="226">
        <f t="shared" si="19"/>
      </c>
      <c r="P353" s="227">
        <f t="shared" si="954"/>
      </c>
      <c r="Q353" s="227">
        <f t="shared" si="923"/>
      </c>
      <c r="R353" s="227">
        <f t="shared" si="892"/>
      </c>
      <c r="S353" s="228">
        <f t="shared" si="861"/>
      </c>
      <c r="T353" s="229">
        <f t="shared" si="799"/>
      </c>
      <c r="U353" s="227">
        <f t="shared" si="768"/>
      </c>
      <c r="V353" s="230">
        <f t="shared" si="830"/>
      </c>
      <c r="W353" s="230">
        <f t="shared" si="737"/>
      </c>
      <c r="X353" s="227">
        <f t="shared" si="706"/>
      </c>
      <c r="Y353" s="231">
        <f t="shared" si="598"/>
      </c>
      <c r="Z353" s="231">
        <v>4</v>
      </c>
      <c r="AA353" s="231">
        <v>4</v>
      </c>
      <c r="AB353" s="232">
        <v>11785.679999999997</v>
      </c>
      <c r="AC353" s="232">
        <v>874</v>
      </c>
      <c r="AD353" s="228">
        <f t="shared" si="675"/>
      </c>
      <c r="AE353" s="233" t="s">
        <v>202</v>
      </c>
      <c r="AF353" s="234" t="s">
        <v>232</v>
      </c>
      <c r="AG353" s="235">
        <v>3</v>
      </c>
      <c r="AH353" s="236">
        <v>47482</v>
      </c>
      <c r="AI353" s="236">
        <v>926</v>
      </c>
      <c r="AJ353" s="236">
        <v>915</v>
      </c>
      <c r="AK353" s="237">
        <v>136</v>
      </c>
      <c r="AL353" s="237">
        <v>181</v>
      </c>
    </row>
    <row r="354">
      <c r="A354" s="216"/>
      <c r="B354" s="217" t="s">
        <v>209</v>
      </c>
      <c r="C354" s="218" t="s">
        <v>221</v>
      </c>
      <c r="D354" s="219">
        <f t="shared" si="493"/>
      </c>
      <c r="E354" s="218">
        <v>349.96</v>
      </c>
      <c r="F354" s="218">
        <v>2445.08</v>
      </c>
      <c r="G354" s="218">
        <v>1693.39</v>
      </c>
      <c r="H354" s="221">
        <v>0</v>
      </c>
      <c r="I354" s="221">
        <f t="shared" si="380"/>
      </c>
      <c r="J354" s="222">
        <v>0</v>
      </c>
      <c r="K354" s="223">
        <f t="shared" si="265"/>
      </c>
      <c r="L354" s="223">
        <f t="shared" si="150"/>
      </c>
      <c r="M354" s="224">
        <f t="shared" si="81"/>
      </c>
      <c r="N354" s="225">
        <f t="shared" si="50"/>
      </c>
      <c r="O354" s="226">
        <f t="shared" si="19"/>
      </c>
      <c r="P354" s="227">
        <f t="shared" si="954"/>
      </c>
      <c r="Q354" s="227">
        <f t="shared" si="923"/>
      </c>
      <c r="R354" s="227">
        <f t="shared" si="892"/>
      </c>
      <c r="S354" s="228">
        <f t="shared" si="861"/>
      </c>
      <c r="T354" s="229">
        <f t="shared" si="799"/>
      </c>
      <c r="U354" s="227">
        <f t="shared" si="768"/>
      </c>
      <c r="V354" s="230">
        <f t="shared" si="830"/>
      </c>
      <c r="W354" s="230">
        <f t="shared" si="737"/>
      </c>
      <c r="X354" s="227">
        <f t="shared" si="706"/>
      </c>
      <c r="Y354" s="231">
        <f t="shared" si="598"/>
      </c>
      <c r="Z354" s="231">
        <v>2</v>
      </c>
      <c r="AA354" s="231">
        <v>3</v>
      </c>
      <c r="AB354" s="232">
        <v>1453.6799999999967</v>
      </c>
      <c r="AC354" s="232">
        <v>3159.8999999999996</v>
      </c>
      <c r="AD354" s="228">
        <f t="shared" si="675"/>
      </c>
      <c r="AE354" s="233" t="s">
        <v>202</v>
      </c>
      <c r="AF354" s="234" t="s">
        <v>232</v>
      </c>
      <c r="AG354" s="237">
        <v>3</v>
      </c>
      <c r="AH354" s="236">
        <v>34199</v>
      </c>
      <c r="AI354" s="236">
        <v>767</v>
      </c>
      <c r="AJ354" s="236">
        <v>755</v>
      </c>
      <c r="AK354" s="237">
        <v>79</v>
      </c>
      <c r="AL354" s="237">
        <v>121</v>
      </c>
    </row>
    <row r="355">
      <c r="A355" s="216"/>
      <c r="B355" s="217" t="s">
        <v>209</v>
      </c>
      <c r="C355" s="218" t="s">
        <v>201</v>
      </c>
      <c r="D355" s="219">
        <f t="shared" si="493"/>
      </c>
      <c r="E355" s="218">
        <v>436.37</v>
      </c>
      <c r="F355" s="221">
        <v>1023.73</v>
      </c>
      <c r="G355" s="221">
        <v>1461.71</v>
      </c>
      <c r="H355" s="221">
        <v>0</v>
      </c>
      <c r="I355" s="221">
        <f t="shared" si="380"/>
      </c>
      <c r="J355" s="222">
        <v>2748.6</v>
      </c>
      <c r="K355" s="223">
        <f t="shared" si="265"/>
      </c>
      <c r="L355" s="223">
        <f t="shared" si="150"/>
      </c>
      <c r="M355" s="224">
        <f t="shared" si="81"/>
      </c>
      <c r="N355" s="225">
        <f t="shared" si="50"/>
      </c>
      <c r="O355" s="226">
        <f t="shared" si="19"/>
      </c>
      <c r="P355" s="227">
        <f t="shared" si="954"/>
      </c>
      <c r="Q355" s="227">
        <f t="shared" si="923"/>
      </c>
      <c r="R355" s="227">
        <f t="shared" si="892"/>
      </c>
      <c r="S355" s="228">
        <f t="shared" si="861"/>
      </c>
      <c r="T355" s="229">
        <f t="shared" si="799"/>
      </c>
      <c r="U355" s="227">
        <f t="shared" si="768"/>
      </c>
      <c r="V355" s="230">
        <f t="shared" si="830"/>
      </c>
      <c r="W355" s="230">
        <f t="shared" si="737"/>
      </c>
      <c r="X355" s="227">
        <f t="shared" si="706"/>
      </c>
      <c r="Y355" s="231">
        <f t="shared" si="598"/>
      </c>
      <c r="Z355" s="231">
        <v>0</v>
      </c>
      <c r="AA355" s="231">
        <v>4</v>
      </c>
      <c r="AB355" s="222">
        <v>3613.680000000011</v>
      </c>
      <c r="AC355" s="232">
        <v>1656</v>
      </c>
      <c r="AD355" s="228">
        <f t="shared" si="675"/>
      </c>
      <c r="AE355" s="233" t="s">
        <v>202</v>
      </c>
      <c r="AF355" s="234" t="s">
        <v>232</v>
      </c>
      <c r="AG355" s="235">
        <v>3</v>
      </c>
      <c r="AH355" s="236">
        <v>22189</v>
      </c>
      <c r="AI355" s="236">
        <v>384</v>
      </c>
      <c r="AJ355" s="236">
        <v>408</v>
      </c>
      <c r="AK355" s="237">
        <v>81</v>
      </c>
      <c r="AL355" s="237">
        <v>105</v>
      </c>
    </row>
    <row r="356">
      <c r="A356" s="216"/>
      <c r="B356" s="239" t="s">
        <v>208</v>
      </c>
      <c r="C356" s="240">
        <v>4</v>
      </c>
      <c r="D356" s="241">
        <f>SUM(D352:D355)</f>
      </c>
      <c r="E356" s="241">
        <f>SUM(E352:E355)</f>
      </c>
      <c r="F356" s="241">
        <f>SUM(F352:F355)</f>
      </c>
      <c r="G356" s="241">
        <f>SUM(G352:G355)</f>
      </c>
      <c r="H356" s="241">
        <f>SUM(H352:H355)</f>
      </c>
      <c r="I356" s="241">
        <f>SUM(I352:I355)</f>
      </c>
      <c r="J356" s="241">
        <f>SUM(J352:J355)</f>
      </c>
      <c r="K356" s="241">
        <f>SUM(K352:K355)</f>
      </c>
      <c r="L356" s="241">
        <f>SUM(L352:L355)</f>
      </c>
      <c r="M356" s="242">
        <f t="shared" si="81"/>
      </c>
      <c r="N356" s="243">
        <f t="shared" si="50"/>
      </c>
      <c r="O356" s="243">
        <f t="shared" si="19"/>
      </c>
      <c r="P356" s="244">
        <f t="shared" si="954"/>
      </c>
      <c r="Q356" s="244">
        <f t="shared" si="923"/>
      </c>
      <c r="R356" s="244">
        <f t="shared" si="892"/>
      </c>
      <c r="S356" s="245">
        <f t="shared" si="861"/>
      </c>
      <c r="T356" s="245">
        <f t="shared" si="799"/>
      </c>
      <c r="U356" s="244">
        <f t="shared" si="768"/>
      </c>
      <c r="V356" s="245">
        <f t="shared" si="830"/>
      </c>
      <c r="W356" s="245">
        <f t="shared" si="737"/>
      </c>
      <c r="X356" s="244">
        <f t="shared" si="706"/>
      </c>
      <c r="Y356" s="241">
        <f>SUM(Y352:Y355)</f>
      </c>
      <c r="Z356" s="241">
        <f>SUM(Z352:Z355)</f>
      </c>
      <c r="AA356" s="241">
        <f>SUM(AA352:AA355)</f>
      </c>
      <c r="AB356" s="241">
        <f>SUM(AB352:AB355)</f>
      </c>
      <c r="AC356" s="241">
        <f>SUM(AC352:AC355)</f>
      </c>
      <c r="AD356" s="246">
        <f t="shared" si="675"/>
      </c>
      <c r="AE356" s="247"/>
      <c r="AF356" s="248"/>
      <c r="AG356" s="241">
        <f>SUM(AG352:AG355)</f>
      </c>
      <c r="AH356" s="241">
        <f>SUM(AH352:AH355)</f>
      </c>
      <c r="AI356" s="241">
        <f>SUM(AI352:AI355)</f>
      </c>
      <c r="AJ356" s="241">
        <f>SUM(AJ352:AJ355)</f>
      </c>
      <c r="AK356" s="241">
        <f>SUM(AK352:AK355)</f>
      </c>
      <c r="AL356" s="241">
        <f>SUM(AL352:AL355)</f>
      </c>
    </row>
    <row r="357">
      <c r="A357" s="216"/>
      <c r="B357" s="217" t="s">
        <v>233</v>
      </c>
      <c r="C357" s="218" t="s">
        <v>204</v>
      </c>
      <c r="D357" s="219">
        <f t="shared" ref="D357:D358" si="494">E357+F357+G357+H357</f>
      </c>
      <c r="E357" s="218">
        <v>458.79</v>
      </c>
      <c r="F357" s="249">
        <v>904.13</v>
      </c>
      <c r="G357" s="221">
        <v>2299.6</v>
      </c>
      <c r="H357" s="221">
        <v>0</v>
      </c>
      <c r="I357" s="250">
        <f t="shared" ref="I357:I358" si="381">AB357+AC357</f>
      </c>
      <c r="J357" s="251">
        <v>1205.28</v>
      </c>
      <c r="K357" s="223">
        <f t="shared" ref="K357:K358" si="266">I357-J357</f>
      </c>
      <c r="L357" s="223">
        <f t="shared" ref="L357:L358" si="151">(I357-AC357)/12+AC357</f>
      </c>
      <c r="M357" s="224">
        <f t="shared" si="81"/>
      </c>
      <c r="N357" s="225">
        <f t="shared" si="50"/>
      </c>
      <c r="O357" s="226">
        <f t="shared" si="19"/>
      </c>
      <c r="P357" s="227">
        <f t="shared" si="954"/>
      </c>
      <c r="Q357" s="227">
        <f t="shared" si="923"/>
      </c>
      <c r="R357" s="227">
        <f t="shared" si="892"/>
      </c>
      <c r="S357" s="228">
        <f t="shared" si="861"/>
      </c>
      <c r="T357" s="229">
        <f t="shared" si="799"/>
      </c>
      <c r="U357" s="227">
        <f t="shared" si="768"/>
      </c>
      <c r="V357" s="230">
        <f t="shared" si="830"/>
      </c>
      <c r="W357" s="230">
        <f t="shared" si="737"/>
      </c>
      <c r="X357" s="227">
        <f t="shared" si="706"/>
      </c>
      <c r="Y357" s="231">
        <f t="shared" ref="Y357:Y358" si="599">Z357+AA357</f>
      </c>
      <c r="Z357" s="231">
        <v>3</v>
      </c>
      <c r="AA357" s="231">
        <v>1</v>
      </c>
      <c r="AB357" s="232">
        <v>1205.2799999999952</v>
      </c>
      <c r="AC357" s="232">
        <v>0</v>
      </c>
      <c r="AD357" s="228">
        <f t="shared" si="675"/>
      </c>
      <c r="AE357" s="233" t="s">
        <v>202</v>
      </c>
      <c r="AF357" s="234" t="s">
        <v>232</v>
      </c>
      <c r="AG357" s="235">
        <v>1</v>
      </c>
      <c r="AH357" s="236">
        <v>24822</v>
      </c>
      <c r="AI357" s="236">
        <v>345</v>
      </c>
      <c r="AJ357" s="236">
        <v>364</v>
      </c>
      <c r="AK357" s="237">
        <v>64</v>
      </c>
      <c r="AL357" s="237">
        <v>92</v>
      </c>
    </row>
    <row r="358">
      <c r="A358" s="216"/>
      <c r="B358" s="217" t="s">
        <v>233</v>
      </c>
      <c r="C358" s="218" t="s">
        <v>205</v>
      </c>
      <c r="D358" s="219">
        <f t="shared" si="494"/>
      </c>
      <c r="E358" s="252">
        <v>467.14</v>
      </c>
      <c r="F358" s="268">
        <v>633.91</v>
      </c>
      <c r="G358" s="269">
        <v>1811.24</v>
      </c>
      <c r="H358" s="221">
        <v>0</v>
      </c>
      <c r="I358" s="270">
        <f t="shared" si="381"/>
      </c>
      <c r="J358" s="251">
        <v>0</v>
      </c>
      <c r="K358" s="223">
        <f t="shared" si="266"/>
      </c>
      <c r="L358" s="223">
        <f t="shared" si="151"/>
      </c>
      <c r="M358" s="224">
        <f t="shared" si="81"/>
      </c>
      <c r="N358" s="225">
        <f t="shared" si="50"/>
      </c>
      <c r="O358" s="226">
        <f t="shared" si="19"/>
      </c>
      <c r="P358" s="227">
        <f t="shared" si="954"/>
      </c>
      <c r="Q358" s="227">
        <f t="shared" si="923"/>
      </c>
      <c r="R358" s="227">
        <f t="shared" si="892"/>
      </c>
      <c r="S358" s="228">
        <f t="shared" si="861"/>
      </c>
      <c r="T358" s="229">
        <f t="shared" si="799"/>
      </c>
      <c r="U358" s="227">
        <f t="shared" si="768"/>
      </c>
      <c r="V358" s="230">
        <f t="shared" si="830"/>
      </c>
      <c r="W358" s="230">
        <f t="shared" si="737"/>
      </c>
      <c r="X358" s="227">
        <f t="shared" si="706"/>
      </c>
      <c r="Y358" s="271">
        <f t="shared" si="599"/>
      </c>
      <c r="Z358" s="231">
        <v>3</v>
      </c>
      <c r="AA358" s="231">
        <v>2</v>
      </c>
      <c r="AB358" s="272">
        <v>2641.6799999999967</v>
      </c>
      <c r="AC358" s="232">
        <v>0</v>
      </c>
      <c r="AD358" s="228">
        <f t="shared" si="675"/>
      </c>
      <c r="AE358" s="233" t="s">
        <v>202</v>
      </c>
      <c r="AF358" s="233" t="s">
        <v>203</v>
      </c>
      <c r="AG358" s="237">
        <v>2</v>
      </c>
      <c r="AH358" s="236">
        <v>22321</v>
      </c>
      <c r="AI358" s="236">
        <v>334</v>
      </c>
      <c r="AJ358" s="236">
        <v>336</v>
      </c>
      <c r="AK358" s="237">
        <v>59</v>
      </c>
      <c r="AL358" s="237">
        <v>93</v>
      </c>
    </row>
    <row r="359">
      <c r="A359" s="216"/>
      <c r="B359" s="239" t="s">
        <v>208</v>
      </c>
      <c r="C359" s="240">
        <v>2</v>
      </c>
      <c r="D359" s="273">
        <f>SUM(D357:D358)</f>
      </c>
      <c r="E359" s="273">
        <f>SUM(E357:E358)</f>
      </c>
      <c r="F359" s="273">
        <f>SUM(F357:F358)</f>
      </c>
      <c r="G359" s="273">
        <f>SUM(G357:G358)</f>
      </c>
      <c r="H359" s="273">
        <f>SUM(H357:H358)</f>
      </c>
      <c r="I359" s="273">
        <f>SUM(I357:I358)</f>
      </c>
      <c r="J359" s="273">
        <f>SUM(J357:J358)</f>
      </c>
      <c r="K359" s="273">
        <f>SUM(K357:K358)</f>
      </c>
      <c r="L359" s="273">
        <f>SUM(L357:L358)</f>
      </c>
      <c r="M359" s="242">
        <f t="shared" si="81"/>
      </c>
      <c r="N359" s="243">
        <f t="shared" si="50"/>
      </c>
      <c r="O359" s="243">
        <f t="shared" si="19"/>
      </c>
      <c r="P359" s="244">
        <f t="shared" si="954"/>
      </c>
      <c r="Q359" s="244">
        <f t="shared" si="923"/>
      </c>
      <c r="R359" s="244">
        <f t="shared" si="892"/>
      </c>
      <c r="S359" s="245">
        <f t="shared" si="861"/>
      </c>
      <c r="T359" s="245">
        <f t="shared" si="799"/>
      </c>
      <c r="U359" s="244">
        <f t="shared" si="768"/>
      </c>
      <c r="V359" s="245">
        <f t="shared" si="830"/>
      </c>
      <c r="W359" s="245">
        <f t="shared" si="737"/>
      </c>
      <c r="X359" s="244">
        <f t="shared" si="706"/>
      </c>
      <c r="Y359" s="273">
        <f>SUM(Y357:Y358)</f>
      </c>
      <c r="Z359" s="273">
        <f>SUM(Z357:Z358)</f>
      </c>
      <c r="AA359" s="273">
        <f>SUM(AA357:AA358)</f>
      </c>
      <c r="AB359" s="273">
        <f>SUM(AB357:AB358)</f>
      </c>
      <c r="AC359" s="273">
        <f>SUM(AC357:AC358)</f>
      </c>
      <c r="AD359" s="246">
        <f t="shared" si="675"/>
      </c>
      <c r="AE359" s="247"/>
      <c r="AF359" s="248"/>
      <c r="AG359" s="273">
        <f>SUM(AG357:AG358)</f>
      </c>
      <c r="AH359" s="273">
        <f>SUM(AH357:AH358)</f>
      </c>
      <c r="AI359" s="273">
        <f>SUM(AI357:AI358)</f>
      </c>
      <c r="AJ359" s="273">
        <f>SUM(AJ357:AJ358)</f>
      </c>
      <c r="AK359" s="273">
        <f>SUM(AK357:AK358)</f>
      </c>
      <c r="AL359" s="273">
        <f>SUM(AL357:AL358)</f>
      </c>
    </row>
    <row r="360">
      <c r="A360" s="216"/>
      <c r="B360" s="217" t="s">
        <v>224</v>
      </c>
      <c r="C360" s="218" t="s">
        <v>206</v>
      </c>
      <c r="D360" s="219">
        <f t="shared" ref="D360:D363" si="495">E360+F360+G360+H360</f>
      </c>
      <c r="E360" s="218">
        <v>319.31</v>
      </c>
      <c r="F360" s="249">
        <v>1345.06</v>
      </c>
      <c r="G360" s="221">
        <v>2344.23</v>
      </c>
      <c r="H360" s="221">
        <v>0</v>
      </c>
      <c r="I360" s="250">
        <f t="shared" ref="I360:I363" si="382">AB360+AC360</f>
      </c>
      <c r="J360" s="251">
        <v>2603.88</v>
      </c>
      <c r="K360" s="223">
        <f t="shared" ref="K360:K363" si="267">I360-J360</f>
      </c>
      <c r="L360" s="223">
        <f t="shared" ref="L360:L363" si="152">(I360-AC360)/12+AC360</f>
      </c>
      <c r="M360" s="224">
        <f t="shared" si="81"/>
      </c>
      <c r="N360" s="225">
        <f t="shared" si="50"/>
      </c>
      <c r="O360" s="226">
        <f t="shared" si="19"/>
      </c>
      <c r="P360" s="227">
        <f t="shared" si="954"/>
      </c>
      <c r="Q360" s="227">
        <f t="shared" si="923"/>
      </c>
      <c r="R360" s="227">
        <f t="shared" si="892"/>
      </c>
      <c r="S360" s="228">
        <f t="shared" si="861"/>
      </c>
      <c r="T360" s="229">
        <f t="shared" si="799"/>
      </c>
      <c r="U360" s="227">
        <f t="shared" si="768"/>
      </c>
      <c r="V360" s="230">
        <f t="shared" si="830"/>
      </c>
      <c r="W360" s="230">
        <f t="shared" si="737"/>
      </c>
      <c r="X360" s="227">
        <f t="shared" si="706"/>
      </c>
      <c r="Y360" s="231">
        <f t="shared" ref="Y360:Y363" si="600">Z360+AA360</f>
      </c>
      <c r="Z360" s="231">
        <v>1</v>
      </c>
      <c r="AA360" s="231">
        <v>2</v>
      </c>
      <c r="AB360" s="232">
        <v>3940.9199999999946</v>
      </c>
      <c r="AC360" s="232">
        <v>0</v>
      </c>
      <c r="AD360" s="228">
        <f t="shared" si="675"/>
      </c>
      <c r="AE360" s="233" t="s">
        <v>202</v>
      </c>
      <c r="AF360" s="234" t="s">
        <v>203</v>
      </c>
      <c r="AG360" s="235">
        <v>2</v>
      </c>
      <c r="AH360" s="236">
        <v>30182</v>
      </c>
      <c r="AI360" s="236">
        <v>435</v>
      </c>
      <c r="AJ360" s="236">
        <v>422</v>
      </c>
      <c r="AK360" s="237">
        <v>73</v>
      </c>
      <c r="AL360" s="237">
        <v>98</v>
      </c>
    </row>
    <row r="361">
      <c r="A361" s="216"/>
      <c r="B361" s="217" t="s">
        <v>224</v>
      </c>
      <c r="C361" s="218" t="s">
        <v>207</v>
      </c>
      <c r="D361" s="219">
        <f t="shared" si="495"/>
      </c>
      <c r="E361" s="218">
        <v>250.96</v>
      </c>
      <c r="F361" s="249">
        <v>1144.54</v>
      </c>
      <c r="G361" s="221">
        <v>1639.14</v>
      </c>
      <c r="H361" s="221">
        <v>0</v>
      </c>
      <c r="I361" s="250">
        <f t="shared" si="382"/>
      </c>
      <c r="J361" s="251">
        <v>0</v>
      </c>
      <c r="K361" s="223">
        <f t="shared" si="267"/>
      </c>
      <c r="L361" s="223">
        <f t="shared" si="152"/>
      </c>
      <c r="M361" s="224">
        <f t="shared" si="81"/>
      </c>
      <c r="N361" s="225">
        <f t="shared" si="50"/>
      </c>
      <c r="O361" s="226">
        <f t="shared" si="19"/>
      </c>
      <c r="P361" s="227">
        <f t="shared" si="954"/>
      </c>
      <c r="Q361" s="227">
        <f t="shared" si="923"/>
      </c>
      <c r="R361" s="227">
        <f t="shared" si="892"/>
      </c>
      <c r="S361" s="228">
        <f t="shared" si="861"/>
      </c>
      <c r="T361" s="229">
        <f t="shared" si="799"/>
      </c>
      <c r="U361" s="227">
        <f t="shared" si="768"/>
      </c>
      <c r="V361" s="230">
        <f t="shared" si="830"/>
      </c>
      <c r="W361" s="230">
        <f t="shared" si="737"/>
      </c>
      <c r="X361" s="227">
        <f t="shared" si="706"/>
      </c>
      <c r="Y361" s="231">
        <f t="shared" si="600"/>
      </c>
      <c r="Z361" s="231">
        <v>0</v>
      </c>
      <c r="AA361" s="231">
        <v>2</v>
      </c>
      <c r="AB361" s="232">
        <v>3427.9200000000164</v>
      </c>
      <c r="AC361" s="232">
        <v>0</v>
      </c>
      <c r="AD361" s="228">
        <f t="shared" si="675"/>
      </c>
      <c r="AE361" s="233" t="s">
        <v>202</v>
      </c>
      <c r="AF361" s="234" t="s">
        <v>203</v>
      </c>
      <c r="AG361" s="235">
        <v>1</v>
      </c>
      <c r="AH361" s="236">
        <v>26894</v>
      </c>
      <c r="AI361" s="236">
        <v>496</v>
      </c>
      <c r="AJ361" s="236">
        <v>504</v>
      </c>
      <c r="AK361" s="237">
        <v>62</v>
      </c>
      <c r="AL361" s="237">
        <v>81</v>
      </c>
    </row>
    <row r="362">
      <c r="A362" s="216"/>
      <c r="B362" s="217" t="s">
        <v>224</v>
      </c>
      <c r="C362" s="252" t="s">
        <v>210</v>
      </c>
      <c r="D362" s="219">
        <f t="shared" si="495"/>
      </c>
      <c r="E362" s="218">
        <v>258.98</v>
      </c>
      <c r="F362" s="249">
        <v>1744.61</v>
      </c>
      <c r="G362" s="218">
        <v>1524.35</v>
      </c>
      <c r="H362" s="221">
        <v>0</v>
      </c>
      <c r="I362" s="250">
        <f t="shared" si="382"/>
      </c>
      <c r="J362" s="251">
        <v>0</v>
      </c>
      <c r="K362" s="223">
        <f t="shared" si="267"/>
      </c>
      <c r="L362" s="223">
        <f t="shared" si="152"/>
      </c>
      <c r="M362" s="224">
        <f t="shared" si="81"/>
      </c>
      <c r="N362" s="225">
        <f t="shared" si="50"/>
      </c>
      <c r="O362" s="226">
        <f t="shared" si="19"/>
      </c>
      <c r="P362" s="227">
        <f t="shared" si="954"/>
      </c>
      <c r="Q362" s="227">
        <f t="shared" si="923"/>
      </c>
      <c r="R362" s="227">
        <f t="shared" si="892"/>
      </c>
      <c r="S362" s="228">
        <f t="shared" si="861"/>
      </c>
      <c r="T362" s="229">
        <f t="shared" si="799"/>
      </c>
      <c r="U362" s="227">
        <f t="shared" si="768"/>
      </c>
      <c r="V362" s="230">
        <f t="shared" si="830"/>
      </c>
      <c r="W362" s="230">
        <f t="shared" si="737"/>
      </c>
      <c r="X362" s="227">
        <f t="shared" si="706"/>
      </c>
      <c r="Y362" s="231">
        <f t="shared" si="600"/>
      </c>
      <c r="Z362" s="231">
        <v>0</v>
      </c>
      <c r="AA362" s="231">
        <v>1</v>
      </c>
      <c r="AB362" s="232">
        <v>630.7199999999903</v>
      </c>
      <c r="AC362" s="232">
        <v>0</v>
      </c>
      <c r="AD362" s="228">
        <f t="shared" si="675"/>
      </c>
      <c r="AE362" s="233" t="s">
        <v>202</v>
      </c>
      <c r="AF362" s="234" t="s">
        <v>203</v>
      </c>
      <c r="AG362" s="237">
        <v>1</v>
      </c>
      <c r="AH362" s="236">
        <v>31013</v>
      </c>
      <c r="AI362" s="236">
        <v>606</v>
      </c>
      <c r="AJ362" s="236">
        <v>608</v>
      </c>
      <c r="AK362" s="237">
        <v>89</v>
      </c>
      <c r="AL362" s="237">
        <v>101</v>
      </c>
    </row>
    <row r="363">
      <c r="A363" s="216"/>
      <c r="B363" s="217" t="s">
        <v>224</v>
      </c>
      <c r="C363" s="252" t="s">
        <v>211</v>
      </c>
      <c r="D363" s="219">
        <f t="shared" si="495"/>
      </c>
      <c r="E363" s="218">
        <v>291.19</v>
      </c>
      <c r="F363" s="249">
        <v>1845.86</v>
      </c>
      <c r="G363" s="221">
        <v>2691.81</v>
      </c>
      <c r="H363" s="221">
        <v>0</v>
      </c>
      <c r="I363" s="250">
        <f t="shared" si="382"/>
      </c>
      <c r="J363" s="251">
        <v>1105.92</v>
      </c>
      <c r="K363" s="223">
        <f t="shared" si="267"/>
      </c>
      <c r="L363" s="223">
        <f t="shared" si="152"/>
      </c>
      <c r="M363" s="224">
        <f t="shared" si="81"/>
      </c>
      <c r="N363" s="225">
        <f t="shared" si="50"/>
      </c>
      <c r="O363" s="226">
        <f t="shared" si="19"/>
      </c>
      <c r="P363" s="227">
        <f t="shared" si="954"/>
      </c>
      <c r="Q363" s="227">
        <f t="shared" si="923"/>
      </c>
      <c r="R363" s="227">
        <f t="shared" si="892"/>
      </c>
      <c r="S363" s="228">
        <f t="shared" si="861"/>
      </c>
      <c r="T363" s="229">
        <f t="shared" si="799"/>
      </c>
      <c r="U363" s="227">
        <f t="shared" si="768"/>
      </c>
      <c r="V363" s="230">
        <f t="shared" si="830"/>
      </c>
      <c r="W363" s="230">
        <f t="shared" si="737"/>
      </c>
      <c r="X363" s="227">
        <f t="shared" si="706"/>
      </c>
      <c r="Y363" s="231">
        <f t="shared" si="600"/>
      </c>
      <c r="Z363" s="231">
        <v>6</v>
      </c>
      <c r="AA363" s="231">
        <v>3</v>
      </c>
      <c r="AB363" s="222">
        <v>4018.6799999999967</v>
      </c>
      <c r="AC363" s="232">
        <v>0</v>
      </c>
      <c r="AD363" s="228">
        <f t="shared" si="675"/>
      </c>
      <c r="AE363" s="233" t="s">
        <v>202</v>
      </c>
      <c r="AF363" s="234" t="s">
        <v>203</v>
      </c>
      <c r="AG363" s="235">
        <v>2</v>
      </c>
      <c r="AH363" s="236">
        <v>45172</v>
      </c>
      <c r="AI363" s="236">
        <v>908</v>
      </c>
      <c r="AJ363" s="236">
        <v>915</v>
      </c>
      <c r="AK363" s="237">
        <v>126</v>
      </c>
      <c r="AL363" s="237">
        <v>169</v>
      </c>
    </row>
    <row r="364">
      <c r="A364" s="216"/>
      <c r="B364" s="239" t="s">
        <v>208</v>
      </c>
      <c r="C364" s="240">
        <v>4</v>
      </c>
      <c r="D364" s="241">
        <f>SUM(D360:D363)</f>
      </c>
      <c r="E364" s="241">
        <f>SUM(E360:E363)</f>
      </c>
      <c r="F364" s="241">
        <f>SUM(F360:F363)</f>
      </c>
      <c r="G364" s="241">
        <f>SUM(G360:G363)</f>
      </c>
      <c r="H364" s="241">
        <f>SUM(H360:H363)</f>
      </c>
      <c r="I364" s="241">
        <f>SUM(I360:I363)</f>
      </c>
      <c r="J364" s="241">
        <f>SUM(J360:J363)</f>
      </c>
      <c r="K364" s="241">
        <f>SUM(K360:K363)</f>
      </c>
      <c r="L364" s="241">
        <f>SUM(L360:L363)</f>
      </c>
      <c r="M364" s="242">
        <f t="shared" si="81"/>
      </c>
      <c r="N364" s="243">
        <f t="shared" si="50"/>
      </c>
      <c r="O364" s="243">
        <f t="shared" si="19"/>
      </c>
      <c r="P364" s="244">
        <f t="shared" si="954"/>
      </c>
      <c r="Q364" s="244">
        <f t="shared" si="923"/>
      </c>
      <c r="R364" s="244">
        <f t="shared" si="892"/>
      </c>
      <c r="S364" s="245">
        <f t="shared" si="861"/>
      </c>
      <c r="T364" s="245">
        <f t="shared" si="799"/>
      </c>
      <c r="U364" s="244">
        <f t="shared" si="768"/>
      </c>
      <c r="V364" s="245">
        <f t="shared" si="830"/>
      </c>
      <c r="W364" s="245">
        <f t="shared" si="737"/>
      </c>
      <c r="X364" s="244">
        <f t="shared" si="706"/>
      </c>
      <c r="Y364" s="241">
        <f>SUM(Y360:Y363)</f>
      </c>
      <c r="Z364" s="241">
        <f>SUM(Z360:Z363)</f>
      </c>
      <c r="AA364" s="241">
        <f>SUM(AA360:AA363)</f>
      </c>
      <c r="AB364" s="241">
        <f>SUM(AB360:AB363)</f>
      </c>
      <c r="AC364" s="241">
        <f>SUM(AC360:AC363)</f>
      </c>
      <c r="AD364" s="246">
        <f t="shared" si="675"/>
      </c>
      <c r="AE364" s="247"/>
      <c r="AF364" s="248"/>
      <c r="AG364" s="241">
        <f>SUM(AG360:AG363)</f>
      </c>
      <c r="AH364" s="241">
        <f>SUM(AH360:AH363)</f>
      </c>
      <c r="AI364" s="241">
        <f>SUM(AI360:AI363)</f>
      </c>
      <c r="AJ364" s="241">
        <f>SUM(AJ360:AJ363)</f>
      </c>
      <c r="AK364" s="241">
        <f>SUM(AK360:AK363)</f>
      </c>
      <c r="AL364" s="241">
        <f>SUM(AL360:AL363)</f>
      </c>
    </row>
    <row r="365">
      <c r="A365" s="216"/>
      <c r="B365" s="217" t="s">
        <v>231</v>
      </c>
      <c r="C365" s="252" t="s">
        <v>212</v>
      </c>
      <c r="D365" s="219">
        <f t="shared" ref="D365:D369" si="496">E365+F365+G365+H365</f>
      </c>
      <c r="E365" s="220">
        <v>848.7</v>
      </c>
      <c r="F365" s="221">
        <v>2623.98</v>
      </c>
      <c r="G365" s="221">
        <v>1091.02</v>
      </c>
      <c r="H365" s="221">
        <v>0</v>
      </c>
      <c r="I365" s="221">
        <f t="shared" ref="I365:I369" si="383">AB365+AC365</f>
      </c>
      <c r="J365" s="222">
        <v>0</v>
      </c>
      <c r="K365" s="223">
        <f t="shared" ref="K365:K369" si="268">I365-J365</f>
      </c>
      <c r="L365" s="223">
        <f t="shared" ref="L365:L369" si="153">(I365-AC365)/12+AC365</f>
      </c>
      <c r="M365" s="224">
        <f t="shared" si="81"/>
      </c>
      <c r="N365" s="225">
        <f t="shared" si="50"/>
      </c>
      <c r="O365" s="226">
        <f t="shared" si="19"/>
      </c>
      <c r="P365" s="227">
        <f t="shared" si="954"/>
      </c>
      <c r="Q365" s="227">
        <f t="shared" si="923"/>
      </c>
      <c r="R365" s="227">
        <f t="shared" si="892"/>
      </c>
      <c r="S365" s="228">
        <f t="shared" si="861"/>
      </c>
      <c r="T365" s="229">
        <f t="shared" si="799"/>
      </c>
      <c r="U365" s="227">
        <f t="shared" si="768"/>
      </c>
      <c r="V365" s="230">
        <f t="shared" si="830"/>
      </c>
      <c r="W365" s="230">
        <f t="shared" si="737"/>
      </c>
      <c r="X365" s="227">
        <f t="shared" si="706"/>
      </c>
      <c r="Y365" s="231">
        <f t="shared" ref="Y365:Y369" si="601">Z365+AA365</f>
      </c>
      <c r="Z365" s="231">
        <v>7</v>
      </c>
      <c r="AA365" s="231">
        <v>9</v>
      </c>
      <c r="AB365" s="232">
        <v>18814.679999999997</v>
      </c>
      <c r="AC365" s="232">
        <v>0</v>
      </c>
      <c r="AD365" s="228">
        <f t="shared" si="675"/>
      </c>
      <c r="AE365" s="233" t="s">
        <v>202</v>
      </c>
      <c r="AF365" s="234" t="s">
        <v>203</v>
      </c>
      <c r="AG365" s="235">
        <v>9</v>
      </c>
      <c r="AH365" s="235">
        <v>34085</v>
      </c>
      <c r="AI365" s="236">
        <v>695</v>
      </c>
      <c r="AJ365" s="236">
        <v>689</v>
      </c>
      <c r="AK365" s="235">
        <v>108</v>
      </c>
      <c r="AL365" s="237">
        <v>126</v>
      </c>
    </row>
    <row r="366">
      <c r="A366" s="216"/>
      <c r="B366" s="217" t="s">
        <v>231</v>
      </c>
      <c r="C366" s="218" t="s">
        <v>213</v>
      </c>
      <c r="D366" s="219">
        <f t="shared" si="496"/>
      </c>
      <c r="E366" s="218">
        <v>738.74</v>
      </c>
      <c r="F366" s="221">
        <v>3211.98</v>
      </c>
      <c r="G366" s="221">
        <v>1774.94</v>
      </c>
      <c r="H366" s="221">
        <v>0</v>
      </c>
      <c r="I366" s="221">
        <f t="shared" si="383"/>
      </c>
      <c r="J366" s="222">
        <v>0</v>
      </c>
      <c r="K366" s="223">
        <f t="shared" si="268"/>
      </c>
      <c r="L366" s="223">
        <f t="shared" si="153"/>
      </c>
      <c r="M366" s="224">
        <f t="shared" si="81"/>
      </c>
      <c r="N366" s="225">
        <f t="shared" si="50"/>
      </c>
      <c r="O366" s="226">
        <f t="shared" si="19"/>
      </c>
      <c r="P366" s="227">
        <f t="shared" si="954"/>
      </c>
      <c r="Q366" s="227">
        <f t="shared" si="923"/>
      </c>
      <c r="R366" s="227">
        <f t="shared" si="892"/>
      </c>
      <c r="S366" s="228">
        <f t="shared" si="861"/>
      </c>
      <c r="T366" s="229">
        <f t="shared" si="799"/>
      </c>
      <c r="U366" s="227">
        <f t="shared" si="768"/>
      </c>
      <c r="V366" s="230">
        <f t="shared" si="830"/>
      </c>
      <c r="W366" s="230">
        <f t="shared" si="737"/>
      </c>
      <c r="X366" s="227">
        <f t="shared" si="706"/>
      </c>
      <c r="Y366" s="231">
        <f t="shared" si="601"/>
      </c>
      <c r="Z366" s="231">
        <v>4</v>
      </c>
      <c r="AA366" s="231">
        <v>2</v>
      </c>
      <c r="AB366" s="232">
        <v>2952.720000000005</v>
      </c>
      <c r="AC366" s="232">
        <v>0</v>
      </c>
      <c r="AD366" s="228">
        <f t="shared" si="675"/>
      </c>
      <c r="AE366" s="233" t="s">
        <v>202</v>
      </c>
      <c r="AF366" s="234" t="s">
        <v>203</v>
      </c>
      <c r="AG366" s="235">
        <v>2</v>
      </c>
      <c r="AH366" s="236">
        <v>41928</v>
      </c>
      <c r="AI366" s="236">
        <v>829</v>
      </c>
      <c r="AJ366" s="236">
        <v>860</v>
      </c>
      <c r="AK366" s="237">
        <v>120</v>
      </c>
      <c r="AL366" s="237">
        <v>133</v>
      </c>
    </row>
    <row r="367">
      <c r="A367" s="216"/>
      <c r="B367" s="217" t="s">
        <v>231</v>
      </c>
      <c r="C367" s="252" t="s">
        <v>214</v>
      </c>
      <c r="D367" s="219">
        <f t="shared" si="496"/>
      </c>
      <c r="E367" s="218">
        <v>772.99</v>
      </c>
      <c r="F367" s="218">
        <v>3190.2</v>
      </c>
      <c r="G367" s="218">
        <v>2234.65</v>
      </c>
      <c r="H367" s="221">
        <v>0</v>
      </c>
      <c r="I367" s="221">
        <f t="shared" si="383"/>
      </c>
      <c r="J367" s="222">
        <v>0</v>
      </c>
      <c r="K367" s="223">
        <f t="shared" si="268"/>
      </c>
      <c r="L367" s="223">
        <f t="shared" si="153"/>
      </c>
      <c r="M367" s="224">
        <f t="shared" si="81"/>
      </c>
      <c r="N367" s="225">
        <f t="shared" si="50"/>
      </c>
      <c r="O367" s="226">
        <f t="shared" si="19"/>
      </c>
      <c r="P367" s="227">
        <f t="shared" si="954"/>
      </c>
      <c r="Q367" s="227">
        <f t="shared" si="923"/>
      </c>
      <c r="R367" s="227">
        <f t="shared" si="892"/>
      </c>
      <c r="S367" s="228">
        <f t="shared" si="861"/>
      </c>
      <c r="T367" s="229">
        <f t="shared" si="799"/>
      </c>
      <c r="U367" s="227">
        <f t="shared" si="768"/>
      </c>
      <c r="V367" s="230">
        <f t="shared" si="830"/>
      </c>
      <c r="W367" s="230">
        <f t="shared" si="737"/>
      </c>
      <c r="X367" s="227">
        <f t="shared" si="706"/>
      </c>
      <c r="Y367" s="231">
        <f t="shared" si="601"/>
      </c>
      <c r="Z367" s="231">
        <v>3</v>
      </c>
      <c r="AA367" s="231">
        <v>6</v>
      </c>
      <c r="AB367" s="232">
        <v>10415.520000000008</v>
      </c>
      <c r="AC367" s="232">
        <v>0</v>
      </c>
      <c r="AD367" s="228">
        <f t="shared" si="675"/>
      </c>
      <c r="AE367" s="233" t="s">
        <v>202</v>
      </c>
      <c r="AF367" s="234" t="s">
        <v>203</v>
      </c>
      <c r="AG367" s="237">
        <v>3</v>
      </c>
      <c r="AH367" s="236">
        <v>45079</v>
      </c>
      <c r="AI367" s="236">
        <v>979</v>
      </c>
      <c r="AJ367" s="236">
        <v>1043</v>
      </c>
      <c r="AK367" s="237">
        <v>148</v>
      </c>
      <c r="AL367" s="237">
        <v>202</v>
      </c>
    </row>
    <row r="368">
      <c r="A368" s="216"/>
      <c r="B368" s="217" t="s">
        <v>231</v>
      </c>
      <c r="C368" s="218" t="s">
        <v>237</v>
      </c>
      <c r="D368" s="219">
        <f t="shared" si="496"/>
      </c>
      <c r="E368" s="218">
        <v>349.54</v>
      </c>
      <c r="F368" s="221">
        <v>5362</v>
      </c>
      <c r="G368" s="221">
        <v>2326.79</v>
      </c>
      <c r="H368" s="221">
        <v>0</v>
      </c>
      <c r="I368" s="238">
        <f t="shared" si="383"/>
      </c>
      <c r="J368" s="222">
        <v>0</v>
      </c>
      <c r="K368" s="223">
        <f t="shared" si="268"/>
      </c>
      <c r="L368" s="223">
        <f t="shared" si="153"/>
      </c>
      <c r="M368" s="224">
        <f t="shared" si="81"/>
      </c>
      <c r="N368" s="225">
        <f t="shared" si="50"/>
      </c>
      <c r="O368" s="226">
        <f t="shared" si="19"/>
      </c>
      <c r="P368" s="227">
        <f t="shared" si="954"/>
      </c>
      <c r="Q368" s="227">
        <f t="shared" si="923"/>
      </c>
      <c r="R368" s="227">
        <f t="shared" si="892"/>
      </c>
      <c r="S368" s="228">
        <f t="shared" si="861"/>
      </c>
      <c r="T368" s="229">
        <f t="shared" si="799"/>
      </c>
      <c r="U368" s="227">
        <f t="shared" si="768"/>
      </c>
      <c r="V368" s="230">
        <f t="shared" si="830"/>
      </c>
      <c r="W368" s="230">
        <f t="shared" si="737"/>
      </c>
      <c r="X368" s="227">
        <f t="shared" si="706"/>
      </c>
      <c r="Y368" s="231">
        <f t="shared" si="601"/>
      </c>
      <c r="Z368" s="231">
        <v>8</v>
      </c>
      <c r="AA368" s="231">
        <v>17</v>
      </c>
      <c r="AB368" s="232">
        <v>29268.6</v>
      </c>
      <c r="AC368" s="232">
        <v>1904</v>
      </c>
      <c r="AD368" s="228">
        <f t="shared" si="675"/>
      </c>
      <c r="AE368" s="233" t="s">
        <v>202</v>
      </c>
      <c r="AF368" s="234" t="s">
        <v>203</v>
      </c>
      <c r="AG368" s="235">
        <v>15</v>
      </c>
      <c r="AH368" s="236">
        <v>63340</v>
      </c>
      <c r="AI368" s="236">
        <v>1543</v>
      </c>
      <c r="AJ368" s="236">
        <v>1598</v>
      </c>
      <c r="AK368" s="237">
        <v>183</v>
      </c>
      <c r="AL368" s="237">
        <v>247</v>
      </c>
    </row>
    <row r="369">
      <c r="A369" s="216"/>
      <c r="B369" s="217" t="s">
        <v>231</v>
      </c>
      <c r="C369" s="218" t="s">
        <v>238</v>
      </c>
      <c r="D369" s="219">
        <f t="shared" si="496"/>
      </c>
      <c r="E369" s="220">
        <v>204.55</v>
      </c>
      <c r="F369" s="221">
        <v>2822.7</v>
      </c>
      <c r="G369" s="221">
        <v>1337.14</v>
      </c>
      <c r="H369" s="221">
        <v>0</v>
      </c>
      <c r="I369" s="221">
        <f t="shared" si="383"/>
      </c>
      <c r="J369" s="222">
        <v>2017.44</v>
      </c>
      <c r="K369" s="223">
        <f t="shared" si="268"/>
      </c>
      <c r="L369" s="223">
        <f t="shared" si="153"/>
      </c>
      <c r="M369" s="224">
        <f t="shared" si="81"/>
      </c>
      <c r="N369" s="225">
        <f t="shared" si="50"/>
      </c>
      <c r="O369" s="226">
        <f t="shared" si="19"/>
      </c>
      <c r="P369" s="227">
        <f t="shared" si="954"/>
      </c>
      <c r="Q369" s="227">
        <f t="shared" si="923"/>
      </c>
      <c r="R369" s="227">
        <f t="shared" si="892"/>
      </c>
      <c r="S369" s="228">
        <f t="shared" si="861"/>
      </c>
      <c r="T369" s="229">
        <f t="shared" si="799"/>
      </c>
      <c r="U369" s="227">
        <f t="shared" si="768"/>
      </c>
      <c r="V369" s="230">
        <f t="shared" si="830"/>
      </c>
      <c r="W369" s="230">
        <f t="shared" si="737"/>
      </c>
      <c r="X369" s="227">
        <f t="shared" si="706"/>
      </c>
      <c r="Y369" s="231">
        <f t="shared" si="601"/>
      </c>
      <c r="Z369" s="231">
        <v>2</v>
      </c>
      <c r="AA369" s="231">
        <v>8</v>
      </c>
      <c r="AB369" s="232">
        <v>9269.64</v>
      </c>
      <c r="AC369" s="232">
        <v>0</v>
      </c>
      <c r="AD369" s="228">
        <f t="shared" si="675"/>
      </c>
      <c r="AE369" s="233" t="s">
        <v>202</v>
      </c>
      <c r="AF369" s="234" t="s">
        <v>203</v>
      </c>
      <c r="AG369" s="235">
        <v>6</v>
      </c>
      <c r="AH369" s="236">
        <v>41033</v>
      </c>
      <c r="AI369" s="236">
        <v>1089</v>
      </c>
      <c r="AJ369" s="236">
        <v>1170</v>
      </c>
      <c r="AK369" s="235">
        <v>147</v>
      </c>
      <c r="AL369" s="235">
        <v>164</v>
      </c>
    </row>
    <row r="370">
      <c r="A370" s="216"/>
      <c r="B370" s="239" t="s">
        <v>208</v>
      </c>
      <c r="C370" s="240">
        <v>5</v>
      </c>
      <c r="D370" s="241">
        <f>SUM(D365:D369)</f>
      </c>
      <c r="E370" s="241">
        <f>SUM(E365:E369)</f>
      </c>
      <c r="F370" s="241">
        <f>SUM(F365:F369)</f>
      </c>
      <c r="G370" s="241">
        <f>SUM(G365:G369)</f>
      </c>
      <c r="H370" s="241">
        <f>SUM(H365:H369)</f>
      </c>
      <c r="I370" s="241">
        <f>SUM(I365:I369)</f>
      </c>
      <c r="J370" s="241">
        <f>SUM(J365:J369)</f>
      </c>
      <c r="K370" s="241">
        <f>SUM(K365:K369)</f>
      </c>
      <c r="L370" s="241">
        <f>SUM(L365:L369)</f>
      </c>
      <c r="M370" s="242">
        <f t="shared" si="81"/>
      </c>
      <c r="N370" s="243">
        <f t="shared" si="50"/>
      </c>
      <c r="O370" s="243">
        <f t="shared" si="19"/>
      </c>
      <c r="P370" s="244">
        <f t="shared" si="954"/>
      </c>
      <c r="Q370" s="244">
        <f t="shared" si="923"/>
      </c>
      <c r="R370" s="244">
        <f t="shared" si="892"/>
      </c>
      <c r="S370" s="245">
        <f t="shared" si="861"/>
      </c>
      <c r="T370" s="245">
        <f t="shared" si="799"/>
      </c>
      <c r="U370" s="244">
        <f t="shared" si="768"/>
      </c>
      <c r="V370" s="245">
        <f t="shared" si="830"/>
      </c>
      <c r="W370" s="245">
        <f t="shared" si="737"/>
      </c>
      <c r="X370" s="244">
        <f t="shared" si="706"/>
      </c>
      <c r="Y370" s="241">
        <f>SUM(Y365:Y369)</f>
      </c>
      <c r="Z370" s="241">
        <f>SUM(Z365:Z369)</f>
      </c>
      <c r="AA370" s="241">
        <f>SUM(AA365:AA369)</f>
      </c>
      <c r="AB370" s="241">
        <f>SUM(AB365:AB369)</f>
      </c>
      <c r="AC370" s="241">
        <f>SUM(AC365:AC369)</f>
      </c>
      <c r="AD370" s="246">
        <f t="shared" si="675"/>
      </c>
      <c r="AE370" s="247"/>
      <c r="AF370" s="248"/>
      <c r="AG370" s="241">
        <f>SUM(AG365:AG369)</f>
      </c>
      <c r="AH370" s="241">
        <f>SUM(AH365:AH369)</f>
      </c>
      <c r="AI370" s="241">
        <f>SUM(AI365:AI369)</f>
      </c>
      <c r="AJ370" s="241">
        <f>SUM(AJ365:AJ369)</f>
      </c>
      <c r="AK370" s="241">
        <f>SUM(AK365:AK369)</f>
      </c>
      <c r="AL370" s="241">
        <f>SUM(AL365:AL369)</f>
      </c>
    </row>
    <row r="371">
      <c r="A371" s="216"/>
      <c r="B371" s="253" t="s">
        <v>208</v>
      </c>
      <c r="C371" s="254">
        <f>C351+C356+C359+C364+C370</f>
      </c>
      <c r="D371" s="254">
        <f>D351+D356+D359+D364+D370</f>
      </c>
      <c r="E371" s="254">
        <f>E351+E356+E359+E364+E370</f>
      </c>
      <c r="F371" s="254">
        <f>F351+F356+F359+F364+F370</f>
      </c>
      <c r="G371" s="254">
        <f>G351+G356+G359+G364+G370</f>
      </c>
      <c r="H371" s="254">
        <f>H351+H356+H359+H364+H370</f>
      </c>
      <c r="I371" s="254">
        <f>I351+I356+I359+I364+I370</f>
      </c>
      <c r="J371" s="254">
        <f>J351+J356+J359+J364+J370</f>
      </c>
      <c r="K371" s="254">
        <f>K351+K356+K359+K364+K370</f>
      </c>
      <c r="L371" s="254">
        <f>L351+L356+L359+L364+L370</f>
      </c>
      <c r="M371" s="256">
        <f t="shared" si="81"/>
      </c>
      <c r="N371" s="256">
        <f t="shared" si="50"/>
      </c>
      <c r="O371" s="256">
        <f t="shared" si="19"/>
      </c>
      <c r="P371" s="256">
        <f t="shared" si="954"/>
      </c>
      <c r="Q371" s="256">
        <f t="shared" si="923"/>
      </c>
      <c r="R371" s="256">
        <f t="shared" si="892"/>
      </c>
      <c r="S371" s="257">
        <f t="shared" si="861"/>
      </c>
      <c r="T371" s="257">
        <f t="shared" si="799"/>
      </c>
      <c r="U371" s="256">
        <f t="shared" si="768"/>
      </c>
      <c r="V371" s="257">
        <f t="shared" si="830"/>
      </c>
      <c r="W371" s="257">
        <f t="shared" si="737"/>
      </c>
      <c r="X371" s="256">
        <f t="shared" si="706"/>
      </c>
      <c r="Y371" s="254">
        <f>Y351+Y356+Y359+Y364+Y370</f>
      </c>
      <c r="Z371" s="254">
        <f>Z351+Z356+Z359+Z364+Z370</f>
      </c>
      <c r="AA371" s="254">
        <f>AA351+AA356+AA359+AA364+AA370</f>
      </c>
      <c r="AB371" s="254">
        <f>AB351+AB356+AB359+AB364+AB370</f>
      </c>
      <c r="AC371" s="254">
        <f>AC351+AC356+AC359+AC364+AC370</f>
      </c>
      <c r="AD371" s="258">
        <f t="shared" si="675"/>
      </c>
      <c r="AE371" s="253"/>
      <c r="AF371" s="253"/>
      <c r="AG371" s="254">
        <f>AG351+AG356+AG359+AG364+AG370</f>
      </c>
      <c r="AH371" s="254">
        <f>AH351+AH356+AH359+AH364+AH370</f>
      </c>
      <c r="AI371" s="254">
        <f>AI351+AI356+AI359+AI364+AI370</f>
      </c>
      <c r="AJ371" s="254">
        <f>AJ351+AJ356+AJ359+AJ364+AJ370</f>
      </c>
      <c r="AK371" s="254">
        <f>AK351+AK356+AK359+AK364+AK370</f>
      </c>
      <c r="AL371" s="254">
        <f>AL351+AL356+AL359+AL364+AL370</f>
      </c>
    </row>
    <row r="372">
      <c r="A372" s="202" t="s">
        <v>162</v>
      </c>
      <c r="B372" s="203" t="s">
        <v>163</v>
      </c>
      <c r="C372" s="203" t="s">
        <v>164</v>
      </c>
      <c r="D372" s="204" t="s">
        <v>165</v>
      </c>
      <c r="E372" s="203" t="s">
        <v>166</v>
      </c>
      <c r="F372" s="203" t="s">
        <v>167</v>
      </c>
      <c r="G372" s="205" t="s">
        <v>168</v>
      </c>
      <c r="H372" s="205" t="s">
        <v>169</v>
      </c>
      <c r="I372" s="204" t="s">
        <v>170</v>
      </c>
      <c r="J372" s="206" t="s">
        <v>171</v>
      </c>
      <c r="K372" s="207" t="s">
        <v>172</v>
      </c>
      <c r="L372" s="207" t="s">
        <v>173</v>
      </c>
      <c r="M372" s="208" t="s">
        <v>174</v>
      </c>
      <c r="N372" s="207" t="s">
        <v>175</v>
      </c>
      <c r="O372" s="203" t="s">
        <v>176</v>
      </c>
      <c r="P372" s="208" t="s">
        <v>177</v>
      </c>
      <c r="Q372" s="209" t="s">
        <v>178</v>
      </c>
      <c r="R372" s="209" t="s">
        <v>179</v>
      </c>
      <c r="S372" s="204" t="s">
        <v>180</v>
      </c>
      <c r="T372" s="210" t="s">
        <v>181</v>
      </c>
      <c r="U372" s="208" t="s">
        <v>182</v>
      </c>
      <c r="V372" s="211" t="s">
        <v>183</v>
      </c>
      <c r="W372" s="212" t="s">
        <v>184</v>
      </c>
      <c r="X372" s="208" t="s">
        <v>185</v>
      </c>
      <c r="Y372" s="213" t="s">
        <v>186</v>
      </c>
      <c r="Z372" s="214" t="s">
        <v>187</v>
      </c>
      <c r="AA372" s="213" t="s">
        <v>188</v>
      </c>
      <c r="AB372" s="215" t="s">
        <v>189</v>
      </c>
      <c r="AC372" s="215" t="s">
        <v>190</v>
      </c>
      <c r="AD372" s="207" t="s">
        <v>191</v>
      </c>
      <c r="AE372" s="206" t="s">
        <v>192</v>
      </c>
      <c r="AF372" s="207" t="s">
        <v>193</v>
      </c>
      <c r="AG372" s="206" t="s">
        <v>194</v>
      </c>
      <c r="AH372" s="206" t="s">
        <v>195</v>
      </c>
      <c r="AI372" s="207" t="s">
        <v>196</v>
      </c>
      <c r="AJ372" s="206" t="s">
        <v>197</v>
      </c>
      <c r="AK372" s="207" t="s">
        <v>198</v>
      </c>
      <c r="AL372" s="206" t="s">
        <v>199</v>
      </c>
    </row>
    <row r="373">
      <c r="A373" s="216">
        <v>46255</v>
      </c>
      <c r="B373" s="217" t="s">
        <v>200</v>
      </c>
      <c r="C373" s="218" t="s">
        <v>234</v>
      </c>
      <c r="D373" s="219">
        <f t="shared" ref="D373:D377" si="497">E373+F373+G373+H373</f>
      </c>
      <c r="E373" s="220">
        <v>1043.32</v>
      </c>
      <c r="F373" s="221">
        <v>5624.53</v>
      </c>
      <c r="G373" s="221">
        <v>2059.32</v>
      </c>
      <c r="H373" s="221">
        <v>0</v>
      </c>
      <c r="I373" s="221">
        <f t="shared" ref="I373:I377" si="384">AB373+AC373</f>
      </c>
      <c r="J373" s="222">
        <f>2123.16+656</f>
      </c>
      <c r="K373" s="223">
        <f t="shared" ref="K373:K377" si="269">I373-J373</f>
      </c>
      <c r="L373" s="223">
        <f t="shared" ref="L373:L377" si="154">(I373-AC373)/12+AC373</f>
      </c>
      <c r="M373" s="224">
        <f t="shared" ref="M373:M398" si="82">I373/D373</f>
      </c>
      <c r="N373" s="225">
        <f t="shared" ref="N373:N398" si="51">(I373-J373)/D373</f>
      </c>
      <c r="O373" s="226">
        <f t="shared" ref="O373:O398" si="20">(AC373+AB373/12)/D373</f>
      </c>
      <c r="P373" s="227">
        <f t="shared" ref="P373:P398" si="955">I373/AA373</f>
      </c>
      <c r="Q373" s="227">
        <f t="shared" ref="Q373:Q398" si="924">D373/AA373</f>
      </c>
      <c r="R373" s="227">
        <f t="shared" ref="R373:R398" si="893">D373/AG373</f>
      </c>
      <c r="S373" s="228">
        <f t="shared" ref="S373:S398" si="862">AA373/Y373</f>
      </c>
      <c r="T373" s="229">
        <f t="shared" ref="T373:T398" si="800">AI373/AH373</f>
      </c>
      <c r="U373" s="227">
        <f t="shared" ref="U373:U398" si="769">D373/AJ373</f>
      </c>
      <c r="V373" s="230">
        <f t="shared" ref="V373:V398" si="831">AK373/AJ373</f>
      </c>
      <c r="W373" s="230">
        <f t="shared" ref="W373:W398" si="738">AL373/AJ373</f>
      </c>
      <c r="X373" s="227">
        <f t="shared" ref="X373:X398" si="707">D373/AL373</f>
      </c>
      <c r="Y373" s="231">
        <f t="shared" ref="Y373:Y377" si="602">Z373+AA373</f>
      </c>
      <c r="Z373" s="231">
        <v>7</v>
      </c>
      <c r="AA373" s="231">
        <v>8</v>
      </c>
      <c r="AB373" s="232">
        <v>10213.200000000004</v>
      </c>
      <c r="AC373" s="232">
        <v>2027</v>
      </c>
      <c r="AD373" s="228">
        <f t="shared" ref="AD373:AD398" si="676">AC373/I373</f>
      </c>
      <c r="AE373" s="233" t="s">
        <v>202</v>
      </c>
      <c r="AF373" s="234" t="s">
        <v>232</v>
      </c>
      <c r="AG373" s="235">
        <v>8</v>
      </c>
      <c r="AH373" s="235">
        <v>97510</v>
      </c>
      <c r="AI373" s="236">
        <v>1861</v>
      </c>
      <c r="AJ373" s="236">
        <v>1941</v>
      </c>
      <c r="AK373" s="235">
        <v>247</v>
      </c>
      <c r="AL373" s="237">
        <v>246</v>
      </c>
    </row>
    <row r="374">
      <c r="A374" s="216"/>
      <c r="B374" s="217" t="s">
        <v>200</v>
      </c>
      <c r="C374" s="218" t="s">
        <v>235</v>
      </c>
      <c r="D374" s="219">
        <f t="shared" si="497"/>
      </c>
      <c r="E374" s="218">
        <v>1150.26</v>
      </c>
      <c r="F374" s="221">
        <v>5452.58</v>
      </c>
      <c r="G374" s="221">
        <v>2287.52</v>
      </c>
      <c r="H374" s="221">
        <v>0</v>
      </c>
      <c r="I374" s="221">
        <f t="shared" si="384"/>
      </c>
      <c r="J374" s="222">
        <v>1253.88</v>
      </c>
      <c r="K374" s="223">
        <f t="shared" si="269"/>
      </c>
      <c r="L374" s="223">
        <f t="shared" si="154"/>
      </c>
      <c r="M374" s="224">
        <f t="shared" si="82"/>
      </c>
      <c r="N374" s="225">
        <f t="shared" si="51"/>
      </c>
      <c r="O374" s="226">
        <f t="shared" si="20"/>
      </c>
      <c r="P374" s="227">
        <f t="shared" si="955"/>
      </c>
      <c r="Q374" s="227">
        <f t="shared" si="924"/>
      </c>
      <c r="R374" s="227">
        <f t="shared" si="893"/>
      </c>
      <c r="S374" s="228">
        <f t="shared" si="862"/>
      </c>
      <c r="T374" s="229">
        <f t="shared" si="800"/>
      </c>
      <c r="U374" s="227">
        <f t="shared" si="769"/>
      </c>
      <c r="V374" s="230">
        <f t="shared" si="831"/>
      </c>
      <c r="W374" s="230">
        <f t="shared" si="738"/>
      </c>
      <c r="X374" s="227">
        <f t="shared" si="707"/>
      </c>
      <c r="Y374" s="231">
        <f t="shared" si="602"/>
      </c>
      <c r="Z374" s="231">
        <v>7</v>
      </c>
      <c r="AA374" s="231">
        <v>8</v>
      </c>
      <c r="AB374" s="232">
        <v>12596.759999999995</v>
      </c>
      <c r="AC374" s="232">
        <v>2880</v>
      </c>
      <c r="AD374" s="228">
        <f t="shared" si="676"/>
      </c>
      <c r="AE374" s="233" t="s">
        <v>202</v>
      </c>
      <c r="AF374" s="234" t="s">
        <v>232</v>
      </c>
      <c r="AG374" s="235">
        <v>7</v>
      </c>
      <c r="AH374" s="236">
        <v>82341</v>
      </c>
      <c r="AI374" s="236">
        <v>1290</v>
      </c>
      <c r="AJ374" s="236">
        <v>1389</v>
      </c>
      <c r="AK374" s="237">
        <v>215</v>
      </c>
      <c r="AL374" s="237">
        <v>227</v>
      </c>
    </row>
    <row r="375">
      <c r="A375" s="216"/>
      <c r="B375" s="217" t="s">
        <v>200</v>
      </c>
      <c r="C375" s="218" t="s">
        <v>236</v>
      </c>
      <c r="D375" s="219">
        <f t="shared" si="497"/>
      </c>
      <c r="E375" s="218">
        <v>856.35</v>
      </c>
      <c r="F375" s="218">
        <v>8967.57</v>
      </c>
      <c r="G375" s="218">
        <v>4211.72</v>
      </c>
      <c r="H375" s="221">
        <v>0</v>
      </c>
      <c r="I375" s="221">
        <f t="shared" si="384"/>
      </c>
      <c r="J375" s="222">
        <v>0</v>
      </c>
      <c r="K375" s="223">
        <f t="shared" si="269"/>
      </c>
      <c r="L375" s="223">
        <f t="shared" si="154"/>
      </c>
      <c r="M375" s="224">
        <f t="shared" si="82"/>
      </c>
      <c r="N375" s="225">
        <f t="shared" si="51"/>
      </c>
      <c r="O375" s="226">
        <f t="shared" si="20"/>
      </c>
      <c r="P375" s="227">
        <f t="shared" si="955"/>
      </c>
      <c r="Q375" s="227">
        <f t="shared" si="924"/>
      </c>
      <c r="R375" s="227">
        <f t="shared" si="893"/>
      </c>
      <c r="S375" s="228">
        <f t="shared" si="862"/>
      </c>
      <c r="T375" s="229">
        <f t="shared" si="800"/>
      </c>
      <c r="U375" s="227">
        <f t="shared" si="769"/>
      </c>
      <c r="V375" s="230">
        <f t="shared" si="831"/>
      </c>
      <c r="W375" s="230">
        <f t="shared" si="738"/>
      </c>
      <c r="X375" s="227">
        <f t="shared" si="707"/>
      </c>
      <c r="Y375" s="231">
        <f t="shared" si="602"/>
      </c>
      <c r="Z375" s="231">
        <v>1</v>
      </c>
      <c r="AA375" s="231">
        <v>11</v>
      </c>
      <c r="AB375" s="232">
        <v>17885.40000000001</v>
      </c>
      <c r="AC375" s="232">
        <v>2702</v>
      </c>
      <c r="AD375" s="228">
        <f t="shared" si="676"/>
      </c>
      <c r="AE375" s="233" t="s">
        <v>202</v>
      </c>
      <c r="AF375" s="234" t="s">
        <v>232</v>
      </c>
      <c r="AG375" s="237">
        <v>10</v>
      </c>
      <c r="AH375" s="236">
        <v>124864</v>
      </c>
      <c r="AI375" s="236">
        <v>1579</v>
      </c>
      <c r="AJ375" s="236">
        <v>1577</v>
      </c>
      <c r="AK375" s="237">
        <v>253</v>
      </c>
      <c r="AL375" s="237">
        <v>325</v>
      </c>
    </row>
    <row r="376">
      <c r="A376" s="216"/>
      <c r="B376" s="217" t="s">
        <v>200</v>
      </c>
      <c r="C376" s="218" t="s">
        <v>216</v>
      </c>
      <c r="D376" s="219">
        <f t="shared" si="497"/>
      </c>
      <c r="E376" s="218">
        <v>1233.42</v>
      </c>
      <c r="F376" s="221">
        <v>11787.22</v>
      </c>
      <c r="G376" s="221">
        <v>3078.55</v>
      </c>
      <c r="H376" s="221">
        <v>0</v>
      </c>
      <c r="I376" s="238">
        <f t="shared" si="384"/>
      </c>
      <c r="J376" s="222">
        <f>4409.36+1126.44+970.92</f>
      </c>
      <c r="K376" s="223">
        <f t="shared" si="269"/>
      </c>
      <c r="L376" s="223">
        <f t="shared" si="154"/>
      </c>
      <c r="M376" s="224">
        <f t="shared" si="82"/>
      </c>
      <c r="N376" s="225">
        <f t="shared" si="51"/>
      </c>
      <c r="O376" s="226">
        <f t="shared" si="20"/>
      </c>
      <c r="P376" s="227">
        <f t="shared" si="955"/>
      </c>
      <c r="Q376" s="227">
        <f t="shared" si="924"/>
      </c>
      <c r="R376" s="227">
        <f t="shared" si="893"/>
      </c>
      <c r="S376" s="228">
        <f t="shared" si="862"/>
      </c>
      <c r="T376" s="229">
        <f t="shared" si="800"/>
      </c>
      <c r="U376" s="227">
        <f t="shared" si="769"/>
      </c>
      <c r="V376" s="230">
        <f t="shared" si="831"/>
      </c>
      <c r="W376" s="230">
        <f t="shared" si="738"/>
      </c>
      <c r="X376" s="227">
        <f t="shared" si="707"/>
      </c>
      <c r="Y376" s="231">
        <f t="shared" si="602"/>
      </c>
      <c r="Z376" s="231">
        <v>8</v>
      </c>
      <c r="AA376" s="231">
        <v>14</v>
      </c>
      <c r="AB376" s="232">
        <v>15709.679999999993</v>
      </c>
      <c r="AC376" s="232">
        <v>0</v>
      </c>
      <c r="AD376" s="228">
        <f t="shared" si="676"/>
      </c>
      <c r="AE376" s="233" t="s">
        <v>202</v>
      </c>
      <c r="AF376" s="234" t="s">
        <v>232</v>
      </c>
      <c r="AG376" s="235">
        <v>10</v>
      </c>
      <c r="AH376" s="236">
        <v>162448</v>
      </c>
      <c r="AI376" s="236">
        <v>1702</v>
      </c>
      <c r="AJ376" s="236">
        <v>1688</v>
      </c>
      <c r="AK376" s="237">
        <v>265</v>
      </c>
      <c r="AL376" s="237">
        <v>327</v>
      </c>
    </row>
    <row r="377">
      <c r="A377" s="216"/>
      <c r="B377" s="217" t="s">
        <v>200</v>
      </c>
      <c r="C377" s="218" t="s">
        <v>218</v>
      </c>
      <c r="D377" s="219">
        <f t="shared" si="497"/>
      </c>
      <c r="E377" s="220">
        <v>639.78</v>
      </c>
      <c r="F377" s="221">
        <v>9381.74</v>
      </c>
      <c r="G377" s="221">
        <v>2401.57</v>
      </c>
      <c r="H377" s="221">
        <v>0</v>
      </c>
      <c r="I377" s="221">
        <f t="shared" si="384"/>
      </c>
      <c r="J377" s="222">
        <f>9867.96+2603.88+2095.2+2114.64</f>
      </c>
      <c r="K377" s="223">
        <f t="shared" si="269"/>
      </c>
      <c r="L377" s="223">
        <f t="shared" si="154"/>
      </c>
      <c r="M377" s="224">
        <f t="shared" si="82"/>
      </c>
      <c r="N377" s="225">
        <f t="shared" si="51"/>
      </c>
      <c r="O377" s="226">
        <f t="shared" si="20"/>
      </c>
      <c r="P377" s="227">
        <f t="shared" si="955"/>
      </c>
      <c r="Q377" s="227">
        <f t="shared" si="924"/>
      </c>
      <c r="R377" s="227">
        <f t="shared" si="893"/>
      </c>
      <c r="S377" s="228">
        <f t="shared" si="862"/>
      </c>
      <c r="T377" s="229">
        <f t="shared" si="800"/>
      </c>
      <c r="U377" s="227">
        <f t="shared" si="769"/>
      </c>
      <c r="V377" s="230">
        <f t="shared" si="831"/>
      </c>
      <c r="W377" s="230">
        <f t="shared" si="738"/>
      </c>
      <c r="X377" s="227">
        <f t="shared" si="707"/>
      </c>
      <c r="Y377" s="231">
        <f t="shared" si="602"/>
      </c>
      <c r="Z377" s="231">
        <v>7</v>
      </c>
      <c r="AA377" s="231">
        <v>14</v>
      </c>
      <c r="AB377" s="232">
        <v>25508.399999999994</v>
      </c>
      <c r="AC377" s="232">
        <v>645</v>
      </c>
      <c r="AD377" s="228">
        <f t="shared" si="676"/>
      </c>
      <c r="AE377" s="233" t="s">
        <v>202</v>
      </c>
      <c r="AF377" s="234" t="s">
        <v>232</v>
      </c>
      <c r="AG377" s="235">
        <v>13</v>
      </c>
      <c r="AH377" s="236">
        <v>141558</v>
      </c>
      <c r="AI377" s="236">
        <v>1068</v>
      </c>
      <c r="AJ377" s="236">
        <v>1063</v>
      </c>
      <c r="AK377" s="235">
        <v>195</v>
      </c>
      <c r="AL377" s="235">
        <v>245</v>
      </c>
    </row>
    <row r="378">
      <c r="A378" s="216"/>
      <c r="B378" s="239" t="s">
        <v>208</v>
      </c>
      <c r="C378" s="240">
        <v>5</v>
      </c>
      <c r="D378" s="241">
        <f>SUM(D373:D377)</f>
      </c>
      <c r="E378" s="241">
        <f>SUM(E373:E377)</f>
      </c>
      <c r="F378" s="241">
        <f>SUM(F373:F377)</f>
      </c>
      <c r="G378" s="241">
        <f>SUM(G373:G377)</f>
      </c>
      <c r="H378" s="241">
        <f>SUM(H373:H377)</f>
      </c>
      <c r="I378" s="241">
        <f>SUM(I373:I377)</f>
      </c>
      <c r="J378" s="241">
        <f>SUM(J373:J377)</f>
      </c>
      <c r="K378" s="241">
        <f>SUM(K373:K377)</f>
      </c>
      <c r="L378" s="241">
        <f>SUM(L373:L377)</f>
      </c>
      <c r="M378" s="242">
        <f t="shared" si="82"/>
      </c>
      <c r="N378" s="243">
        <f t="shared" si="51"/>
      </c>
      <c r="O378" s="243">
        <f t="shared" si="20"/>
      </c>
      <c r="P378" s="244">
        <f t="shared" si="955"/>
      </c>
      <c r="Q378" s="244">
        <f t="shared" si="924"/>
      </c>
      <c r="R378" s="244">
        <f t="shared" si="893"/>
      </c>
      <c r="S378" s="245">
        <f t="shared" si="862"/>
      </c>
      <c r="T378" s="245">
        <f t="shared" si="800"/>
      </c>
      <c r="U378" s="244">
        <f t="shared" si="769"/>
      </c>
      <c r="V378" s="245">
        <f t="shared" si="831"/>
      </c>
      <c r="W378" s="245">
        <f t="shared" si="738"/>
      </c>
      <c r="X378" s="244">
        <f t="shared" si="707"/>
      </c>
      <c r="Y378" s="241">
        <f>SUM(Y373:Y377)</f>
      </c>
      <c r="Z378" s="241">
        <f>SUM(Z373:Z377)</f>
      </c>
      <c r="AA378" s="241">
        <f>SUM(AA373:AA377)</f>
      </c>
      <c r="AB378" s="241">
        <f>SUM(AB373:AB377)</f>
      </c>
      <c r="AC378" s="241">
        <f>SUM(AC373:AC377)</f>
      </c>
      <c r="AD378" s="246">
        <f t="shared" si="676"/>
      </c>
      <c r="AE378" s="247"/>
      <c r="AF378" s="248"/>
      <c r="AG378" s="241">
        <f>SUM(AG373:AG377)</f>
      </c>
      <c r="AH378" s="241">
        <f>SUM(AH373:AH377)</f>
      </c>
      <c r="AI378" s="241">
        <f>SUM(AI373:AI377)</f>
      </c>
      <c r="AJ378" s="241">
        <f>SUM(AJ373:AJ377)</f>
      </c>
      <c r="AK378" s="241">
        <f>SUM(AK373:AK377)</f>
      </c>
      <c r="AL378" s="241">
        <f>SUM(AL373:AL377)</f>
      </c>
    </row>
    <row r="379">
      <c r="A379" s="216"/>
      <c r="B379" s="217" t="s">
        <v>231</v>
      </c>
      <c r="C379" s="218" t="s">
        <v>219</v>
      </c>
      <c r="D379" s="219">
        <f t="shared" ref="D379:D383" si="498">E379+F379+G379+H379</f>
      </c>
      <c r="E379" s="220">
        <v>526.28</v>
      </c>
      <c r="F379" s="221">
        <v>11869.51</v>
      </c>
      <c r="G379" s="221">
        <v>4299.02</v>
      </c>
      <c r="H379" s="221">
        <v>0</v>
      </c>
      <c r="I379" s="221">
        <f t="shared" ref="I379:I383" si="385">AB379+AC379</f>
      </c>
      <c r="J379" s="222">
        <v>1172.88</v>
      </c>
      <c r="K379" s="223">
        <f t="shared" ref="K379:K383" si="270">I379-J379</f>
      </c>
      <c r="L379" s="223">
        <f t="shared" ref="L379:L383" si="155">(I379-AC379)/12+AC379</f>
      </c>
      <c r="M379" s="224">
        <f t="shared" si="82"/>
      </c>
      <c r="N379" s="225">
        <f t="shared" si="51"/>
      </c>
      <c r="O379" s="226">
        <f t="shared" si="20"/>
      </c>
      <c r="P379" s="227">
        <f t="shared" si="955"/>
      </c>
      <c r="Q379" s="227">
        <f t="shared" si="924"/>
      </c>
      <c r="R379" s="227">
        <f t="shared" si="893"/>
      </c>
      <c r="S379" s="228">
        <f t="shared" si="862"/>
      </c>
      <c r="T379" s="229">
        <f t="shared" si="800"/>
      </c>
      <c r="U379" s="227">
        <f t="shared" si="769"/>
      </c>
      <c r="V379" s="230">
        <f t="shared" si="831"/>
      </c>
      <c r="W379" s="230">
        <f t="shared" si="738"/>
      </c>
      <c r="X379" s="227">
        <f t="shared" si="707"/>
      </c>
      <c r="Y379" s="231">
        <f t="shared" ref="Y379:Y383" si="603">Z379+AA379</f>
      </c>
      <c r="Z379" s="231">
        <v>7</v>
      </c>
      <c r="AA379" s="231">
        <v>11</v>
      </c>
      <c r="AB379" s="232">
        <v>29082.360000000008</v>
      </c>
      <c r="AC379" s="232">
        <v>1024</v>
      </c>
      <c r="AD379" s="228">
        <f t="shared" si="676"/>
      </c>
      <c r="AE379" s="233" t="s">
        <v>202</v>
      </c>
      <c r="AF379" s="234" t="s">
        <v>232</v>
      </c>
      <c r="AG379" s="235">
        <v>11</v>
      </c>
      <c r="AH379" s="236">
        <v>155954</v>
      </c>
      <c r="AI379" s="236">
        <v>1224</v>
      </c>
      <c r="AJ379" s="236">
        <v>1148</v>
      </c>
      <c r="AK379" s="235">
        <v>233</v>
      </c>
      <c r="AL379" s="235">
        <v>318</v>
      </c>
    </row>
    <row r="380">
      <c r="A380" s="216"/>
      <c r="B380" s="217" t="s">
        <v>231</v>
      </c>
      <c r="C380" s="218" t="s">
        <v>220</v>
      </c>
      <c r="D380" s="219">
        <f t="shared" si="498"/>
      </c>
      <c r="E380" s="218">
        <v>495.28</v>
      </c>
      <c r="F380" s="221">
        <v>8245.62</v>
      </c>
      <c r="G380" s="221">
        <v>3751.59</v>
      </c>
      <c r="H380" s="221">
        <v>0</v>
      </c>
      <c r="I380" s="221">
        <f t="shared" si="385"/>
      </c>
      <c r="J380" s="222">
        <f>1622.16+1245.24+775.44</f>
      </c>
      <c r="K380" s="223">
        <f t="shared" si="270"/>
      </c>
      <c r="L380" s="223">
        <f t="shared" si="155"/>
      </c>
      <c r="M380" s="224">
        <f t="shared" si="82"/>
      </c>
      <c r="N380" s="225">
        <f t="shared" si="51"/>
      </c>
      <c r="O380" s="226">
        <f t="shared" si="20"/>
      </c>
      <c r="P380" s="227">
        <f t="shared" si="955"/>
      </c>
      <c r="Q380" s="227">
        <f t="shared" si="924"/>
      </c>
      <c r="R380" s="227">
        <f t="shared" si="893"/>
      </c>
      <c r="S380" s="228">
        <f t="shared" si="862"/>
      </c>
      <c r="T380" s="229">
        <f t="shared" si="800"/>
      </c>
      <c r="U380" s="227">
        <f t="shared" si="769"/>
      </c>
      <c r="V380" s="230">
        <f t="shared" si="831"/>
      </c>
      <c r="W380" s="230">
        <f t="shared" si="738"/>
      </c>
      <c r="X380" s="227">
        <f t="shared" si="707"/>
      </c>
      <c r="Y380" s="231">
        <f t="shared" si="603"/>
      </c>
      <c r="Z380" s="231">
        <v>12</v>
      </c>
      <c r="AA380" s="231">
        <v>10</v>
      </c>
      <c r="AB380" s="232">
        <v>12750.239999999983</v>
      </c>
      <c r="AC380" s="232">
        <v>2129</v>
      </c>
      <c r="AD380" s="228">
        <f t="shared" si="676"/>
      </c>
      <c r="AE380" s="233" t="s">
        <v>202</v>
      </c>
      <c r="AF380" s="234" t="s">
        <v>232</v>
      </c>
      <c r="AG380" s="235">
        <v>9</v>
      </c>
      <c r="AH380" s="236">
        <v>149218</v>
      </c>
      <c r="AI380" s="236">
        <v>1300</v>
      </c>
      <c r="AJ380" s="236">
        <v>1232</v>
      </c>
      <c r="AK380" s="237">
        <v>249</v>
      </c>
      <c r="AL380" s="237">
        <v>331</v>
      </c>
    </row>
    <row r="381">
      <c r="A381" s="216"/>
      <c r="B381" s="217" t="s">
        <v>231</v>
      </c>
      <c r="C381" s="218" t="s">
        <v>221</v>
      </c>
      <c r="D381" s="219">
        <f t="shared" si="498"/>
      </c>
      <c r="E381" s="218">
        <v>666.62</v>
      </c>
      <c r="F381" s="218">
        <v>8836.3</v>
      </c>
      <c r="G381" s="218">
        <v>2927.55</v>
      </c>
      <c r="H381" s="221">
        <v>0</v>
      </c>
      <c r="I381" s="221">
        <f t="shared" si="385"/>
      </c>
      <c r="J381" s="222">
        <f>1670.76+546.48+2917.08</f>
      </c>
      <c r="K381" s="223">
        <f t="shared" si="270"/>
      </c>
      <c r="L381" s="223">
        <f t="shared" si="155"/>
      </c>
      <c r="M381" s="224">
        <f t="shared" si="82"/>
      </c>
      <c r="N381" s="225">
        <f t="shared" si="51"/>
      </c>
      <c r="O381" s="226">
        <f t="shared" si="20"/>
      </c>
      <c r="P381" s="227">
        <f t="shared" si="955"/>
      </c>
      <c r="Q381" s="227">
        <f t="shared" si="924"/>
      </c>
      <c r="R381" s="227">
        <f t="shared" si="893"/>
      </c>
      <c r="S381" s="228">
        <f t="shared" si="862"/>
      </c>
      <c r="T381" s="229">
        <f t="shared" si="800"/>
      </c>
      <c r="U381" s="227">
        <f t="shared" si="769"/>
      </c>
      <c r="V381" s="230">
        <f t="shared" si="831"/>
      </c>
      <c r="W381" s="230">
        <f t="shared" si="738"/>
      </c>
      <c r="X381" s="227">
        <f t="shared" si="707"/>
      </c>
      <c r="Y381" s="231">
        <f t="shared" si="603"/>
      </c>
      <c r="Z381" s="231">
        <v>15</v>
      </c>
      <c r="AA381" s="231">
        <v>18</v>
      </c>
      <c r="AB381" s="232">
        <v>19541.519999999997</v>
      </c>
      <c r="AC381" s="232">
        <v>4535.299999999999</v>
      </c>
      <c r="AD381" s="228">
        <f t="shared" si="676"/>
      </c>
      <c r="AE381" s="233" t="s">
        <v>202</v>
      </c>
      <c r="AF381" s="234" t="s">
        <v>232</v>
      </c>
      <c r="AG381" s="237">
        <v>14</v>
      </c>
      <c r="AH381" s="236">
        <v>133923</v>
      </c>
      <c r="AI381" s="236">
        <v>1451</v>
      </c>
      <c r="AJ381" s="236">
        <v>1370</v>
      </c>
      <c r="AK381" s="237">
        <v>319</v>
      </c>
      <c r="AL381" s="237">
        <v>400</v>
      </c>
    </row>
    <row r="382">
      <c r="A382" s="216"/>
      <c r="B382" s="217" t="s">
        <v>231</v>
      </c>
      <c r="C382" s="218" t="s">
        <v>201</v>
      </c>
      <c r="D382" s="219">
        <f t="shared" si="498"/>
      </c>
      <c r="E382" s="218">
        <v>678.58</v>
      </c>
      <c r="F382" s="221">
        <v>11288.82</v>
      </c>
      <c r="G382" s="221">
        <v>4611.76</v>
      </c>
      <c r="H382" s="221">
        <v>0</v>
      </c>
      <c r="I382" s="221">
        <f t="shared" si="385"/>
      </c>
      <c r="J382" s="222">
        <f>676.08+2608.2</f>
      </c>
      <c r="K382" s="223">
        <f t="shared" si="270"/>
      </c>
      <c r="L382" s="223">
        <f t="shared" si="155"/>
      </c>
      <c r="M382" s="224">
        <f t="shared" si="82"/>
      </c>
      <c r="N382" s="225">
        <f t="shared" si="51"/>
      </c>
      <c r="O382" s="226">
        <f t="shared" si="20"/>
      </c>
      <c r="P382" s="227">
        <f t="shared" si="955"/>
      </c>
      <c r="Q382" s="227">
        <f t="shared" si="924"/>
      </c>
      <c r="R382" s="227">
        <f t="shared" si="893"/>
      </c>
      <c r="S382" s="228">
        <f t="shared" si="862"/>
      </c>
      <c r="T382" s="229">
        <f t="shared" si="800"/>
      </c>
      <c r="U382" s="227">
        <f t="shared" si="769"/>
      </c>
      <c r="V382" s="230">
        <f t="shared" si="831"/>
      </c>
      <c r="W382" s="230">
        <f t="shared" si="738"/>
      </c>
      <c r="X382" s="227">
        <f t="shared" si="707"/>
      </c>
      <c r="Y382" s="231">
        <f t="shared" si="603"/>
      </c>
      <c r="Z382" s="231">
        <v>16</v>
      </c>
      <c r="AA382" s="231">
        <v>12</v>
      </c>
      <c r="AB382" s="222">
        <v>15510.360000000008</v>
      </c>
      <c r="AC382" s="232">
        <v>1547</v>
      </c>
      <c r="AD382" s="228">
        <f t="shared" si="676"/>
      </c>
      <c r="AE382" s="233" t="s">
        <v>202</v>
      </c>
      <c r="AF382" s="234" t="s">
        <v>232</v>
      </c>
      <c r="AG382" s="235">
        <v>12</v>
      </c>
      <c r="AH382" s="236">
        <v>158346</v>
      </c>
      <c r="AI382" s="236">
        <v>1550</v>
      </c>
      <c r="AJ382" s="236">
        <v>1489</v>
      </c>
      <c r="AK382" s="237">
        <v>355</v>
      </c>
      <c r="AL382" s="237">
        <v>422</v>
      </c>
    </row>
    <row customHeight="true" ht="16.666666666666668" r="383">
      <c r="A383" s="216"/>
      <c r="B383" s="217" t="s">
        <v>231</v>
      </c>
      <c r="C383" s="218" t="s">
        <v>204</v>
      </c>
      <c r="D383" s="219">
        <f t="shared" si="498"/>
      </c>
      <c r="E383" s="218">
        <v>275.88</v>
      </c>
      <c r="F383" s="221">
        <v>7114.47</v>
      </c>
      <c r="G383" s="221">
        <v>8954.33</v>
      </c>
      <c r="H383" s="221">
        <v>0</v>
      </c>
      <c r="I383" s="221">
        <f t="shared" si="385"/>
      </c>
      <c r="J383" s="222">
        <f>6432.84+1320.84+568.08+385.56</f>
      </c>
      <c r="K383" s="223">
        <f t="shared" si="270"/>
      </c>
      <c r="L383" s="223">
        <f t="shared" si="155"/>
      </c>
      <c r="M383" s="224">
        <f t="shared" si="82"/>
      </c>
      <c r="N383" s="225">
        <f t="shared" si="51"/>
      </c>
      <c r="O383" s="226">
        <f t="shared" si="20"/>
      </c>
      <c r="P383" s="227">
        <f t="shared" si="955"/>
      </c>
      <c r="Q383" s="227">
        <f t="shared" si="924"/>
      </c>
      <c r="R383" s="227">
        <f t="shared" si="893"/>
      </c>
      <c r="S383" s="228">
        <f t="shared" si="862"/>
      </c>
      <c r="T383" s="229">
        <f t="shared" si="800"/>
      </c>
      <c r="U383" s="227">
        <f t="shared" si="769"/>
      </c>
      <c r="V383" s="230">
        <f t="shared" si="831"/>
      </c>
      <c r="W383" s="230">
        <f t="shared" si="738"/>
      </c>
      <c r="X383" s="227">
        <f t="shared" si="707"/>
      </c>
      <c r="Y383" s="231">
        <f t="shared" si="603"/>
      </c>
      <c r="Z383" s="231">
        <v>21</v>
      </c>
      <c r="AA383" s="231">
        <v>18</v>
      </c>
      <c r="AB383" s="222">
        <v>25560.96</v>
      </c>
      <c r="AC383" s="232">
        <v>656</v>
      </c>
      <c r="AD383" s="228">
        <f t="shared" si="676"/>
      </c>
      <c r="AE383" s="233" t="s">
        <v>202</v>
      </c>
      <c r="AF383" s="234" t="s">
        <v>232</v>
      </c>
      <c r="AG383" s="235">
        <v>14</v>
      </c>
      <c r="AH383" s="236">
        <v>186620</v>
      </c>
      <c r="AI383" s="236">
        <v>1490</v>
      </c>
      <c r="AJ383" s="236">
        <v>1364</v>
      </c>
      <c r="AK383" s="237">
        <v>346</v>
      </c>
      <c r="AL383" s="237">
        <v>428</v>
      </c>
    </row>
    <row r="384">
      <c r="A384" s="216"/>
      <c r="B384" s="239" t="s">
        <v>208</v>
      </c>
      <c r="C384" s="240">
        <v>5</v>
      </c>
      <c r="D384" s="241">
        <f>SUM(D379:D383)</f>
      </c>
      <c r="E384" s="241">
        <f>SUM(E379:E383)</f>
      </c>
      <c r="F384" s="241">
        <f>SUM(F379:F383)</f>
      </c>
      <c r="G384" s="241">
        <f>SUM(G379:G383)</f>
      </c>
      <c r="H384" s="241">
        <f>SUM(H379:H383)</f>
      </c>
      <c r="I384" s="241">
        <f>SUM(I379:I383)</f>
      </c>
      <c r="J384" s="241">
        <f>SUM(J379:J383)</f>
      </c>
      <c r="K384" s="241">
        <f>SUM(K379:K383)</f>
      </c>
      <c r="L384" s="241">
        <f>SUM(L379:L383)</f>
      </c>
      <c r="M384" s="242">
        <f t="shared" si="82"/>
      </c>
      <c r="N384" s="243">
        <f t="shared" si="51"/>
      </c>
      <c r="O384" s="243">
        <f t="shared" si="20"/>
      </c>
      <c r="P384" s="244">
        <f t="shared" si="955"/>
      </c>
      <c r="Q384" s="244">
        <f t="shared" si="924"/>
      </c>
      <c r="R384" s="244">
        <f t="shared" si="893"/>
      </c>
      <c r="S384" s="245">
        <f t="shared" si="862"/>
      </c>
      <c r="T384" s="245">
        <f t="shared" si="800"/>
      </c>
      <c r="U384" s="244">
        <f t="shared" si="769"/>
      </c>
      <c r="V384" s="245">
        <f t="shared" si="831"/>
      </c>
      <c r="W384" s="245">
        <f t="shared" si="738"/>
      </c>
      <c r="X384" s="244">
        <f t="shared" si="707"/>
      </c>
      <c r="Y384" s="241">
        <f>SUM(Y379:Y383)</f>
      </c>
      <c r="Z384" s="241">
        <f>SUM(Z379:Z383)</f>
      </c>
      <c r="AA384" s="241">
        <f>SUM(AA379:AA383)</f>
      </c>
      <c r="AB384" s="241">
        <f>SUM(AB379:AB383)</f>
      </c>
      <c r="AC384" s="241">
        <f>SUM(AC379:AC383)</f>
      </c>
      <c r="AD384" s="246">
        <f t="shared" si="676"/>
      </c>
      <c r="AE384" s="247"/>
      <c r="AF384" s="248"/>
      <c r="AG384" s="241">
        <f>SUM(AG379:AG383)</f>
      </c>
      <c r="AH384" s="241">
        <f>SUM(AH379:AH383)</f>
      </c>
      <c r="AI384" s="241">
        <f>SUM(AI379:AI383)</f>
      </c>
      <c r="AJ384" s="241">
        <f>SUM(AJ379:AJ383)</f>
      </c>
      <c r="AK384" s="241">
        <f>SUM(AK379:AK383)</f>
      </c>
      <c r="AL384" s="241">
        <f>SUM(AL379:AL383)</f>
      </c>
    </row>
    <row r="385">
      <c r="A385" s="216"/>
      <c r="B385" s="217" t="s">
        <v>233</v>
      </c>
      <c r="C385" s="218" t="s">
        <v>205</v>
      </c>
      <c r="D385" s="219">
        <f t="shared" ref="D385:D386" si="499">E385+F385+G385+H385</f>
      </c>
      <c r="E385" s="218">
        <v>216.27</v>
      </c>
      <c r="F385" s="249">
        <v>4453.05</v>
      </c>
      <c r="G385" s="221">
        <v>3645.42</v>
      </c>
      <c r="H385" s="221">
        <v>0</v>
      </c>
      <c r="I385" s="250">
        <f t="shared" ref="I385:I386" si="386">AB385+AC385</f>
      </c>
      <c r="J385" s="251">
        <v>1788.48</v>
      </c>
      <c r="K385" s="223">
        <f t="shared" ref="K385:K386" si="271">I385-J385</f>
      </c>
      <c r="L385" s="223">
        <f t="shared" ref="L385:L386" si="156">(I385-AC385)/12+AC385</f>
      </c>
      <c r="M385" s="224">
        <f t="shared" si="82"/>
      </c>
      <c r="N385" s="225">
        <f t="shared" si="51"/>
      </c>
      <c r="O385" s="226">
        <f t="shared" si="20"/>
      </c>
      <c r="P385" s="227">
        <f t="shared" si="955"/>
      </c>
      <c r="Q385" s="227">
        <f t="shared" si="924"/>
      </c>
      <c r="R385" s="227">
        <f t="shared" si="893"/>
      </c>
      <c r="S385" s="228">
        <f t="shared" si="862"/>
      </c>
      <c r="T385" s="229">
        <f t="shared" si="800"/>
      </c>
      <c r="U385" s="227">
        <f t="shared" si="769"/>
      </c>
      <c r="V385" s="230">
        <f t="shared" si="831"/>
      </c>
      <c r="W385" s="230">
        <f t="shared" si="738"/>
      </c>
      <c r="X385" s="227">
        <f t="shared" si="707"/>
      </c>
      <c r="Y385" s="231">
        <f t="shared" ref="Y385:Y386" si="604">Z385+AA385</f>
      </c>
      <c r="Z385" s="231">
        <v>4</v>
      </c>
      <c r="AA385" s="231">
        <v>2</v>
      </c>
      <c r="AB385" s="232">
        <v>1788.4800000000032</v>
      </c>
      <c r="AC385" s="232">
        <v>5395.9000000000015</v>
      </c>
      <c r="AD385" s="228">
        <f t="shared" si="676"/>
      </c>
      <c r="AE385" s="233" t="s">
        <v>202</v>
      </c>
      <c r="AF385" s="234" t="s">
        <v>203</v>
      </c>
      <c r="AG385" s="235">
        <v>2</v>
      </c>
      <c r="AH385" s="236">
        <v>94037</v>
      </c>
      <c r="AI385" s="236">
        <v>866</v>
      </c>
      <c r="AJ385" s="236">
        <v>818</v>
      </c>
      <c r="AK385" s="237">
        <v>196</v>
      </c>
      <c r="AL385" s="237">
        <v>230</v>
      </c>
    </row>
    <row r="386">
      <c r="A386" s="216"/>
      <c r="B386" s="217" t="s">
        <v>233</v>
      </c>
      <c r="C386" s="218" t="s">
        <v>206</v>
      </c>
      <c r="D386" s="219">
        <f t="shared" si="499"/>
      </c>
      <c r="E386" s="252">
        <v>475.88</v>
      </c>
      <c r="F386" s="268">
        <v>4571.79</v>
      </c>
      <c r="G386" s="269">
        <v>2329.72</v>
      </c>
      <c r="H386" s="221">
        <v>0</v>
      </c>
      <c r="I386" s="270">
        <f t="shared" si="386"/>
      </c>
      <c r="J386" s="251">
        <v>930.72</v>
      </c>
      <c r="K386" s="223">
        <f t="shared" si="271"/>
      </c>
      <c r="L386" s="223">
        <f t="shared" si="156"/>
      </c>
      <c r="M386" s="224">
        <f t="shared" si="82"/>
      </c>
      <c r="N386" s="225">
        <f t="shared" si="51"/>
      </c>
      <c r="O386" s="226">
        <f t="shared" si="20"/>
      </c>
      <c r="P386" s="227">
        <f t="shared" si="955"/>
      </c>
      <c r="Q386" s="227">
        <f t="shared" si="924"/>
      </c>
      <c r="R386" s="227">
        <f t="shared" si="893"/>
      </c>
      <c r="S386" s="228">
        <f t="shared" si="862"/>
      </c>
      <c r="T386" s="229">
        <f t="shared" si="800"/>
      </c>
      <c r="U386" s="227">
        <f t="shared" si="769"/>
      </c>
      <c r="V386" s="230">
        <f t="shared" si="831"/>
      </c>
      <c r="W386" s="230">
        <f t="shared" si="738"/>
      </c>
      <c r="X386" s="227">
        <f t="shared" si="707"/>
      </c>
      <c r="Y386" s="231">
        <f t="shared" si="604"/>
      </c>
      <c r="Z386" s="231">
        <v>4</v>
      </c>
      <c r="AA386" s="231">
        <v>6</v>
      </c>
      <c r="AB386" s="272">
        <v>7372.07999999998</v>
      </c>
      <c r="AC386" s="232">
        <v>0</v>
      </c>
      <c r="AD386" s="228">
        <f t="shared" si="676"/>
      </c>
      <c r="AE386" s="233" t="s">
        <v>202</v>
      </c>
      <c r="AF386" s="233" t="s">
        <v>203</v>
      </c>
      <c r="AG386" s="237">
        <v>5</v>
      </c>
      <c r="AH386" s="236">
        <v>71467</v>
      </c>
      <c r="AI386" s="236">
        <v>759</v>
      </c>
      <c r="AJ386" s="236">
        <v>713</v>
      </c>
      <c r="AK386" s="237">
        <v>120</v>
      </c>
      <c r="AL386" s="237">
        <v>166</v>
      </c>
    </row>
    <row r="387">
      <c r="A387" s="216"/>
      <c r="B387" s="239" t="s">
        <v>208</v>
      </c>
      <c r="C387" s="240">
        <v>2</v>
      </c>
      <c r="D387" s="273">
        <f>SUM(D385:D386)</f>
      </c>
      <c r="E387" s="273">
        <f>SUM(E385:E386)</f>
      </c>
      <c r="F387" s="273">
        <f>SUM(F385:F386)</f>
      </c>
      <c r="G387" s="273">
        <f>SUM(G385:G386)</f>
      </c>
      <c r="H387" s="273">
        <f>SUM(H385:H386)</f>
      </c>
      <c r="I387" s="273">
        <f>SUM(I385:I386)</f>
      </c>
      <c r="J387" s="273">
        <f>SUM(J385:J386)</f>
      </c>
      <c r="K387" s="273">
        <f>SUM(K385:K386)</f>
      </c>
      <c r="L387" s="273">
        <f>SUM(L385:L386)</f>
      </c>
      <c r="M387" s="242">
        <f t="shared" si="82"/>
      </c>
      <c r="N387" s="243">
        <f t="shared" si="51"/>
      </c>
      <c r="O387" s="243">
        <f t="shared" si="20"/>
      </c>
      <c r="P387" s="244">
        <f t="shared" si="955"/>
      </c>
      <c r="Q387" s="244">
        <f t="shared" si="924"/>
      </c>
      <c r="R387" s="244">
        <f t="shared" si="893"/>
      </c>
      <c r="S387" s="245">
        <f t="shared" si="862"/>
      </c>
      <c r="T387" s="245">
        <f t="shared" si="800"/>
      </c>
      <c r="U387" s="244">
        <f t="shared" si="769"/>
      </c>
      <c r="V387" s="245">
        <f t="shared" si="831"/>
      </c>
      <c r="W387" s="245">
        <f t="shared" si="738"/>
      </c>
      <c r="X387" s="244">
        <f t="shared" si="707"/>
      </c>
      <c r="Y387" s="273">
        <f>SUM(Y385:Y386)</f>
      </c>
      <c r="Z387" s="273">
        <f>SUM(Z385:Z386)</f>
      </c>
      <c r="AA387" s="273">
        <f>SUM(AA385:AA386)</f>
      </c>
      <c r="AB387" s="273">
        <f>SUM(AB385:AB386)</f>
      </c>
      <c r="AC387" s="273">
        <f>SUM(AC385:AC386)</f>
      </c>
      <c r="AD387" s="246">
        <f t="shared" si="676"/>
      </c>
      <c r="AE387" s="247"/>
      <c r="AF387" s="248"/>
      <c r="AG387" s="273">
        <f>SUM(AG385:AG386)</f>
      </c>
      <c r="AH387" s="273">
        <f>SUM(AH385:AH386)</f>
      </c>
      <c r="AI387" s="273">
        <f>SUM(AI385:AI386)</f>
      </c>
      <c r="AJ387" s="273">
        <f>SUM(AJ385:AJ386)</f>
      </c>
      <c r="AK387" s="273">
        <f>SUM(AK385:AK386)</f>
      </c>
      <c r="AL387" s="273">
        <f>SUM(AL385:AL386)</f>
      </c>
    </row>
    <row r="388">
      <c r="A388" s="216"/>
      <c r="B388" s="217" t="s">
        <v>225</v>
      </c>
      <c r="C388" s="218" t="s">
        <v>207</v>
      </c>
      <c r="D388" s="219">
        <f t="shared" ref="D388:D390" si="500">E388+F388+G388+H388</f>
      </c>
      <c r="E388" s="218">
        <v>391</v>
      </c>
      <c r="F388" s="249">
        <v>888.1</v>
      </c>
      <c r="G388" s="221">
        <v>3583.92</v>
      </c>
      <c r="H388" s="221">
        <v>0</v>
      </c>
      <c r="I388" s="250">
        <f t="shared" ref="I388:I390" si="387">AB388+AC388</f>
      </c>
      <c r="J388" s="251">
        <v>0</v>
      </c>
      <c r="K388" s="223">
        <f t="shared" ref="K388:K390" si="272">I388-J388</f>
      </c>
      <c r="L388" s="223">
        <f t="shared" ref="L388:L390" si="157">(I388-AC388)/12+AC388</f>
      </c>
      <c r="M388" s="224">
        <f t="shared" si="82"/>
      </c>
      <c r="N388" s="225">
        <f t="shared" si="51"/>
      </c>
      <c r="O388" s="226">
        <f t="shared" si="20"/>
      </c>
      <c r="P388" s="227">
        <f t="shared" si="955"/>
      </c>
      <c r="Q388" s="227">
        <f t="shared" si="924"/>
      </c>
      <c r="R388" s="227">
        <f t="shared" si="893"/>
      </c>
      <c r="S388" s="228">
        <f t="shared" si="862"/>
      </c>
      <c r="T388" s="229">
        <f t="shared" si="800"/>
      </c>
      <c r="U388" s="227">
        <f t="shared" si="769"/>
      </c>
      <c r="V388" s="230">
        <f t="shared" si="831"/>
      </c>
      <c r="W388" s="230">
        <f t="shared" si="738"/>
      </c>
      <c r="X388" s="227">
        <f t="shared" si="707"/>
      </c>
      <c r="Y388" s="231">
        <f t="shared" ref="Y388:Y390" si="605">Z388+AA388</f>
      </c>
      <c r="Z388" s="231">
        <v>2</v>
      </c>
      <c r="AA388" s="231">
        <v>4</v>
      </c>
      <c r="AB388" s="232">
        <v>4579.200000000004</v>
      </c>
      <c r="AC388" s="232">
        <v>0</v>
      </c>
      <c r="AD388" s="228">
        <f t="shared" si="676"/>
      </c>
      <c r="AE388" s="233" t="s">
        <v>202</v>
      </c>
      <c r="AF388" s="234" t="s">
        <v>203</v>
      </c>
      <c r="AG388" s="235">
        <v>3</v>
      </c>
      <c r="AH388" s="236">
        <v>40765</v>
      </c>
      <c r="AI388" s="236">
        <v>491</v>
      </c>
      <c r="AJ388" s="236">
        <v>458</v>
      </c>
      <c r="AK388" s="237">
        <v>97</v>
      </c>
      <c r="AL388" s="237">
        <v>138</v>
      </c>
    </row>
    <row r="389">
      <c r="A389" s="216"/>
      <c r="B389" s="217" t="s">
        <v>225</v>
      </c>
      <c r="C389" s="252" t="s">
        <v>210</v>
      </c>
      <c r="D389" s="219">
        <f t="shared" si="500"/>
      </c>
      <c r="E389" s="218">
        <v>568.61</v>
      </c>
      <c r="F389" s="249">
        <v>3313.86</v>
      </c>
      <c r="G389" s="221">
        <v>6231.58</v>
      </c>
      <c r="H389" s="221">
        <v>0</v>
      </c>
      <c r="I389" s="250">
        <f t="shared" si="387"/>
      </c>
      <c r="J389" s="251">
        <v>1253.88</v>
      </c>
      <c r="K389" s="223">
        <f t="shared" si="272"/>
      </c>
      <c r="L389" s="223">
        <f t="shared" si="157"/>
      </c>
      <c r="M389" s="224">
        <f t="shared" si="82"/>
      </c>
      <c r="N389" s="225">
        <f t="shared" si="51"/>
      </c>
      <c r="O389" s="226">
        <f t="shared" si="20"/>
      </c>
      <c r="P389" s="227">
        <f t="shared" si="955"/>
      </c>
      <c r="Q389" s="227">
        <f t="shared" si="924"/>
      </c>
      <c r="R389" s="227">
        <f t="shared" si="893"/>
      </c>
      <c r="S389" s="228">
        <f t="shared" si="862"/>
      </c>
      <c r="T389" s="229">
        <f t="shared" si="800"/>
      </c>
      <c r="U389" s="227">
        <f t="shared" si="769"/>
      </c>
      <c r="V389" s="230">
        <f t="shared" si="831"/>
      </c>
      <c r="W389" s="230">
        <f t="shared" si="738"/>
      </c>
      <c r="X389" s="227">
        <f t="shared" si="707"/>
      </c>
      <c r="Y389" s="231">
        <f t="shared" si="605"/>
      </c>
      <c r="Z389" s="231">
        <v>8</v>
      </c>
      <c r="AA389" s="231">
        <v>10</v>
      </c>
      <c r="AB389" s="232">
        <v>12377.879999999997</v>
      </c>
      <c r="AC389" s="232">
        <v>0</v>
      </c>
      <c r="AD389" s="228">
        <f t="shared" si="676"/>
      </c>
      <c r="AE389" s="233" t="s">
        <v>202</v>
      </c>
      <c r="AF389" s="234" t="s">
        <v>203</v>
      </c>
      <c r="AG389" s="235">
        <v>9</v>
      </c>
      <c r="AH389" s="236">
        <v>87408</v>
      </c>
      <c r="AI389" s="236">
        <v>1174</v>
      </c>
      <c r="AJ389" s="236">
        <v>1162</v>
      </c>
      <c r="AK389" s="237">
        <v>240</v>
      </c>
      <c r="AL389" s="237">
        <v>298</v>
      </c>
    </row>
    <row r="390">
      <c r="A390" s="216"/>
      <c r="B390" s="217" t="s">
        <v>225</v>
      </c>
      <c r="C390" s="252" t="s">
        <v>211</v>
      </c>
      <c r="D390" s="219">
        <f t="shared" si="500"/>
      </c>
      <c r="E390" s="218">
        <v>1342.36</v>
      </c>
      <c r="F390" s="249">
        <v>3020.95</v>
      </c>
      <c r="G390" s="218">
        <v>5542.39</v>
      </c>
      <c r="H390" s="221">
        <v>0</v>
      </c>
      <c r="I390" s="250">
        <f t="shared" si="387"/>
      </c>
      <c r="J390" s="251">
        <f>5454+1205.28</f>
      </c>
      <c r="K390" s="223">
        <f t="shared" si="272"/>
      </c>
      <c r="L390" s="223">
        <f t="shared" si="157"/>
      </c>
      <c r="M390" s="224">
        <f t="shared" si="82"/>
      </c>
      <c r="N390" s="225">
        <f t="shared" si="51"/>
      </c>
      <c r="O390" s="226">
        <f t="shared" si="20"/>
      </c>
      <c r="P390" s="227">
        <f t="shared" si="955"/>
      </c>
      <c r="Q390" s="227">
        <f t="shared" si="924"/>
      </c>
      <c r="R390" s="227">
        <f t="shared" si="893"/>
      </c>
      <c r="S390" s="228">
        <f t="shared" si="862"/>
      </c>
      <c r="T390" s="229">
        <f t="shared" si="800"/>
      </c>
      <c r="U390" s="227">
        <f t="shared" si="769"/>
      </c>
      <c r="V390" s="230">
        <f t="shared" si="831"/>
      </c>
      <c r="W390" s="230">
        <f t="shared" si="738"/>
      </c>
      <c r="X390" s="227">
        <f t="shared" si="707"/>
      </c>
      <c r="Y390" s="231">
        <f t="shared" si="605"/>
      </c>
      <c r="Z390" s="231">
        <v>4</v>
      </c>
      <c r="AA390" s="231">
        <v>12</v>
      </c>
      <c r="AB390" s="232">
        <v>24568.919999999976</v>
      </c>
      <c r="AC390" s="232">
        <v>2504.2000000000007</v>
      </c>
      <c r="AD390" s="228">
        <f t="shared" si="676"/>
      </c>
      <c r="AE390" s="233" t="s">
        <v>202</v>
      </c>
      <c r="AF390" s="234" t="s">
        <v>203</v>
      </c>
      <c r="AG390" s="237">
        <v>11</v>
      </c>
      <c r="AH390" s="236">
        <v>94946</v>
      </c>
      <c r="AI390" s="236">
        <v>1244</v>
      </c>
      <c r="AJ390" s="236">
        <v>1209</v>
      </c>
      <c r="AK390" s="237">
        <v>200</v>
      </c>
      <c r="AL390" s="237">
        <v>282</v>
      </c>
    </row>
    <row r="391">
      <c r="A391" s="216"/>
      <c r="B391" s="239" t="s">
        <v>208</v>
      </c>
      <c r="C391" s="240">
        <v>3</v>
      </c>
      <c r="D391" s="241">
        <f>SUM(D388:D390)</f>
      </c>
      <c r="E391" s="241">
        <f>SUM(E388:E390)</f>
      </c>
      <c r="F391" s="241">
        <f>SUM(F388:F390)</f>
      </c>
      <c r="G391" s="241">
        <f>SUM(G388:G390)</f>
      </c>
      <c r="H391" s="241">
        <f>SUM(H388:H390)</f>
      </c>
      <c r="I391" s="241">
        <f>SUM(I388:I390)</f>
      </c>
      <c r="J391" s="241">
        <f>SUM(J388:J390)</f>
      </c>
      <c r="K391" s="241">
        <f>SUM(K388:K390)</f>
      </c>
      <c r="L391" s="241">
        <f>SUM(L388:L390)</f>
      </c>
      <c r="M391" s="242">
        <f t="shared" si="82"/>
      </c>
      <c r="N391" s="243">
        <f t="shared" si="51"/>
      </c>
      <c r="O391" s="243">
        <f t="shared" si="20"/>
      </c>
      <c r="P391" s="244">
        <f t="shared" si="955"/>
      </c>
      <c r="Q391" s="244">
        <f t="shared" si="924"/>
      </c>
      <c r="R391" s="244">
        <f t="shared" si="893"/>
      </c>
      <c r="S391" s="245">
        <f t="shared" si="862"/>
      </c>
      <c r="T391" s="245">
        <f t="shared" si="800"/>
      </c>
      <c r="U391" s="244">
        <f t="shared" si="769"/>
      </c>
      <c r="V391" s="245">
        <f t="shared" si="831"/>
      </c>
      <c r="W391" s="245">
        <f t="shared" si="738"/>
      </c>
      <c r="X391" s="244">
        <f t="shared" si="707"/>
      </c>
      <c r="Y391" s="241">
        <f>SUM(Y388:Y390)</f>
      </c>
      <c r="Z391" s="241">
        <f>SUM(Z388:Z390)</f>
      </c>
      <c r="AA391" s="241">
        <f>SUM(AA388:AA390)</f>
      </c>
      <c r="AB391" s="241">
        <f>SUM(AB388:AB390)</f>
      </c>
      <c r="AC391" s="241">
        <f>SUM(AC388:AC390)</f>
      </c>
      <c r="AD391" s="246">
        <f t="shared" si="676"/>
      </c>
      <c r="AE391" s="247"/>
      <c r="AF391" s="248"/>
      <c r="AG391" s="241">
        <f>SUM(AG388:AG390)</f>
      </c>
      <c r="AH391" s="241">
        <f>SUM(AH388:AH390)</f>
      </c>
      <c r="AI391" s="241">
        <f>SUM(AI388:AI390)</f>
      </c>
      <c r="AJ391" s="241">
        <f>SUM(AJ388:AJ390)</f>
      </c>
      <c r="AK391" s="241">
        <f>SUM(AK388:AK390)</f>
      </c>
      <c r="AL391" s="241">
        <f>SUM(AL388:AL390)</f>
      </c>
    </row>
    <row r="392">
      <c r="A392" s="216"/>
      <c r="B392" s="217" t="s">
        <v>209</v>
      </c>
      <c r="C392" s="252" t="s">
        <v>212</v>
      </c>
      <c r="D392" s="219">
        <f t="shared" ref="D392:D396" si="501">E392+F392+G392+H392</f>
      </c>
      <c r="E392" s="220">
        <v>2000.29</v>
      </c>
      <c r="F392" s="221">
        <v>2959.13</v>
      </c>
      <c r="G392" s="221">
        <v>6808.28</v>
      </c>
      <c r="H392" s="221">
        <v>0</v>
      </c>
      <c r="I392" s="221">
        <f t="shared" ref="I392:I396" si="388">AB392+AC392</f>
      </c>
      <c r="J392" s="222">
        <v>0</v>
      </c>
      <c r="K392" s="223">
        <f t="shared" ref="K392:K396" si="273">I392-J392</f>
      </c>
      <c r="L392" s="223">
        <f t="shared" ref="L392:L396" si="158">(I392-AC392)/12+AC392</f>
      </c>
      <c r="M392" s="224">
        <f t="shared" si="82"/>
      </c>
      <c r="N392" s="225">
        <f t="shared" si="51"/>
      </c>
      <c r="O392" s="226">
        <f t="shared" si="20"/>
      </c>
      <c r="P392" s="227">
        <f t="shared" si="955"/>
      </c>
      <c r="Q392" s="227">
        <f t="shared" si="924"/>
      </c>
      <c r="R392" s="227">
        <f t="shared" si="893"/>
      </c>
      <c r="S392" s="228">
        <f t="shared" si="862"/>
      </c>
      <c r="T392" s="229">
        <f t="shared" si="800"/>
      </c>
      <c r="U392" s="227">
        <f t="shared" si="769"/>
      </c>
      <c r="V392" s="230">
        <f t="shared" si="831"/>
      </c>
      <c r="W392" s="230">
        <f t="shared" si="738"/>
      </c>
      <c r="X392" s="227">
        <f t="shared" si="707"/>
      </c>
      <c r="Y392" s="231">
        <f t="shared" ref="Y392:Y396" si="606">Z392+AA392</f>
      </c>
      <c r="Z392" s="231">
        <v>2</v>
      </c>
      <c r="AA392" s="231">
        <v>14</v>
      </c>
      <c r="AB392" s="232">
        <v>26897.400000000045</v>
      </c>
      <c r="AC392" s="232">
        <v>874</v>
      </c>
      <c r="AD392" s="228">
        <f t="shared" si="676"/>
      </c>
      <c r="AE392" s="233" t="s">
        <v>202</v>
      </c>
      <c r="AF392" s="234" t="s">
        <v>203</v>
      </c>
      <c r="AG392" s="235">
        <v>14</v>
      </c>
      <c r="AH392" s="235">
        <v>118572</v>
      </c>
      <c r="AI392" s="236">
        <v>1591</v>
      </c>
      <c r="AJ392" s="236">
        <v>1514</v>
      </c>
      <c r="AK392" s="235">
        <v>224</v>
      </c>
      <c r="AL392" s="237">
        <v>338</v>
      </c>
    </row>
    <row r="393">
      <c r="A393" s="216"/>
      <c r="B393" s="217" t="s">
        <v>209</v>
      </c>
      <c r="C393" s="218" t="s">
        <v>213</v>
      </c>
      <c r="D393" s="219">
        <f t="shared" si="501"/>
      </c>
      <c r="E393" s="218">
        <v>2163.84</v>
      </c>
      <c r="F393" s="221">
        <v>4040.06</v>
      </c>
      <c r="G393" s="221">
        <v>7877.05</v>
      </c>
      <c r="H393" s="221">
        <v>0</v>
      </c>
      <c r="I393" s="221">
        <f t="shared" si="388"/>
      </c>
      <c r="J393" s="222">
        <v>0</v>
      </c>
      <c r="K393" s="223">
        <f t="shared" si="273"/>
      </c>
      <c r="L393" s="223">
        <f t="shared" si="158"/>
      </c>
      <c r="M393" s="224">
        <f t="shared" si="82"/>
      </c>
      <c r="N393" s="225">
        <f t="shared" si="51"/>
      </c>
      <c r="O393" s="226">
        <f t="shared" si="20"/>
      </c>
      <c r="P393" s="227">
        <f t="shared" si="955"/>
      </c>
      <c r="Q393" s="227">
        <f t="shared" si="924"/>
      </c>
      <c r="R393" s="227">
        <f t="shared" si="893"/>
      </c>
      <c r="S393" s="228">
        <f t="shared" si="862"/>
      </c>
      <c r="T393" s="229">
        <f t="shared" si="800"/>
      </c>
      <c r="U393" s="227">
        <f t="shared" si="769"/>
      </c>
      <c r="V393" s="230">
        <f t="shared" si="831"/>
      </c>
      <c r="W393" s="230">
        <f t="shared" si="738"/>
      </c>
      <c r="X393" s="227">
        <f t="shared" si="707"/>
      </c>
      <c r="Y393" s="231">
        <f t="shared" si="606"/>
      </c>
      <c r="Z393" s="231">
        <v>10</v>
      </c>
      <c r="AA393" s="231">
        <v>8</v>
      </c>
      <c r="AB393" s="232">
        <v>14815.679999999986</v>
      </c>
      <c r="AC393" s="232">
        <v>381</v>
      </c>
      <c r="AD393" s="228">
        <f t="shared" si="676"/>
      </c>
      <c r="AE393" s="233" t="s">
        <v>202</v>
      </c>
      <c r="AF393" s="234" t="s">
        <v>203</v>
      </c>
      <c r="AG393" s="235">
        <v>7</v>
      </c>
      <c r="AH393" s="236">
        <v>137572</v>
      </c>
      <c r="AI393" s="236">
        <v>2305</v>
      </c>
      <c r="AJ393" s="236">
        <v>2342</v>
      </c>
      <c r="AK393" s="237">
        <v>292</v>
      </c>
      <c r="AL393" s="237">
        <v>390</v>
      </c>
    </row>
    <row r="394">
      <c r="A394" s="216"/>
      <c r="B394" s="217" t="s">
        <v>209</v>
      </c>
      <c r="C394" s="252" t="s">
        <v>214</v>
      </c>
      <c r="D394" s="219">
        <f t="shared" si="501"/>
      </c>
      <c r="E394" s="218">
        <v>2663.67</v>
      </c>
      <c r="F394" s="218">
        <v>3555</v>
      </c>
      <c r="G394" s="218">
        <v>3466.77</v>
      </c>
      <c r="H394" s="221">
        <v>0</v>
      </c>
      <c r="I394" s="221">
        <f t="shared" si="388"/>
      </c>
      <c r="J394" s="222">
        <v>0</v>
      </c>
      <c r="K394" s="223">
        <f t="shared" si="273"/>
      </c>
      <c r="L394" s="223">
        <f t="shared" si="158"/>
      </c>
      <c r="M394" s="224">
        <f t="shared" si="82"/>
      </c>
      <c r="N394" s="225">
        <f t="shared" si="51"/>
      </c>
      <c r="O394" s="226">
        <f t="shared" si="20"/>
      </c>
      <c r="P394" s="227">
        <f t="shared" si="955"/>
      </c>
      <c r="Q394" s="227">
        <f t="shared" si="924"/>
      </c>
      <c r="R394" s="227">
        <f t="shared" si="893"/>
      </c>
      <c r="S394" s="228">
        <f t="shared" si="862"/>
      </c>
      <c r="T394" s="229">
        <f t="shared" si="800"/>
      </c>
      <c r="U394" s="227">
        <f t="shared" si="769"/>
      </c>
      <c r="V394" s="230">
        <f t="shared" si="831"/>
      </c>
      <c r="W394" s="230">
        <f t="shared" si="738"/>
      </c>
      <c r="X394" s="227">
        <f t="shared" si="707"/>
      </c>
      <c r="Y394" s="231">
        <f t="shared" si="606"/>
      </c>
      <c r="Z394" s="231">
        <v>8</v>
      </c>
      <c r="AA394" s="231">
        <v>2</v>
      </c>
      <c r="AB394" s="232">
        <v>4954.080000000009</v>
      </c>
      <c r="AC394" s="232">
        <v>0</v>
      </c>
      <c r="AD394" s="228">
        <f t="shared" si="676"/>
      </c>
      <c r="AE394" s="233" t="s">
        <v>202</v>
      </c>
      <c r="AF394" s="234" t="s">
        <v>203</v>
      </c>
      <c r="AG394" s="237">
        <v>1</v>
      </c>
      <c r="AH394" s="236">
        <v>101889</v>
      </c>
      <c r="AI394" s="236">
        <v>1892</v>
      </c>
      <c r="AJ394" s="236">
        <v>1956</v>
      </c>
      <c r="AK394" s="237">
        <v>195</v>
      </c>
      <c r="AL394" s="237">
        <v>221</v>
      </c>
    </row>
    <row r="395">
      <c r="A395" s="216"/>
      <c r="B395" s="217" t="s">
        <v>209</v>
      </c>
      <c r="C395" s="218" t="s">
        <v>237</v>
      </c>
      <c r="D395" s="219">
        <f t="shared" si="501"/>
      </c>
      <c r="E395" s="218">
        <v>1137.08</v>
      </c>
      <c r="F395" s="221">
        <v>3640.84</v>
      </c>
      <c r="G395" s="221">
        <v>4049.02</v>
      </c>
      <c r="H395" s="221">
        <v>0</v>
      </c>
      <c r="I395" s="238">
        <f t="shared" si="388"/>
      </c>
      <c r="J395" s="222">
        <v>0</v>
      </c>
      <c r="K395" s="223">
        <f t="shared" si="273"/>
      </c>
      <c r="L395" s="223">
        <f t="shared" si="158"/>
      </c>
      <c r="M395" s="224">
        <f t="shared" si="82"/>
      </c>
      <c r="N395" s="225">
        <f t="shared" si="51"/>
      </c>
      <c r="O395" s="226">
        <f t="shared" si="20"/>
      </c>
      <c r="P395" s="227">
        <f t="shared" si="955"/>
      </c>
      <c r="Q395" s="227">
        <f t="shared" si="924"/>
      </c>
      <c r="R395" s="227">
        <f t="shared" si="893"/>
      </c>
      <c r="S395" s="228">
        <f t="shared" si="862"/>
      </c>
      <c r="T395" s="229">
        <f t="shared" si="800"/>
      </c>
      <c r="U395" s="227">
        <f t="shared" si="769"/>
      </c>
      <c r="V395" s="230">
        <f t="shared" si="831"/>
      </c>
      <c r="W395" s="230">
        <f t="shared" si="738"/>
      </c>
      <c r="X395" s="227">
        <f t="shared" si="707"/>
      </c>
      <c r="Y395" s="231">
        <f t="shared" si="606"/>
      </c>
      <c r="Z395" s="231">
        <v>7</v>
      </c>
      <c r="AA395" s="231">
        <v>5</v>
      </c>
      <c r="AB395" s="232">
        <v>11659.68</v>
      </c>
      <c r="AC395" s="232">
        <v>0</v>
      </c>
      <c r="AD395" s="228">
        <f t="shared" si="676"/>
      </c>
      <c r="AE395" s="233" t="s">
        <v>202</v>
      </c>
      <c r="AF395" s="234" t="s">
        <v>203</v>
      </c>
      <c r="AG395" s="235">
        <v>4</v>
      </c>
      <c r="AH395" s="236">
        <v>98863</v>
      </c>
      <c r="AI395" s="236">
        <v>2310</v>
      </c>
      <c r="AJ395" s="236">
        <v>2491</v>
      </c>
      <c r="AK395" s="237">
        <v>220</v>
      </c>
      <c r="AL395" s="237">
        <v>245</v>
      </c>
    </row>
    <row r="396">
      <c r="A396" s="216"/>
      <c r="B396" s="217" t="s">
        <v>209</v>
      </c>
      <c r="C396" s="218" t="s">
        <v>238</v>
      </c>
      <c r="D396" s="219">
        <f t="shared" si="501"/>
      </c>
      <c r="E396" s="220">
        <v>157.45</v>
      </c>
      <c r="F396" s="221">
        <v>2243.55</v>
      </c>
      <c r="G396" s="221">
        <v>616.03</v>
      </c>
      <c r="H396" s="221">
        <v>0</v>
      </c>
      <c r="I396" s="221">
        <f t="shared" si="388"/>
      </c>
      <c r="J396" s="222">
        <v>0</v>
      </c>
      <c r="K396" s="223">
        <f t="shared" si="273"/>
      </c>
      <c r="L396" s="223">
        <f t="shared" si="158"/>
      </c>
      <c r="M396" s="224">
        <f t="shared" si="82"/>
      </c>
      <c r="N396" s="225">
        <f t="shared" si="51"/>
      </c>
      <c r="O396" s="226">
        <f t="shared" si="20"/>
      </c>
      <c r="P396" s="227">
        <f t="shared" si="955"/>
      </c>
      <c r="Q396" s="227">
        <f t="shared" si="924"/>
      </c>
      <c r="R396" s="227">
        <f t="shared" si="893"/>
      </c>
      <c r="S396" s="228">
        <f t="shared" si="862"/>
      </c>
      <c r="T396" s="229">
        <f t="shared" si="800"/>
      </c>
      <c r="U396" s="227">
        <f t="shared" si="769"/>
      </c>
      <c r="V396" s="230">
        <f t="shared" si="831"/>
      </c>
      <c r="W396" s="230">
        <f t="shared" si="738"/>
      </c>
      <c r="X396" s="227">
        <f t="shared" si="707"/>
      </c>
      <c r="Y396" s="231">
        <f t="shared" si="606"/>
      </c>
      <c r="Z396" s="231">
        <v>2</v>
      </c>
      <c r="AA396" s="231">
        <v>1</v>
      </c>
      <c r="AB396" s="232">
        <v>1788.48</v>
      </c>
      <c r="AC396" s="232">
        <v>0</v>
      </c>
      <c r="AD396" s="228">
        <f t="shared" si="676"/>
      </c>
      <c r="AE396" s="233" t="s">
        <v>202</v>
      </c>
      <c r="AF396" s="234" t="s">
        <v>203</v>
      </c>
      <c r="AG396" s="235">
        <v>0</v>
      </c>
      <c r="AH396" s="236">
        <v>44140</v>
      </c>
      <c r="AI396" s="236">
        <v>961</v>
      </c>
      <c r="AJ396" s="236">
        <v>1055</v>
      </c>
      <c r="AK396" s="235">
        <v>76</v>
      </c>
      <c r="AL396" s="235">
        <v>99</v>
      </c>
    </row>
    <row r="397">
      <c r="A397" s="216"/>
      <c r="B397" s="239" t="s">
        <v>208</v>
      </c>
      <c r="C397" s="240">
        <v>5</v>
      </c>
      <c r="D397" s="241">
        <f>SUM(D392:D396)</f>
      </c>
      <c r="E397" s="241">
        <f>SUM(E392:E396)</f>
      </c>
      <c r="F397" s="241">
        <f>SUM(F392:F396)</f>
      </c>
      <c r="G397" s="241">
        <f>SUM(G392:G396)</f>
      </c>
      <c r="H397" s="241">
        <f>SUM(H392:H396)</f>
      </c>
      <c r="I397" s="241">
        <f>SUM(I392:I396)</f>
      </c>
      <c r="J397" s="241">
        <f>SUM(J392:J396)</f>
      </c>
      <c r="K397" s="241">
        <f>SUM(K392:K396)</f>
      </c>
      <c r="L397" s="241">
        <f>SUM(L392:L396)</f>
      </c>
      <c r="M397" s="242">
        <f t="shared" si="82"/>
      </c>
      <c r="N397" s="243">
        <f t="shared" si="51"/>
      </c>
      <c r="O397" s="243">
        <f t="shared" si="20"/>
      </c>
      <c r="P397" s="244">
        <f t="shared" si="955"/>
      </c>
      <c r="Q397" s="244">
        <f t="shared" si="924"/>
      </c>
      <c r="R397" s="244">
        <f t="shared" si="893"/>
      </c>
      <c r="S397" s="245">
        <f t="shared" si="862"/>
      </c>
      <c r="T397" s="245">
        <f t="shared" si="800"/>
      </c>
      <c r="U397" s="244">
        <f t="shared" si="769"/>
      </c>
      <c r="V397" s="245">
        <f t="shared" si="831"/>
      </c>
      <c r="W397" s="245">
        <f t="shared" si="738"/>
      </c>
      <c r="X397" s="244">
        <f t="shared" si="707"/>
      </c>
      <c r="Y397" s="241">
        <f>SUM(Y392:Y396)</f>
      </c>
      <c r="Z397" s="241">
        <f>SUM(Z392:Z396)</f>
      </c>
      <c r="AA397" s="241">
        <f>SUM(AA392:AA396)</f>
      </c>
      <c r="AB397" s="241">
        <f>SUM(AB392:AB396)</f>
      </c>
      <c r="AC397" s="241">
        <f>SUM(AC392:AC396)</f>
      </c>
      <c r="AD397" s="246">
        <f t="shared" si="676"/>
      </c>
      <c r="AE397" s="247"/>
      <c r="AF397" s="248"/>
      <c r="AG397" s="241">
        <f>SUM(AG392:AG396)</f>
      </c>
      <c r="AH397" s="241">
        <f>SUM(AH392:AH396)</f>
      </c>
      <c r="AI397" s="241">
        <f>SUM(AI392:AI396)</f>
      </c>
      <c r="AJ397" s="241">
        <f>SUM(AJ392:AJ396)</f>
      </c>
      <c r="AK397" s="241">
        <f>SUM(AK392:AK396)</f>
      </c>
      <c r="AL397" s="241">
        <f>SUM(AL392:AL396)</f>
      </c>
    </row>
    <row r="398">
      <c r="A398" s="216"/>
      <c r="B398" s="253" t="s">
        <v>208</v>
      </c>
      <c r="C398" s="254">
        <f>C378+C384+C387+C391+C397</f>
      </c>
      <c r="D398" s="254">
        <f>D378+D384+D387+D391+D397</f>
      </c>
      <c r="E398" s="254">
        <f>E378+E384+E387+E391+E397</f>
      </c>
      <c r="F398" s="254">
        <f>F378+F384+F387+F391+F397</f>
      </c>
      <c r="G398" s="254">
        <f>G378+G384+G387+G391+G397</f>
      </c>
      <c r="H398" s="254">
        <f>H378+H384+H387+H391+H397</f>
      </c>
      <c r="I398" s="254">
        <f>I378+I384+I387+I391+I397</f>
      </c>
      <c r="J398" s="254">
        <f>J378+J384+J387+J391+J397</f>
      </c>
      <c r="K398" s="254">
        <f>K378+K384+K387+K391+K397</f>
      </c>
      <c r="L398" s="254">
        <f>L378+L384+L387+L391+L397</f>
      </c>
      <c r="M398" s="256">
        <f t="shared" si="82"/>
      </c>
      <c r="N398" s="256">
        <f t="shared" si="51"/>
      </c>
      <c r="O398" s="256">
        <f t="shared" si="20"/>
      </c>
      <c r="P398" s="256">
        <f t="shared" si="955"/>
      </c>
      <c r="Q398" s="256">
        <f t="shared" si="924"/>
      </c>
      <c r="R398" s="256">
        <f t="shared" si="893"/>
      </c>
      <c r="S398" s="257">
        <f t="shared" si="862"/>
      </c>
      <c r="T398" s="257">
        <f t="shared" si="800"/>
      </c>
      <c r="U398" s="256">
        <f t="shared" si="769"/>
      </c>
      <c r="V398" s="257">
        <f t="shared" si="831"/>
      </c>
      <c r="W398" s="257">
        <f t="shared" si="738"/>
      </c>
      <c r="X398" s="256">
        <f t="shared" si="707"/>
      </c>
      <c r="Y398" s="254">
        <f>Y378+Y384+Y387+Y391+Y397</f>
      </c>
      <c r="Z398" s="254">
        <f>Z378+Z384+Z387+Z391+Z397</f>
      </c>
      <c r="AA398" s="254">
        <f>AA378+AA384+AA387+AA391+AA397</f>
      </c>
      <c r="AB398" s="254">
        <f>AB378+AB384+AB387+AB391+AB397</f>
      </c>
      <c r="AC398" s="254">
        <f>AC378+AC384+AC387+AC391+AC397</f>
      </c>
      <c r="AD398" s="258">
        <f t="shared" si="676"/>
      </c>
      <c r="AE398" s="253"/>
      <c r="AF398" s="253"/>
      <c r="AG398" s="254">
        <f>AG378+AG384+AG387+AG391+AG397</f>
      </c>
      <c r="AH398" s="254">
        <f>AH378+AH384+AH387+AH391+AH397</f>
      </c>
      <c r="AI398" s="254">
        <f>AI378+AI384+AI387+AI391+AI397</f>
      </c>
      <c r="AJ398" s="254">
        <f>AJ378+AJ384+AJ387+AJ391+AJ397</f>
      </c>
      <c r="AK398" s="254">
        <f>AK378+AK384+AK387+AK391+AK397</f>
      </c>
      <c r="AL398" s="254">
        <f>AL378+AL384+AL387+AL391+AL397</f>
      </c>
    </row>
    <row r="399">
      <c r="A399" s="202" t="s">
        <v>162</v>
      </c>
      <c r="B399" s="203" t="s">
        <v>163</v>
      </c>
      <c r="C399" s="203" t="s">
        <v>164</v>
      </c>
      <c r="D399" s="204" t="s">
        <v>165</v>
      </c>
      <c r="E399" s="203" t="s">
        <v>166</v>
      </c>
      <c r="F399" s="203" t="s">
        <v>167</v>
      </c>
      <c r="G399" s="205" t="s">
        <v>168</v>
      </c>
      <c r="H399" s="205" t="s">
        <v>169</v>
      </c>
      <c r="I399" s="204" t="s">
        <v>170</v>
      </c>
      <c r="J399" s="206" t="s">
        <v>171</v>
      </c>
      <c r="K399" s="207" t="s">
        <v>172</v>
      </c>
      <c r="L399" s="207" t="s">
        <v>173</v>
      </c>
      <c r="M399" s="208" t="s">
        <v>174</v>
      </c>
      <c r="N399" s="207" t="s">
        <v>175</v>
      </c>
      <c r="O399" s="203" t="s">
        <v>176</v>
      </c>
      <c r="P399" s="208" t="s">
        <v>177</v>
      </c>
      <c r="Q399" s="209" t="s">
        <v>178</v>
      </c>
      <c r="R399" s="209" t="s">
        <v>179</v>
      </c>
      <c r="S399" s="204" t="s">
        <v>180</v>
      </c>
      <c r="T399" s="210" t="s">
        <v>181</v>
      </c>
      <c r="U399" s="208" t="s">
        <v>182</v>
      </c>
      <c r="V399" s="211" t="s">
        <v>183</v>
      </c>
      <c r="W399" s="212" t="s">
        <v>184</v>
      </c>
      <c r="X399" s="208" t="s">
        <v>185</v>
      </c>
      <c r="Y399" s="213" t="s">
        <v>186</v>
      </c>
      <c r="Z399" s="214" t="s">
        <v>187</v>
      </c>
      <c r="AA399" s="213" t="s">
        <v>188</v>
      </c>
      <c r="AB399" s="215" t="s">
        <v>189</v>
      </c>
      <c r="AC399" s="215" t="s">
        <v>190</v>
      </c>
      <c r="AD399" s="207" t="s">
        <v>191</v>
      </c>
      <c r="AE399" s="206" t="s">
        <v>192</v>
      </c>
      <c r="AF399" s="207" t="s">
        <v>193</v>
      </c>
      <c r="AG399" s="206" t="s">
        <v>194</v>
      </c>
      <c r="AH399" s="206" t="s">
        <v>195</v>
      </c>
      <c r="AI399" s="207" t="s">
        <v>196</v>
      </c>
      <c r="AJ399" s="206" t="s">
        <v>197</v>
      </c>
      <c r="AK399" s="207" t="s">
        <v>198</v>
      </c>
      <c r="AL399" s="206" t="s">
        <v>199</v>
      </c>
    </row>
    <row r="400">
      <c r="A400" s="216">
        <v>46256</v>
      </c>
      <c r="B400" s="217" t="s">
        <v>200</v>
      </c>
      <c r="C400" s="218" t="s">
        <v>234</v>
      </c>
      <c r="D400" s="219">
        <f t="shared" ref="D400:D404" si="502">E400+F400+G400+H400</f>
      </c>
      <c r="E400" s="220">
        <v>790.68</v>
      </c>
      <c r="F400" s="221">
        <v>4534.24</v>
      </c>
      <c r="G400" s="221">
        <v>2173.2</v>
      </c>
      <c r="H400" s="221">
        <v>0</v>
      </c>
      <c r="I400" s="221">
        <f t="shared" ref="I400:I404" si="389">AB400+AC400</f>
      </c>
      <c r="J400" s="222">
        <v>2748.6</v>
      </c>
      <c r="K400" s="223">
        <f t="shared" ref="K400:K404" si="274">I400-J400</f>
      </c>
      <c r="L400" s="223">
        <f t="shared" ref="L400:L404" si="159">(I400-AC400)/12+AC400</f>
      </c>
      <c r="M400" s="224">
        <f t="shared" ref="M400:M425" si="83">I400/D400</f>
      </c>
      <c r="N400" s="225">
        <f t="shared" ref="N400:N425" si="52">(I400-J400)/D400</f>
      </c>
      <c r="O400" s="226">
        <f t="shared" ref="O400:O425" si="21">(AC400+AB400/12)/D400</f>
      </c>
      <c r="P400" s="227">
        <f t="shared" ref="P400:P425" si="956">I400/AA400</f>
      </c>
      <c r="Q400" s="227">
        <f t="shared" ref="Q400:Q425" si="925">D400/AA400</f>
      </c>
      <c r="R400" s="227">
        <f t="shared" ref="R400:R425" si="894">D400/AG400</f>
      </c>
      <c r="S400" s="228">
        <f t="shared" ref="S400:S425" si="863">AA400/Y400</f>
      </c>
      <c r="T400" s="229">
        <f t="shared" ref="T400:T425" si="801">AI400/AH400</f>
      </c>
      <c r="U400" s="227">
        <f t="shared" ref="U400:U425" si="770">D400/AJ400</f>
      </c>
      <c r="V400" s="230">
        <f t="shared" ref="V400:V425" si="832">AK400/AJ400</f>
      </c>
      <c r="W400" s="230">
        <f t="shared" ref="W400:W425" si="739">AL400/AJ400</f>
      </c>
      <c r="X400" s="227">
        <f t="shared" ref="X400:X425" si="708">D400/AL400</f>
      </c>
      <c r="Y400" s="231">
        <f t="shared" ref="Y400:Y404" si="607">Z400+AA400</f>
      </c>
      <c r="Z400" s="231">
        <v>5</v>
      </c>
      <c r="AA400" s="231">
        <v>8</v>
      </c>
      <c r="AB400" s="232">
        <v>14023.2</v>
      </c>
      <c r="AC400" s="232">
        <v>0</v>
      </c>
      <c r="AD400" s="228">
        <f t="shared" ref="AD400:AD425" si="677">AC400/I400</f>
      </c>
      <c r="AE400" s="233" t="s">
        <v>202</v>
      </c>
      <c r="AF400" s="234" t="s">
        <v>232</v>
      </c>
      <c r="AG400" s="235">
        <v>7</v>
      </c>
      <c r="AH400" s="235">
        <v>59124</v>
      </c>
      <c r="AI400" s="236">
        <v>2480</v>
      </c>
      <c r="AJ400" s="236">
        <v>2594</v>
      </c>
      <c r="AK400" s="235">
        <v>209</v>
      </c>
      <c r="AL400" s="237">
        <v>226</v>
      </c>
    </row>
    <row r="401">
      <c r="A401" s="216"/>
      <c r="B401" s="217" t="s">
        <v>200</v>
      </c>
      <c r="C401" s="218" t="s">
        <v>235</v>
      </c>
      <c r="D401" s="219">
        <f t="shared" si="502"/>
      </c>
      <c r="E401" s="218">
        <v>1600.04</v>
      </c>
      <c r="F401" s="221">
        <v>5958.41</v>
      </c>
      <c r="G401" s="221">
        <v>4019.87</v>
      </c>
      <c r="H401" s="221">
        <v>0</v>
      </c>
      <c r="I401" s="221">
        <f t="shared" si="389"/>
      </c>
      <c r="J401" s="222">
        <f>2081.16+1622.16</f>
      </c>
      <c r="K401" s="223">
        <f t="shared" si="274"/>
      </c>
      <c r="L401" s="223">
        <f t="shared" si="159"/>
      </c>
      <c r="M401" s="224">
        <f t="shared" si="83"/>
      </c>
      <c r="N401" s="225">
        <f t="shared" si="52"/>
      </c>
      <c r="O401" s="226">
        <f t="shared" si="21"/>
      </c>
      <c r="P401" s="227">
        <f t="shared" si="956"/>
      </c>
      <c r="Q401" s="227">
        <f t="shared" si="925"/>
      </c>
      <c r="R401" s="227">
        <f t="shared" si="894"/>
      </c>
      <c r="S401" s="228">
        <f t="shared" si="863"/>
      </c>
      <c r="T401" s="229">
        <f t="shared" si="801"/>
      </c>
      <c r="U401" s="227">
        <f t="shared" si="770"/>
      </c>
      <c r="V401" s="230">
        <f t="shared" si="832"/>
      </c>
      <c r="W401" s="230">
        <f t="shared" si="739"/>
      </c>
      <c r="X401" s="227">
        <f t="shared" si="708"/>
      </c>
      <c r="Y401" s="231">
        <f t="shared" si="607"/>
      </c>
      <c r="Z401" s="231">
        <v>6</v>
      </c>
      <c r="AA401" s="231">
        <v>15</v>
      </c>
      <c r="AB401" s="232">
        <v>38153.759999999995</v>
      </c>
      <c r="AC401" s="232">
        <v>1727.1</v>
      </c>
      <c r="AD401" s="228">
        <f t="shared" si="677"/>
      </c>
      <c r="AE401" s="233" t="s">
        <v>202</v>
      </c>
      <c r="AF401" s="234" t="s">
        <v>232</v>
      </c>
      <c r="AG401" s="235">
        <v>14</v>
      </c>
      <c r="AH401" s="236">
        <v>92759</v>
      </c>
      <c r="AI401" s="236">
        <v>2882</v>
      </c>
      <c r="AJ401" s="236">
        <v>2978</v>
      </c>
      <c r="AK401" s="237">
        <v>345</v>
      </c>
      <c r="AL401" s="237">
        <v>369</v>
      </c>
    </row>
    <row r="402">
      <c r="A402" s="216"/>
      <c r="B402" s="217" t="s">
        <v>200</v>
      </c>
      <c r="C402" s="218" t="s">
        <v>236</v>
      </c>
      <c r="D402" s="219">
        <f t="shared" si="502"/>
      </c>
      <c r="E402" s="218">
        <v>1488.75</v>
      </c>
      <c r="F402" s="218">
        <v>7663.24</v>
      </c>
      <c r="G402" s="218">
        <v>5326.83</v>
      </c>
      <c r="H402" s="221">
        <v>0</v>
      </c>
      <c r="I402" s="221">
        <f t="shared" si="389"/>
      </c>
      <c r="J402" s="222">
        <f>2917.08+2545+608.04</f>
      </c>
      <c r="K402" s="223">
        <f t="shared" si="274"/>
      </c>
      <c r="L402" s="223">
        <f t="shared" si="159"/>
      </c>
      <c r="M402" s="224">
        <f t="shared" si="83"/>
      </c>
      <c r="N402" s="225">
        <f t="shared" si="52"/>
      </c>
      <c r="O402" s="226">
        <f t="shared" si="21"/>
      </c>
      <c r="P402" s="227">
        <f t="shared" si="956"/>
      </c>
      <c r="Q402" s="227">
        <f t="shared" si="925"/>
      </c>
      <c r="R402" s="227">
        <f t="shared" si="894"/>
      </c>
      <c r="S402" s="228">
        <f t="shared" si="863"/>
      </c>
      <c r="T402" s="229">
        <f t="shared" si="801"/>
      </c>
      <c r="U402" s="227">
        <f t="shared" si="770"/>
      </c>
      <c r="V402" s="230">
        <f t="shared" si="832"/>
      </c>
      <c r="W402" s="230">
        <f t="shared" si="739"/>
      </c>
      <c r="X402" s="227">
        <f t="shared" si="708"/>
      </c>
      <c r="Y402" s="231">
        <f t="shared" si="607"/>
      </c>
      <c r="Z402" s="231">
        <v>11</v>
      </c>
      <c r="AA402" s="231">
        <v>12</v>
      </c>
      <c r="AB402" s="232">
        <v>15674.640000000003</v>
      </c>
      <c r="AC402" s="232">
        <v>4708.15</v>
      </c>
      <c r="AD402" s="228">
        <f t="shared" si="677"/>
      </c>
      <c r="AE402" s="233" t="s">
        <v>202</v>
      </c>
      <c r="AF402" s="234" t="s">
        <v>232</v>
      </c>
      <c r="AG402" s="237">
        <v>11</v>
      </c>
      <c r="AH402" s="236">
        <v>116031</v>
      </c>
      <c r="AI402" s="236">
        <v>3156</v>
      </c>
      <c r="AJ402" s="236">
        <v>3184</v>
      </c>
      <c r="AK402" s="237">
        <v>358</v>
      </c>
      <c r="AL402" s="237">
        <v>369</v>
      </c>
    </row>
    <row r="403">
      <c r="A403" s="216"/>
      <c r="B403" s="217" t="s">
        <v>200</v>
      </c>
      <c r="C403" s="218" t="s">
        <v>216</v>
      </c>
      <c r="D403" s="219">
        <f t="shared" si="502"/>
      </c>
      <c r="E403" s="218">
        <v>1678.97</v>
      </c>
      <c r="F403" s="221">
        <v>7898.22</v>
      </c>
      <c r="G403" s="221">
        <v>4267.89</v>
      </c>
      <c r="H403" s="221">
        <v>0</v>
      </c>
      <c r="I403" s="238">
        <f t="shared" si="389"/>
      </c>
      <c r="J403" s="222">
        <f>1591.92+3008.88+2603.88+2772.36+922.32</f>
      </c>
      <c r="K403" s="223">
        <f t="shared" si="274"/>
      </c>
      <c r="L403" s="223">
        <f t="shared" si="159"/>
      </c>
      <c r="M403" s="224">
        <f t="shared" si="83"/>
      </c>
      <c r="N403" s="225">
        <f t="shared" si="52"/>
      </c>
      <c r="O403" s="226">
        <f t="shared" si="21"/>
      </c>
      <c r="P403" s="227">
        <f t="shared" si="956"/>
      </c>
      <c r="Q403" s="227">
        <f t="shared" si="925"/>
      </c>
      <c r="R403" s="227">
        <f t="shared" si="894"/>
      </c>
      <c r="S403" s="228">
        <f t="shared" si="863"/>
      </c>
      <c r="T403" s="229">
        <f t="shared" si="801"/>
      </c>
      <c r="U403" s="227">
        <f t="shared" si="770"/>
      </c>
      <c r="V403" s="230">
        <f t="shared" si="832"/>
      </c>
      <c r="W403" s="230">
        <f t="shared" si="739"/>
      </c>
      <c r="X403" s="227">
        <f t="shared" si="708"/>
      </c>
      <c r="Y403" s="231">
        <f t="shared" si="607"/>
      </c>
      <c r="Z403" s="231">
        <v>10</v>
      </c>
      <c r="AA403" s="231">
        <v>14</v>
      </c>
      <c r="AB403" s="232">
        <v>20725.200000000015</v>
      </c>
      <c r="AC403" s="232">
        <v>2183</v>
      </c>
      <c r="AD403" s="228">
        <f t="shared" si="677"/>
      </c>
      <c r="AE403" s="233" t="s">
        <v>202</v>
      </c>
      <c r="AF403" s="234" t="s">
        <v>232</v>
      </c>
      <c r="AG403" s="235">
        <v>11</v>
      </c>
      <c r="AH403" s="236">
        <v>110459</v>
      </c>
      <c r="AI403" s="236">
        <v>2869</v>
      </c>
      <c r="AJ403" s="236">
        <v>2959</v>
      </c>
      <c r="AK403" s="237">
        <v>341</v>
      </c>
      <c r="AL403" s="237">
        <v>369</v>
      </c>
    </row>
    <row r="404">
      <c r="A404" s="216"/>
      <c r="B404" s="217" t="s">
        <v>200</v>
      </c>
      <c r="C404" s="218" t="s">
        <v>218</v>
      </c>
      <c r="D404" s="219">
        <f t="shared" si="502"/>
      </c>
      <c r="E404" s="220">
        <v>1643.84</v>
      </c>
      <c r="F404" s="221">
        <v>4546.4</v>
      </c>
      <c r="G404" s="221">
        <v>2798.6</v>
      </c>
      <c r="H404" s="221">
        <v>0</v>
      </c>
      <c r="I404" s="221">
        <f t="shared" si="389"/>
      </c>
      <c r="J404" s="222">
        <f>1172.88+3007.2</f>
      </c>
      <c r="K404" s="223">
        <f t="shared" si="274"/>
      </c>
      <c r="L404" s="223">
        <f t="shared" si="159"/>
      </c>
      <c r="M404" s="224">
        <f t="shared" si="83"/>
      </c>
      <c r="N404" s="225">
        <f t="shared" si="52"/>
      </c>
      <c r="O404" s="226">
        <f t="shared" si="21"/>
      </c>
      <c r="P404" s="227">
        <f t="shared" si="956"/>
      </c>
      <c r="Q404" s="227">
        <f t="shared" si="925"/>
      </c>
      <c r="R404" s="227">
        <f t="shared" si="894"/>
      </c>
      <c r="S404" s="228">
        <f t="shared" si="863"/>
      </c>
      <c r="T404" s="229">
        <f t="shared" si="801"/>
      </c>
      <c r="U404" s="227">
        <f t="shared" si="770"/>
      </c>
      <c r="V404" s="230">
        <f t="shared" si="832"/>
      </c>
      <c r="W404" s="230">
        <f t="shared" si="739"/>
      </c>
      <c r="X404" s="227">
        <f t="shared" si="708"/>
      </c>
      <c r="Y404" s="231">
        <f t="shared" si="607"/>
      </c>
      <c r="Z404" s="231">
        <v>6</v>
      </c>
      <c r="AA404" s="231">
        <v>10</v>
      </c>
      <c r="AB404" s="232">
        <f>16108.56+4677.96</f>
      </c>
      <c r="AC404" s="232">
        <v>2786</v>
      </c>
      <c r="AD404" s="228">
        <f t="shared" si="677"/>
      </c>
      <c r="AE404" s="233" t="s">
        <v>202</v>
      </c>
      <c r="AF404" s="234" t="s">
        <v>232</v>
      </c>
      <c r="AG404" s="235">
        <v>6</v>
      </c>
      <c r="AH404" s="236">
        <v>64441</v>
      </c>
      <c r="AI404" s="236">
        <v>1840</v>
      </c>
      <c r="AJ404" s="236">
        <v>1922</v>
      </c>
      <c r="AK404" s="235">
        <v>241</v>
      </c>
      <c r="AL404" s="235">
        <v>251</v>
      </c>
    </row>
    <row r="405">
      <c r="A405" s="216"/>
      <c r="B405" s="239" t="s">
        <v>208</v>
      </c>
      <c r="C405" s="240">
        <v>5</v>
      </c>
      <c r="D405" s="241">
        <f>SUM(D400:D404)</f>
      </c>
      <c r="E405" s="241">
        <f>SUM(E400:E404)</f>
      </c>
      <c r="F405" s="241">
        <f>SUM(F400:F404)</f>
      </c>
      <c r="G405" s="241">
        <f>SUM(G400:G404)</f>
      </c>
      <c r="H405" s="241">
        <f>SUM(H400:H404)</f>
      </c>
      <c r="I405" s="241">
        <f>SUM(I400:I404)</f>
      </c>
      <c r="J405" s="241">
        <f>SUM(J400:J404)</f>
      </c>
      <c r="K405" s="241">
        <f>SUM(K400:K404)</f>
      </c>
      <c r="L405" s="241">
        <f>SUM(L400:L404)</f>
      </c>
      <c r="M405" s="242">
        <f t="shared" si="83"/>
      </c>
      <c r="N405" s="243">
        <f t="shared" si="52"/>
      </c>
      <c r="O405" s="243">
        <f t="shared" si="21"/>
      </c>
      <c r="P405" s="244">
        <f t="shared" si="956"/>
      </c>
      <c r="Q405" s="244">
        <f t="shared" si="925"/>
      </c>
      <c r="R405" s="244">
        <f t="shared" si="894"/>
      </c>
      <c r="S405" s="245">
        <f t="shared" si="863"/>
      </c>
      <c r="T405" s="245">
        <f t="shared" si="801"/>
      </c>
      <c r="U405" s="244">
        <f t="shared" si="770"/>
      </c>
      <c r="V405" s="245">
        <f t="shared" si="832"/>
      </c>
      <c r="W405" s="245">
        <f t="shared" si="739"/>
      </c>
      <c r="X405" s="244">
        <f t="shared" si="708"/>
      </c>
      <c r="Y405" s="241">
        <f>SUM(Y400:Y404)</f>
      </c>
      <c r="Z405" s="241">
        <f>SUM(Z400:Z404)</f>
      </c>
      <c r="AA405" s="241">
        <f>SUM(AA400:AA404)</f>
      </c>
      <c r="AB405" s="241">
        <f>SUM(AB400:AB404)</f>
      </c>
      <c r="AC405" s="241">
        <f>SUM(AC400:AC404)</f>
      </c>
      <c r="AD405" s="246">
        <f t="shared" si="677"/>
      </c>
      <c r="AE405" s="247"/>
      <c r="AF405" s="248"/>
      <c r="AG405" s="241">
        <f>SUM(AG400:AG404)</f>
      </c>
      <c r="AH405" s="241">
        <f>SUM(AH400:AH404)</f>
      </c>
      <c r="AI405" s="241">
        <f>SUM(AI400:AI404)</f>
      </c>
      <c r="AJ405" s="241">
        <f>SUM(AJ400:AJ404)</f>
      </c>
      <c r="AK405" s="241">
        <f>SUM(AK400:AK404)</f>
      </c>
      <c r="AL405" s="241">
        <f>SUM(AL400:AL404)</f>
      </c>
    </row>
    <row r="406">
      <c r="A406" s="216"/>
      <c r="B406" s="217" t="s">
        <v>231</v>
      </c>
      <c r="C406" s="218" t="s">
        <v>219</v>
      </c>
      <c r="D406" s="219">
        <f t="shared" ref="D406:D410" si="503">E406+F406+G406+H406</f>
      </c>
      <c r="E406" s="220">
        <v>1157.95</v>
      </c>
      <c r="F406" s="221">
        <v>5531.3</v>
      </c>
      <c r="G406" s="221">
        <v>1317.53</v>
      </c>
      <c r="H406" s="221">
        <v>0</v>
      </c>
      <c r="I406" s="221">
        <f t="shared" ref="I406:I410" si="390">AB406+AC406</f>
      </c>
      <c r="J406" s="222">
        <v>3532.68</v>
      </c>
      <c r="K406" s="223">
        <f t="shared" ref="K406:K410" si="275">I406-J406</f>
      </c>
      <c r="L406" s="223">
        <f t="shared" ref="L406:L410" si="160">(I406-AC406)/12+AC406</f>
      </c>
      <c r="M406" s="224">
        <f t="shared" si="83"/>
      </c>
      <c r="N406" s="225">
        <f t="shared" si="52"/>
      </c>
      <c r="O406" s="226">
        <f t="shared" si="21"/>
      </c>
      <c r="P406" s="227">
        <f t="shared" si="956"/>
      </c>
      <c r="Q406" s="227">
        <f t="shared" si="925"/>
      </c>
      <c r="R406" s="227">
        <f t="shared" si="894"/>
      </c>
      <c r="S406" s="228">
        <f t="shared" si="863"/>
      </c>
      <c r="T406" s="229">
        <f t="shared" si="801"/>
      </c>
      <c r="U406" s="227">
        <f t="shared" si="770"/>
      </c>
      <c r="V406" s="230">
        <f t="shared" si="832"/>
      </c>
      <c r="W406" s="230">
        <f t="shared" si="739"/>
      </c>
      <c r="X406" s="227">
        <f t="shared" si="708"/>
      </c>
      <c r="Y406" s="231">
        <f t="shared" ref="Y406:Y410" si="608">Z406+AA406</f>
      </c>
      <c r="Z406" s="231">
        <v>10</v>
      </c>
      <c r="AA406" s="231">
        <v>8</v>
      </c>
      <c r="AB406" s="232">
        <v>15581.160000000007</v>
      </c>
      <c r="AC406" s="232">
        <v>0</v>
      </c>
      <c r="AD406" s="228">
        <f t="shared" si="677"/>
      </c>
      <c r="AE406" s="233" t="s">
        <v>202</v>
      </c>
      <c r="AF406" s="234" t="s">
        <v>232</v>
      </c>
      <c r="AG406" s="235">
        <v>7</v>
      </c>
      <c r="AH406" s="236">
        <v>56946</v>
      </c>
      <c r="AI406" s="236">
        <v>1581</v>
      </c>
      <c r="AJ406" s="236">
        <v>1629</v>
      </c>
      <c r="AK406" s="235">
        <v>236</v>
      </c>
      <c r="AL406" s="235">
        <v>250</v>
      </c>
    </row>
    <row r="407">
      <c r="A407" s="216"/>
      <c r="B407" s="217" t="s">
        <v>231</v>
      </c>
      <c r="C407" s="218" t="s">
        <v>220</v>
      </c>
      <c r="D407" s="219">
        <f t="shared" si="503"/>
      </c>
      <c r="E407" s="218">
        <v>1074.37</v>
      </c>
      <c r="F407" s="221">
        <v>3232.38</v>
      </c>
      <c r="G407" s="221">
        <v>1440.34</v>
      </c>
      <c r="H407" s="221">
        <v>0</v>
      </c>
      <c r="I407" s="221">
        <f t="shared" si="390"/>
      </c>
      <c r="J407" s="222">
        <f>1591.92+1300.32+1105.92</f>
      </c>
      <c r="K407" s="223">
        <f t="shared" si="275"/>
      </c>
      <c r="L407" s="223">
        <f t="shared" si="160"/>
      </c>
      <c r="M407" s="224">
        <f t="shared" si="83"/>
      </c>
      <c r="N407" s="225">
        <f t="shared" si="52"/>
      </c>
      <c r="O407" s="226">
        <f t="shared" si="21"/>
      </c>
      <c r="P407" s="227">
        <f t="shared" si="956"/>
      </c>
      <c r="Q407" s="227">
        <f t="shared" si="925"/>
      </c>
      <c r="R407" s="227">
        <f t="shared" si="894"/>
      </c>
      <c r="S407" s="228">
        <f t="shared" si="863"/>
      </c>
      <c r="T407" s="229">
        <f t="shared" si="801"/>
      </c>
      <c r="U407" s="227">
        <f t="shared" si="770"/>
      </c>
      <c r="V407" s="230">
        <f t="shared" si="832"/>
      </c>
      <c r="W407" s="230">
        <f t="shared" si="739"/>
      </c>
      <c r="X407" s="227">
        <f t="shared" si="708"/>
      </c>
      <c r="Y407" s="231">
        <f t="shared" si="608"/>
      </c>
      <c r="Z407" s="231">
        <v>4</v>
      </c>
      <c r="AA407" s="231">
        <v>6</v>
      </c>
      <c r="AB407" s="232">
        <v>7356.9599999999955</v>
      </c>
      <c r="AC407" s="232">
        <v>0</v>
      </c>
      <c r="AD407" s="228">
        <f t="shared" si="677"/>
      </c>
      <c r="AE407" s="233" t="s">
        <v>202</v>
      </c>
      <c r="AF407" s="234" t="s">
        <v>232</v>
      </c>
      <c r="AG407" s="235">
        <v>5</v>
      </c>
      <c r="AH407" s="236">
        <v>41766</v>
      </c>
      <c r="AI407" s="236">
        <v>1328</v>
      </c>
      <c r="AJ407" s="236">
        <v>1365</v>
      </c>
      <c r="AK407" s="237">
        <v>163</v>
      </c>
      <c r="AL407" s="237">
        <v>166</v>
      </c>
    </row>
    <row r="408">
      <c r="A408" s="216"/>
      <c r="B408" s="217" t="s">
        <v>231</v>
      </c>
      <c r="C408" s="218" t="s">
        <v>221</v>
      </c>
      <c r="D408" s="219">
        <f t="shared" si="503"/>
      </c>
      <c r="E408" s="218">
        <v>1757.24</v>
      </c>
      <c r="F408" s="218">
        <v>3681.32</v>
      </c>
      <c r="G408" s="218">
        <v>1419.03</v>
      </c>
      <c r="H408" s="221">
        <v>0</v>
      </c>
      <c r="I408" s="221">
        <f t="shared" si="390"/>
      </c>
      <c r="J408" s="222">
        <f>2917.08+733.32+1253.88</f>
      </c>
      <c r="K408" s="223">
        <f t="shared" si="275"/>
      </c>
      <c r="L408" s="223">
        <f t="shared" si="160"/>
      </c>
      <c r="M408" s="224">
        <f t="shared" si="83"/>
      </c>
      <c r="N408" s="225">
        <f t="shared" si="52"/>
      </c>
      <c r="O408" s="226">
        <f t="shared" si="21"/>
      </c>
      <c r="P408" s="227">
        <f t="shared" si="956"/>
      </c>
      <c r="Q408" s="227">
        <f t="shared" si="925"/>
      </c>
      <c r="R408" s="227">
        <f t="shared" si="894"/>
      </c>
      <c r="S408" s="228">
        <f t="shared" si="863"/>
      </c>
      <c r="T408" s="229">
        <f t="shared" si="801"/>
      </c>
      <c r="U408" s="227">
        <f t="shared" si="770"/>
      </c>
      <c r="V408" s="230">
        <f t="shared" si="832"/>
      </c>
      <c r="W408" s="230">
        <f t="shared" si="739"/>
      </c>
      <c r="X408" s="227">
        <f t="shared" si="708"/>
      </c>
      <c r="Y408" s="231">
        <f t="shared" si="608"/>
      </c>
      <c r="Z408" s="231">
        <v>8</v>
      </c>
      <c r="AA408" s="231">
        <v>9</v>
      </c>
      <c r="AB408" s="232">
        <v>12127.799999999992</v>
      </c>
      <c r="AC408" s="232">
        <v>1927</v>
      </c>
      <c r="AD408" s="228">
        <f t="shared" si="677"/>
      </c>
      <c r="AE408" s="233" t="s">
        <v>202</v>
      </c>
      <c r="AF408" s="234" t="s">
        <v>232</v>
      </c>
      <c r="AG408" s="237">
        <v>8</v>
      </c>
      <c r="AH408" s="236">
        <v>47289</v>
      </c>
      <c r="AI408" s="236">
        <v>1644</v>
      </c>
      <c r="AJ408" s="236">
        <v>1721</v>
      </c>
      <c r="AK408" s="237">
        <v>194</v>
      </c>
      <c r="AL408" s="237">
        <v>196</v>
      </c>
    </row>
    <row r="409">
      <c r="A409" s="216"/>
      <c r="B409" s="217" t="s">
        <v>231</v>
      </c>
      <c r="C409" s="218" t="s">
        <v>201</v>
      </c>
      <c r="D409" s="219">
        <f t="shared" si="503"/>
      </c>
      <c r="E409" s="218">
        <v>2291.53</v>
      </c>
      <c r="F409" s="221">
        <v>3750.7</v>
      </c>
      <c r="G409" s="221">
        <v>1282.64</v>
      </c>
      <c r="H409" s="221">
        <v>0</v>
      </c>
      <c r="I409" s="221">
        <f t="shared" si="390"/>
      </c>
      <c r="J409" s="222">
        <v>0</v>
      </c>
      <c r="K409" s="223">
        <f t="shared" si="275"/>
      </c>
      <c r="L409" s="223">
        <f t="shared" si="160"/>
      </c>
      <c r="M409" s="224">
        <f t="shared" si="83"/>
      </c>
      <c r="N409" s="225">
        <f t="shared" si="52"/>
      </c>
      <c r="O409" s="226">
        <f t="shared" si="21"/>
      </c>
      <c r="P409" s="227">
        <f t="shared" si="956"/>
      </c>
      <c r="Q409" s="227">
        <f t="shared" si="925"/>
      </c>
      <c r="R409" s="227">
        <f t="shared" si="894"/>
      </c>
      <c r="S409" s="228">
        <f t="shared" si="863"/>
      </c>
      <c r="T409" s="229">
        <f t="shared" si="801"/>
      </c>
      <c r="U409" s="227">
        <f t="shared" si="770"/>
      </c>
      <c r="V409" s="230">
        <f t="shared" si="832"/>
      </c>
      <c r="W409" s="230">
        <f t="shared" si="739"/>
      </c>
      <c r="X409" s="227">
        <f t="shared" si="708"/>
      </c>
      <c r="Y409" s="231">
        <f t="shared" si="608"/>
      </c>
      <c r="Z409" s="231">
        <v>6</v>
      </c>
      <c r="AA409" s="231">
        <v>3</v>
      </c>
      <c r="AB409" s="222">
        <v>1852.6799999999967</v>
      </c>
      <c r="AC409" s="232">
        <v>2307</v>
      </c>
      <c r="AD409" s="228">
        <f t="shared" si="677"/>
      </c>
      <c r="AE409" s="233" t="s">
        <v>202</v>
      </c>
      <c r="AF409" s="234" t="s">
        <v>232</v>
      </c>
      <c r="AG409" s="235">
        <v>3</v>
      </c>
      <c r="AH409" s="236">
        <v>53008</v>
      </c>
      <c r="AI409" s="236">
        <v>1829</v>
      </c>
      <c r="AJ409" s="236">
        <v>1932</v>
      </c>
      <c r="AK409" s="237">
        <v>181</v>
      </c>
      <c r="AL409" s="237">
        <v>167</v>
      </c>
    </row>
    <row customHeight="true" ht="16.666666666666668" r="410">
      <c r="A410" s="216"/>
      <c r="B410" s="217" t="s">
        <v>231</v>
      </c>
      <c r="C410" s="218" t="s">
        <v>204</v>
      </c>
      <c r="D410" s="219">
        <f t="shared" si="503"/>
      </c>
      <c r="E410" s="218">
        <v>2274.67</v>
      </c>
      <c r="F410" s="249">
        <v>3882.72</v>
      </c>
      <c r="G410" s="221">
        <v>1041.41</v>
      </c>
      <c r="H410" s="221">
        <v>0</v>
      </c>
      <c r="I410" s="250">
        <f t="shared" si="390"/>
      </c>
      <c r="J410" s="251">
        <f>752.76+708.48+4775+1226.04+1214.76</f>
      </c>
      <c r="K410" s="223">
        <f t="shared" si="275"/>
      </c>
      <c r="L410" s="223">
        <f t="shared" si="160"/>
      </c>
      <c r="M410" s="224">
        <f t="shared" si="83"/>
      </c>
      <c r="N410" s="225">
        <f t="shared" si="52"/>
      </c>
      <c r="O410" s="226">
        <f t="shared" si="21"/>
      </c>
      <c r="P410" s="227">
        <f t="shared" si="956"/>
      </c>
      <c r="Q410" s="227">
        <f t="shared" si="925"/>
      </c>
      <c r="R410" s="227">
        <f t="shared" si="894"/>
      </c>
      <c r="S410" s="228">
        <f t="shared" si="863"/>
      </c>
      <c r="T410" s="229">
        <f t="shared" si="801"/>
      </c>
      <c r="U410" s="227">
        <f t="shared" si="770"/>
      </c>
      <c r="V410" s="230">
        <f t="shared" si="832"/>
      </c>
      <c r="W410" s="230">
        <f t="shared" si="739"/>
      </c>
      <c r="X410" s="227">
        <f t="shared" si="708"/>
      </c>
      <c r="Y410" s="231">
        <f t="shared" si="608"/>
      </c>
      <c r="Z410" s="231">
        <v>10</v>
      </c>
      <c r="AA410" s="231">
        <v>13</v>
      </c>
      <c r="AB410" s="232">
        <v>27231.96</v>
      </c>
      <c r="AC410" s="232">
        <v>5472</v>
      </c>
      <c r="AD410" s="228">
        <f t="shared" si="677"/>
      </c>
      <c r="AE410" s="233" t="s">
        <v>202</v>
      </c>
      <c r="AF410" s="234" t="s">
        <v>232</v>
      </c>
      <c r="AG410" s="235">
        <v>7</v>
      </c>
      <c r="AH410" s="236">
        <v>50422</v>
      </c>
      <c r="AI410" s="236">
        <v>1944</v>
      </c>
      <c r="AJ410" s="236">
        <v>2042</v>
      </c>
      <c r="AK410" s="237">
        <v>223</v>
      </c>
      <c r="AL410" s="237">
        <v>213</v>
      </c>
    </row>
    <row r="411">
      <c r="A411" s="216"/>
      <c r="B411" s="239" t="s">
        <v>208</v>
      </c>
      <c r="C411" s="240">
        <v>5</v>
      </c>
      <c r="D411" s="241">
        <f>SUM(D406:D410)</f>
      </c>
      <c r="E411" s="241">
        <f>SUM(E406:E410)</f>
      </c>
      <c r="F411" s="241">
        <f>SUM(F406:F410)</f>
      </c>
      <c r="G411" s="241">
        <f>SUM(G406:G410)</f>
      </c>
      <c r="H411" s="241">
        <f>SUM(H406:H410)</f>
      </c>
      <c r="I411" s="241">
        <f>SUM(I406:I410)</f>
      </c>
      <c r="J411" s="241">
        <f>SUM(J406:J410)</f>
      </c>
      <c r="K411" s="241">
        <f>SUM(K406:K410)</f>
      </c>
      <c r="L411" s="241">
        <f>SUM(L406:L410)</f>
      </c>
      <c r="M411" s="242">
        <f t="shared" si="83"/>
      </c>
      <c r="N411" s="243">
        <f t="shared" si="52"/>
      </c>
      <c r="O411" s="243">
        <f t="shared" si="21"/>
      </c>
      <c r="P411" s="244">
        <f t="shared" si="956"/>
      </c>
      <c r="Q411" s="244">
        <f t="shared" si="925"/>
      </c>
      <c r="R411" s="244">
        <f t="shared" si="894"/>
      </c>
      <c r="S411" s="245">
        <f t="shared" si="863"/>
      </c>
      <c r="T411" s="245">
        <f t="shared" si="801"/>
      </c>
      <c r="U411" s="244">
        <f t="shared" si="770"/>
      </c>
      <c r="V411" s="245">
        <f t="shared" si="832"/>
      </c>
      <c r="W411" s="245">
        <f t="shared" si="739"/>
      </c>
      <c r="X411" s="244">
        <f t="shared" si="708"/>
      </c>
      <c r="Y411" s="241">
        <f>SUM(Y406:Y410)</f>
      </c>
      <c r="Z411" s="241">
        <f>SUM(Z406:Z410)</f>
      </c>
      <c r="AA411" s="241">
        <f>SUM(AA406:AA410)</f>
      </c>
      <c r="AB411" s="241">
        <f>SUM(AB406:AB410)</f>
      </c>
      <c r="AC411" s="241">
        <f>SUM(AC406:AC410)</f>
      </c>
      <c r="AD411" s="246">
        <f t="shared" si="677"/>
      </c>
      <c r="AE411" s="247"/>
      <c r="AF411" s="248"/>
      <c r="AG411" s="241">
        <f>SUM(AG406:AG410)</f>
      </c>
      <c r="AH411" s="241">
        <f>SUM(AH406:AH410)</f>
      </c>
      <c r="AI411" s="241">
        <f>SUM(AI406:AI410)</f>
      </c>
      <c r="AJ411" s="241">
        <f>SUM(AJ406:AJ410)</f>
      </c>
      <c r="AK411" s="241">
        <f>SUM(AK406:AK410)</f>
      </c>
      <c r="AL411" s="241">
        <f>SUM(AL406:AL410)</f>
      </c>
    </row>
    <row r="412">
      <c r="A412" s="216"/>
      <c r="B412" s="217" t="s">
        <v>233</v>
      </c>
      <c r="C412" s="218" t="s">
        <v>205</v>
      </c>
      <c r="D412" s="219">
        <f t="shared" ref="D412:D413" si="504">E412+F412+G412+H412</f>
      </c>
      <c r="E412" s="218">
        <v>1758.4</v>
      </c>
      <c r="F412" s="249">
        <v>4792.31</v>
      </c>
      <c r="G412" s="221">
        <v>704.91</v>
      </c>
      <c r="H412" s="221">
        <v>0</v>
      </c>
      <c r="I412" s="250">
        <f t="shared" ref="I412:I413" si="391">AB412+AC412</f>
      </c>
      <c r="J412" s="251">
        <f>1217.16+1591.92</f>
      </c>
      <c r="K412" s="223">
        <f t="shared" ref="K412:K413" si="276">I412-J412</f>
      </c>
      <c r="L412" s="223">
        <f t="shared" ref="L412:L413" si="161">(I412-AC412)/12+AC412</f>
      </c>
      <c r="M412" s="224">
        <f t="shared" si="83"/>
      </c>
      <c r="N412" s="225">
        <f t="shared" si="52"/>
      </c>
      <c r="O412" s="226">
        <f t="shared" si="21"/>
      </c>
      <c r="P412" s="227">
        <f t="shared" si="956"/>
      </c>
      <c r="Q412" s="227">
        <f t="shared" si="925"/>
      </c>
      <c r="R412" s="227">
        <f t="shared" si="894"/>
      </c>
      <c r="S412" s="228">
        <f t="shared" si="863"/>
      </c>
      <c r="T412" s="229">
        <f t="shared" si="801"/>
      </c>
      <c r="U412" s="227">
        <f t="shared" si="770"/>
      </c>
      <c r="V412" s="230">
        <f t="shared" si="832"/>
      </c>
      <c r="W412" s="230">
        <f t="shared" si="739"/>
      </c>
      <c r="X412" s="227">
        <f t="shared" si="708"/>
      </c>
      <c r="Y412" s="231">
        <f t="shared" ref="Y412:Y413" si="609">Z412+AA412</f>
      </c>
      <c r="Z412" s="231">
        <v>10</v>
      </c>
      <c r="AA412" s="231">
        <v>4</v>
      </c>
      <c r="AB412" s="232">
        <v>7712.2800000000025</v>
      </c>
      <c r="AC412" s="232">
        <v>0</v>
      </c>
      <c r="AD412" s="228">
        <f t="shared" si="677"/>
      </c>
      <c r="AE412" s="233" t="s">
        <v>202</v>
      </c>
      <c r="AF412" s="233" t="s">
        <v>203</v>
      </c>
      <c r="AG412" s="235">
        <v>3</v>
      </c>
      <c r="AH412" s="236">
        <v>54844</v>
      </c>
      <c r="AI412" s="236">
        <v>1595</v>
      </c>
      <c r="AJ412" s="236">
        <v>1651</v>
      </c>
      <c r="AK412" s="237">
        <v>182</v>
      </c>
      <c r="AL412" s="237">
        <v>220</v>
      </c>
    </row>
    <row r="413">
      <c r="A413" s="216"/>
      <c r="B413" s="217" t="s">
        <v>233</v>
      </c>
      <c r="C413" s="218" t="s">
        <v>206</v>
      </c>
      <c r="D413" s="219">
        <f t="shared" si="504"/>
      </c>
      <c r="E413" s="252">
        <v>2076.2</v>
      </c>
      <c r="F413" s="268">
        <v>3687.59</v>
      </c>
      <c r="G413" s="269">
        <v>836.47</v>
      </c>
      <c r="H413" s="221">
        <v>0</v>
      </c>
      <c r="I413" s="270">
        <f t="shared" si="391"/>
      </c>
      <c r="J413" s="251">
        <v>3048.84</v>
      </c>
      <c r="K413" s="223">
        <f t="shared" si="276"/>
      </c>
      <c r="L413" s="223">
        <f t="shared" si="161"/>
      </c>
      <c r="M413" s="224">
        <f t="shared" si="83"/>
      </c>
      <c r="N413" s="225">
        <f t="shared" si="52"/>
      </c>
      <c r="O413" s="226">
        <f t="shared" si="21"/>
      </c>
      <c r="P413" s="227">
        <f t="shared" si="956"/>
      </c>
      <c r="Q413" s="227">
        <f t="shared" si="925"/>
      </c>
      <c r="R413" s="227">
        <f t="shared" si="894"/>
      </c>
      <c r="S413" s="228">
        <f t="shared" si="863"/>
      </c>
      <c r="T413" s="229">
        <f t="shared" si="801"/>
      </c>
      <c r="U413" s="227">
        <f t="shared" si="770"/>
      </c>
      <c r="V413" s="230">
        <f t="shared" si="832"/>
      </c>
      <c r="W413" s="230">
        <f t="shared" si="739"/>
      </c>
      <c r="X413" s="227">
        <f t="shared" si="708"/>
      </c>
      <c r="Y413" s="231">
        <f t="shared" si="609"/>
      </c>
      <c r="Z413" s="231">
        <v>3</v>
      </c>
      <c r="AA413" s="231">
        <v>7</v>
      </c>
      <c r="AB413" s="272">
        <v>9445.679999999997</v>
      </c>
      <c r="AC413" s="232">
        <v>1733</v>
      </c>
      <c r="AD413" s="228">
        <f t="shared" si="677"/>
      </c>
      <c r="AE413" s="233" t="s">
        <v>202</v>
      </c>
      <c r="AF413" s="233" t="s">
        <v>203</v>
      </c>
      <c r="AG413" s="237">
        <v>7</v>
      </c>
      <c r="AH413" s="236">
        <v>45970</v>
      </c>
      <c r="AI413" s="236">
        <v>1495</v>
      </c>
      <c r="AJ413" s="236">
        <v>1582</v>
      </c>
      <c r="AK413" s="237">
        <v>198</v>
      </c>
      <c r="AL413" s="237">
        <v>193</v>
      </c>
    </row>
    <row r="414">
      <c r="A414" s="216"/>
      <c r="B414" s="239" t="s">
        <v>208</v>
      </c>
      <c r="C414" s="240">
        <v>2</v>
      </c>
      <c r="D414" s="273">
        <f>SUM(D412:D413)</f>
      </c>
      <c r="E414" s="273">
        <f>SUM(E412:E413)</f>
      </c>
      <c r="F414" s="273">
        <f>SUM(F412:F413)</f>
      </c>
      <c r="G414" s="273">
        <f>SUM(G412:G413)</f>
      </c>
      <c r="H414" s="273">
        <f>SUM(H412:H413)</f>
      </c>
      <c r="I414" s="273">
        <f>SUM(I412:I413)</f>
      </c>
      <c r="J414" s="273">
        <f>SUM(J412:J413)</f>
      </c>
      <c r="K414" s="273">
        <f>SUM(K412:K413)</f>
      </c>
      <c r="L414" s="273">
        <f>SUM(L412:L413)</f>
      </c>
      <c r="M414" s="242">
        <f t="shared" si="83"/>
      </c>
      <c r="N414" s="243">
        <f t="shared" si="52"/>
      </c>
      <c r="O414" s="243">
        <f t="shared" si="21"/>
      </c>
      <c r="P414" s="244">
        <f t="shared" si="956"/>
      </c>
      <c r="Q414" s="244">
        <f t="shared" si="925"/>
      </c>
      <c r="R414" s="244">
        <f t="shared" si="894"/>
      </c>
      <c r="S414" s="245">
        <f t="shared" si="863"/>
      </c>
      <c r="T414" s="245">
        <f t="shared" si="801"/>
      </c>
      <c r="U414" s="244">
        <f t="shared" si="770"/>
      </c>
      <c r="V414" s="245">
        <f t="shared" si="832"/>
      </c>
      <c r="W414" s="245">
        <f t="shared" si="739"/>
      </c>
      <c r="X414" s="244">
        <f t="shared" si="708"/>
      </c>
      <c r="Y414" s="273">
        <f>SUM(Y412:Y413)</f>
      </c>
      <c r="Z414" s="273">
        <f>SUM(Z412:Z413)</f>
      </c>
      <c r="AA414" s="273">
        <f>SUM(AA412:AA413)</f>
      </c>
      <c r="AB414" s="273">
        <f>SUM(AB412:AB413)</f>
      </c>
      <c r="AC414" s="273">
        <f>SUM(AC412:AC413)</f>
      </c>
      <c r="AD414" s="246">
        <f t="shared" si="677"/>
      </c>
      <c r="AE414" s="247"/>
      <c r="AF414" s="248"/>
      <c r="AG414" s="273">
        <f>SUM(AG412:AG413)</f>
      </c>
      <c r="AH414" s="273">
        <f>SUM(AH412:AH413)</f>
      </c>
      <c r="AI414" s="273">
        <f>SUM(AI412:AI413)</f>
      </c>
      <c r="AJ414" s="273">
        <f>SUM(AJ412:AJ413)</f>
      </c>
      <c r="AK414" s="273">
        <f>SUM(AK412:AK413)</f>
      </c>
      <c r="AL414" s="273">
        <f>SUM(AL412:AL413)</f>
      </c>
    </row>
    <row r="415">
      <c r="A415" s="216"/>
      <c r="B415" s="217" t="s">
        <v>225</v>
      </c>
      <c r="C415" s="218" t="s">
        <v>207</v>
      </c>
      <c r="D415" s="219">
        <f t="shared" ref="D415:D417" si="505">E415+F415+G415+H415</f>
      </c>
      <c r="E415" s="218">
        <v>2969.11</v>
      </c>
      <c r="F415" s="249">
        <v>4865.05</v>
      </c>
      <c r="G415" s="221">
        <v>1100.54</v>
      </c>
      <c r="H415" s="221">
        <v>0</v>
      </c>
      <c r="I415" s="250">
        <f t="shared" ref="I415:I417" si="392">AB415+AC415</f>
      </c>
      <c r="J415" s="251">
        <v>0</v>
      </c>
      <c r="K415" s="223">
        <f t="shared" ref="K415:K417" si="277">I415-J415</f>
      </c>
      <c r="L415" s="223">
        <f t="shared" ref="L415:L417" si="162">(I415-AC415)/12+AC415</f>
      </c>
      <c r="M415" s="224">
        <f t="shared" si="83"/>
      </c>
      <c r="N415" s="225">
        <f t="shared" si="52"/>
      </c>
      <c r="O415" s="226">
        <f t="shared" si="21"/>
      </c>
      <c r="P415" s="227">
        <f t="shared" si="956"/>
      </c>
      <c r="Q415" s="227">
        <f t="shared" si="925"/>
      </c>
      <c r="R415" s="227">
        <f t="shared" si="894"/>
      </c>
      <c r="S415" s="228">
        <f t="shared" si="863"/>
      </c>
      <c r="T415" s="229">
        <f t="shared" si="801"/>
      </c>
      <c r="U415" s="227">
        <f t="shared" si="770"/>
      </c>
      <c r="V415" s="230">
        <f t="shared" si="832"/>
      </c>
      <c r="W415" s="230">
        <f t="shared" si="739"/>
      </c>
      <c r="X415" s="227">
        <f t="shared" si="708"/>
      </c>
      <c r="Y415" s="231">
        <f t="shared" ref="Y415:Y417" si="610">Z415+AA415</f>
      </c>
      <c r="Z415" s="231">
        <v>4</v>
      </c>
      <c r="AA415" s="231">
        <v>1</v>
      </c>
      <c r="AB415" s="232">
        <v>1871.6400000000176</v>
      </c>
      <c r="AC415" s="232">
        <v>0</v>
      </c>
      <c r="AD415" s="228">
        <f t="shared" si="677"/>
      </c>
      <c r="AE415" s="233" t="s">
        <v>202</v>
      </c>
      <c r="AF415" s="234" t="s">
        <v>203</v>
      </c>
      <c r="AG415" s="235">
        <v>1</v>
      </c>
      <c r="AH415" s="236">
        <v>74645</v>
      </c>
      <c r="AI415" s="236">
        <v>2183</v>
      </c>
      <c r="AJ415" s="236">
        <v>2320</v>
      </c>
      <c r="AK415" s="237">
        <v>215</v>
      </c>
      <c r="AL415" s="237">
        <v>249</v>
      </c>
    </row>
    <row r="416">
      <c r="A416" s="216"/>
      <c r="B416" s="217" t="s">
        <v>225</v>
      </c>
      <c r="C416" s="252" t="s">
        <v>210</v>
      </c>
      <c r="D416" s="219">
        <f t="shared" si="505"/>
      </c>
      <c r="E416" s="218">
        <v>3947.12</v>
      </c>
      <c r="F416" s="249">
        <v>2835.65</v>
      </c>
      <c r="G416" s="221">
        <v>1270.72</v>
      </c>
      <c r="H416" s="221">
        <v>0</v>
      </c>
      <c r="I416" s="250">
        <f t="shared" si="392"/>
      </c>
      <c r="J416" s="251">
        <v>923.4</v>
      </c>
      <c r="K416" s="223">
        <f t="shared" si="277"/>
      </c>
      <c r="L416" s="223">
        <f t="shared" si="162"/>
      </c>
      <c r="M416" s="224">
        <f t="shared" si="83"/>
      </c>
      <c r="N416" s="225">
        <f t="shared" si="52"/>
      </c>
      <c r="O416" s="226">
        <f t="shared" si="21"/>
      </c>
      <c r="P416" s="227">
        <f t="shared" si="956"/>
      </c>
      <c r="Q416" s="227">
        <f t="shared" si="925"/>
      </c>
      <c r="R416" s="227">
        <f t="shared" si="894"/>
      </c>
      <c r="S416" s="228">
        <f t="shared" si="863"/>
      </c>
      <c r="T416" s="229">
        <f t="shared" si="801"/>
      </c>
      <c r="U416" s="227">
        <f t="shared" si="770"/>
      </c>
      <c r="V416" s="230">
        <f t="shared" si="832"/>
      </c>
      <c r="W416" s="230">
        <f t="shared" si="739"/>
      </c>
      <c r="X416" s="227">
        <f t="shared" si="708"/>
      </c>
      <c r="Y416" s="231">
        <f t="shared" si="610"/>
      </c>
      <c r="Z416" s="231">
        <v>4</v>
      </c>
      <c r="AA416" s="231">
        <v>4</v>
      </c>
      <c r="AB416" s="232">
        <v>8494.199999999986</v>
      </c>
      <c r="AC416" s="232">
        <v>0</v>
      </c>
      <c r="AD416" s="228">
        <f t="shared" si="677"/>
      </c>
      <c r="AE416" s="233" t="s">
        <v>202</v>
      </c>
      <c r="AF416" s="234" t="s">
        <v>203</v>
      </c>
      <c r="AG416" s="235">
        <v>3</v>
      </c>
      <c r="AH416" s="236">
        <v>82366</v>
      </c>
      <c r="AI416" s="236">
        <v>2240</v>
      </c>
      <c r="AJ416" s="236">
        <v>2413</v>
      </c>
      <c r="AK416" s="237">
        <v>181</v>
      </c>
      <c r="AL416" s="237">
        <v>200</v>
      </c>
    </row>
    <row r="417">
      <c r="A417" s="216"/>
      <c r="B417" s="217" t="s">
        <v>225</v>
      </c>
      <c r="C417" s="252" t="s">
        <v>211</v>
      </c>
      <c r="D417" s="219">
        <f t="shared" si="505"/>
      </c>
      <c r="E417" s="218">
        <v>3164.78</v>
      </c>
      <c r="F417" s="249">
        <v>2652.16</v>
      </c>
      <c r="G417" s="218">
        <v>1812.54</v>
      </c>
      <c r="H417" s="221">
        <v>0</v>
      </c>
      <c r="I417" s="250">
        <f t="shared" si="392"/>
      </c>
      <c r="J417" s="251">
        <v>411.48</v>
      </c>
      <c r="K417" s="223">
        <f t="shared" si="277"/>
      </c>
      <c r="L417" s="223">
        <f t="shared" si="162"/>
      </c>
      <c r="M417" s="224">
        <f t="shared" si="83"/>
      </c>
      <c r="N417" s="225">
        <f t="shared" si="52"/>
      </c>
      <c r="O417" s="226">
        <f t="shared" si="21"/>
      </c>
      <c r="P417" s="227">
        <f t="shared" si="956"/>
      </c>
      <c r="Q417" s="227">
        <f t="shared" si="925"/>
      </c>
      <c r="R417" s="227">
        <f t="shared" si="894"/>
      </c>
      <c r="S417" s="228">
        <f t="shared" si="863"/>
      </c>
      <c r="T417" s="229">
        <f t="shared" si="801"/>
      </c>
      <c r="U417" s="227">
        <f t="shared" si="770"/>
      </c>
      <c r="V417" s="230">
        <f t="shared" si="832"/>
      </c>
      <c r="W417" s="230">
        <f t="shared" si="739"/>
      </c>
      <c r="X417" s="227">
        <f t="shared" si="708"/>
      </c>
      <c r="Y417" s="231">
        <f t="shared" si="610"/>
      </c>
      <c r="Z417" s="231">
        <v>9</v>
      </c>
      <c r="AA417" s="231">
        <v>7</v>
      </c>
      <c r="AB417" s="232">
        <v>5180.760000000013</v>
      </c>
      <c r="AC417" s="232">
        <v>2620.5</v>
      </c>
      <c r="AD417" s="228">
        <f t="shared" si="677"/>
      </c>
      <c r="AE417" s="233" t="s">
        <v>202</v>
      </c>
      <c r="AF417" s="234" t="s">
        <v>203</v>
      </c>
      <c r="AG417" s="237">
        <v>7</v>
      </c>
      <c r="AH417" s="236">
        <v>75034</v>
      </c>
      <c r="AI417" s="236">
        <v>2135</v>
      </c>
      <c r="AJ417" s="236">
        <v>2289</v>
      </c>
      <c r="AK417" s="237">
        <v>192</v>
      </c>
      <c r="AL417" s="237">
        <v>213</v>
      </c>
    </row>
    <row r="418">
      <c r="A418" s="216"/>
      <c r="B418" s="239" t="s">
        <v>208</v>
      </c>
      <c r="C418" s="240">
        <v>3</v>
      </c>
      <c r="D418" s="241">
        <f>SUM(D415:D417)</f>
      </c>
      <c r="E418" s="241">
        <f>SUM(E415:E417)</f>
      </c>
      <c r="F418" s="241">
        <f>SUM(F415:F417)</f>
      </c>
      <c r="G418" s="241">
        <f>SUM(G415:G417)</f>
      </c>
      <c r="H418" s="241">
        <f>SUM(H415:H417)</f>
      </c>
      <c r="I418" s="241">
        <f>SUM(I415:I417)</f>
      </c>
      <c r="J418" s="241">
        <f>SUM(J415:J417)</f>
      </c>
      <c r="K418" s="241">
        <f>SUM(K415:K417)</f>
      </c>
      <c r="L418" s="241">
        <f>SUM(L415:L417)</f>
      </c>
      <c r="M418" s="242">
        <f t="shared" si="83"/>
      </c>
      <c r="N418" s="243">
        <f t="shared" si="52"/>
      </c>
      <c r="O418" s="243">
        <f t="shared" si="21"/>
      </c>
      <c r="P418" s="244">
        <f t="shared" si="956"/>
      </c>
      <c r="Q418" s="244">
        <f t="shared" si="925"/>
      </c>
      <c r="R418" s="244">
        <f t="shared" si="894"/>
      </c>
      <c r="S418" s="245">
        <f t="shared" si="863"/>
      </c>
      <c r="T418" s="245">
        <f t="shared" si="801"/>
      </c>
      <c r="U418" s="244">
        <f t="shared" si="770"/>
      </c>
      <c r="V418" s="245">
        <f t="shared" si="832"/>
      </c>
      <c r="W418" s="245">
        <f t="shared" si="739"/>
      </c>
      <c r="X418" s="244">
        <f t="shared" si="708"/>
      </c>
      <c r="Y418" s="241">
        <f>SUM(Y415:Y417)</f>
      </c>
      <c r="Z418" s="241">
        <f>SUM(Z415:Z417)</f>
      </c>
      <c r="AA418" s="241">
        <f>SUM(AA415:AA417)</f>
      </c>
      <c r="AB418" s="241">
        <f>SUM(AB415:AB417)</f>
      </c>
      <c r="AC418" s="241">
        <f>SUM(AC415:AC417)</f>
      </c>
      <c r="AD418" s="246">
        <f t="shared" si="677"/>
      </c>
      <c r="AE418" s="247"/>
      <c r="AF418" s="248"/>
      <c r="AG418" s="241">
        <f>SUM(AG415:AG417)</f>
      </c>
      <c r="AH418" s="241">
        <f>SUM(AH415:AH417)</f>
      </c>
      <c r="AI418" s="241">
        <f>SUM(AI415:AI417)</f>
      </c>
      <c r="AJ418" s="241">
        <f>SUM(AJ415:AJ417)</f>
      </c>
      <c r="AK418" s="241">
        <f>SUM(AK415:AK417)</f>
      </c>
      <c r="AL418" s="241">
        <f>SUM(AL415:AL417)</f>
      </c>
    </row>
    <row r="419">
      <c r="A419" s="216"/>
      <c r="B419" s="217" t="s">
        <v>209</v>
      </c>
      <c r="C419" s="252" t="s">
        <v>212</v>
      </c>
      <c r="D419" s="219">
        <f t="shared" ref="D419:D423" si="506">E419+F419+G419+H419</f>
      </c>
      <c r="E419" s="220">
        <v>2857.98</v>
      </c>
      <c r="F419" s="221">
        <v>4864.88</v>
      </c>
      <c r="G419" s="221">
        <v>1553.57</v>
      </c>
      <c r="H419" s="221">
        <v>0</v>
      </c>
      <c r="I419" s="221">
        <f t="shared" ref="I419:I423" si="393">AB419+AC419</f>
      </c>
      <c r="J419" s="222">
        <v>1551.96</v>
      </c>
      <c r="K419" s="223">
        <f t="shared" ref="K419:K423" si="278">I419-J419</f>
      </c>
      <c r="L419" s="223">
        <f t="shared" ref="L419:L423" si="163">(I419-AC419)/12+AC419</f>
      </c>
      <c r="M419" s="224">
        <f t="shared" si="83"/>
      </c>
      <c r="N419" s="225">
        <f t="shared" si="52"/>
      </c>
      <c r="O419" s="226">
        <f t="shared" si="21"/>
      </c>
      <c r="P419" s="227">
        <f t="shared" si="956"/>
      </c>
      <c r="Q419" s="227">
        <f t="shared" si="925"/>
      </c>
      <c r="R419" s="227">
        <f t="shared" si="894"/>
      </c>
      <c r="S419" s="228">
        <f t="shared" si="863"/>
      </c>
      <c r="T419" s="229">
        <f t="shared" si="801"/>
      </c>
      <c r="U419" s="227">
        <f t="shared" si="770"/>
      </c>
      <c r="V419" s="230">
        <f t="shared" si="832"/>
      </c>
      <c r="W419" s="230">
        <f t="shared" si="739"/>
      </c>
      <c r="X419" s="227">
        <f t="shared" si="708"/>
      </c>
      <c r="Y419" s="231">
        <f t="shared" ref="Y419:Y423" si="611">Z419+AA419</f>
      </c>
      <c r="Z419" s="231">
        <v>13</v>
      </c>
      <c r="AA419" s="231">
        <v>6</v>
      </c>
      <c r="AB419" s="232">
        <v>5266.919999999987</v>
      </c>
      <c r="AC419" s="232">
        <v>3541.75</v>
      </c>
      <c r="AD419" s="228">
        <f t="shared" si="677"/>
      </c>
      <c r="AE419" s="233" t="s">
        <v>202</v>
      </c>
      <c r="AF419" s="234" t="s">
        <v>203</v>
      </c>
      <c r="AG419" s="235">
        <v>5</v>
      </c>
      <c r="AH419" s="235">
        <v>81939</v>
      </c>
      <c r="AI419" s="236">
        <v>2676</v>
      </c>
      <c r="AJ419" s="236">
        <v>2850</v>
      </c>
      <c r="AK419" s="235">
        <v>250</v>
      </c>
      <c r="AL419" s="237">
        <v>244</v>
      </c>
    </row>
    <row r="420">
      <c r="A420" s="216"/>
      <c r="B420" s="217" t="s">
        <v>209</v>
      </c>
      <c r="C420" s="218" t="s">
        <v>213</v>
      </c>
      <c r="D420" s="219">
        <f t="shared" si="506"/>
      </c>
      <c r="E420" s="218">
        <v>4457.07</v>
      </c>
      <c r="F420" s="221">
        <v>3067.18</v>
      </c>
      <c r="G420" s="221">
        <v>1524.74</v>
      </c>
      <c r="H420" s="221">
        <v>0</v>
      </c>
      <c r="I420" s="221">
        <f t="shared" si="393"/>
      </c>
      <c r="J420" s="222">
        <v>0</v>
      </c>
      <c r="K420" s="223">
        <f t="shared" si="278"/>
      </c>
      <c r="L420" s="223">
        <f t="shared" si="163"/>
      </c>
      <c r="M420" s="224">
        <f t="shared" si="83"/>
      </c>
      <c r="N420" s="225">
        <f t="shared" si="52"/>
      </c>
      <c r="O420" s="226">
        <f t="shared" si="21"/>
      </c>
      <c r="P420" s="227">
        <f t="shared" si="956"/>
      </c>
      <c r="Q420" s="227">
        <f t="shared" si="925"/>
      </c>
      <c r="R420" s="227">
        <f t="shared" si="894"/>
      </c>
      <c r="S420" s="228">
        <f t="shared" si="863"/>
      </c>
      <c r="T420" s="229">
        <f t="shared" si="801"/>
      </c>
      <c r="U420" s="227">
        <f t="shared" si="770"/>
      </c>
      <c r="V420" s="230">
        <f t="shared" si="832"/>
      </c>
      <c r="W420" s="230">
        <f t="shared" si="739"/>
      </c>
      <c r="X420" s="227">
        <f t="shared" si="708"/>
      </c>
      <c r="Y420" s="231">
        <f t="shared" si="611"/>
      </c>
      <c r="Z420" s="231">
        <v>5</v>
      </c>
      <c r="AA420" s="231">
        <v>10</v>
      </c>
      <c r="AB420" s="232">
        <v>16976.400000000027</v>
      </c>
      <c r="AC420" s="232">
        <v>591</v>
      </c>
      <c r="AD420" s="228">
        <f t="shared" si="677"/>
      </c>
      <c r="AE420" s="233" t="s">
        <v>202</v>
      </c>
      <c r="AF420" s="234" t="s">
        <v>203</v>
      </c>
      <c r="AG420" s="235">
        <v>10</v>
      </c>
      <c r="AH420" s="236">
        <v>93770</v>
      </c>
      <c r="AI420" s="236">
        <v>4009</v>
      </c>
      <c r="AJ420" s="236">
        <v>4234</v>
      </c>
      <c r="AK420" s="237">
        <v>274</v>
      </c>
      <c r="AL420" s="237">
        <v>280</v>
      </c>
    </row>
    <row r="421">
      <c r="A421" s="216"/>
      <c r="B421" s="217" t="s">
        <v>209</v>
      </c>
      <c r="C421" s="252" t="s">
        <v>214</v>
      </c>
      <c r="D421" s="219">
        <f t="shared" si="506"/>
      </c>
      <c r="E421" s="218">
        <v>3143.49</v>
      </c>
      <c r="F421" s="218">
        <v>4237.43</v>
      </c>
      <c r="G421" s="218">
        <v>1808.24</v>
      </c>
      <c r="H421" s="221">
        <v>0</v>
      </c>
      <c r="I421" s="221">
        <f t="shared" si="393"/>
      </c>
      <c r="J421" s="222">
        <v>0</v>
      </c>
      <c r="K421" s="223">
        <f t="shared" si="278"/>
      </c>
      <c r="L421" s="223">
        <f t="shared" si="163"/>
      </c>
      <c r="M421" s="224">
        <f t="shared" si="83"/>
      </c>
      <c r="N421" s="225">
        <f t="shared" si="52"/>
      </c>
      <c r="O421" s="226">
        <f t="shared" si="21"/>
      </c>
      <c r="P421" s="227">
        <f t="shared" si="956"/>
      </c>
      <c r="Q421" s="227">
        <f t="shared" si="925"/>
      </c>
      <c r="R421" s="227">
        <f t="shared" si="894"/>
      </c>
      <c r="S421" s="228">
        <f t="shared" si="863"/>
      </c>
      <c r="T421" s="229">
        <f t="shared" si="801"/>
      </c>
      <c r="U421" s="227">
        <f t="shared" si="770"/>
      </c>
      <c r="V421" s="230">
        <f t="shared" si="832"/>
      </c>
      <c r="W421" s="230">
        <f t="shared" si="739"/>
      </c>
      <c r="X421" s="227">
        <f t="shared" si="708"/>
      </c>
      <c r="Y421" s="231">
        <f t="shared" si="611"/>
      </c>
      <c r="Z421" s="231">
        <v>3</v>
      </c>
      <c r="AA421" s="231">
        <v>11</v>
      </c>
      <c r="AB421" s="232">
        <v>24811.199999999986</v>
      </c>
      <c r="AC421" s="232">
        <v>800</v>
      </c>
      <c r="AD421" s="228">
        <f t="shared" si="677"/>
      </c>
      <c r="AE421" s="233" t="s">
        <v>202</v>
      </c>
      <c r="AF421" s="234" t="s">
        <v>203</v>
      </c>
      <c r="AG421" s="237">
        <v>9</v>
      </c>
      <c r="AH421" s="236">
        <v>93221</v>
      </c>
      <c r="AI421" s="236">
        <v>4423</v>
      </c>
      <c r="AJ421" s="236">
        <v>4706</v>
      </c>
      <c r="AK421" s="237">
        <v>318</v>
      </c>
      <c r="AL421" s="237">
        <v>273</v>
      </c>
    </row>
    <row r="422">
      <c r="A422" s="216"/>
      <c r="B422" s="217" t="s">
        <v>209</v>
      </c>
      <c r="C422" s="218" t="s">
        <v>237</v>
      </c>
      <c r="D422" s="219">
        <f t="shared" si="506"/>
      </c>
      <c r="E422" s="218">
        <v>1886.34</v>
      </c>
      <c r="F422" s="221">
        <v>5298.04</v>
      </c>
      <c r="G422" s="221">
        <v>2035.25</v>
      </c>
      <c r="H422" s="221">
        <v>0</v>
      </c>
      <c r="I422" s="238">
        <f t="shared" si="393"/>
      </c>
      <c r="J422" s="222">
        <v>0</v>
      </c>
      <c r="K422" s="223">
        <f t="shared" si="278"/>
      </c>
      <c r="L422" s="223">
        <f t="shared" si="163"/>
      </c>
      <c r="M422" s="224">
        <f t="shared" si="83"/>
      </c>
      <c r="N422" s="225">
        <f t="shared" si="52"/>
      </c>
      <c r="O422" s="226">
        <f t="shared" si="21"/>
      </c>
      <c r="P422" s="227">
        <f t="shared" si="956"/>
      </c>
      <c r="Q422" s="227">
        <f t="shared" si="925"/>
      </c>
      <c r="R422" s="227">
        <f t="shared" si="894"/>
      </c>
      <c r="S422" s="228">
        <f t="shared" si="863"/>
      </c>
      <c r="T422" s="229">
        <f t="shared" si="801"/>
      </c>
      <c r="U422" s="227">
        <f t="shared" si="770"/>
      </c>
      <c r="V422" s="230">
        <f t="shared" si="832"/>
      </c>
      <c r="W422" s="230">
        <f t="shared" si="739"/>
      </c>
      <c r="X422" s="227">
        <f t="shared" si="708"/>
      </c>
      <c r="Y422" s="231">
        <f t="shared" si="611"/>
      </c>
      <c r="Z422" s="231">
        <v>6</v>
      </c>
      <c r="AA422" s="231">
        <v>6</v>
      </c>
      <c r="AB422" s="232">
        <v>5334.12</v>
      </c>
      <c r="AC422" s="232">
        <v>1398</v>
      </c>
      <c r="AD422" s="228">
        <f t="shared" si="677"/>
      </c>
      <c r="AE422" s="233" t="s">
        <v>202</v>
      </c>
      <c r="AF422" s="234" t="s">
        <v>203</v>
      </c>
      <c r="AG422" s="235">
        <v>6</v>
      </c>
      <c r="AH422" s="236">
        <v>104851</v>
      </c>
      <c r="AI422" s="236">
        <v>5505</v>
      </c>
      <c r="AJ422" s="236">
        <v>5898</v>
      </c>
      <c r="AK422" s="237">
        <v>294</v>
      </c>
      <c r="AL422" s="237">
        <v>252</v>
      </c>
    </row>
    <row r="423">
      <c r="A423" s="216"/>
      <c r="B423" s="217" t="s">
        <v>209</v>
      </c>
      <c r="C423" s="218" t="s">
        <v>238</v>
      </c>
      <c r="D423" s="219">
        <f t="shared" si="506"/>
      </c>
      <c r="E423" s="220">
        <v>717.31</v>
      </c>
      <c r="F423" s="221">
        <v>3558.23</v>
      </c>
      <c r="G423" s="221">
        <v>465.44</v>
      </c>
      <c r="H423" s="221">
        <v>0</v>
      </c>
      <c r="I423" s="221">
        <f t="shared" si="393"/>
      </c>
      <c r="J423" s="222">
        <v>0</v>
      </c>
      <c r="K423" s="223">
        <f t="shared" si="278"/>
      </c>
      <c r="L423" s="223">
        <f t="shared" si="163"/>
      </c>
      <c r="M423" s="224">
        <f t="shared" si="83"/>
      </c>
      <c r="N423" s="225">
        <f t="shared" si="52"/>
      </c>
      <c r="O423" s="226">
        <f t="shared" si="21"/>
      </c>
      <c r="P423" s="227">
        <f t="shared" si="956"/>
      </c>
      <c r="Q423" s="227">
        <f t="shared" si="925"/>
      </c>
      <c r="R423" s="227">
        <f t="shared" si="894"/>
      </c>
      <c r="S423" s="228">
        <f t="shared" si="863"/>
      </c>
      <c r="T423" s="229">
        <f t="shared" si="801"/>
      </c>
      <c r="U423" s="227">
        <f t="shared" si="770"/>
      </c>
      <c r="V423" s="230">
        <f t="shared" si="832"/>
      </c>
      <c r="W423" s="230">
        <f t="shared" si="739"/>
      </c>
      <c r="X423" s="227">
        <f t="shared" si="708"/>
      </c>
      <c r="Y423" s="231">
        <f t="shared" si="611"/>
      </c>
      <c r="Z423" s="231">
        <f>13-6</f>
      </c>
      <c r="AA423" s="231">
        <f>11-6</f>
      </c>
      <c r="AB423" s="232">
        <v>8632.2</v>
      </c>
      <c r="AC423" s="232">
        <v>0</v>
      </c>
      <c r="AD423" s="228">
        <f t="shared" si="677"/>
      </c>
      <c r="AE423" s="233" t="s">
        <v>202</v>
      </c>
      <c r="AF423" s="234" t="s">
        <v>203</v>
      </c>
      <c r="AG423" s="235">
        <v>3</v>
      </c>
      <c r="AH423" s="236">
        <v>58587</v>
      </c>
      <c r="AI423" s="236">
        <v>3143</v>
      </c>
      <c r="AJ423" s="236">
        <v>3422</v>
      </c>
      <c r="AK423" s="235">
        <v>184</v>
      </c>
      <c r="AL423" s="235">
        <v>141</v>
      </c>
    </row>
    <row r="424">
      <c r="A424" s="216"/>
      <c r="B424" s="239" t="s">
        <v>208</v>
      </c>
      <c r="C424" s="240">
        <v>5</v>
      </c>
      <c r="D424" s="241">
        <f>SUM(D419:D423)</f>
      </c>
      <c r="E424" s="241">
        <f>SUM(E419:E423)</f>
      </c>
      <c r="F424" s="241">
        <f>SUM(F419:F423)</f>
      </c>
      <c r="G424" s="241">
        <f>SUM(G419:G423)</f>
      </c>
      <c r="H424" s="241">
        <f>SUM(H419:H423)</f>
      </c>
      <c r="I424" s="241">
        <f>SUM(I419:I423)</f>
      </c>
      <c r="J424" s="241">
        <f>SUM(J419:J423)</f>
      </c>
      <c r="K424" s="241">
        <f>SUM(K419:K423)</f>
      </c>
      <c r="L424" s="241">
        <f>SUM(L419:L423)</f>
      </c>
      <c r="M424" s="242">
        <f t="shared" si="83"/>
      </c>
      <c r="N424" s="243">
        <f t="shared" si="52"/>
      </c>
      <c r="O424" s="243">
        <f t="shared" si="21"/>
      </c>
      <c r="P424" s="244">
        <f t="shared" si="956"/>
      </c>
      <c r="Q424" s="244">
        <f t="shared" si="925"/>
      </c>
      <c r="R424" s="244">
        <f t="shared" si="894"/>
      </c>
      <c r="S424" s="245">
        <f t="shared" si="863"/>
      </c>
      <c r="T424" s="245">
        <f t="shared" si="801"/>
      </c>
      <c r="U424" s="244">
        <f t="shared" si="770"/>
      </c>
      <c r="V424" s="245">
        <f t="shared" si="832"/>
      </c>
      <c r="W424" s="245">
        <f t="shared" si="739"/>
      </c>
      <c r="X424" s="244">
        <f t="shared" si="708"/>
      </c>
      <c r="Y424" s="241">
        <f>SUM(Y419:Y423)</f>
      </c>
      <c r="Z424" s="241">
        <f>SUM(Z419:Z423)</f>
      </c>
      <c r="AA424" s="241">
        <f>SUM(AA419:AA423)</f>
      </c>
      <c r="AB424" s="241">
        <f>SUM(AB419:AB423)</f>
      </c>
      <c r="AC424" s="241">
        <f>SUM(AC419:AC423)</f>
      </c>
      <c r="AD424" s="246">
        <f t="shared" si="677"/>
      </c>
      <c r="AE424" s="247"/>
      <c r="AF424" s="248"/>
      <c r="AG424" s="241">
        <f>SUM(AG419:AG423)</f>
      </c>
      <c r="AH424" s="241">
        <f>SUM(AH419:AH423)</f>
      </c>
      <c r="AI424" s="241">
        <f>SUM(AI419:AI423)</f>
      </c>
      <c r="AJ424" s="241">
        <f>SUM(AJ419:AJ423)</f>
      </c>
      <c r="AK424" s="241">
        <f>SUM(AK419:AK423)</f>
      </c>
      <c r="AL424" s="241">
        <f>SUM(AL419:AL423)</f>
      </c>
    </row>
    <row r="425">
      <c r="A425" s="216"/>
      <c r="B425" s="253" t="s">
        <v>208</v>
      </c>
      <c r="C425" s="254">
        <f>C405+C411+C414+C418+C424</f>
      </c>
      <c r="D425" s="254">
        <f>D405+D411+D414+D418+D424</f>
      </c>
      <c r="E425" s="254">
        <f>E405+E411+E414+E418+E424</f>
      </c>
      <c r="F425" s="254">
        <f>F405+F411+F414+F418+F424</f>
      </c>
      <c r="G425" s="254">
        <f>G405+G411+G414+G418+G424</f>
      </c>
      <c r="H425" s="254">
        <f>H405+H411+H414+H418+H424</f>
      </c>
      <c r="I425" s="254">
        <f>I405+I411+I414+I418+I424</f>
      </c>
      <c r="J425" s="254">
        <f>J405+J411+J414+J418+J424</f>
      </c>
      <c r="K425" s="254">
        <f>K405+K411+K414+K418+K424</f>
      </c>
      <c r="L425" s="254">
        <f>L405+L411+L414+L418+L424</f>
      </c>
      <c r="M425" s="256">
        <f t="shared" si="83"/>
      </c>
      <c r="N425" s="256">
        <f t="shared" si="52"/>
      </c>
      <c r="O425" s="256">
        <f t="shared" si="21"/>
      </c>
      <c r="P425" s="256">
        <f t="shared" si="956"/>
      </c>
      <c r="Q425" s="256">
        <f t="shared" si="925"/>
      </c>
      <c r="R425" s="256">
        <f t="shared" si="894"/>
      </c>
      <c r="S425" s="257">
        <f t="shared" si="863"/>
      </c>
      <c r="T425" s="257">
        <f t="shared" si="801"/>
      </c>
      <c r="U425" s="256">
        <f t="shared" si="770"/>
      </c>
      <c r="V425" s="257">
        <f t="shared" si="832"/>
      </c>
      <c r="W425" s="257">
        <f t="shared" si="739"/>
      </c>
      <c r="X425" s="256">
        <f t="shared" si="708"/>
      </c>
      <c r="Y425" s="254">
        <f>Y405+Y411+Y414+Y418+Y424</f>
      </c>
      <c r="Z425" s="254">
        <f>Z405+Z411+Z414+Z418+Z424</f>
      </c>
      <c r="AA425" s="254">
        <f>AA405+AA411+AA414+AA418+AA424</f>
      </c>
      <c r="AB425" s="254">
        <f>AB405+AB411+AB414+AB418+AB424</f>
      </c>
      <c r="AC425" s="254">
        <f>AC405+AC411+AC414+AC418+AC424</f>
      </c>
      <c r="AD425" s="258">
        <f t="shared" si="677"/>
      </c>
      <c r="AE425" s="253"/>
      <c r="AF425" s="253"/>
      <c r="AG425" s="254">
        <f>AG405+AG411+AG414+AG418+AG424</f>
      </c>
      <c r="AH425" s="254">
        <f>AH405+AH411+AH414+AH418+AH424</f>
      </c>
      <c r="AI425" s="254">
        <f>AI405+AI411+AI414+AI418+AI424</f>
      </c>
      <c r="AJ425" s="254">
        <f>AJ405+AJ411+AJ414+AJ418+AJ424</f>
      </c>
      <c r="AK425" s="254">
        <f>AK405+AK411+AK414+AK418+AK424</f>
      </c>
      <c r="AL425" s="254">
        <f>AL405+AL411+AL414+AL418+AL424</f>
      </c>
    </row>
    <row r="426">
      <c r="A426" s="202" t="s">
        <v>162</v>
      </c>
      <c r="B426" s="203" t="s">
        <v>163</v>
      </c>
      <c r="C426" s="203" t="s">
        <v>164</v>
      </c>
      <c r="D426" s="204" t="s">
        <v>165</v>
      </c>
      <c r="E426" s="203" t="s">
        <v>166</v>
      </c>
      <c r="F426" s="203" t="s">
        <v>167</v>
      </c>
      <c r="G426" s="205" t="s">
        <v>168</v>
      </c>
      <c r="H426" s="205" t="s">
        <v>169</v>
      </c>
      <c r="I426" s="204" t="s">
        <v>170</v>
      </c>
      <c r="J426" s="206" t="s">
        <v>171</v>
      </c>
      <c r="K426" s="207" t="s">
        <v>172</v>
      </c>
      <c r="L426" s="207" t="s">
        <v>173</v>
      </c>
      <c r="M426" s="208" t="s">
        <v>174</v>
      </c>
      <c r="N426" s="207" t="s">
        <v>175</v>
      </c>
      <c r="O426" s="203" t="s">
        <v>176</v>
      </c>
      <c r="P426" s="208" t="s">
        <v>177</v>
      </c>
      <c r="Q426" s="209" t="s">
        <v>178</v>
      </c>
      <c r="R426" s="209" t="s">
        <v>179</v>
      </c>
      <c r="S426" s="204" t="s">
        <v>180</v>
      </c>
      <c r="T426" s="210" t="s">
        <v>181</v>
      </c>
      <c r="U426" s="208" t="s">
        <v>182</v>
      </c>
      <c r="V426" s="211" t="s">
        <v>183</v>
      </c>
      <c r="W426" s="212" t="s">
        <v>184</v>
      </c>
      <c r="X426" s="208" t="s">
        <v>185</v>
      </c>
      <c r="Y426" s="213" t="s">
        <v>186</v>
      </c>
      <c r="Z426" s="214" t="s">
        <v>187</v>
      </c>
      <c r="AA426" s="213" t="s">
        <v>188</v>
      </c>
      <c r="AB426" s="215" t="s">
        <v>189</v>
      </c>
      <c r="AC426" s="215" t="s">
        <v>190</v>
      </c>
      <c r="AD426" s="207" t="s">
        <v>191</v>
      </c>
      <c r="AE426" s="206" t="s">
        <v>192</v>
      </c>
      <c r="AF426" s="207" t="s">
        <v>193</v>
      </c>
      <c r="AG426" s="206" t="s">
        <v>194</v>
      </c>
      <c r="AH426" s="206" t="s">
        <v>195</v>
      </c>
      <c r="AI426" s="207" t="s">
        <v>196</v>
      </c>
      <c r="AJ426" s="206" t="s">
        <v>197</v>
      </c>
      <c r="AK426" s="207" t="s">
        <v>198</v>
      </c>
      <c r="AL426" s="206" t="s">
        <v>199</v>
      </c>
    </row>
    <row r="427">
      <c r="A427" s="216">
        <v>46257</v>
      </c>
      <c r="B427" s="217" t="s">
        <v>200</v>
      </c>
      <c r="C427" s="218" t="s">
        <v>234</v>
      </c>
      <c r="D427" s="219">
        <f t="shared" ref="D427:D431" si="507">E427+F427+G427+H427</f>
      </c>
      <c r="E427" s="220">
        <v>2762.52</v>
      </c>
      <c r="F427" s="221">
        <v>4781.56</v>
      </c>
      <c r="G427" s="221">
        <v>788.08</v>
      </c>
      <c r="H427" s="221">
        <v>0</v>
      </c>
      <c r="I427" s="221">
        <f t="shared" ref="I427:I431" si="394">AB427+AC427</f>
      </c>
      <c r="J427" s="222">
        <f>663+1788.48</f>
      </c>
      <c r="K427" s="223">
        <f t="shared" ref="K427:K431" si="279">I427-J427</f>
      </c>
      <c r="L427" s="223">
        <f t="shared" ref="L427:L431" si="164">(I427-AC427)/12+AC427</f>
      </c>
      <c r="M427" s="224">
        <f t="shared" ref="M427:M452" si="84">I427/D427</f>
      </c>
      <c r="N427" s="225">
        <f t="shared" ref="N427:N452" si="53">(I427-J427)/D427</f>
      </c>
      <c r="O427" s="226">
        <f t="shared" ref="O427:O452" si="22">(AC427+AB427/12)/D427</f>
      </c>
      <c r="P427" s="227">
        <f t="shared" ref="P427:P452" si="957">I427/AA427</f>
      </c>
      <c r="Q427" s="227">
        <f t="shared" ref="Q427:Q452" si="926">D427/AA427</f>
      </c>
      <c r="R427" s="227">
        <f t="shared" ref="R427:R452" si="895">D427/AG427</f>
      </c>
      <c r="S427" s="228">
        <f t="shared" ref="S427:S452" si="864">AA427/Y427</f>
      </c>
      <c r="T427" s="229">
        <f t="shared" ref="T427:T452" si="802">AI427/AH427</f>
      </c>
      <c r="U427" s="227">
        <f t="shared" ref="U427:U452" si="771">D427/AJ427</f>
      </c>
      <c r="V427" s="230">
        <f t="shared" ref="V427:V452" si="833">AK427/AJ427</f>
      </c>
      <c r="W427" s="230">
        <f t="shared" ref="W427:W452" si="740">AL427/AJ427</f>
      </c>
      <c r="X427" s="227">
        <f t="shared" ref="X427:X452" si="709">D427/AL427</f>
      </c>
      <c r="Y427" s="231">
        <f t="shared" ref="Y427:Y431" si="612">Z427+AA427</f>
      </c>
      <c r="Z427" s="231">
        <v>3</v>
      </c>
      <c r="AA427" s="231">
        <v>7</v>
      </c>
      <c r="AB427" s="232">
        <v>12002.04</v>
      </c>
      <c r="AC427" s="232">
        <v>663</v>
      </c>
      <c r="AD427" s="228">
        <f t="shared" ref="AD427:AD452" si="678">AC427/I427</f>
      </c>
      <c r="AE427" s="233" t="s">
        <v>202</v>
      </c>
      <c r="AF427" s="234" t="s">
        <v>232</v>
      </c>
      <c r="AG427" s="235">
        <v>5</v>
      </c>
      <c r="AH427" s="235">
        <v>82845</v>
      </c>
      <c r="AI427" s="236">
        <v>5198</v>
      </c>
      <c r="AJ427" s="236">
        <v>5577</v>
      </c>
      <c r="AK427" s="235">
        <v>299</v>
      </c>
      <c r="AL427" s="237">
        <v>271</v>
      </c>
    </row>
    <row r="428">
      <c r="A428" s="216"/>
      <c r="B428" s="217" t="s">
        <v>200</v>
      </c>
      <c r="C428" s="218" t="s">
        <v>235</v>
      </c>
      <c r="D428" s="219">
        <f t="shared" si="507"/>
      </c>
      <c r="E428" s="218">
        <v>2046.78</v>
      </c>
      <c r="F428" s="221">
        <v>5914.43</v>
      </c>
      <c r="G428" s="221">
        <v>1025.69</v>
      </c>
      <c r="H428" s="221">
        <v>0</v>
      </c>
      <c r="I428" s="221">
        <f t="shared" si="394"/>
      </c>
      <c r="J428" s="222">
        <f>4410.85+716.04+3048.84+1736.64</f>
      </c>
      <c r="K428" s="223">
        <f t="shared" si="279"/>
      </c>
      <c r="L428" s="223">
        <f t="shared" si="164"/>
      </c>
      <c r="M428" s="224">
        <f t="shared" si="84"/>
      </c>
      <c r="N428" s="225">
        <f t="shared" si="53"/>
      </c>
      <c r="O428" s="226">
        <f t="shared" si="22"/>
      </c>
      <c r="P428" s="227">
        <f t="shared" si="957"/>
      </c>
      <c r="Q428" s="227">
        <f t="shared" si="926"/>
      </c>
      <c r="R428" s="227">
        <f t="shared" si="895"/>
      </c>
      <c r="S428" s="228">
        <f t="shared" si="864"/>
      </c>
      <c r="T428" s="229">
        <f t="shared" si="802"/>
      </c>
      <c r="U428" s="227">
        <f t="shared" si="771"/>
      </c>
      <c r="V428" s="230">
        <f t="shared" si="833"/>
      </c>
      <c r="W428" s="230">
        <f t="shared" si="740"/>
      </c>
      <c r="X428" s="227">
        <f t="shared" si="709"/>
      </c>
      <c r="Y428" s="231">
        <f t="shared" si="612"/>
      </c>
      <c r="Z428" s="231">
        <v>10</v>
      </c>
      <c r="AA428" s="231">
        <v>6</v>
      </c>
      <c r="AB428" s="232">
        <v>9759.96</v>
      </c>
      <c r="AC428" s="232">
        <v>8335.3</v>
      </c>
      <c r="AD428" s="228">
        <f t="shared" si="678"/>
      </c>
      <c r="AE428" s="233" t="s">
        <v>202</v>
      </c>
      <c r="AF428" s="234" t="s">
        <v>232</v>
      </c>
      <c r="AG428" s="235">
        <v>6</v>
      </c>
      <c r="AH428" s="236">
        <v>87725</v>
      </c>
      <c r="AI428" s="236">
        <v>5074</v>
      </c>
      <c r="AJ428" s="236">
        <v>5459</v>
      </c>
      <c r="AK428" s="237">
        <v>350</v>
      </c>
      <c r="AL428" s="237">
        <v>293</v>
      </c>
    </row>
    <row r="429">
      <c r="A429" s="216"/>
      <c r="B429" s="217" t="s">
        <v>200</v>
      </c>
      <c r="C429" s="218" t="s">
        <v>236</v>
      </c>
      <c r="D429" s="219">
        <f t="shared" si="507"/>
      </c>
      <c r="E429" s="218">
        <v>2683.62</v>
      </c>
      <c r="F429" s="218">
        <v>6068.39</v>
      </c>
      <c r="G429" s="218">
        <v>1914.98</v>
      </c>
      <c r="H429" s="221">
        <v>0</v>
      </c>
      <c r="I429" s="221">
        <f t="shared" si="394"/>
      </c>
      <c r="J429" s="222">
        <f>3924.45+661.68+661.68+2917.08</f>
      </c>
      <c r="K429" s="223">
        <f t="shared" si="279"/>
      </c>
      <c r="L429" s="223">
        <f t="shared" si="164"/>
      </c>
      <c r="M429" s="224">
        <f t="shared" si="84"/>
      </c>
      <c r="N429" s="225">
        <f t="shared" si="53"/>
      </c>
      <c r="O429" s="226">
        <f t="shared" si="22"/>
      </c>
      <c r="P429" s="227">
        <f t="shared" si="957"/>
      </c>
      <c r="Q429" s="227">
        <f t="shared" si="926"/>
      </c>
      <c r="R429" s="227">
        <f t="shared" si="895"/>
      </c>
      <c r="S429" s="228">
        <f t="shared" si="864"/>
      </c>
      <c r="T429" s="229">
        <f t="shared" si="802"/>
      </c>
      <c r="U429" s="227">
        <f t="shared" si="771"/>
      </c>
      <c r="V429" s="230">
        <f t="shared" si="833"/>
      </c>
      <c r="W429" s="230">
        <f t="shared" si="740"/>
      </c>
      <c r="X429" s="227">
        <f t="shared" si="709"/>
      </c>
      <c r="Y429" s="231">
        <f t="shared" si="612"/>
      </c>
      <c r="Z429" s="231">
        <v>1</v>
      </c>
      <c r="AA429" s="231">
        <v>11</v>
      </c>
      <c r="AB429" s="232">
        <v>16507.08</v>
      </c>
      <c r="AC429" s="232">
        <v>0</v>
      </c>
      <c r="AD429" s="228">
        <f t="shared" si="678"/>
      </c>
      <c r="AE429" s="233" t="s">
        <v>202</v>
      </c>
      <c r="AF429" s="234" t="s">
        <v>232</v>
      </c>
      <c r="AG429" s="237">
        <v>11</v>
      </c>
      <c r="AH429" s="236">
        <v>107758</v>
      </c>
      <c r="AI429" s="236">
        <v>4786</v>
      </c>
      <c r="AJ429" s="236">
        <v>5118</v>
      </c>
      <c r="AK429" s="237">
        <v>377</v>
      </c>
      <c r="AL429" s="237">
        <v>319</v>
      </c>
    </row>
    <row r="430">
      <c r="A430" s="216"/>
      <c r="B430" s="217" t="s">
        <v>200</v>
      </c>
      <c r="C430" s="218" t="s">
        <v>216</v>
      </c>
      <c r="D430" s="219">
        <f t="shared" si="507"/>
      </c>
      <c r="E430" s="218">
        <v>3668.21</v>
      </c>
      <c r="F430" s="221">
        <v>4692.8</v>
      </c>
      <c r="G430" s="221">
        <v>828.11</v>
      </c>
      <c r="H430" s="221">
        <v>0</v>
      </c>
      <c r="I430" s="238">
        <f t="shared" si="394"/>
      </c>
      <c r="J430" s="222">
        <f>435.24+517.32+1871.64+1587.24</f>
      </c>
      <c r="K430" s="223">
        <f t="shared" si="279"/>
      </c>
      <c r="L430" s="223">
        <f t="shared" si="164"/>
      </c>
      <c r="M430" s="224">
        <f t="shared" si="84"/>
      </c>
      <c r="N430" s="225">
        <f t="shared" si="53"/>
      </c>
      <c r="O430" s="226">
        <f t="shared" si="22"/>
      </c>
      <c r="P430" s="227">
        <f t="shared" si="957"/>
      </c>
      <c r="Q430" s="227">
        <f t="shared" si="926"/>
      </c>
      <c r="R430" s="227">
        <f t="shared" si="895"/>
      </c>
      <c r="S430" s="228">
        <f t="shared" si="864"/>
      </c>
      <c r="T430" s="229">
        <f t="shared" si="802"/>
      </c>
      <c r="U430" s="227">
        <f t="shared" si="771"/>
      </c>
      <c r="V430" s="230">
        <f t="shared" si="833"/>
      </c>
      <c r="W430" s="230">
        <f t="shared" si="740"/>
      </c>
      <c r="X430" s="227">
        <f t="shared" si="709"/>
      </c>
      <c r="Y430" s="231">
        <f t="shared" si="612"/>
      </c>
      <c r="Z430" s="231">
        <v>9</v>
      </c>
      <c r="AA430" s="231">
        <v>8</v>
      </c>
      <c r="AB430" s="232">
        <v>11268.36</v>
      </c>
      <c r="AC430" s="232">
        <v>0</v>
      </c>
      <c r="AD430" s="228">
        <f t="shared" si="678"/>
      </c>
      <c r="AE430" s="233" t="s">
        <v>202</v>
      </c>
      <c r="AF430" s="234" t="s">
        <v>232</v>
      </c>
      <c r="AG430" s="235">
        <v>6</v>
      </c>
      <c r="AH430" s="236">
        <v>86019</v>
      </c>
      <c r="AI430" s="236">
        <v>3278</v>
      </c>
      <c r="AJ430" s="236">
        <v>3615</v>
      </c>
      <c r="AK430" s="237">
        <v>402</v>
      </c>
      <c r="AL430" s="237">
        <v>323</v>
      </c>
    </row>
    <row r="431">
      <c r="A431" s="216"/>
      <c r="B431" s="217" t="s">
        <v>200</v>
      </c>
      <c r="C431" s="218" t="s">
        <v>218</v>
      </c>
      <c r="D431" s="219">
        <f t="shared" si="507"/>
      </c>
      <c r="E431" s="220">
        <v>2041.81</v>
      </c>
      <c r="F431" s="221">
        <v>6089.81</v>
      </c>
      <c r="G431" s="221">
        <v>1646.83</v>
      </c>
      <c r="H431" s="221">
        <v>0</v>
      </c>
      <c r="I431" s="221">
        <f t="shared" si="394"/>
      </c>
      <c r="J431" s="222">
        <f>4691.52+1406.52+3697.92+1736.64+3532.68</f>
      </c>
      <c r="K431" s="223">
        <f t="shared" si="279"/>
      </c>
      <c r="L431" s="223">
        <f t="shared" si="164"/>
      </c>
      <c r="M431" s="224">
        <f t="shared" si="84"/>
      </c>
      <c r="N431" s="225">
        <f t="shared" si="53"/>
      </c>
      <c r="O431" s="226">
        <f t="shared" si="22"/>
      </c>
      <c r="P431" s="227">
        <f t="shared" si="957"/>
      </c>
      <c r="Q431" s="227">
        <f t="shared" si="926"/>
      </c>
      <c r="R431" s="227">
        <f t="shared" si="895"/>
      </c>
      <c r="S431" s="228">
        <f t="shared" si="864"/>
      </c>
      <c r="T431" s="229">
        <f t="shared" si="802"/>
      </c>
      <c r="U431" s="227">
        <f t="shared" si="771"/>
      </c>
      <c r="V431" s="230">
        <f t="shared" si="833"/>
      </c>
      <c r="W431" s="230">
        <f t="shared" si="740"/>
      </c>
      <c r="X431" s="227">
        <f t="shared" si="709"/>
      </c>
      <c r="Y431" s="231">
        <f t="shared" si="612"/>
      </c>
      <c r="Z431" s="231">
        <v>14</v>
      </c>
      <c r="AA431" s="231">
        <v>14</v>
      </c>
      <c r="AB431" s="232">
        <v>22808.52000000002</v>
      </c>
      <c r="AC431" s="232">
        <v>1564</v>
      </c>
      <c r="AD431" s="228">
        <f t="shared" si="678"/>
      </c>
      <c r="AE431" s="233" t="s">
        <v>202</v>
      </c>
      <c r="AF431" s="234" t="s">
        <v>232</v>
      </c>
      <c r="AG431" s="235">
        <v>10</v>
      </c>
      <c r="AH431" s="236">
        <v>86580</v>
      </c>
      <c r="AI431" s="236">
        <v>2397</v>
      </c>
      <c r="AJ431" s="236">
        <v>2641</v>
      </c>
      <c r="AK431" s="235">
        <v>342</v>
      </c>
      <c r="AL431" s="235">
        <v>280</v>
      </c>
    </row>
    <row r="432">
      <c r="A432" s="216"/>
      <c r="B432" s="239" t="s">
        <v>208</v>
      </c>
      <c r="C432" s="240">
        <v>5</v>
      </c>
      <c r="D432" s="241">
        <f>SUM(D427:D431)</f>
      </c>
      <c r="E432" s="241">
        <f>SUM(E427:E431)</f>
      </c>
      <c r="F432" s="241">
        <f>SUM(F427:F431)</f>
      </c>
      <c r="G432" s="241">
        <f>SUM(G427:G431)</f>
      </c>
      <c r="H432" s="241">
        <f>SUM(H427:H431)</f>
      </c>
      <c r="I432" s="241">
        <f>SUM(I427:I431)</f>
      </c>
      <c r="J432" s="241">
        <f>SUM(J427:J431)</f>
      </c>
      <c r="K432" s="241">
        <f>SUM(K427:K431)</f>
      </c>
      <c r="L432" s="241">
        <f>SUM(L427:L431)</f>
      </c>
      <c r="M432" s="242">
        <f t="shared" si="84"/>
      </c>
      <c r="N432" s="243">
        <f t="shared" si="53"/>
      </c>
      <c r="O432" s="243">
        <f t="shared" si="22"/>
      </c>
      <c r="P432" s="244">
        <f t="shared" si="957"/>
      </c>
      <c r="Q432" s="244">
        <f t="shared" si="926"/>
      </c>
      <c r="R432" s="244">
        <f t="shared" si="895"/>
      </c>
      <c r="S432" s="245">
        <f t="shared" si="864"/>
      </c>
      <c r="T432" s="245">
        <f t="shared" si="802"/>
      </c>
      <c r="U432" s="244">
        <f t="shared" si="771"/>
      </c>
      <c r="V432" s="245">
        <f t="shared" si="833"/>
      </c>
      <c r="W432" s="245">
        <f t="shared" si="740"/>
      </c>
      <c r="X432" s="244">
        <f t="shared" si="709"/>
      </c>
      <c r="Y432" s="241">
        <f>SUM(Y427:Y431)</f>
      </c>
      <c r="Z432" s="241">
        <f>SUM(Z427:Z431)</f>
      </c>
      <c r="AA432" s="241">
        <f>SUM(AA427:AA431)</f>
      </c>
      <c r="AB432" s="241">
        <f>SUM(AB427:AB431)</f>
      </c>
      <c r="AC432" s="241">
        <f>SUM(AC427:AC431)</f>
      </c>
      <c r="AD432" s="246">
        <f t="shared" si="678"/>
      </c>
      <c r="AE432" s="247"/>
      <c r="AF432" s="248"/>
      <c r="AG432" s="241">
        <f>SUM(AG427:AG431)</f>
      </c>
      <c r="AH432" s="241">
        <f>SUM(AH427:AH431)</f>
      </c>
      <c r="AI432" s="241">
        <f>SUM(AI427:AI431)</f>
      </c>
      <c r="AJ432" s="241">
        <f>SUM(AJ427:AJ431)</f>
      </c>
      <c r="AK432" s="241">
        <f>SUM(AK427:AK431)</f>
      </c>
      <c r="AL432" s="241">
        <f>SUM(AL427:AL431)</f>
      </c>
    </row>
    <row r="433">
      <c r="A433" s="216"/>
      <c r="B433" s="217" t="s">
        <v>231</v>
      </c>
      <c r="C433" s="218" t="s">
        <v>219</v>
      </c>
      <c r="D433" s="219">
        <f t="shared" ref="D433:D437" si="508">E433+F433+G433+H433</f>
      </c>
      <c r="E433" s="220">
        <v>3079.82</v>
      </c>
      <c r="F433" s="221">
        <v>4880.81</v>
      </c>
      <c r="G433" s="221">
        <v>0</v>
      </c>
      <c r="H433" s="221">
        <v>0</v>
      </c>
      <c r="I433" s="221">
        <f t="shared" ref="I433:I437" si="395">AB433+AC433</f>
      </c>
      <c r="J433" s="222">
        <f>1278.72+1149.12+708.48</f>
      </c>
      <c r="K433" s="223">
        <f t="shared" ref="K433:K437" si="280">I433-J433</f>
      </c>
      <c r="L433" s="223">
        <f t="shared" ref="L433:L437" si="165">(I433-AC433)/12+AC433</f>
      </c>
      <c r="M433" s="224">
        <f t="shared" si="84"/>
      </c>
      <c r="N433" s="225">
        <f t="shared" si="53"/>
      </c>
      <c r="O433" s="226">
        <f t="shared" si="22"/>
      </c>
      <c r="P433" s="227">
        <f t="shared" si="957"/>
      </c>
      <c r="Q433" s="227">
        <f t="shared" si="926"/>
      </c>
      <c r="R433" s="227">
        <f t="shared" si="895"/>
      </c>
      <c r="S433" s="228">
        <f t="shared" si="864"/>
      </c>
      <c r="T433" s="229">
        <f t="shared" si="802"/>
      </c>
      <c r="U433" s="227">
        <f t="shared" si="771"/>
      </c>
      <c r="V433" s="230">
        <f t="shared" si="833"/>
      </c>
      <c r="W433" s="230">
        <f t="shared" si="740"/>
      </c>
      <c r="X433" s="227">
        <f t="shared" si="709"/>
      </c>
      <c r="Y433" s="231">
        <f t="shared" ref="Y433:Y437" si="613">Z433+AA433</f>
      </c>
      <c r="Z433" s="231">
        <v>3</v>
      </c>
      <c r="AA433" s="231">
        <v>7</v>
      </c>
      <c r="AB433" s="232">
        <v>7900.199999999975</v>
      </c>
      <c r="AC433" s="232">
        <v>2939.300000000001</v>
      </c>
      <c r="AD433" s="228">
        <f t="shared" si="678"/>
      </c>
      <c r="AE433" s="233" t="s">
        <v>202</v>
      </c>
      <c r="AF433" s="234" t="s">
        <v>232</v>
      </c>
      <c r="AG433" s="235">
        <v>8</v>
      </c>
      <c r="AH433" s="236">
        <v>80904</v>
      </c>
      <c r="AI433" s="236">
        <v>2722</v>
      </c>
      <c r="AJ433" s="236">
        <v>2953</v>
      </c>
      <c r="AK433" s="235">
        <v>326</v>
      </c>
      <c r="AL433" s="235">
        <v>230</v>
      </c>
    </row>
    <row r="434">
      <c r="A434" s="216"/>
      <c r="B434" s="217" t="s">
        <v>231</v>
      </c>
      <c r="C434" s="218" t="s">
        <v>220</v>
      </c>
      <c r="D434" s="219">
        <f t="shared" si="508"/>
      </c>
      <c r="E434" s="218">
        <v>3722.54</v>
      </c>
      <c r="F434" s="221">
        <v>5070.58</v>
      </c>
      <c r="G434" s="221">
        <v>0</v>
      </c>
      <c r="H434" s="221">
        <v>0</v>
      </c>
      <c r="I434" s="221">
        <f t="shared" si="395"/>
      </c>
      <c r="J434" s="222">
        <v>0</v>
      </c>
      <c r="K434" s="223">
        <f t="shared" si="280"/>
      </c>
      <c r="L434" s="223">
        <f t="shared" si="165"/>
      </c>
      <c r="M434" s="224">
        <f t="shared" si="84"/>
      </c>
      <c r="N434" s="225">
        <f t="shared" si="53"/>
      </c>
      <c r="O434" s="226">
        <f t="shared" si="22"/>
      </c>
      <c r="P434" s="227">
        <f t="shared" si="957"/>
      </c>
      <c r="Q434" s="227">
        <f t="shared" si="926"/>
      </c>
      <c r="R434" s="227">
        <f t="shared" si="895"/>
      </c>
      <c r="S434" s="228">
        <f t="shared" si="864"/>
      </c>
      <c r="T434" s="229">
        <f t="shared" si="802"/>
      </c>
      <c r="U434" s="227">
        <f t="shared" si="771"/>
      </c>
      <c r="V434" s="230">
        <f t="shared" si="833"/>
      </c>
      <c r="W434" s="230">
        <f t="shared" si="740"/>
      </c>
      <c r="X434" s="227">
        <f t="shared" si="709"/>
      </c>
      <c r="Y434" s="231">
        <f t="shared" si="613"/>
      </c>
      <c r="Z434" s="231">
        <v>3</v>
      </c>
      <c r="AA434" s="231">
        <v>8</v>
      </c>
      <c r="AB434" s="232">
        <v>14435.879999999997</v>
      </c>
      <c r="AC434" s="232">
        <v>0</v>
      </c>
      <c r="AD434" s="228">
        <f t="shared" si="678"/>
      </c>
      <c r="AE434" s="233" t="s">
        <v>202</v>
      </c>
      <c r="AF434" s="234" t="s">
        <v>232</v>
      </c>
      <c r="AG434" s="235">
        <v>6</v>
      </c>
      <c r="AH434" s="236">
        <v>90185</v>
      </c>
      <c r="AI434" s="236">
        <v>2974</v>
      </c>
      <c r="AJ434" s="236">
        <v>3179</v>
      </c>
      <c r="AK434" s="237">
        <v>344</v>
      </c>
      <c r="AL434" s="237">
        <v>254</v>
      </c>
    </row>
    <row r="435">
      <c r="A435" s="216"/>
      <c r="B435" s="217" t="s">
        <v>231</v>
      </c>
      <c r="C435" s="218" t="s">
        <v>221</v>
      </c>
      <c r="D435" s="219">
        <f t="shared" si="508"/>
      </c>
      <c r="E435" s="218">
        <v>1877.93</v>
      </c>
      <c r="F435" s="218">
        <v>3602.89</v>
      </c>
      <c r="G435" s="221">
        <v>0</v>
      </c>
      <c r="H435" s="221">
        <v>0</v>
      </c>
      <c r="I435" s="221">
        <f t="shared" si="395"/>
      </c>
      <c r="J435" s="222">
        <v>0</v>
      </c>
      <c r="K435" s="223">
        <f t="shared" si="280"/>
      </c>
      <c r="L435" s="223">
        <f t="shared" si="165"/>
      </c>
      <c r="M435" s="224">
        <f t="shared" si="84"/>
      </c>
      <c r="N435" s="225">
        <f t="shared" si="53"/>
      </c>
      <c r="O435" s="226">
        <f t="shared" si="22"/>
      </c>
      <c r="P435" s="227">
        <f t="shared" si="957"/>
      </c>
      <c r="Q435" s="227">
        <f t="shared" si="926"/>
      </c>
      <c r="R435" s="227">
        <f t="shared" si="895"/>
      </c>
      <c r="S435" s="228">
        <f t="shared" si="864"/>
      </c>
      <c r="T435" s="229">
        <f t="shared" si="802"/>
      </c>
      <c r="U435" s="227">
        <f t="shared" si="771"/>
      </c>
      <c r="V435" s="230">
        <f t="shared" si="833"/>
      </c>
      <c r="W435" s="230">
        <f t="shared" si="740"/>
      </c>
      <c r="X435" s="227">
        <f t="shared" si="709"/>
      </c>
      <c r="Y435" s="231">
        <f t="shared" si="613"/>
      </c>
      <c r="Z435" s="231">
        <v>3</v>
      </c>
      <c r="AA435" s="231">
        <v>5</v>
      </c>
      <c r="AB435" s="232">
        <v>9872.280000000006</v>
      </c>
      <c r="AC435" s="232">
        <v>1926.9999999999982</v>
      </c>
      <c r="AD435" s="228">
        <f t="shared" si="678"/>
      </c>
      <c r="AE435" s="233" t="s">
        <v>202</v>
      </c>
      <c r="AF435" s="234" t="s">
        <v>232</v>
      </c>
      <c r="AG435" s="237">
        <v>3</v>
      </c>
      <c r="AH435" s="236">
        <v>59057</v>
      </c>
      <c r="AI435" s="236">
        <v>2099</v>
      </c>
      <c r="AJ435" s="236">
        <v>2262</v>
      </c>
      <c r="AK435" s="237">
        <v>274</v>
      </c>
      <c r="AL435" s="237">
        <v>190</v>
      </c>
    </row>
    <row r="436">
      <c r="A436" s="216"/>
      <c r="B436" s="217" t="s">
        <v>231</v>
      </c>
      <c r="C436" s="218" t="s">
        <v>201</v>
      </c>
      <c r="D436" s="219">
        <f t="shared" si="508"/>
      </c>
      <c r="E436" s="218">
        <v>2874.18</v>
      </c>
      <c r="F436" s="221">
        <v>2907.38</v>
      </c>
      <c r="G436" s="221">
        <v>0</v>
      </c>
      <c r="H436" s="221">
        <v>0</v>
      </c>
      <c r="I436" s="221">
        <f t="shared" si="395"/>
      </c>
      <c r="J436" s="222">
        <v>1797.12</v>
      </c>
      <c r="K436" s="223">
        <f t="shared" si="280"/>
      </c>
      <c r="L436" s="223">
        <f t="shared" si="165"/>
      </c>
      <c r="M436" s="224">
        <f t="shared" si="84"/>
      </c>
      <c r="N436" s="225">
        <f t="shared" si="53"/>
      </c>
      <c r="O436" s="226">
        <f t="shared" si="22"/>
      </c>
      <c r="P436" s="227">
        <f t="shared" si="957"/>
      </c>
      <c r="Q436" s="227">
        <f t="shared" si="926"/>
      </c>
      <c r="R436" s="227">
        <f t="shared" si="895"/>
      </c>
      <c r="S436" s="228">
        <f t="shared" si="864"/>
      </c>
      <c r="T436" s="229">
        <f t="shared" si="802"/>
      </c>
      <c r="U436" s="227">
        <f t="shared" si="771"/>
      </c>
      <c r="V436" s="230">
        <f t="shared" si="833"/>
      </c>
      <c r="W436" s="230">
        <f t="shared" si="740"/>
      </c>
      <c r="X436" s="227">
        <f t="shared" si="709"/>
      </c>
      <c r="Y436" s="231">
        <f t="shared" si="613"/>
      </c>
      <c r="Z436" s="231">
        <v>4</v>
      </c>
      <c r="AA436" s="231">
        <v>3</v>
      </c>
      <c r="AB436" s="222">
        <v>6668.999999999993</v>
      </c>
      <c r="AC436" s="232">
        <v>0</v>
      </c>
      <c r="AD436" s="228">
        <f t="shared" si="678"/>
      </c>
      <c r="AE436" s="233" t="s">
        <v>202</v>
      </c>
      <c r="AF436" s="234" t="s">
        <v>232</v>
      </c>
      <c r="AG436" s="235">
        <v>3</v>
      </c>
      <c r="AH436" s="236">
        <v>59862</v>
      </c>
      <c r="AI436" s="236">
        <v>2511</v>
      </c>
      <c r="AJ436" s="236">
        <v>2668</v>
      </c>
      <c r="AK436" s="237">
        <v>273</v>
      </c>
      <c r="AL436" s="237">
        <v>190</v>
      </c>
    </row>
    <row r="437">
      <c r="A437" s="216"/>
      <c r="B437" s="217" t="s">
        <v>231</v>
      </c>
      <c r="C437" s="218" t="s">
        <v>204</v>
      </c>
      <c r="D437" s="219">
        <f t="shared" si="508"/>
      </c>
      <c r="E437" s="218">
        <v>2531.34</v>
      </c>
      <c r="F437" s="249">
        <v>6314.94</v>
      </c>
      <c r="G437" s="221">
        <v>0</v>
      </c>
      <c r="H437" s="221">
        <v>0</v>
      </c>
      <c r="I437" s="250">
        <f t="shared" si="395"/>
      </c>
      <c r="J437" s="251">
        <f>638.28+3406.32</f>
      </c>
      <c r="K437" s="223">
        <f t="shared" si="280"/>
      </c>
      <c r="L437" s="223">
        <f t="shared" si="165"/>
      </c>
      <c r="M437" s="224">
        <f t="shared" si="84"/>
      </c>
      <c r="N437" s="225">
        <f t="shared" si="53"/>
      </c>
      <c r="O437" s="226">
        <f t="shared" si="22"/>
      </c>
      <c r="P437" s="227">
        <f t="shared" si="957"/>
      </c>
      <c r="Q437" s="227">
        <f t="shared" si="926"/>
      </c>
      <c r="R437" s="227">
        <f t="shared" si="895"/>
      </c>
      <c r="S437" s="228">
        <f t="shared" si="864"/>
      </c>
      <c r="T437" s="229">
        <f t="shared" si="802"/>
      </c>
      <c r="U437" s="227">
        <f t="shared" si="771"/>
      </c>
      <c r="V437" s="230">
        <f t="shared" si="833"/>
      </c>
      <c r="W437" s="230">
        <f t="shared" si="740"/>
      </c>
      <c r="X437" s="227">
        <f t="shared" si="709"/>
      </c>
      <c r="Y437" s="231">
        <f t="shared" si="613"/>
      </c>
      <c r="Z437" s="231">
        <v>11</v>
      </c>
      <c r="AA437" s="231">
        <v>6</v>
      </c>
      <c r="AB437" s="232">
        <v>11599.44</v>
      </c>
      <c r="AC437" s="232">
        <v>0</v>
      </c>
      <c r="AD437" s="228">
        <f t="shared" si="678"/>
      </c>
      <c r="AE437" s="233" t="s">
        <v>202</v>
      </c>
      <c r="AF437" s="234" t="s">
        <v>232</v>
      </c>
      <c r="AG437" s="235">
        <v>4</v>
      </c>
      <c r="AH437" s="236">
        <v>76690</v>
      </c>
      <c r="AI437" s="236">
        <v>2683</v>
      </c>
      <c r="AJ437" s="236">
        <v>2831</v>
      </c>
      <c r="AK437" s="237">
        <v>343</v>
      </c>
      <c r="AL437" s="237">
        <v>285</v>
      </c>
    </row>
    <row r="438">
      <c r="A438" s="216"/>
      <c r="B438" s="239" t="s">
        <v>208</v>
      </c>
      <c r="C438" s="240">
        <v>5</v>
      </c>
      <c r="D438" s="241">
        <f>SUM(D433:D437)</f>
      </c>
      <c r="E438" s="241">
        <f>SUM(E433:E437)</f>
      </c>
      <c r="F438" s="241">
        <f>SUM(F433:F437)</f>
      </c>
      <c r="G438" s="241">
        <f>SUM(G433:G437)</f>
      </c>
      <c r="H438" s="241">
        <f>SUM(H433:H437)</f>
      </c>
      <c r="I438" s="241">
        <f>SUM(I433:I437)</f>
      </c>
      <c r="J438" s="241">
        <f>SUM(J433:J437)</f>
      </c>
      <c r="K438" s="241">
        <f>SUM(K433:K437)</f>
      </c>
      <c r="L438" s="241">
        <f>SUM(L433:L437)</f>
      </c>
      <c r="M438" s="242">
        <f t="shared" si="84"/>
      </c>
      <c r="N438" s="243">
        <f t="shared" si="53"/>
      </c>
      <c r="O438" s="243">
        <f t="shared" si="22"/>
      </c>
      <c r="P438" s="244">
        <f t="shared" si="957"/>
      </c>
      <c r="Q438" s="244">
        <f t="shared" si="926"/>
      </c>
      <c r="R438" s="244">
        <f t="shared" si="895"/>
      </c>
      <c r="S438" s="245">
        <f t="shared" si="864"/>
      </c>
      <c r="T438" s="245">
        <f t="shared" si="802"/>
      </c>
      <c r="U438" s="244">
        <f t="shared" si="771"/>
      </c>
      <c r="V438" s="245">
        <f t="shared" si="833"/>
      </c>
      <c r="W438" s="245">
        <f t="shared" si="740"/>
      </c>
      <c r="X438" s="244">
        <f t="shared" si="709"/>
      </c>
      <c r="Y438" s="241">
        <f>SUM(Y433:Y437)</f>
      </c>
      <c r="Z438" s="241">
        <f>SUM(Z433:Z437)</f>
      </c>
      <c r="AA438" s="241">
        <f>SUM(AA433:AA437)</f>
      </c>
      <c r="AB438" s="241">
        <f>SUM(AB433:AB437)</f>
      </c>
      <c r="AC438" s="241">
        <f>SUM(AC433:AC437)</f>
      </c>
      <c r="AD438" s="246">
        <f t="shared" si="678"/>
      </c>
      <c r="AE438" s="247"/>
      <c r="AF438" s="248"/>
      <c r="AG438" s="241">
        <f>SUM(AG433:AG437)</f>
      </c>
      <c r="AH438" s="241">
        <f>SUM(AH433:AH437)</f>
      </c>
      <c r="AI438" s="241">
        <f>SUM(AI433:AI437)</f>
      </c>
      <c r="AJ438" s="241">
        <f>SUM(AJ433:AJ437)</f>
      </c>
      <c r="AK438" s="241">
        <f>SUM(AK433:AK437)</f>
      </c>
      <c r="AL438" s="241">
        <f>SUM(AL433:AL437)</f>
      </c>
    </row>
    <row r="439">
      <c r="A439" s="216"/>
      <c r="B439" s="217" t="s">
        <v>230</v>
      </c>
      <c r="C439" s="218" t="s">
        <v>205</v>
      </c>
      <c r="D439" s="219">
        <f t="shared" ref="D439:D440" si="509">E439+F439+G439+H439</f>
      </c>
      <c r="E439" s="218">
        <v>1542.89</v>
      </c>
      <c r="F439" s="249">
        <v>4652.23</v>
      </c>
      <c r="G439" s="221">
        <v>0</v>
      </c>
      <c r="H439" s="221">
        <v>0</v>
      </c>
      <c r="I439" s="250">
        <f t="shared" ref="I439:I440" si="396">AB439+AC439</f>
      </c>
      <c r="J439" s="251">
        <v>2703.24</v>
      </c>
      <c r="K439" s="223">
        <f t="shared" ref="K439:K440" si="281">I439-J439</f>
      </c>
      <c r="L439" s="223">
        <f t="shared" ref="L439:L440" si="166">(I439-AC439)/12+AC439</f>
      </c>
      <c r="M439" s="224">
        <f t="shared" si="84"/>
      </c>
      <c r="N439" s="225">
        <f t="shared" si="53"/>
      </c>
      <c r="O439" s="226">
        <f t="shared" si="22"/>
      </c>
      <c r="P439" s="227">
        <f t="shared" si="957"/>
      </c>
      <c r="Q439" s="227">
        <f t="shared" si="926"/>
      </c>
      <c r="R439" s="227">
        <f t="shared" si="895"/>
      </c>
      <c r="S439" s="228">
        <f t="shared" si="864"/>
      </c>
      <c r="T439" s="229">
        <f t="shared" si="802"/>
      </c>
      <c r="U439" s="227">
        <f t="shared" si="771"/>
      </c>
      <c r="V439" s="230">
        <f t="shared" si="833"/>
      </c>
      <c r="W439" s="230">
        <f t="shared" si="740"/>
      </c>
      <c r="X439" s="227">
        <f t="shared" si="709"/>
      </c>
      <c r="Y439" s="231">
        <f t="shared" ref="Y439:Y440" si="614">Z439+AA439</f>
      </c>
      <c r="Z439" s="231">
        <v>2</v>
      </c>
      <c r="AA439" s="231">
        <v>6</v>
      </c>
      <c r="AB439" s="232">
        <v>10650.960000000014</v>
      </c>
      <c r="AC439" s="232">
        <v>0</v>
      </c>
      <c r="AD439" s="228">
        <f t="shared" si="678"/>
      </c>
      <c r="AE439" s="233" t="s">
        <v>202</v>
      </c>
      <c r="AF439" s="233" t="s">
        <v>203</v>
      </c>
      <c r="AG439" s="235">
        <v>8</v>
      </c>
      <c r="AH439" s="236">
        <v>58623</v>
      </c>
      <c r="AI439" s="236">
        <v>1888</v>
      </c>
      <c r="AJ439" s="236">
        <v>1992</v>
      </c>
      <c r="AK439" s="237">
        <v>292</v>
      </c>
      <c r="AL439" s="237">
        <v>244</v>
      </c>
    </row>
    <row r="440">
      <c r="A440" s="216"/>
      <c r="B440" s="217" t="s">
        <v>230</v>
      </c>
      <c r="C440" s="218" t="s">
        <v>206</v>
      </c>
      <c r="D440" s="219">
        <f t="shared" si="509"/>
      </c>
      <c r="E440" s="252">
        <v>2198.78</v>
      </c>
      <c r="F440" s="268">
        <v>2523.02</v>
      </c>
      <c r="G440" s="221">
        <v>0</v>
      </c>
      <c r="H440" s="221">
        <v>0</v>
      </c>
      <c r="I440" s="270">
        <f t="shared" si="396"/>
      </c>
      <c r="J440" s="251">
        <v>2246.88</v>
      </c>
      <c r="K440" s="223">
        <f t="shared" si="281"/>
      </c>
      <c r="L440" s="223">
        <f t="shared" si="166"/>
      </c>
      <c r="M440" s="224">
        <f t="shared" si="84"/>
      </c>
      <c r="N440" s="225">
        <f t="shared" si="53"/>
      </c>
      <c r="O440" s="226">
        <f t="shared" si="22"/>
      </c>
      <c r="P440" s="227">
        <f t="shared" si="957"/>
      </c>
      <c r="Q440" s="227">
        <f t="shared" si="926"/>
      </c>
      <c r="R440" s="227">
        <f t="shared" si="895"/>
      </c>
      <c r="S440" s="228">
        <f t="shared" si="864"/>
      </c>
      <c r="T440" s="229">
        <f t="shared" si="802"/>
      </c>
      <c r="U440" s="227">
        <f t="shared" si="771"/>
      </c>
      <c r="V440" s="230">
        <f t="shared" si="833"/>
      </c>
      <c r="W440" s="230">
        <f t="shared" si="740"/>
      </c>
      <c r="X440" s="227">
        <f t="shared" si="709"/>
      </c>
      <c r="Y440" s="231">
        <f t="shared" si="614"/>
      </c>
      <c r="Z440" s="231">
        <v>4</v>
      </c>
      <c r="AA440" s="231">
        <v>5</v>
      </c>
      <c r="AB440" s="272">
        <v>14763.36</v>
      </c>
      <c r="AC440" s="232">
        <v>0</v>
      </c>
      <c r="AD440" s="228">
        <f t="shared" si="678"/>
      </c>
      <c r="AE440" s="233" t="s">
        <v>202</v>
      </c>
      <c r="AF440" s="233" t="s">
        <v>203</v>
      </c>
      <c r="AG440" s="237">
        <v>4</v>
      </c>
      <c r="AH440" s="236">
        <v>43874</v>
      </c>
      <c r="AI440" s="236">
        <v>1807</v>
      </c>
      <c r="AJ440" s="236">
        <v>1989</v>
      </c>
      <c r="AK440" s="237">
        <v>185</v>
      </c>
      <c r="AL440" s="237">
        <v>157</v>
      </c>
    </row>
    <row r="441">
      <c r="A441" s="216"/>
      <c r="B441" s="239" t="s">
        <v>208</v>
      </c>
      <c r="C441" s="240">
        <v>2</v>
      </c>
      <c r="D441" s="273">
        <f>SUM(D439:D440)</f>
      </c>
      <c r="E441" s="273">
        <f>SUM(E439:E440)</f>
      </c>
      <c r="F441" s="273">
        <f>SUM(F439:F440)</f>
      </c>
      <c r="G441" s="273">
        <f>SUM(G439:G440)</f>
      </c>
      <c r="H441" s="273">
        <f>SUM(H439:H440)</f>
      </c>
      <c r="I441" s="273">
        <f>SUM(I439:I440)</f>
      </c>
      <c r="J441" s="273">
        <f>SUM(J439:J440)</f>
      </c>
      <c r="K441" s="273">
        <f>SUM(K439:K440)</f>
      </c>
      <c r="L441" s="273">
        <f>SUM(L439:L440)</f>
      </c>
      <c r="M441" s="242">
        <f t="shared" si="84"/>
      </c>
      <c r="N441" s="243">
        <f t="shared" si="53"/>
      </c>
      <c r="O441" s="243">
        <f t="shared" si="22"/>
      </c>
      <c r="P441" s="244">
        <f t="shared" si="957"/>
      </c>
      <c r="Q441" s="244">
        <f t="shared" si="926"/>
      </c>
      <c r="R441" s="244">
        <f t="shared" si="895"/>
      </c>
      <c r="S441" s="245">
        <f t="shared" si="864"/>
      </c>
      <c r="T441" s="245">
        <f t="shared" si="802"/>
      </c>
      <c r="U441" s="244">
        <f t="shared" si="771"/>
      </c>
      <c r="V441" s="245">
        <f t="shared" si="833"/>
      </c>
      <c r="W441" s="245">
        <f t="shared" si="740"/>
      </c>
      <c r="X441" s="244">
        <f t="shared" si="709"/>
      </c>
      <c r="Y441" s="273">
        <f>SUM(Y439:Y440)</f>
      </c>
      <c r="Z441" s="273">
        <f>SUM(Z439:Z440)</f>
      </c>
      <c r="AA441" s="273">
        <f>SUM(AA439:AA440)</f>
      </c>
      <c r="AB441" s="273">
        <f>SUM(AB439:AB440)</f>
      </c>
      <c r="AC441" s="273">
        <f>SUM(AC439:AC440)</f>
      </c>
      <c r="AD441" s="246">
        <f t="shared" si="678"/>
      </c>
      <c r="AE441" s="247"/>
      <c r="AF441" s="248"/>
      <c r="AG441" s="273">
        <f>SUM(AG439:AG440)</f>
      </c>
      <c r="AH441" s="273">
        <f>SUM(AH439:AH440)</f>
      </c>
      <c r="AI441" s="273">
        <f>SUM(AI439:AI440)</f>
      </c>
      <c r="AJ441" s="273">
        <f>SUM(AJ439:AJ440)</f>
      </c>
      <c r="AK441" s="273">
        <f>SUM(AK439:AK440)</f>
      </c>
      <c r="AL441" s="273">
        <f>SUM(AL439:AL440)</f>
      </c>
    </row>
    <row r="442">
      <c r="A442" s="216"/>
      <c r="B442" s="217" t="s">
        <v>224</v>
      </c>
      <c r="C442" s="218" t="s">
        <v>207</v>
      </c>
      <c r="D442" s="219">
        <f t="shared" ref="D442:D444" si="510">E442+F442+G442+H442</f>
      </c>
      <c r="E442" s="218">
        <v>2097.93</v>
      </c>
      <c r="F442" s="249">
        <v>4311.56</v>
      </c>
      <c r="G442" s="221">
        <v>0</v>
      </c>
      <c r="H442" s="221">
        <v>0</v>
      </c>
      <c r="I442" s="250">
        <f t="shared" ref="I442:I444" si="397">AB442+AC442</f>
      </c>
      <c r="J442" s="251">
        <v>0</v>
      </c>
      <c r="K442" s="223">
        <f t="shared" ref="K442:K444" si="282">I442-J442</f>
      </c>
      <c r="L442" s="223">
        <f t="shared" ref="L442:L444" si="167">(I442-AC442)/12+AC442</f>
      </c>
      <c r="M442" s="224">
        <f t="shared" si="84"/>
      </c>
      <c r="N442" s="225">
        <f t="shared" si="53"/>
      </c>
      <c r="O442" s="226">
        <f t="shared" si="22"/>
      </c>
      <c r="P442" s="227">
        <f t="shared" si="957"/>
      </c>
      <c r="Q442" s="227">
        <f t="shared" si="926"/>
      </c>
      <c r="R442" s="227">
        <f t="shared" si="895"/>
      </c>
      <c r="S442" s="228">
        <f t="shared" si="864"/>
      </c>
      <c r="T442" s="229">
        <f t="shared" si="802"/>
      </c>
      <c r="U442" s="227">
        <f t="shared" si="771"/>
      </c>
      <c r="V442" s="230">
        <f t="shared" si="833"/>
      </c>
      <c r="W442" s="230">
        <f t="shared" si="740"/>
      </c>
      <c r="X442" s="227">
        <f t="shared" si="709"/>
      </c>
      <c r="Y442" s="231">
        <f t="shared" ref="Y442:Y444" si="615">Z442+AA442</f>
      </c>
      <c r="Z442" s="231">
        <v>6</v>
      </c>
      <c r="AA442" s="231">
        <v>3</v>
      </c>
      <c r="AB442" s="232">
        <v>2974.319999999985</v>
      </c>
      <c r="AC442" s="232">
        <v>0</v>
      </c>
      <c r="AD442" s="228">
        <f t="shared" si="678"/>
      </c>
      <c r="AE442" s="233" t="s">
        <v>202</v>
      </c>
      <c r="AF442" s="234" t="s">
        <v>203</v>
      </c>
      <c r="AG442" s="235">
        <v>4</v>
      </c>
      <c r="AH442" s="236">
        <v>63127</v>
      </c>
      <c r="AI442" s="236">
        <v>1934</v>
      </c>
      <c r="AJ442" s="236">
        <v>2032</v>
      </c>
      <c r="AK442" s="237">
        <v>206</v>
      </c>
      <c r="AL442" s="237">
        <v>199</v>
      </c>
    </row>
    <row r="443">
      <c r="A443" s="216"/>
      <c r="B443" s="217" t="s">
        <v>224</v>
      </c>
      <c r="C443" s="252" t="s">
        <v>210</v>
      </c>
      <c r="D443" s="219">
        <f t="shared" si="510"/>
      </c>
      <c r="E443" s="218">
        <v>1935.92</v>
      </c>
      <c r="F443" s="249">
        <v>4791.03</v>
      </c>
      <c r="G443" s="221">
        <v>0</v>
      </c>
      <c r="H443" s="221">
        <v>0</v>
      </c>
      <c r="I443" s="250">
        <f t="shared" si="397"/>
      </c>
      <c r="J443" s="251">
        <f>1591.92+1863</f>
      </c>
      <c r="K443" s="223">
        <f t="shared" si="282"/>
      </c>
      <c r="L443" s="223">
        <f t="shared" si="167"/>
      </c>
      <c r="M443" s="224">
        <f t="shared" si="84"/>
      </c>
      <c r="N443" s="225">
        <f t="shared" si="53"/>
      </c>
      <c r="O443" s="226">
        <f t="shared" si="22"/>
      </c>
      <c r="P443" s="227">
        <f t="shared" si="957"/>
      </c>
      <c r="Q443" s="227">
        <f t="shared" si="926"/>
      </c>
      <c r="R443" s="227">
        <f t="shared" si="895"/>
      </c>
      <c r="S443" s="228">
        <f t="shared" si="864"/>
      </c>
      <c r="T443" s="229">
        <f t="shared" si="802"/>
      </c>
      <c r="U443" s="227">
        <f t="shared" si="771"/>
      </c>
      <c r="V443" s="230">
        <f t="shared" si="833"/>
      </c>
      <c r="W443" s="230">
        <f t="shared" si="740"/>
      </c>
      <c r="X443" s="227">
        <f t="shared" si="709"/>
      </c>
      <c r="Y443" s="231">
        <f t="shared" si="615"/>
      </c>
      <c r="Z443" s="231">
        <v>6</v>
      </c>
      <c r="AA443" s="231">
        <v>10</v>
      </c>
      <c r="AB443" s="232">
        <v>15667.56</v>
      </c>
      <c r="AC443" s="232">
        <v>1116</v>
      </c>
      <c r="AD443" s="228">
        <f t="shared" si="678"/>
      </c>
      <c r="AE443" s="233" t="s">
        <v>202</v>
      </c>
      <c r="AF443" s="234" t="s">
        <v>203</v>
      </c>
      <c r="AG443" s="235">
        <v>5</v>
      </c>
      <c r="AH443" s="236">
        <v>78490</v>
      </c>
      <c r="AI443" s="236">
        <v>2110</v>
      </c>
      <c r="AJ443" s="236">
        <v>2239</v>
      </c>
      <c r="AK443" s="237">
        <v>263</v>
      </c>
      <c r="AL443" s="237">
        <v>231</v>
      </c>
    </row>
    <row r="444">
      <c r="A444" s="216"/>
      <c r="B444" s="217" t="s">
        <v>224</v>
      </c>
      <c r="C444" s="252" t="s">
        <v>211</v>
      </c>
      <c r="D444" s="219">
        <f t="shared" si="510"/>
      </c>
      <c r="E444" s="218">
        <v>2354.09</v>
      </c>
      <c r="F444" s="249">
        <v>7958.73</v>
      </c>
      <c r="G444" s="221">
        <v>0</v>
      </c>
      <c r="H444" s="221">
        <v>0</v>
      </c>
      <c r="I444" s="250">
        <f t="shared" si="397"/>
      </c>
      <c r="J444" s="251">
        <v>0</v>
      </c>
      <c r="K444" s="223">
        <f t="shared" si="282"/>
      </c>
      <c r="L444" s="223">
        <f t="shared" si="167"/>
      </c>
      <c r="M444" s="224">
        <f t="shared" si="84"/>
      </c>
      <c r="N444" s="225">
        <f t="shared" si="53"/>
      </c>
      <c r="O444" s="226">
        <f t="shared" si="22"/>
      </c>
      <c r="P444" s="227">
        <f t="shared" si="957"/>
      </c>
      <c r="Q444" s="227">
        <f t="shared" si="926"/>
      </c>
      <c r="R444" s="227">
        <f t="shared" si="895"/>
      </c>
      <c r="S444" s="228">
        <f t="shared" si="864"/>
      </c>
      <c r="T444" s="229">
        <f t="shared" si="802"/>
      </c>
      <c r="U444" s="227">
        <f t="shared" si="771"/>
      </c>
      <c r="V444" s="230">
        <f t="shared" si="833"/>
      </c>
      <c r="W444" s="230">
        <f t="shared" si="740"/>
      </c>
      <c r="X444" s="227">
        <f t="shared" si="709"/>
      </c>
      <c r="Y444" s="231">
        <f t="shared" si="615"/>
      </c>
      <c r="Z444" s="231">
        <v>10</v>
      </c>
      <c r="AA444" s="231">
        <v>7</v>
      </c>
      <c r="AB444" s="232">
        <v>9134.16000000001</v>
      </c>
      <c r="AC444" s="232">
        <v>0</v>
      </c>
      <c r="AD444" s="228">
        <f t="shared" si="678"/>
      </c>
      <c r="AE444" s="233" t="s">
        <v>202</v>
      </c>
      <c r="AF444" s="234" t="s">
        <v>203</v>
      </c>
      <c r="AG444" s="237">
        <v>6</v>
      </c>
      <c r="AH444" s="236">
        <v>117561</v>
      </c>
      <c r="AI444" s="236">
        <v>2949</v>
      </c>
      <c r="AJ444" s="236">
        <v>3082</v>
      </c>
      <c r="AK444" s="237">
        <v>247</v>
      </c>
      <c r="AL444" s="237">
        <v>305</v>
      </c>
    </row>
    <row r="445">
      <c r="A445" s="216"/>
      <c r="B445" s="239" t="s">
        <v>208</v>
      </c>
      <c r="C445" s="240">
        <v>3</v>
      </c>
      <c r="D445" s="241">
        <f>SUM(D442:D444)</f>
      </c>
      <c r="E445" s="241">
        <f>SUM(E442:E444)</f>
      </c>
      <c r="F445" s="241">
        <f>SUM(F442:F444)</f>
      </c>
      <c r="G445" s="241">
        <f>SUM(G442:G444)</f>
      </c>
      <c r="H445" s="241">
        <f>SUM(H442:H444)</f>
      </c>
      <c r="I445" s="241">
        <f>SUM(I442:I444)</f>
      </c>
      <c r="J445" s="241">
        <f>SUM(J442:J444)</f>
      </c>
      <c r="K445" s="241">
        <f>SUM(K442:K444)</f>
      </c>
      <c r="L445" s="241">
        <f>SUM(L442:L444)</f>
      </c>
      <c r="M445" s="242">
        <f t="shared" si="84"/>
      </c>
      <c r="N445" s="243">
        <f t="shared" si="53"/>
      </c>
      <c r="O445" s="243">
        <f t="shared" si="22"/>
      </c>
      <c r="P445" s="244">
        <f t="shared" si="957"/>
      </c>
      <c r="Q445" s="244">
        <f t="shared" si="926"/>
      </c>
      <c r="R445" s="244">
        <f t="shared" si="895"/>
      </c>
      <c r="S445" s="245">
        <f t="shared" si="864"/>
      </c>
      <c r="T445" s="245">
        <f t="shared" si="802"/>
      </c>
      <c r="U445" s="244">
        <f t="shared" si="771"/>
      </c>
      <c r="V445" s="245">
        <f t="shared" si="833"/>
      </c>
      <c r="W445" s="245">
        <f t="shared" si="740"/>
      </c>
      <c r="X445" s="244">
        <f t="shared" si="709"/>
      </c>
      <c r="Y445" s="241">
        <f>SUM(Y442:Y444)</f>
      </c>
      <c r="Z445" s="241">
        <f>SUM(Z442:Z444)</f>
      </c>
      <c r="AA445" s="241">
        <f>SUM(AA442:AA444)</f>
      </c>
      <c r="AB445" s="241">
        <f>SUM(AB442:AB444)</f>
      </c>
      <c r="AC445" s="241">
        <f>SUM(AC442:AC444)</f>
      </c>
      <c r="AD445" s="246">
        <f t="shared" si="678"/>
      </c>
      <c r="AE445" s="247"/>
      <c r="AF445" s="248"/>
      <c r="AG445" s="241">
        <f>SUM(AG442:AG444)</f>
      </c>
      <c r="AH445" s="241">
        <f>SUM(AH442:AH444)</f>
      </c>
      <c r="AI445" s="241">
        <f>SUM(AI442:AI444)</f>
      </c>
      <c r="AJ445" s="241">
        <f>SUM(AJ442:AJ444)</f>
      </c>
      <c r="AK445" s="241">
        <f>SUM(AK442:AK444)</f>
      </c>
      <c r="AL445" s="241">
        <f>SUM(AL442:AL444)</f>
      </c>
    </row>
    <row r="446">
      <c r="A446" s="216"/>
      <c r="B446" s="217" t="s">
        <v>209</v>
      </c>
      <c r="C446" s="252" t="s">
        <v>212</v>
      </c>
      <c r="D446" s="219">
        <f t="shared" ref="D446:D450" si="511">E446+F446+G446+H446</f>
      </c>
      <c r="E446" s="220">
        <v>1705.14</v>
      </c>
      <c r="F446" s="221">
        <v>4101.67</v>
      </c>
      <c r="G446" s="221">
        <v>0</v>
      </c>
      <c r="H446" s="221">
        <v>0</v>
      </c>
      <c r="I446" s="221">
        <f t="shared" ref="I446:I450" si="398">AB446+AC446</f>
      </c>
      <c r="J446" s="222">
        <v>0</v>
      </c>
      <c r="K446" s="223">
        <f t="shared" ref="K446:K450" si="283">I446-J446</f>
      </c>
      <c r="L446" s="223">
        <f t="shared" ref="L446:L450" si="168">(I446-AC446)/12+AC446</f>
      </c>
      <c r="M446" s="224">
        <f t="shared" si="84"/>
      </c>
      <c r="N446" s="225">
        <f t="shared" si="53"/>
      </c>
      <c r="O446" s="226">
        <f t="shared" si="22"/>
      </c>
      <c r="P446" s="227">
        <f t="shared" si="957"/>
      </c>
      <c r="Q446" s="227">
        <f t="shared" si="926"/>
      </c>
      <c r="R446" s="227">
        <f t="shared" si="895"/>
      </c>
      <c r="S446" s="228">
        <f t="shared" si="864"/>
      </c>
      <c r="T446" s="229">
        <f t="shared" si="802"/>
      </c>
      <c r="U446" s="227">
        <f t="shared" si="771"/>
      </c>
      <c r="V446" s="230">
        <f t="shared" si="833"/>
      </c>
      <c r="W446" s="230">
        <f t="shared" si="740"/>
      </c>
      <c r="X446" s="227">
        <f t="shared" si="709"/>
      </c>
      <c r="Y446" s="231">
        <f t="shared" ref="Y446:Y450" si="616">Z446+AA446</f>
      </c>
      <c r="Z446" s="231">
        <v>3</v>
      </c>
      <c r="AA446" s="231">
        <v>7</v>
      </c>
      <c r="AB446" s="232">
        <v>10568.880000000012</v>
      </c>
      <c r="AC446" s="232">
        <v>2538</v>
      </c>
      <c r="AD446" s="228">
        <f t="shared" si="678"/>
      </c>
      <c r="AE446" s="233" t="s">
        <v>202</v>
      </c>
      <c r="AF446" s="234" t="s">
        <v>203</v>
      </c>
      <c r="AG446" s="235">
        <v>7</v>
      </c>
      <c r="AH446" s="235">
        <v>70642</v>
      </c>
      <c r="AI446" s="236">
        <v>2351</v>
      </c>
      <c r="AJ446" s="236">
        <v>2532</v>
      </c>
      <c r="AK446" s="235">
        <v>253</v>
      </c>
      <c r="AL446" s="237">
        <v>248</v>
      </c>
    </row>
    <row r="447">
      <c r="A447" s="216"/>
      <c r="B447" s="217" t="s">
        <v>209</v>
      </c>
      <c r="C447" s="218" t="s">
        <v>213</v>
      </c>
      <c r="D447" s="219">
        <f t="shared" si="511"/>
      </c>
      <c r="E447" s="218">
        <v>2988.73</v>
      </c>
      <c r="F447" s="221">
        <v>4758.03</v>
      </c>
      <c r="G447" s="221">
        <v>0</v>
      </c>
      <c r="H447" s="221">
        <v>0</v>
      </c>
      <c r="I447" s="221">
        <f t="shared" si="398"/>
      </c>
      <c r="J447" s="222">
        <v>0</v>
      </c>
      <c r="K447" s="223">
        <f t="shared" si="283"/>
      </c>
      <c r="L447" s="223">
        <f t="shared" si="168"/>
      </c>
      <c r="M447" s="224">
        <f t="shared" si="84"/>
      </c>
      <c r="N447" s="225">
        <f t="shared" si="53"/>
      </c>
      <c r="O447" s="226">
        <f t="shared" si="22"/>
      </c>
      <c r="P447" s="227">
        <f t="shared" si="957"/>
      </c>
      <c r="Q447" s="227">
        <f t="shared" si="926"/>
      </c>
      <c r="R447" s="227">
        <f t="shared" si="895"/>
      </c>
      <c r="S447" s="228">
        <f t="shared" si="864"/>
      </c>
      <c r="T447" s="229">
        <f t="shared" si="802"/>
      </c>
      <c r="U447" s="227">
        <f t="shared" si="771"/>
      </c>
      <c r="V447" s="230">
        <f t="shared" si="833"/>
      </c>
      <c r="W447" s="230">
        <f t="shared" si="740"/>
      </c>
      <c r="X447" s="227">
        <f t="shared" si="709"/>
      </c>
      <c r="Y447" s="231">
        <f t="shared" si="616"/>
      </c>
      <c r="Z447" s="231">
        <v>5</v>
      </c>
      <c r="AA447" s="231">
        <v>5</v>
      </c>
      <c r="AB447" s="232">
        <v>12975.96</v>
      </c>
      <c r="AC447" s="232">
        <v>0</v>
      </c>
      <c r="AD447" s="228">
        <f t="shared" si="678"/>
      </c>
      <c r="AE447" s="233" t="s">
        <v>202</v>
      </c>
      <c r="AF447" s="234" t="s">
        <v>203</v>
      </c>
      <c r="AG447" s="235">
        <v>4</v>
      </c>
      <c r="AH447" s="236">
        <v>72965</v>
      </c>
      <c r="AI447" s="236">
        <v>3641</v>
      </c>
      <c r="AJ447" s="236">
        <v>3863</v>
      </c>
      <c r="AK447" s="237">
        <v>212</v>
      </c>
      <c r="AL447" s="237">
        <v>206</v>
      </c>
    </row>
    <row r="448">
      <c r="A448" s="216"/>
      <c r="B448" s="217" t="s">
        <v>209</v>
      </c>
      <c r="C448" s="252" t="s">
        <v>214</v>
      </c>
      <c r="D448" s="219">
        <f t="shared" si="511"/>
      </c>
      <c r="E448" s="218">
        <v>1742.79</v>
      </c>
      <c r="F448" s="218">
        <v>8856.03</v>
      </c>
      <c r="G448" s="221">
        <v>0</v>
      </c>
      <c r="H448" s="221">
        <v>0</v>
      </c>
      <c r="I448" s="221">
        <f t="shared" si="398"/>
      </c>
      <c r="J448" s="222">
        <v>0</v>
      </c>
      <c r="K448" s="223">
        <f t="shared" si="283"/>
      </c>
      <c r="L448" s="223">
        <f t="shared" si="168"/>
      </c>
      <c r="M448" s="224">
        <f t="shared" si="84"/>
      </c>
      <c r="N448" s="225">
        <f t="shared" si="53"/>
      </c>
      <c r="O448" s="226">
        <f t="shared" si="22"/>
      </c>
      <c r="P448" s="227">
        <f t="shared" si="957"/>
      </c>
      <c r="Q448" s="227">
        <f t="shared" si="926"/>
      </c>
      <c r="R448" s="227">
        <f t="shared" si="895"/>
      </c>
      <c r="S448" s="228">
        <f t="shared" si="864"/>
      </c>
      <c r="T448" s="229">
        <f t="shared" si="802"/>
      </c>
      <c r="U448" s="227">
        <f t="shared" si="771"/>
      </c>
      <c r="V448" s="230">
        <f t="shared" si="833"/>
      </c>
      <c r="W448" s="230">
        <f t="shared" si="740"/>
      </c>
      <c r="X448" s="227">
        <f t="shared" si="709"/>
      </c>
      <c r="Y448" s="231">
        <f t="shared" si="616"/>
      </c>
      <c r="Z448" s="231">
        <v>6</v>
      </c>
      <c r="AA448" s="231">
        <v>10</v>
      </c>
      <c r="AB448" s="232">
        <v>8978.039999999986</v>
      </c>
      <c r="AC448" s="232">
        <v>1562</v>
      </c>
      <c r="AD448" s="228">
        <f t="shared" si="678"/>
      </c>
      <c r="AE448" s="233" t="s">
        <v>202</v>
      </c>
      <c r="AF448" s="234" t="s">
        <v>203</v>
      </c>
      <c r="AG448" s="237">
        <v>7</v>
      </c>
      <c r="AH448" s="236">
        <v>116148</v>
      </c>
      <c r="AI448" s="236">
        <v>3146</v>
      </c>
      <c r="AJ448" s="236">
        <v>3297</v>
      </c>
      <c r="AK448" s="237">
        <v>265</v>
      </c>
      <c r="AL448" s="237">
        <v>293</v>
      </c>
    </row>
    <row r="449">
      <c r="A449" s="216"/>
      <c r="B449" s="217" t="s">
        <v>209</v>
      </c>
      <c r="C449" s="218" t="s">
        <v>237</v>
      </c>
      <c r="D449" s="219">
        <f t="shared" si="511"/>
      </c>
      <c r="E449" s="218">
        <v>1584.85</v>
      </c>
      <c r="F449" s="221">
        <v>6148.41</v>
      </c>
      <c r="G449" s="221">
        <v>0</v>
      </c>
      <c r="H449" s="221">
        <v>0</v>
      </c>
      <c r="I449" s="238">
        <f t="shared" si="398"/>
      </c>
      <c r="J449" s="222">
        <v>0</v>
      </c>
      <c r="K449" s="223">
        <f t="shared" si="283"/>
      </c>
      <c r="L449" s="223">
        <f t="shared" si="168"/>
      </c>
      <c r="M449" s="224">
        <f t="shared" si="84"/>
      </c>
      <c r="N449" s="225">
        <f t="shared" si="53"/>
      </c>
      <c r="O449" s="226">
        <f t="shared" si="22"/>
      </c>
      <c r="P449" s="227">
        <f t="shared" si="957"/>
      </c>
      <c r="Q449" s="227">
        <f t="shared" si="926"/>
      </c>
      <c r="R449" s="227">
        <f t="shared" si="895"/>
      </c>
      <c r="S449" s="228">
        <f t="shared" si="864"/>
      </c>
      <c r="T449" s="229">
        <f t="shared" si="802"/>
      </c>
      <c r="U449" s="227">
        <f t="shared" si="771"/>
      </c>
      <c r="V449" s="230">
        <f t="shared" si="833"/>
      </c>
      <c r="W449" s="230">
        <f t="shared" si="740"/>
      </c>
      <c r="X449" s="227">
        <f t="shared" si="709"/>
      </c>
      <c r="Y449" s="231">
        <f t="shared" si="616"/>
      </c>
      <c r="Z449" s="231">
        <v>14</v>
      </c>
      <c r="AA449" s="231">
        <v>10</v>
      </c>
      <c r="AB449" s="232">
        <v>17227.08</v>
      </c>
      <c r="AC449" s="232">
        <v>0</v>
      </c>
      <c r="AD449" s="228">
        <f t="shared" si="678"/>
      </c>
      <c r="AE449" s="233" t="s">
        <v>202</v>
      </c>
      <c r="AF449" s="234" t="s">
        <v>203</v>
      </c>
      <c r="AG449" s="235">
        <v>11</v>
      </c>
      <c r="AH449" s="236">
        <v>111877</v>
      </c>
      <c r="AI449" s="236">
        <v>2397</v>
      </c>
      <c r="AJ449" s="236">
        <v>2492</v>
      </c>
      <c r="AK449" s="237">
        <v>204</v>
      </c>
      <c r="AL449" s="237">
        <v>266</v>
      </c>
    </row>
    <row r="450">
      <c r="A450" s="216"/>
      <c r="B450" s="217" t="s">
        <v>209</v>
      </c>
      <c r="C450" s="218" t="s">
        <v>238</v>
      </c>
      <c r="D450" s="219">
        <f t="shared" si="511"/>
      </c>
      <c r="E450" s="220">
        <v>753.7</v>
      </c>
      <c r="F450" s="221">
        <v>4584.57</v>
      </c>
      <c r="G450" s="221">
        <v>0</v>
      </c>
      <c r="H450" s="221">
        <v>0</v>
      </c>
      <c r="I450" s="221">
        <f t="shared" si="398"/>
      </c>
      <c r="J450" s="222">
        <v>0</v>
      </c>
      <c r="K450" s="223">
        <f t="shared" si="283"/>
      </c>
      <c r="L450" s="223">
        <f t="shared" si="168"/>
      </c>
      <c r="M450" s="224">
        <f t="shared" si="84"/>
      </c>
      <c r="N450" s="225">
        <f t="shared" si="53"/>
      </c>
      <c r="O450" s="226">
        <f t="shared" si="22"/>
      </c>
      <c r="P450" s="227">
        <f t="shared" si="957"/>
      </c>
      <c r="Q450" s="227">
        <f t="shared" si="926"/>
      </c>
      <c r="R450" s="227">
        <f t="shared" si="895"/>
      </c>
      <c r="S450" s="228">
        <f t="shared" si="864"/>
      </c>
      <c r="T450" s="229">
        <f t="shared" si="802"/>
      </c>
      <c r="U450" s="227">
        <f t="shared" si="771"/>
      </c>
      <c r="V450" s="230">
        <f t="shared" si="833"/>
      </c>
      <c r="W450" s="230">
        <f t="shared" si="740"/>
      </c>
      <c r="X450" s="227">
        <f t="shared" si="709"/>
      </c>
      <c r="Y450" s="231">
        <f t="shared" si="616"/>
      </c>
      <c r="Z450" s="231">
        <v>1</v>
      </c>
      <c r="AA450" s="231">
        <v>4</v>
      </c>
      <c r="AB450" s="232">
        <v>5465.639999999999</v>
      </c>
      <c r="AC450" s="232">
        <v>0</v>
      </c>
      <c r="AD450" s="228">
        <f t="shared" si="678"/>
      </c>
      <c r="AE450" s="233" t="s">
        <v>202</v>
      </c>
      <c r="AF450" s="234" t="s">
        <v>203</v>
      </c>
      <c r="AG450" s="235">
        <v>2</v>
      </c>
      <c r="AH450" s="236">
        <v>62511</v>
      </c>
      <c r="AI450" s="236">
        <v>2219</v>
      </c>
      <c r="AJ450" s="236">
        <v>2371</v>
      </c>
      <c r="AK450" s="235">
        <v>180</v>
      </c>
      <c r="AL450" s="235">
        <v>180</v>
      </c>
    </row>
    <row r="451">
      <c r="A451" s="216"/>
      <c r="B451" s="239" t="s">
        <v>208</v>
      </c>
      <c r="C451" s="240">
        <v>5</v>
      </c>
      <c r="D451" s="241">
        <f>SUM(D446:D450)</f>
      </c>
      <c r="E451" s="241">
        <f>SUM(E446:E450)</f>
      </c>
      <c r="F451" s="241">
        <f>SUM(F446:F450)</f>
      </c>
      <c r="G451" s="241">
        <f>SUM(G446:G450)</f>
      </c>
      <c r="H451" s="241">
        <f>SUM(H446:H450)</f>
      </c>
      <c r="I451" s="241">
        <f>SUM(I446:I450)</f>
      </c>
      <c r="J451" s="241">
        <f>SUM(J446:J450)</f>
      </c>
      <c r="K451" s="241">
        <f>SUM(K446:K450)</f>
      </c>
      <c r="L451" s="241">
        <f>SUM(L446:L450)</f>
      </c>
      <c r="M451" s="242">
        <f t="shared" si="84"/>
      </c>
      <c r="N451" s="243">
        <f t="shared" si="53"/>
      </c>
      <c r="O451" s="243">
        <f t="shared" si="22"/>
      </c>
      <c r="P451" s="244">
        <f t="shared" si="957"/>
      </c>
      <c r="Q451" s="244">
        <f t="shared" si="926"/>
      </c>
      <c r="R451" s="244">
        <f t="shared" si="895"/>
      </c>
      <c r="S451" s="245">
        <f t="shared" si="864"/>
      </c>
      <c r="T451" s="245">
        <f t="shared" si="802"/>
      </c>
      <c r="U451" s="244">
        <f t="shared" si="771"/>
      </c>
      <c r="V451" s="245">
        <f t="shared" si="833"/>
      </c>
      <c r="W451" s="245">
        <f t="shared" si="740"/>
      </c>
      <c r="X451" s="244">
        <f t="shared" si="709"/>
      </c>
      <c r="Y451" s="241">
        <f>SUM(Y446:Y450)</f>
      </c>
      <c r="Z451" s="241">
        <f>SUM(Z446:Z450)</f>
      </c>
      <c r="AA451" s="241">
        <f>SUM(AA446:AA450)</f>
      </c>
      <c r="AB451" s="241">
        <f>SUM(AB446:AB450)</f>
      </c>
      <c r="AC451" s="241">
        <f>SUM(AC446:AC450)</f>
      </c>
      <c r="AD451" s="246">
        <f t="shared" si="678"/>
      </c>
      <c r="AE451" s="247"/>
      <c r="AF451" s="248"/>
      <c r="AG451" s="241">
        <f>SUM(AG446:AG450)</f>
      </c>
      <c r="AH451" s="241">
        <f>SUM(AH446:AH450)</f>
      </c>
      <c r="AI451" s="241">
        <f>SUM(AI446:AI450)</f>
      </c>
      <c r="AJ451" s="241">
        <f>SUM(AJ446:AJ450)</f>
      </c>
      <c r="AK451" s="241">
        <f>SUM(AK446:AK450)</f>
      </c>
      <c r="AL451" s="241">
        <f>SUM(AL446:AL450)</f>
      </c>
    </row>
    <row r="452">
      <c r="A452" s="216"/>
      <c r="B452" s="253" t="s">
        <v>208</v>
      </c>
      <c r="C452" s="254">
        <f>C432+C438+C441+C445+C451</f>
      </c>
      <c r="D452" s="254">
        <f>D432+D438+D441+D445+D451</f>
      </c>
      <c r="E452" s="254">
        <f>E432+E438+E441+E445+E451</f>
      </c>
      <c r="F452" s="254">
        <f>F432+F438+F441+F445+F451</f>
      </c>
      <c r="G452" s="254">
        <f>G432+G438+G441+G445+G451</f>
      </c>
      <c r="H452" s="254">
        <f>H432+H438+H441+H445+H451</f>
      </c>
      <c r="I452" s="254">
        <f>I432+I438+I441+I445+I451</f>
      </c>
      <c r="J452" s="254">
        <f>J432+J438+J441+J445+J451</f>
      </c>
      <c r="K452" s="254">
        <f>K432+K438+K441+K445+K451</f>
      </c>
      <c r="L452" s="254">
        <f>L432+L438+L441+L445+L451</f>
      </c>
      <c r="M452" s="256">
        <f t="shared" si="84"/>
      </c>
      <c r="N452" s="256">
        <f t="shared" si="53"/>
      </c>
      <c r="O452" s="256">
        <f t="shared" si="22"/>
      </c>
      <c r="P452" s="256">
        <f t="shared" si="957"/>
      </c>
      <c r="Q452" s="256">
        <f t="shared" si="926"/>
      </c>
      <c r="R452" s="256">
        <f t="shared" si="895"/>
      </c>
      <c r="S452" s="257">
        <f t="shared" si="864"/>
      </c>
      <c r="T452" s="257">
        <f t="shared" si="802"/>
      </c>
      <c r="U452" s="256">
        <f t="shared" si="771"/>
      </c>
      <c r="V452" s="257">
        <f t="shared" si="833"/>
      </c>
      <c r="W452" s="257">
        <f t="shared" si="740"/>
      </c>
      <c r="X452" s="256">
        <f t="shared" si="709"/>
      </c>
      <c r="Y452" s="254">
        <f>Y432+Y438+Y441+Y445+Y451</f>
      </c>
      <c r="Z452" s="254">
        <f>Z432+Z438+Z441+Z445+Z451</f>
      </c>
      <c r="AA452" s="254">
        <f>AA432+AA438+AA441+AA445+AA451</f>
      </c>
      <c r="AB452" s="254">
        <f>AB432+AB438+AB441+AB445+AB451</f>
      </c>
      <c r="AC452" s="254">
        <f>AC432+AC438+AC441+AC445+AC451</f>
      </c>
      <c r="AD452" s="258">
        <f t="shared" si="678"/>
      </c>
      <c r="AE452" s="253"/>
      <c r="AF452" s="253"/>
      <c r="AG452" s="254">
        <f>AG432+AG438+AG441+AG445+AG451</f>
      </c>
      <c r="AH452" s="254">
        <f>AH432+AH438+AH441+AH445+AH451</f>
      </c>
      <c r="AI452" s="254">
        <f>AI432+AI438+AI441+AI445+AI451</f>
      </c>
      <c r="AJ452" s="254">
        <f>AJ432+AJ438+AJ441+AJ445+AJ451</f>
      </c>
      <c r="AK452" s="254">
        <f>AK432+AK438+AK441+AK445+AK451</f>
      </c>
      <c r="AL452" s="254">
        <f>AL432+AL438+AL441+AL445+AL451</f>
      </c>
    </row>
    <row r="453">
      <c r="A453" s="202" t="s">
        <v>162</v>
      </c>
      <c r="B453" s="203" t="s">
        <v>163</v>
      </c>
      <c r="C453" s="203" t="s">
        <v>164</v>
      </c>
      <c r="D453" s="204" t="s">
        <v>165</v>
      </c>
      <c r="E453" s="203" t="s">
        <v>166</v>
      </c>
      <c r="F453" s="203" t="s">
        <v>167</v>
      </c>
      <c r="G453" s="205" t="s">
        <v>168</v>
      </c>
      <c r="H453" s="205" t="s">
        <v>169</v>
      </c>
      <c r="I453" s="204" t="s">
        <v>170</v>
      </c>
      <c r="J453" s="206" t="s">
        <v>171</v>
      </c>
      <c r="K453" s="207" t="s">
        <v>172</v>
      </c>
      <c r="L453" s="207" t="s">
        <v>173</v>
      </c>
      <c r="M453" s="208" t="s">
        <v>174</v>
      </c>
      <c r="N453" s="207" t="s">
        <v>175</v>
      </c>
      <c r="O453" s="203" t="s">
        <v>176</v>
      </c>
      <c r="P453" s="208" t="s">
        <v>177</v>
      </c>
      <c r="Q453" s="209" t="s">
        <v>178</v>
      </c>
      <c r="R453" s="209" t="s">
        <v>179</v>
      </c>
      <c r="S453" s="204" t="s">
        <v>180</v>
      </c>
      <c r="T453" s="210" t="s">
        <v>181</v>
      </c>
      <c r="U453" s="208" t="s">
        <v>182</v>
      </c>
      <c r="V453" s="211" t="s">
        <v>183</v>
      </c>
      <c r="W453" s="212" t="s">
        <v>184</v>
      </c>
      <c r="X453" s="208" t="s">
        <v>185</v>
      </c>
      <c r="Y453" s="213" t="s">
        <v>186</v>
      </c>
      <c r="Z453" s="214" t="s">
        <v>187</v>
      </c>
      <c r="AA453" s="213" t="s">
        <v>188</v>
      </c>
      <c r="AB453" s="215" t="s">
        <v>189</v>
      </c>
      <c r="AC453" s="215" t="s">
        <v>190</v>
      </c>
      <c r="AD453" s="207" t="s">
        <v>191</v>
      </c>
      <c r="AE453" s="206" t="s">
        <v>192</v>
      </c>
      <c r="AF453" s="207" t="s">
        <v>193</v>
      </c>
      <c r="AG453" s="206" t="s">
        <v>194</v>
      </c>
      <c r="AH453" s="206" t="s">
        <v>195</v>
      </c>
      <c r="AI453" s="207" t="s">
        <v>196</v>
      </c>
      <c r="AJ453" s="206" t="s">
        <v>197</v>
      </c>
      <c r="AK453" s="207" t="s">
        <v>198</v>
      </c>
      <c r="AL453" s="206" t="s">
        <v>199</v>
      </c>
    </row>
    <row r="454">
      <c r="A454" s="216">
        <v>46258</v>
      </c>
      <c r="B454" s="217" t="s">
        <v>200</v>
      </c>
      <c r="C454" s="218" t="s">
        <v>234</v>
      </c>
      <c r="D454" s="219">
        <f t="shared" ref="D454:D458" si="512">E454+F454+G454+H454</f>
      </c>
      <c r="E454" s="220">
        <v>1762.3</v>
      </c>
      <c r="F454" s="221">
        <v>8265.62</v>
      </c>
      <c r="G454" s="221">
        <v>0</v>
      </c>
      <c r="H454" s="221">
        <v>0</v>
      </c>
      <c r="I454" s="221">
        <f t="shared" ref="I454:I458" si="399">AB454+AC454</f>
      </c>
      <c r="J454" s="222">
        <v>0</v>
      </c>
      <c r="K454" s="223">
        <f t="shared" ref="K454:K458" si="284">I454-J454</f>
      </c>
      <c r="L454" s="223">
        <f t="shared" ref="L454:L458" si="169">(I454-AC454)/12+AC454</f>
      </c>
      <c r="M454" s="224">
        <f t="shared" ref="M454:M479" si="85">I454/D454</f>
      </c>
      <c r="N454" s="225">
        <f t="shared" ref="N454:N479" si="54">(I454-J454)/D454</f>
      </c>
      <c r="O454" s="226">
        <f t="shared" ref="O454:O479" si="23">(AC454+AB454/12)/D454</f>
      </c>
      <c r="P454" s="227">
        <f t="shared" ref="P454:P479" si="958">I454/AA454</f>
      </c>
      <c r="Q454" s="227">
        <f t="shared" ref="Q454:Q479" si="927">D454/AA454</f>
      </c>
      <c r="R454" s="227">
        <f t="shared" ref="R454:R479" si="896">D454/AG454</f>
      </c>
      <c r="S454" s="228">
        <f t="shared" ref="S454:S479" si="865">AA454/Y454</f>
      </c>
      <c r="T454" s="229">
        <f t="shared" ref="T454:T479" si="803">AI454/AH454</f>
      </c>
      <c r="U454" s="227">
        <f t="shared" ref="U454:U479" si="772">D454/AJ454</f>
      </c>
      <c r="V454" s="230">
        <f t="shared" ref="V454:V479" si="834">AK454/AJ454</f>
      </c>
      <c r="W454" s="230">
        <f t="shared" ref="W454:W479" si="741">AL454/AJ454</f>
      </c>
      <c r="X454" s="227">
        <f t="shared" ref="X454:X479" si="710">D454/AL454</f>
      </c>
      <c r="Y454" s="231">
        <f t="shared" ref="Y454:Y458" si="617">Z454+AA454</f>
      </c>
      <c r="Z454" s="231">
        <v>10</v>
      </c>
      <c r="AA454" s="231">
        <v>6</v>
      </c>
      <c r="AB454" s="232">
        <v>10239.479999999996</v>
      </c>
      <c r="AC454" s="232">
        <v>0</v>
      </c>
      <c r="AD454" s="228">
        <f t="shared" ref="AD454:AD479" si="679">AC454/I454</f>
      </c>
      <c r="AE454" s="233" t="s">
        <v>202</v>
      </c>
      <c r="AF454" s="234" t="s">
        <v>239</v>
      </c>
      <c r="AG454" s="235">
        <v>6</v>
      </c>
      <c r="AH454" s="235">
        <v>147368</v>
      </c>
      <c r="AI454" s="236">
        <v>3702</v>
      </c>
      <c r="AJ454" s="236">
        <v>4334</v>
      </c>
      <c r="AK454" s="235">
        <v>416</v>
      </c>
      <c r="AL454" s="237">
        <v>335</v>
      </c>
    </row>
    <row r="455">
      <c r="A455" s="216"/>
      <c r="B455" s="217" t="s">
        <v>200</v>
      </c>
      <c r="C455" s="218" t="s">
        <v>235</v>
      </c>
      <c r="D455" s="219">
        <f t="shared" si="512"/>
      </c>
      <c r="E455" s="218">
        <v>2119.48</v>
      </c>
      <c r="F455" s="221">
        <v>12119.67</v>
      </c>
      <c r="G455" s="221">
        <v>0</v>
      </c>
      <c r="H455" s="221">
        <v>0</v>
      </c>
      <c r="I455" s="221">
        <f t="shared" si="399"/>
      </c>
      <c r="J455" s="222">
        <v>716.04</v>
      </c>
      <c r="K455" s="223">
        <f t="shared" si="284"/>
      </c>
      <c r="L455" s="223">
        <f t="shared" si="169"/>
      </c>
      <c r="M455" s="224">
        <f t="shared" si="85"/>
      </c>
      <c r="N455" s="225">
        <f t="shared" si="54"/>
      </c>
      <c r="O455" s="226">
        <f t="shared" si="23"/>
      </c>
      <c r="P455" s="227">
        <f t="shared" si="958"/>
      </c>
      <c r="Q455" s="227">
        <f t="shared" si="927"/>
      </c>
      <c r="R455" s="227">
        <f t="shared" si="896"/>
      </c>
      <c r="S455" s="228">
        <f t="shared" si="865"/>
      </c>
      <c r="T455" s="229">
        <f t="shared" si="803"/>
      </c>
      <c r="U455" s="227">
        <f t="shared" si="772"/>
      </c>
      <c r="V455" s="230">
        <f t="shared" si="834"/>
      </c>
      <c r="W455" s="230">
        <f t="shared" si="741"/>
      </c>
      <c r="X455" s="227">
        <f t="shared" si="710"/>
      </c>
      <c r="Y455" s="231">
        <f t="shared" si="617"/>
      </c>
      <c r="Z455" s="231">
        <v>9</v>
      </c>
      <c r="AA455" s="231">
        <v>11</v>
      </c>
      <c r="AB455" s="232">
        <v>13113.36</v>
      </c>
      <c r="AC455" s="232">
        <v>2545</v>
      </c>
      <c r="AD455" s="228">
        <f t="shared" si="679"/>
      </c>
      <c r="AE455" s="233" t="s">
        <v>202</v>
      </c>
      <c r="AF455" s="234" t="s">
        <v>239</v>
      </c>
      <c r="AG455" s="235">
        <v>11</v>
      </c>
      <c r="AH455" s="236">
        <v>126153</v>
      </c>
      <c r="AI455" s="236">
        <v>2967</v>
      </c>
      <c r="AJ455" s="236">
        <v>3287</v>
      </c>
      <c r="AK455" s="237">
        <v>463</v>
      </c>
      <c r="AL455" s="237">
        <v>359</v>
      </c>
    </row>
    <row r="456">
      <c r="A456" s="216"/>
      <c r="B456" s="217" t="s">
        <v>200</v>
      </c>
      <c r="C456" s="218" t="s">
        <v>236</v>
      </c>
      <c r="D456" s="219">
        <f t="shared" si="512"/>
      </c>
      <c r="E456" s="218">
        <v>687.25</v>
      </c>
      <c r="F456" s="218">
        <v>16457.9</v>
      </c>
      <c r="G456" s="218">
        <v>0</v>
      </c>
      <c r="H456" s="221">
        <v>0</v>
      </c>
      <c r="I456" s="221">
        <f t="shared" si="399"/>
      </c>
      <c r="J456" s="222">
        <v>6852.24</v>
      </c>
      <c r="K456" s="223">
        <f t="shared" si="284"/>
      </c>
      <c r="L456" s="223">
        <f t="shared" si="169"/>
      </c>
      <c r="M456" s="224">
        <f t="shared" si="85"/>
      </c>
      <c r="N456" s="225">
        <f t="shared" si="54"/>
      </c>
      <c r="O456" s="226">
        <f t="shared" si="23"/>
      </c>
      <c r="P456" s="227">
        <f t="shared" si="958"/>
      </c>
      <c r="Q456" s="227">
        <f t="shared" si="927"/>
      </c>
      <c r="R456" s="227">
        <f t="shared" si="896"/>
      </c>
      <c r="S456" s="228">
        <f t="shared" si="865"/>
      </c>
      <c r="T456" s="229">
        <f t="shared" si="803"/>
      </c>
      <c r="U456" s="227">
        <f t="shared" si="772"/>
      </c>
      <c r="V456" s="230">
        <f t="shared" si="834"/>
      </c>
      <c r="W456" s="230">
        <f t="shared" si="741"/>
      </c>
      <c r="X456" s="227">
        <f t="shared" si="710"/>
      </c>
      <c r="Y456" s="231">
        <f t="shared" si="617"/>
      </c>
      <c r="Z456" s="231">
        <v>10</v>
      </c>
      <c r="AA456" s="231">
        <v>18</v>
      </c>
      <c r="AB456" s="232">
        <v>30913.08</v>
      </c>
      <c r="AC456" s="232">
        <v>0</v>
      </c>
      <c r="AD456" s="228">
        <f t="shared" si="679"/>
      </c>
      <c r="AE456" s="233" t="s">
        <v>202</v>
      </c>
      <c r="AF456" s="234" t="s">
        <v>239</v>
      </c>
      <c r="AG456" s="237">
        <v>15</v>
      </c>
      <c r="AH456" s="236">
        <v>131341</v>
      </c>
      <c r="AI456" s="236">
        <v>2339</v>
      </c>
      <c r="AJ456" s="236">
        <v>2552</v>
      </c>
      <c r="AK456" s="237">
        <v>424</v>
      </c>
      <c r="AL456" s="237">
        <v>453</v>
      </c>
    </row>
    <row r="457">
      <c r="A457" s="216"/>
      <c r="B457" s="217" t="s">
        <v>200</v>
      </c>
      <c r="C457" s="218" t="s">
        <v>216</v>
      </c>
      <c r="D457" s="219">
        <f t="shared" si="512"/>
      </c>
      <c r="E457" s="218">
        <v>1116.7</v>
      </c>
      <c r="F457" s="221">
        <v>7221.65</v>
      </c>
      <c r="G457" s="221">
        <v>0</v>
      </c>
      <c r="H457" s="221">
        <v>0</v>
      </c>
      <c r="I457" s="238">
        <f t="shared" si="399"/>
      </c>
      <c r="J457" s="222">
        <v>3940.92</v>
      </c>
      <c r="K457" s="223">
        <f t="shared" si="284"/>
      </c>
      <c r="L457" s="223">
        <f t="shared" si="169"/>
      </c>
      <c r="M457" s="224">
        <f t="shared" si="85"/>
      </c>
      <c r="N457" s="225">
        <f t="shared" si="54"/>
      </c>
      <c r="O457" s="226">
        <f t="shared" si="23"/>
      </c>
      <c r="P457" s="227">
        <f t="shared" si="958"/>
      </c>
      <c r="Q457" s="227">
        <f t="shared" si="927"/>
      </c>
      <c r="R457" s="227">
        <f t="shared" si="896"/>
      </c>
      <c r="S457" s="228">
        <f t="shared" si="865"/>
      </c>
      <c r="T457" s="229">
        <f t="shared" si="803"/>
      </c>
      <c r="U457" s="227">
        <f t="shared" si="772"/>
      </c>
      <c r="V457" s="230">
        <f t="shared" si="834"/>
      </c>
      <c r="W457" s="230">
        <f t="shared" si="741"/>
      </c>
      <c r="X457" s="227">
        <f t="shared" si="710"/>
      </c>
      <c r="Y457" s="231">
        <f t="shared" si="617"/>
      </c>
      <c r="Z457" s="231">
        <v>7</v>
      </c>
      <c r="AA457" s="231">
        <v>6</v>
      </c>
      <c r="AB457" s="232">
        <v>11217.960000000006</v>
      </c>
      <c r="AC457" s="232">
        <v>0</v>
      </c>
      <c r="AD457" s="228">
        <f t="shared" si="679"/>
      </c>
      <c r="AE457" s="233" t="s">
        <v>202</v>
      </c>
      <c r="AF457" s="234" t="s">
        <v>239</v>
      </c>
      <c r="AG457" s="235">
        <v>6</v>
      </c>
      <c r="AH457" s="236">
        <v>69889</v>
      </c>
      <c r="AI457" s="236">
        <v>1276</v>
      </c>
      <c r="AJ457" s="236">
        <v>1410</v>
      </c>
      <c r="AK457" s="237">
        <v>212</v>
      </c>
      <c r="AL457" s="237">
        <v>225</v>
      </c>
    </row>
    <row r="458">
      <c r="A458" s="216"/>
      <c r="B458" s="217" t="s">
        <v>200</v>
      </c>
      <c r="C458" s="218" t="s">
        <v>218</v>
      </c>
      <c r="D458" s="219">
        <f t="shared" si="512"/>
      </c>
      <c r="E458" s="220">
        <v>1998.87</v>
      </c>
      <c r="F458" s="221">
        <v>6055.88</v>
      </c>
      <c r="G458" s="221">
        <v>0</v>
      </c>
      <c r="H458" s="221">
        <v>0</v>
      </c>
      <c r="I458" s="221">
        <f t="shared" si="399"/>
      </c>
      <c r="J458" s="222">
        <v>5520.96</v>
      </c>
      <c r="K458" s="223">
        <f t="shared" si="284"/>
      </c>
      <c r="L458" s="223">
        <f t="shared" si="169"/>
      </c>
      <c r="M458" s="224">
        <f t="shared" si="85"/>
      </c>
      <c r="N458" s="225">
        <f t="shared" si="54"/>
      </c>
      <c r="O458" s="226">
        <f t="shared" si="23"/>
      </c>
      <c r="P458" s="227">
        <f t="shared" si="958"/>
      </c>
      <c r="Q458" s="227">
        <f t="shared" si="927"/>
      </c>
      <c r="R458" s="227">
        <f t="shared" si="896"/>
      </c>
      <c r="S458" s="228">
        <f t="shared" si="865"/>
      </c>
      <c r="T458" s="229">
        <f t="shared" si="803"/>
      </c>
      <c r="U458" s="227">
        <f t="shared" si="772"/>
      </c>
      <c r="V458" s="230">
        <f t="shared" si="834"/>
      </c>
      <c r="W458" s="230">
        <f t="shared" si="741"/>
      </c>
      <c r="X458" s="227">
        <f t="shared" si="710"/>
      </c>
      <c r="Y458" s="231">
        <f t="shared" si="617"/>
      </c>
      <c r="Z458" s="231">
        <v>4</v>
      </c>
      <c r="AA458" s="231">
        <v>9</v>
      </c>
      <c r="AB458" s="232">
        <v>15933.23999999999</v>
      </c>
      <c r="AC458" s="232">
        <v>0</v>
      </c>
      <c r="AD458" s="228">
        <f t="shared" si="679"/>
      </c>
      <c r="AE458" s="233" t="s">
        <v>202</v>
      </c>
      <c r="AF458" s="234" t="s">
        <v>239</v>
      </c>
      <c r="AG458" s="235">
        <v>8</v>
      </c>
      <c r="AH458" s="236">
        <v>68077</v>
      </c>
      <c r="AI458" s="236">
        <v>1403</v>
      </c>
      <c r="AJ458" s="236">
        <v>1530</v>
      </c>
      <c r="AK458" s="235">
        <v>217</v>
      </c>
      <c r="AL458" s="235">
        <v>204</v>
      </c>
    </row>
    <row r="459">
      <c r="A459" s="216"/>
      <c r="B459" s="239" t="s">
        <v>208</v>
      </c>
      <c r="C459" s="240">
        <v>5</v>
      </c>
      <c r="D459" s="241">
        <f>SUM(D454:D458)</f>
      </c>
      <c r="E459" s="241">
        <f>SUM(E454:E458)</f>
      </c>
      <c r="F459" s="241">
        <f>SUM(F454:F458)</f>
      </c>
      <c r="G459" s="241">
        <f>SUM(G454:G458)</f>
      </c>
      <c r="H459" s="241">
        <f>SUM(H454:H458)</f>
      </c>
      <c r="I459" s="241">
        <f>SUM(I454:I458)</f>
      </c>
      <c r="J459" s="241">
        <f>SUM(J454:J458)</f>
      </c>
      <c r="K459" s="241">
        <f>SUM(K454:K458)</f>
      </c>
      <c r="L459" s="241">
        <f>SUM(L454:L458)</f>
      </c>
      <c r="M459" s="242">
        <f t="shared" si="85"/>
      </c>
      <c r="N459" s="243">
        <f t="shared" si="54"/>
      </c>
      <c r="O459" s="243">
        <f t="shared" si="23"/>
      </c>
      <c r="P459" s="244">
        <f t="shared" si="958"/>
      </c>
      <c r="Q459" s="244">
        <f t="shared" si="927"/>
      </c>
      <c r="R459" s="244">
        <f t="shared" si="896"/>
      </c>
      <c r="S459" s="245">
        <f t="shared" si="865"/>
      </c>
      <c r="T459" s="245">
        <f t="shared" si="803"/>
      </c>
      <c r="U459" s="244">
        <f t="shared" si="772"/>
      </c>
      <c r="V459" s="245">
        <f t="shared" si="834"/>
      </c>
      <c r="W459" s="245">
        <f t="shared" si="741"/>
      </c>
      <c r="X459" s="244">
        <f t="shared" si="710"/>
      </c>
      <c r="Y459" s="241">
        <f>SUM(Y454:Y458)</f>
      </c>
      <c r="Z459" s="241">
        <f>SUM(Z454:Z458)</f>
      </c>
      <c r="AA459" s="241">
        <f>SUM(AA454:AA458)</f>
      </c>
      <c r="AB459" s="241">
        <f>SUM(AB454:AB458)</f>
      </c>
      <c r="AC459" s="241">
        <f>SUM(AC454:AC458)</f>
      </c>
      <c r="AD459" s="246">
        <f t="shared" si="679"/>
      </c>
      <c r="AE459" s="247"/>
      <c r="AF459" s="248"/>
      <c r="AG459" s="241">
        <f>SUM(AG454:AG458)</f>
      </c>
      <c r="AH459" s="241">
        <f>SUM(AH454:AH458)</f>
      </c>
      <c r="AI459" s="241">
        <f>SUM(AI454:AI458)</f>
      </c>
      <c r="AJ459" s="241">
        <f>SUM(AJ454:AJ458)</f>
      </c>
      <c r="AK459" s="241">
        <f>SUM(AK454:AK458)</f>
      </c>
      <c r="AL459" s="241">
        <f>SUM(AL454:AL458)</f>
      </c>
    </row>
    <row r="460">
      <c r="A460" s="216"/>
      <c r="B460" s="217" t="s">
        <v>209</v>
      </c>
      <c r="C460" s="218" t="s">
        <v>219</v>
      </c>
      <c r="D460" s="219">
        <f t="shared" ref="D460:D464" si="513">E460+F460+G460+H460</f>
      </c>
      <c r="E460" s="220">
        <v>1471.51</v>
      </c>
      <c r="F460" s="221">
        <v>6750.97</v>
      </c>
      <c r="G460" s="221">
        <v>0</v>
      </c>
      <c r="H460" s="221">
        <v>0</v>
      </c>
      <c r="I460" s="221">
        <f t="shared" ref="I460:I464" si="400">AB460+AC460</f>
      </c>
      <c r="J460" s="222">
        <v>708.48</v>
      </c>
      <c r="K460" s="223">
        <f t="shared" ref="K460:K464" si="285">I460-J460</f>
      </c>
      <c r="L460" s="223">
        <f t="shared" ref="L460:L464" si="170">(I460-AC460)/12+AC460</f>
      </c>
      <c r="M460" s="224">
        <f t="shared" si="85"/>
      </c>
      <c r="N460" s="225">
        <f t="shared" si="54"/>
      </c>
      <c r="O460" s="226">
        <f t="shared" si="23"/>
      </c>
      <c r="P460" s="227">
        <f t="shared" si="958"/>
      </c>
      <c r="Q460" s="227">
        <f t="shared" si="927"/>
      </c>
      <c r="R460" s="227">
        <f t="shared" si="896"/>
      </c>
      <c r="S460" s="228">
        <f t="shared" si="865"/>
      </c>
      <c r="T460" s="229">
        <f t="shared" si="803"/>
      </c>
      <c r="U460" s="227">
        <f t="shared" si="772"/>
      </c>
      <c r="V460" s="230">
        <f t="shared" si="834"/>
      </c>
      <c r="W460" s="230">
        <f t="shared" si="741"/>
      </c>
      <c r="X460" s="227">
        <f t="shared" si="710"/>
      </c>
      <c r="Y460" s="231">
        <f t="shared" ref="Y460:Y464" si="618">Z460+AA460</f>
      </c>
      <c r="Z460" s="231">
        <v>9</v>
      </c>
      <c r="AA460" s="231">
        <v>1</v>
      </c>
      <c r="AB460" s="232">
        <v>708.4800000000105</v>
      </c>
      <c r="AC460" s="232">
        <v>0</v>
      </c>
      <c r="AD460" s="228">
        <f t="shared" si="679"/>
      </c>
      <c r="AE460" s="233" t="s">
        <v>202</v>
      </c>
      <c r="AF460" s="234" t="s">
        <v>239</v>
      </c>
      <c r="AG460" s="235">
        <v>1</v>
      </c>
      <c r="AH460" s="236">
        <v>73279</v>
      </c>
      <c r="AI460" s="236">
        <v>1376</v>
      </c>
      <c r="AJ460" s="236">
        <v>1556</v>
      </c>
      <c r="AK460" s="235">
        <v>225</v>
      </c>
      <c r="AL460" s="235">
        <v>219</v>
      </c>
    </row>
    <row r="461">
      <c r="A461" s="216"/>
      <c r="B461" s="217" t="s">
        <v>209</v>
      </c>
      <c r="C461" s="218" t="s">
        <v>220</v>
      </c>
      <c r="D461" s="219">
        <f t="shared" si="513"/>
      </c>
      <c r="E461" s="218">
        <v>1497.41</v>
      </c>
      <c r="F461" s="221">
        <v>995.24</v>
      </c>
      <c r="G461" s="221">
        <v>0</v>
      </c>
      <c r="H461" s="221">
        <v>0</v>
      </c>
      <c r="I461" s="221">
        <f t="shared" si="400"/>
      </c>
      <c r="J461" s="222">
        <v>0</v>
      </c>
      <c r="K461" s="223">
        <f t="shared" si="285"/>
      </c>
      <c r="L461" s="223">
        <f t="shared" si="170"/>
      </c>
      <c r="M461" s="224">
        <f t="shared" si="85"/>
      </c>
      <c r="N461" s="225">
        <f t="shared" si="54"/>
      </c>
      <c r="O461" s="226">
        <f t="shared" si="23"/>
      </c>
      <c r="P461" s="227">
        <f t="shared" si="958"/>
      </c>
      <c r="Q461" s="227">
        <f t="shared" si="927"/>
      </c>
      <c r="R461" s="227">
        <f t="shared" si="896"/>
      </c>
      <c r="S461" s="228">
        <f t="shared" si="865"/>
      </c>
      <c r="T461" s="229">
        <f t="shared" si="803"/>
      </c>
      <c r="U461" s="227">
        <f t="shared" si="772"/>
      </c>
      <c r="V461" s="230">
        <f t="shared" si="834"/>
      </c>
      <c r="W461" s="230">
        <f t="shared" si="741"/>
      </c>
      <c r="X461" s="227">
        <f t="shared" si="710"/>
      </c>
      <c r="Y461" s="231">
        <f t="shared" si="618"/>
      </c>
      <c r="Z461" s="231">
        <v>0</v>
      </c>
      <c r="AA461" s="231">
        <v>2</v>
      </c>
      <c r="AB461" s="232">
        <v>3208.679999999993</v>
      </c>
      <c r="AC461" s="232">
        <v>0</v>
      </c>
      <c r="AD461" s="228">
        <f t="shared" si="679"/>
      </c>
      <c r="AE461" s="233" t="s">
        <v>202</v>
      </c>
      <c r="AF461" s="234" t="s">
        <v>239</v>
      </c>
      <c r="AG461" s="235">
        <v>2</v>
      </c>
      <c r="AH461" s="236">
        <v>24062</v>
      </c>
      <c r="AI461" s="236">
        <v>903</v>
      </c>
      <c r="AJ461" s="236">
        <v>1073</v>
      </c>
      <c r="AK461" s="237">
        <v>100</v>
      </c>
      <c r="AL461" s="237">
        <v>92</v>
      </c>
    </row>
    <row r="462">
      <c r="A462" s="216"/>
      <c r="B462" s="217" t="s">
        <v>209</v>
      </c>
      <c r="C462" s="218" t="s">
        <v>221</v>
      </c>
      <c r="D462" s="219">
        <f t="shared" si="513"/>
      </c>
      <c r="E462" s="218">
        <v>1608.03</v>
      </c>
      <c r="F462" s="218">
        <v>3647.55</v>
      </c>
      <c r="G462" s="221">
        <v>0</v>
      </c>
      <c r="H462" s="221">
        <v>0</v>
      </c>
      <c r="I462" s="221">
        <f t="shared" si="400"/>
      </c>
      <c r="J462" s="222">
        <v>0</v>
      </c>
      <c r="K462" s="223">
        <f t="shared" si="285"/>
      </c>
      <c r="L462" s="223">
        <f t="shared" si="170"/>
      </c>
      <c r="M462" s="224">
        <f t="shared" si="85"/>
      </c>
      <c r="N462" s="225">
        <f t="shared" si="54"/>
      </c>
      <c r="O462" s="226">
        <f t="shared" si="23"/>
      </c>
      <c r="P462" s="227">
        <f t="shared" si="958"/>
      </c>
      <c r="Q462" s="227">
        <f t="shared" si="927"/>
      </c>
      <c r="R462" s="227">
        <f t="shared" si="896"/>
      </c>
      <c r="S462" s="228">
        <f t="shared" si="865"/>
      </c>
      <c r="T462" s="229">
        <f t="shared" si="803"/>
      </c>
      <c r="U462" s="227">
        <f t="shared" si="772"/>
      </c>
      <c r="V462" s="230">
        <f t="shared" si="834"/>
      </c>
      <c r="W462" s="230">
        <f t="shared" si="741"/>
      </c>
      <c r="X462" s="227">
        <f t="shared" si="710"/>
      </c>
      <c r="Y462" s="231">
        <f t="shared" si="618"/>
      </c>
      <c r="Z462" s="231">
        <v>8</v>
      </c>
      <c r="AA462" s="231">
        <v>3</v>
      </c>
      <c r="AB462" s="232">
        <v>8244.240000000005</v>
      </c>
      <c r="AC462" s="232">
        <v>0</v>
      </c>
      <c r="AD462" s="228">
        <f t="shared" si="679"/>
      </c>
      <c r="AE462" s="233" t="s">
        <v>202</v>
      </c>
      <c r="AF462" s="234" t="s">
        <v>239</v>
      </c>
      <c r="AG462" s="237">
        <v>4</v>
      </c>
      <c r="AH462" s="236">
        <v>57901</v>
      </c>
      <c r="AI462" s="236">
        <v>1180</v>
      </c>
      <c r="AJ462" s="236">
        <v>1324</v>
      </c>
      <c r="AK462" s="237">
        <v>165</v>
      </c>
      <c r="AL462" s="237">
        <v>146</v>
      </c>
    </row>
    <row r="463">
      <c r="A463" s="216"/>
      <c r="B463" s="217" t="s">
        <v>209</v>
      </c>
      <c r="C463" s="218" t="s">
        <v>201</v>
      </c>
      <c r="D463" s="219">
        <f t="shared" si="513"/>
      </c>
      <c r="E463" s="218">
        <v>1750.53</v>
      </c>
      <c r="F463" s="221">
        <v>2863.81</v>
      </c>
      <c r="G463" s="221">
        <v>0</v>
      </c>
      <c r="H463" s="221">
        <v>0</v>
      </c>
      <c r="I463" s="221">
        <f t="shared" si="400"/>
      </c>
      <c r="J463" s="222">
        <v>2048.64</v>
      </c>
      <c r="K463" s="223">
        <f t="shared" si="285"/>
      </c>
      <c r="L463" s="223">
        <f t="shared" si="170"/>
      </c>
      <c r="M463" s="224">
        <f t="shared" si="85"/>
      </c>
      <c r="N463" s="225">
        <f t="shared" si="54"/>
      </c>
      <c r="O463" s="226">
        <f t="shared" si="23"/>
      </c>
      <c r="P463" s="227">
        <f t="shared" si="958"/>
      </c>
      <c r="Q463" s="227">
        <f t="shared" si="927"/>
      </c>
      <c r="R463" s="227">
        <f t="shared" si="896"/>
      </c>
      <c r="S463" s="228">
        <f t="shared" si="865"/>
      </c>
      <c r="T463" s="229">
        <f t="shared" si="803"/>
      </c>
      <c r="U463" s="227">
        <f t="shared" si="772"/>
      </c>
      <c r="V463" s="230">
        <f t="shared" si="834"/>
      </c>
      <c r="W463" s="230">
        <f t="shared" si="741"/>
      </c>
      <c r="X463" s="227">
        <f t="shared" si="710"/>
      </c>
      <c r="Y463" s="231">
        <f t="shared" si="618"/>
      </c>
      <c r="Z463" s="231">
        <v>5</v>
      </c>
      <c r="AA463" s="231">
        <v>5</v>
      </c>
      <c r="AB463" s="222">
        <v>10756.799999999988</v>
      </c>
      <c r="AC463" s="232">
        <v>0</v>
      </c>
      <c r="AD463" s="228">
        <f t="shared" si="679"/>
      </c>
      <c r="AE463" s="233" t="s">
        <v>202</v>
      </c>
      <c r="AF463" s="234" t="s">
        <v>239</v>
      </c>
      <c r="AG463" s="235">
        <v>2</v>
      </c>
      <c r="AH463" s="236">
        <v>51523</v>
      </c>
      <c r="AI463" s="236">
        <v>1443</v>
      </c>
      <c r="AJ463" s="236">
        <v>1629</v>
      </c>
      <c r="AK463" s="237">
        <v>145</v>
      </c>
      <c r="AL463" s="237">
        <v>154</v>
      </c>
    </row>
    <row r="464">
      <c r="A464" s="216"/>
      <c r="B464" s="217" t="s">
        <v>209</v>
      </c>
      <c r="C464" s="218" t="s">
        <v>204</v>
      </c>
      <c r="D464" s="219">
        <f t="shared" si="513"/>
      </c>
      <c r="E464" s="218">
        <v>1703.77</v>
      </c>
      <c r="F464" s="249">
        <v>3876.74</v>
      </c>
      <c r="G464" s="221">
        <v>0</v>
      </c>
      <c r="H464" s="221">
        <v>0</v>
      </c>
      <c r="I464" s="250">
        <f t="shared" si="400"/>
      </c>
      <c r="J464" s="251">
        <v>443.88</v>
      </c>
      <c r="K464" s="223">
        <f t="shared" si="285"/>
      </c>
      <c r="L464" s="223">
        <f t="shared" si="170"/>
      </c>
      <c r="M464" s="224">
        <f t="shared" si="85"/>
      </c>
      <c r="N464" s="225">
        <f t="shared" si="54"/>
      </c>
      <c r="O464" s="226">
        <f t="shared" si="23"/>
      </c>
      <c r="P464" s="227">
        <f t="shared" si="958"/>
      </c>
      <c r="Q464" s="227">
        <f t="shared" si="927"/>
      </c>
      <c r="R464" s="227">
        <f t="shared" si="896"/>
      </c>
      <c r="S464" s="228">
        <f t="shared" si="865"/>
      </c>
      <c r="T464" s="229">
        <f t="shared" si="803"/>
      </c>
      <c r="U464" s="227">
        <f t="shared" si="772"/>
      </c>
      <c r="V464" s="230">
        <f t="shared" si="834"/>
      </c>
      <c r="W464" s="230">
        <f t="shared" si="741"/>
      </c>
      <c r="X464" s="227">
        <f t="shared" si="710"/>
      </c>
      <c r="Y464" s="231">
        <f t="shared" si="618"/>
      </c>
      <c r="Z464" s="231">
        <v>3</v>
      </c>
      <c r="AA464" s="231">
        <v>7</v>
      </c>
      <c r="AB464" s="232">
        <v>13102.2</v>
      </c>
      <c r="AC464" s="232">
        <v>0</v>
      </c>
      <c r="AD464" s="228">
        <f t="shared" si="679"/>
      </c>
      <c r="AE464" s="233" t="s">
        <v>202</v>
      </c>
      <c r="AF464" s="234" t="s">
        <v>239</v>
      </c>
      <c r="AG464" s="235">
        <v>5</v>
      </c>
      <c r="AH464" s="236">
        <v>47121</v>
      </c>
      <c r="AI464" s="236">
        <v>1329</v>
      </c>
      <c r="AJ464" s="236">
        <v>1453</v>
      </c>
      <c r="AK464" s="237">
        <v>138</v>
      </c>
      <c r="AL464" s="237">
        <v>163</v>
      </c>
    </row>
    <row r="465">
      <c r="A465" s="216"/>
      <c r="B465" s="239" t="s">
        <v>208</v>
      </c>
      <c r="C465" s="240">
        <v>5</v>
      </c>
      <c r="D465" s="241">
        <f>SUM(D460:D464)</f>
      </c>
      <c r="E465" s="241">
        <f>SUM(E460:E464)</f>
      </c>
      <c r="F465" s="241">
        <f>SUM(F460:F464)</f>
      </c>
      <c r="G465" s="241">
        <f>SUM(G460:G464)</f>
      </c>
      <c r="H465" s="241">
        <f>SUM(H460:H464)</f>
      </c>
      <c r="I465" s="241">
        <f>SUM(I460:I464)</f>
      </c>
      <c r="J465" s="241">
        <f>SUM(J460:J464)</f>
      </c>
      <c r="K465" s="241">
        <f>SUM(K460:K464)</f>
      </c>
      <c r="L465" s="241">
        <f>SUM(L460:L464)</f>
      </c>
      <c r="M465" s="242">
        <f t="shared" si="85"/>
      </c>
      <c r="N465" s="243">
        <f t="shared" si="54"/>
      </c>
      <c r="O465" s="243">
        <f t="shared" si="23"/>
      </c>
      <c r="P465" s="244">
        <f t="shared" si="958"/>
      </c>
      <c r="Q465" s="244">
        <f t="shared" si="927"/>
      </c>
      <c r="R465" s="244">
        <f t="shared" si="896"/>
      </c>
      <c r="S465" s="245">
        <f t="shared" si="865"/>
      </c>
      <c r="T465" s="245">
        <f t="shared" si="803"/>
      </c>
      <c r="U465" s="244">
        <f t="shared" si="772"/>
      </c>
      <c r="V465" s="245">
        <f t="shared" si="834"/>
      </c>
      <c r="W465" s="245">
        <f t="shared" si="741"/>
      </c>
      <c r="X465" s="244">
        <f t="shared" si="710"/>
      </c>
      <c r="Y465" s="241">
        <f>SUM(Y460:Y464)</f>
      </c>
      <c r="Z465" s="241">
        <f>SUM(Z460:Z464)</f>
      </c>
      <c r="AA465" s="241">
        <f>SUM(AA460:AA464)</f>
      </c>
      <c r="AB465" s="241">
        <f>SUM(AB460:AB464)</f>
      </c>
      <c r="AC465" s="241">
        <f>SUM(AC460:AC464)</f>
      </c>
      <c r="AD465" s="246">
        <f t="shared" si="679"/>
      </c>
      <c r="AE465" s="247"/>
      <c r="AF465" s="248"/>
      <c r="AG465" s="241">
        <f>SUM(AG460:AG464)</f>
      </c>
      <c r="AH465" s="241">
        <f>SUM(AH460:AH464)</f>
      </c>
      <c r="AI465" s="241">
        <f>SUM(AI460:AI464)</f>
      </c>
      <c r="AJ465" s="241">
        <f>SUM(AJ460:AJ464)</f>
      </c>
      <c r="AK465" s="241">
        <f>SUM(AK460:AK464)</f>
      </c>
      <c r="AL465" s="241">
        <f>SUM(AL460:AL464)</f>
      </c>
    </row>
    <row r="466">
      <c r="A466" s="216"/>
      <c r="B466" s="217" t="s">
        <v>229</v>
      </c>
      <c r="C466" s="218" t="s">
        <v>205</v>
      </c>
      <c r="D466" s="219">
        <f t="shared" ref="D466:D467" si="514">E466+F466+G466+H466</f>
      </c>
      <c r="E466" s="218">
        <v>1177.5</v>
      </c>
      <c r="F466" s="249">
        <v>4122.99</v>
      </c>
      <c r="G466" s="221">
        <v>0</v>
      </c>
      <c r="H466" s="221">
        <v>0</v>
      </c>
      <c r="I466" s="250">
        <f t="shared" ref="I466:I467" si="401">AB466+AC466</f>
      </c>
      <c r="J466" s="251">
        <f>568.08+1337.04</f>
      </c>
      <c r="K466" s="223">
        <f t="shared" ref="K466:K467" si="286">I466-J466</f>
      </c>
      <c r="L466" s="223">
        <f t="shared" ref="L466:L467" si="171">(I466-AC466)/12+AC466</f>
      </c>
      <c r="M466" s="224">
        <f t="shared" si="85"/>
      </c>
      <c r="N466" s="225">
        <f t="shared" si="54"/>
      </c>
      <c r="O466" s="226">
        <f t="shared" si="23"/>
      </c>
      <c r="P466" s="227">
        <f t="shared" si="958"/>
      </c>
      <c r="Q466" s="227">
        <f t="shared" si="927"/>
      </c>
      <c r="R466" s="227">
        <f t="shared" si="896"/>
      </c>
      <c r="S466" s="228">
        <f t="shared" si="865"/>
      </c>
      <c r="T466" s="229">
        <f t="shared" si="803"/>
      </c>
      <c r="U466" s="227">
        <f t="shared" si="772"/>
      </c>
      <c r="V466" s="230">
        <f t="shared" si="834"/>
      </c>
      <c r="W466" s="230">
        <f t="shared" si="741"/>
      </c>
      <c r="X466" s="227">
        <f t="shared" si="710"/>
      </c>
      <c r="Y466" s="231">
        <f t="shared" ref="Y466:Y467" si="619">Z466+AA466</f>
      </c>
      <c r="Z466" s="231">
        <v>2</v>
      </c>
      <c r="AA466" s="231">
        <v>5</v>
      </c>
      <c r="AB466" s="232">
        <v>5865.4800000000105</v>
      </c>
      <c r="AC466" s="232">
        <v>0</v>
      </c>
      <c r="AD466" s="228">
        <f t="shared" si="679"/>
      </c>
      <c r="AE466" s="233" t="s">
        <v>202</v>
      </c>
      <c r="AF466" s="233" t="s">
        <v>203</v>
      </c>
      <c r="AG466" s="235">
        <v>6</v>
      </c>
      <c r="AH466" s="236">
        <v>43965</v>
      </c>
      <c r="AI466" s="236">
        <v>996</v>
      </c>
      <c r="AJ466" s="236">
        <v>1073</v>
      </c>
      <c r="AK466" s="237">
        <v>149</v>
      </c>
      <c r="AL466" s="237">
        <v>160</v>
      </c>
    </row>
    <row r="467">
      <c r="A467" s="216"/>
      <c r="B467" s="217" t="s">
        <v>229</v>
      </c>
      <c r="C467" s="218" t="s">
        <v>206</v>
      </c>
      <c r="D467" s="219">
        <f t="shared" si="514"/>
      </c>
      <c r="E467" s="252">
        <v>1066.51</v>
      </c>
      <c r="F467" s="268">
        <v>2469.78</v>
      </c>
      <c r="G467" s="221">
        <v>1668.52</v>
      </c>
      <c r="H467" s="221">
        <v>0</v>
      </c>
      <c r="I467" s="270">
        <f t="shared" si="401"/>
      </c>
      <c r="J467" s="251">
        <v>0</v>
      </c>
      <c r="K467" s="223">
        <f t="shared" si="286"/>
      </c>
      <c r="L467" s="223">
        <f t="shared" si="171"/>
      </c>
      <c r="M467" s="224">
        <f t="shared" si="85"/>
      </c>
      <c r="N467" s="225">
        <f t="shared" si="54"/>
      </c>
      <c r="O467" s="226">
        <f t="shared" si="23"/>
      </c>
      <c r="P467" s="227">
        <f t="shared" si="958"/>
      </c>
      <c r="Q467" s="227">
        <f t="shared" si="927"/>
      </c>
      <c r="R467" s="227">
        <f t="shared" si="896"/>
      </c>
      <c r="S467" s="228">
        <f t="shared" si="865"/>
      </c>
      <c r="T467" s="229">
        <f t="shared" si="803"/>
      </c>
      <c r="U467" s="227">
        <f t="shared" si="772"/>
      </c>
      <c r="V467" s="230">
        <f t="shared" si="834"/>
      </c>
      <c r="W467" s="230">
        <f t="shared" si="741"/>
      </c>
      <c r="X467" s="227">
        <f t="shared" si="710"/>
      </c>
      <c r="Y467" s="231">
        <f t="shared" si="619"/>
      </c>
      <c r="Z467" s="231">
        <v>1</v>
      </c>
      <c r="AA467" s="231">
        <v>3</v>
      </c>
      <c r="AB467" s="272">
        <v>1914.8399999999965</v>
      </c>
      <c r="AC467" s="232">
        <v>0</v>
      </c>
      <c r="AD467" s="228">
        <f t="shared" si="679"/>
      </c>
      <c r="AE467" s="233" t="s">
        <v>202</v>
      </c>
      <c r="AF467" s="233" t="s">
        <v>203</v>
      </c>
      <c r="AG467" s="237">
        <v>2</v>
      </c>
      <c r="AH467" s="236">
        <v>34606</v>
      </c>
      <c r="AI467" s="236">
        <v>855</v>
      </c>
      <c r="AJ467" s="236">
        <v>911</v>
      </c>
      <c r="AK467" s="237">
        <v>126</v>
      </c>
      <c r="AL467" s="237">
        <v>146</v>
      </c>
    </row>
    <row r="468">
      <c r="A468" s="216"/>
      <c r="B468" s="239" t="s">
        <v>208</v>
      </c>
      <c r="C468" s="240">
        <v>2</v>
      </c>
      <c r="D468" s="273">
        <f>SUM(D466:D467)</f>
      </c>
      <c r="E468" s="273">
        <f>SUM(E466:E467)</f>
      </c>
      <c r="F468" s="273">
        <f>SUM(F466:F467)</f>
      </c>
      <c r="G468" s="273">
        <f>SUM(G466:G467)</f>
      </c>
      <c r="H468" s="273">
        <f>SUM(H466:H467)</f>
      </c>
      <c r="I468" s="273">
        <f>SUM(I466:I467)</f>
      </c>
      <c r="J468" s="273">
        <f>SUM(J466:J467)</f>
      </c>
      <c r="K468" s="273">
        <f>SUM(K466:K467)</f>
      </c>
      <c r="L468" s="273">
        <f>SUM(L466:L467)</f>
      </c>
      <c r="M468" s="242">
        <f t="shared" si="85"/>
      </c>
      <c r="N468" s="243">
        <f t="shared" si="54"/>
      </c>
      <c r="O468" s="243">
        <f t="shared" si="23"/>
      </c>
      <c r="P468" s="244">
        <f t="shared" si="958"/>
      </c>
      <c r="Q468" s="244">
        <f t="shared" si="927"/>
      </c>
      <c r="R468" s="244">
        <f t="shared" si="896"/>
      </c>
      <c r="S468" s="245">
        <f t="shared" si="865"/>
      </c>
      <c r="T468" s="245">
        <f t="shared" si="803"/>
      </c>
      <c r="U468" s="244">
        <f t="shared" si="772"/>
      </c>
      <c r="V468" s="245">
        <f t="shared" si="834"/>
      </c>
      <c r="W468" s="245">
        <f t="shared" si="741"/>
      </c>
      <c r="X468" s="244">
        <f t="shared" si="710"/>
      </c>
      <c r="Y468" s="273">
        <f>SUM(Y466:Y467)</f>
      </c>
      <c r="Z468" s="273">
        <f>SUM(Z466:Z467)</f>
      </c>
      <c r="AA468" s="273">
        <f>SUM(AA466:AA467)</f>
      </c>
      <c r="AB468" s="273">
        <f>SUM(AB466:AB467)</f>
      </c>
      <c r="AC468" s="273">
        <f>SUM(AC466:AC467)</f>
      </c>
      <c r="AD468" s="246">
        <f t="shared" si="679"/>
      </c>
      <c r="AE468" s="247"/>
      <c r="AF468" s="248"/>
      <c r="AG468" s="273">
        <f>SUM(AG466:AG467)</f>
      </c>
      <c r="AH468" s="273">
        <f>SUM(AH466:AH467)</f>
      </c>
      <c r="AI468" s="273">
        <f>SUM(AI466:AI467)</f>
      </c>
      <c r="AJ468" s="273">
        <f>SUM(AJ466:AJ467)</f>
      </c>
      <c r="AK468" s="273">
        <f>SUM(AK466:AK467)</f>
      </c>
      <c r="AL468" s="273">
        <f>SUM(AL466:AL467)</f>
      </c>
    </row>
    <row r="469">
      <c r="A469" s="216"/>
      <c r="B469" s="217" t="s">
        <v>224</v>
      </c>
      <c r="C469" s="218" t="s">
        <v>207</v>
      </c>
      <c r="D469" s="219">
        <f t="shared" ref="D469:D471" si="515">E469+F469+G469+H469</f>
      </c>
      <c r="E469" s="218">
        <v>214</v>
      </c>
      <c r="F469" s="249">
        <v>4790.07</v>
      </c>
      <c r="G469" s="221">
        <v>1623.63</v>
      </c>
      <c r="H469" s="221">
        <v>0</v>
      </c>
      <c r="I469" s="250">
        <f t="shared" ref="I469:I471" si="402">AB469+AC469</f>
      </c>
      <c r="J469" s="251">
        <v>906.12</v>
      </c>
      <c r="K469" s="223">
        <f t="shared" ref="K469:K471" si="287">I469-J469</f>
      </c>
      <c r="L469" s="223">
        <f t="shared" ref="L469:L471" si="172">(I469-AC469)/12+AC469</f>
      </c>
      <c r="M469" s="224">
        <f t="shared" si="85"/>
      </c>
      <c r="N469" s="225">
        <f t="shared" si="54"/>
      </c>
      <c r="O469" s="226">
        <f t="shared" si="23"/>
      </c>
      <c r="P469" s="227">
        <f t="shared" si="958"/>
      </c>
      <c r="Q469" s="227">
        <f t="shared" si="927"/>
      </c>
      <c r="R469" s="227">
        <f t="shared" si="896"/>
      </c>
      <c r="S469" s="228">
        <f t="shared" si="865"/>
      </c>
      <c r="T469" s="229">
        <f t="shared" si="803"/>
      </c>
      <c r="U469" s="227">
        <f t="shared" si="772"/>
      </c>
      <c r="V469" s="230">
        <f t="shared" si="834"/>
      </c>
      <c r="W469" s="230">
        <f t="shared" si="741"/>
      </c>
      <c r="X469" s="227">
        <f t="shared" si="710"/>
      </c>
      <c r="Y469" s="231">
        <f t="shared" ref="Y469:Y471" si="620">Z469+AA469</f>
      </c>
      <c r="Z469" s="231">
        <v>5</v>
      </c>
      <c r="AA469" s="231">
        <v>6</v>
      </c>
      <c r="AB469" s="232">
        <v>7674.4800000000105</v>
      </c>
      <c r="AC469" s="232">
        <v>0</v>
      </c>
      <c r="AD469" s="228">
        <f t="shared" si="679"/>
      </c>
      <c r="AE469" s="233" t="s">
        <v>202</v>
      </c>
      <c r="AF469" s="234" t="s">
        <v>203</v>
      </c>
      <c r="AG469" s="235">
        <v>4</v>
      </c>
      <c r="AH469" s="236">
        <v>63412</v>
      </c>
      <c r="AI469" s="236">
        <v>970</v>
      </c>
      <c r="AJ469" s="236">
        <v>986</v>
      </c>
      <c r="AK469" s="237">
        <v>177</v>
      </c>
      <c r="AL469" s="237">
        <v>203</v>
      </c>
    </row>
    <row r="470">
      <c r="A470" s="216"/>
      <c r="B470" s="217" t="s">
        <v>224</v>
      </c>
      <c r="C470" s="252" t="s">
        <v>210</v>
      </c>
      <c r="D470" s="219">
        <f t="shared" si="515"/>
      </c>
      <c r="E470" s="218">
        <v>318.06</v>
      </c>
      <c r="F470" s="249">
        <v>4132.7</v>
      </c>
      <c r="G470" s="221">
        <v>1317.41</v>
      </c>
      <c r="H470" s="221">
        <v>0</v>
      </c>
      <c r="I470" s="250">
        <f t="shared" si="402"/>
      </c>
      <c r="J470" s="251">
        <f>488.16+1172.88</f>
      </c>
      <c r="K470" s="223">
        <f t="shared" si="287"/>
      </c>
      <c r="L470" s="223">
        <f t="shared" si="172"/>
      </c>
      <c r="M470" s="224">
        <f t="shared" si="85"/>
      </c>
      <c r="N470" s="225">
        <f t="shared" si="54"/>
      </c>
      <c r="O470" s="226">
        <f t="shared" si="23"/>
      </c>
      <c r="P470" s="227">
        <f t="shared" si="958"/>
      </c>
      <c r="Q470" s="227">
        <f t="shared" si="927"/>
      </c>
      <c r="R470" s="227">
        <f t="shared" si="896"/>
      </c>
      <c r="S470" s="228">
        <f t="shared" si="865"/>
      </c>
      <c r="T470" s="229">
        <f t="shared" si="803"/>
      </c>
      <c r="U470" s="227">
        <f t="shared" si="772"/>
      </c>
      <c r="V470" s="230">
        <f t="shared" si="834"/>
      </c>
      <c r="W470" s="230">
        <f t="shared" si="741"/>
      </c>
      <c r="X470" s="227">
        <f t="shared" si="710"/>
      </c>
      <c r="Y470" s="231">
        <f t="shared" si="620"/>
      </c>
      <c r="Z470" s="231">
        <v>7</v>
      </c>
      <c r="AA470" s="231">
        <v>8</v>
      </c>
      <c r="AB470" s="232">
        <v>7311.359999999986</v>
      </c>
      <c r="AC470" s="232">
        <v>1886</v>
      </c>
      <c r="AD470" s="228">
        <f t="shared" si="679"/>
      </c>
      <c r="AE470" s="233" t="s">
        <v>202</v>
      </c>
      <c r="AF470" s="234" t="s">
        <v>203</v>
      </c>
      <c r="AG470" s="235">
        <v>6</v>
      </c>
      <c r="AH470" s="236">
        <v>54713</v>
      </c>
      <c r="AI470" s="236">
        <v>942</v>
      </c>
      <c r="AJ470" s="236">
        <v>976</v>
      </c>
      <c r="AK470" s="237">
        <v>154</v>
      </c>
      <c r="AL470" s="237">
        <v>199</v>
      </c>
    </row>
    <row r="471">
      <c r="A471" s="216"/>
      <c r="B471" s="217" t="s">
        <v>224</v>
      </c>
      <c r="C471" s="252" t="s">
        <v>211</v>
      </c>
      <c r="D471" s="219">
        <f t="shared" si="515"/>
      </c>
      <c r="E471" s="218">
        <v>863.07</v>
      </c>
      <c r="F471" s="249">
        <v>3139.47</v>
      </c>
      <c r="G471" s="221">
        <v>4250.2</v>
      </c>
      <c r="H471" s="221">
        <v>0</v>
      </c>
      <c r="I471" s="250">
        <f t="shared" si="402"/>
      </c>
      <c r="J471" s="251">
        <v>0</v>
      </c>
      <c r="K471" s="223">
        <f t="shared" si="287"/>
      </c>
      <c r="L471" s="223">
        <f t="shared" si="172"/>
      </c>
      <c r="M471" s="224">
        <f t="shared" si="85"/>
      </c>
      <c r="N471" s="225">
        <f t="shared" si="54"/>
      </c>
      <c r="O471" s="226">
        <f t="shared" si="23"/>
      </c>
      <c r="P471" s="227">
        <f t="shared" si="958"/>
      </c>
      <c r="Q471" s="227">
        <f t="shared" si="927"/>
      </c>
      <c r="R471" s="227">
        <f t="shared" si="896"/>
      </c>
      <c r="S471" s="228">
        <f t="shared" si="865"/>
      </c>
      <c r="T471" s="229">
        <f t="shared" si="803"/>
      </c>
      <c r="U471" s="227">
        <f t="shared" si="772"/>
      </c>
      <c r="V471" s="230">
        <f t="shared" si="834"/>
      </c>
      <c r="W471" s="230">
        <f t="shared" si="741"/>
      </c>
      <c r="X471" s="227">
        <f t="shared" si="710"/>
      </c>
      <c r="Y471" s="231">
        <f t="shared" si="620"/>
      </c>
      <c r="Z471" s="231">
        <v>9</v>
      </c>
      <c r="AA471" s="231">
        <v>9</v>
      </c>
      <c r="AB471" s="232">
        <v>9974.880000000005</v>
      </c>
      <c r="AC471" s="232">
        <v>0</v>
      </c>
      <c r="AD471" s="228">
        <f t="shared" si="679"/>
      </c>
      <c r="AE471" s="233" t="s">
        <v>202</v>
      </c>
      <c r="AF471" s="234" t="s">
        <v>203</v>
      </c>
      <c r="AG471" s="237">
        <v>9</v>
      </c>
      <c r="AH471" s="236">
        <v>76779</v>
      </c>
      <c r="AI471" s="236">
        <v>1296</v>
      </c>
      <c r="AJ471" s="236">
        <v>1303</v>
      </c>
      <c r="AK471" s="237">
        <v>221</v>
      </c>
      <c r="AL471" s="237">
        <v>237</v>
      </c>
    </row>
    <row r="472">
      <c r="A472" s="216"/>
      <c r="B472" s="239" t="s">
        <v>208</v>
      </c>
      <c r="C472" s="240">
        <v>3</v>
      </c>
      <c r="D472" s="241">
        <f>SUM(D469:D471)</f>
      </c>
      <c r="E472" s="241">
        <f>SUM(E469:E471)</f>
      </c>
      <c r="F472" s="241">
        <f>SUM(F469:F471)</f>
      </c>
      <c r="G472" s="241">
        <f>SUM(G469:G471)</f>
      </c>
      <c r="H472" s="241">
        <f>SUM(H469:H471)</f>
      </c>
      <c r="I472" s="241">
        <f>SUM(I469:I471)</f>
      </c>
      <c r="J472" s="241">
        <f>SUM(J469:J471)</f>
      </c>
      <c r="K472" s="241">
        <f>SUM(K469:K471)</f>
      </c>
      <c r="L472" s="241">
        <f>SUM(L469:L471)</f>
      </c>
      <c r="M472" s="242">
        <f t="shared" si="85"/>
      </c>
      <c r="N472" s="243">
        <f t="shared" si="54"/>
      </c>
      <c r="O472" s="243">
        <f t="shared" si="23"/>
      </c>
      <c r="P472" s="244">
        <f t="shared" si="958"/>
      </c>
      <c r="Q472" s="244">
        <f t="shared" si="927"/>
      </c>
      <c r="R472" s="244">
        <f t="shared" si="896"/>
      </c>
      <c r="S472" s="245">
        <f t="shared" si="865"/>
      </c>
      <c r="T472" s="245">
        <f t="shared" si="803"/>
      </c>
      <c r="U472" s="244">
        <f t="shared" si="772"/>
      </c>
      <c r="V472" s="245">
        <f t="shared" si="834"/>
      </c>
      <c r="W472" s="245">
        <f t="shared" si="741"/>
      </c>
      <c r="X472" s="244">
        <f t="shared" si="710"/>
      </c>
      <c r="Y472" s="241">
        <f>SUM(Y469:Y471)</f>
      </c>
      <c r="Z472" s="241">
        <f>SUM(Z469:Z471)</f>
      </c>
      <c r="AA472" s="241">
        <f>SUM(AA469:AA471)</f>
      </c>
      <c r="AB472" s="241">
        <f>SUM(AB469:AB471)</f>
      </c>
      <c r="AC472" s="241">
        <f>SUM(AC469:AC471)</f>
      </c>
      <c r="AD472" s="246">
        <f t="shared" si="679"/>
      </c>
      <c r="AE472" s="247"/>
      <c r="AF472" s="248"/>
      <c r="AG472" s="241">
        <f>SUM(AG469:AG471)</f>
      </c>
      <c r="AH472" s="241">
        <f>SUM(AH469:AH471)</f>
      </c>
      <c r="AI472" s="241">
        <f>SUM(AI469:AI471)</f>
      </c>
      <c r="AJ472" s="241">
        <f>SUM(AJ469:AJ471)</f>
      </c>
      <c r="AK472" s="241">
        <f>SUM(AK469:AK471)</f>
      </c>
      <c r="AL472" s="241">
        <f>SUM(AL469:AL471)</f>
      </c>
    </row>
    <row r="473">
      <c r="A473" s="216"/>
      <c r="B473" s="217" t="s">
        <v>223</v>
      </c>
      <c r="C473" s="252" t="s">
        <v>212</v>
      </c>
      <c r="D473" s="219">
        <f t="shared" ref="D473:D477" si="516">E473+F473+G473+H473</f>
      </c>
      <c r="E473" s="220">
        <v>3351.91</v>
      </c>
      <c r="F473" s="221">
        <v>2988.25</v>
      </c>
      <c r="G473" s="221">
        <v>3781.37</v>
      </c>
      <c r="H473" s="221">
        <v>0</v>
      </c>
      <c r="I473" s="221">
        <f t="shared" ref="I473:I477" si="403">AB473+AC473</f>
      </c>
      <c r="J473" s="222">
        <f>2464.56+542.16</f>
      </c>
      <c r="K473" s="223">
        <f t="shared" ref="K473:K477" si="288">I473-J473</f>
      </c>
      <c r="L473" s="223">
        <f t="shared" ref="L473:L477" si="173">(I473-AC473)/12+AC473</f>
      </c>
      <c r="M473" s="224">
        <f t="shared" si="85"/>
      </c>
      <c r="N473" s="225">
        <f t="shared" si="54"/>
      </c>
      <c r="O473" s="226">
        <f t="shared" si="23"/>
      </c>
      <c r="P473" s="227">
        <f t="shared" si="958"/>
      </c>
      <c r="Q473" s="227">
        <f t="shared" si="927"/>
      </c>
      <c r="R473" s="227">
        <f t="shared" si="896"/>
      </c>
      <c r="S473" s="228">
        <f t="shared" si="865"/>
      </c>
      <c r="T473" s="229">
        <f t="shared" si="803"/>
      </c>
      <c r="U473" s="227">
        <f t="shared" si="772"/>
      </c>
      <c r="V473" s="230">
        <f t="shared" si="834"/>
      </c>
      <c r="W473" s="230">
        <f t="shared" si="741"/>
      </c>
      <c r="X473" s="227">
        <f t="shared" si="710"/>
      </c>
      <c r="Y473" s="231">
        <f t="shared" ref="Y473:Y477" si="621">Z473+AA473</f>
      </c>
      <c r="Z473" s="231">
        <v>10</v>
      </c>
      <c r="AA473" s="231">
        <v>4</v>
      </c>
      <c r="AB473" s="232">
        <v>9834.48000000001</v>
      </c>
      <c r="AC473" s="232">
        <v>0</v>
      </c>
      <c r="AD473" s="228">
        <f t="shared" si="679"/>
      </c>
      <c r="AE473" s="233" t="s">
        <v>202</v>
      </c>
      <c r="AF473" s="234" t="s">
        <v>203</v>
      </c>
      <c r="AG473" s="235">
        <v>4</v>
      </c>
      <c r="AH473" s="235">
        <v>102233</v>
      </c>
      <c r="AI473" s="236">
        <v>3025</v>
      </c>
      <c r="AJ473" s="236">
        <v>3155</v>
      </c>
      <c r="AK473" s="235">
        <v>289</v>
      </c>
      <c r="AL473" s="237">
        <v>282</v>
      </c>
    </row>
    <row r="474">
      <c r="A474" s="216"/>
      <c r="B474" s="217" t="s">
        <v>223</v>
      </c>
      <c r="C474" s="218" t="s">
        <v>213</v>
      </c>
      <c r="D474" s="219">
        <f t="shared" si="516"/>
      </c>
      <c r="E474" s="218">
        <v>1550.84</v>
      </c>
      <c r="F474" s="221">
        <v>1923.73</v>
      </c>
      <c r="G474" s="221">
        <v>2024.87</v>
      </c>
      <c r="H474" s="221">
        <v>0</v>
      </c>
      <c r="I474" s="221">
        <f t="shared" si="403"/>
      </c>
      <c r="J474" s="222">
        <v>1105.92</v>
      </c>
      <c r="K474" s="223">
        <f t="shared" si="288"/>
      </c>
      <c r="L474" s="223">
        <f t="shared" si="173"/>
      </c>
      <c r="M474" s="224">
        <f t="shared" si="85"/>
      </c>
      <c r="N474" s="225">
        <f t="shared" si="54"/>
      </c>
      <c r="O474" s="226">
        <f t="shared" si="23"/>
      </c>
      <c r="P474" s="227">
        <f t="shared" si="958"/>
      </c>
      <c r="Q474" s="227">
        <f t="shared" si="927"/>
      </c>
      <c r="R474" s="227">
        <f t="shared" si="896"/>
      </c>
      <c r="S474" s="228">
        <f t="shared" si="865"/>
      </c>
      <c r="T474" s="229">
        <f t="shared" si="803"/>
      </c>
      <c r="U474" s="227">
        <f t="shared" si="772"/>
      </c>
      <c r="V474" s="230">
        <f t="shared" si="834"/>
      </c>
      <c r="W474" s="230">
        <f t="shared" si="741"/>
      </c>
      <c r="X474" s="227">
        <f t="shared" si="710"/>
      </c>
      <c r="Y474" s="231">
        <f t="shared" si="621"/>
      </c>
      <c r="Z474" s="231">
        <v>7</v>
      </c>
      <c r="AA474" s="231">
        <v>10</v>
      </c>
      <c r="AB474" s="232">
        <v>22096.079999999987</v>
      </c>
      <c r="AC474" s="232">
        <v>0</v>
      </c>
      <c r="AD474" s="228">
        <f t="shared" si="679"/>
      </c>
      <c r="AE474" s="233" t="s">
        <v>202</v>
      </c>
      <c r="AF474" s="234" t="s">
        <v>203</v>
      </c>
      <c r="AG474" s="235">
        <v>9</v>
      </c>
      <c r="AH474" s="236">
        <v>54342</v>
      </c>
      <c r="AI474" s="236">
        <v>1626</v>
      </c>
      <c r="AJ474" s="236">
        <v>1695</v>
      </c>
      <c r="AK474" s="237">
        <v>181</v>
      </c>
      <c r="AL474" s="237">
        <v>170</v>
      </c>
    </row>
    <row r="475">
      <c r="A475" s="216"/>
      <c r="B475" s="217" t="s">
        <v>223</v>
      </c>
      <c r="C475" s="252" t="s">
        <v>214</v>
      </c>
      <c r="D475" s="219">
        <f t="shared" si="516"/>
      </c>
      <c r="E475" s="218">
        <v>1029.4</v>
      </c>
      <c r="F475" s="218">
        <v>2000</v>
      </c>
      <c r="G475" s="221">
        <v>2000</v>
      </c>
      <c r="H475" s="221">
        <v>0</v>
      </c>
      <c r="I475" s="221">
        <f t="shared" si="403"/>
      </c>
      <c r="J475" s="222">
        <v>0</v>
      </c>
      <c r="K475" s="223">
        <f t="shared" si="288"/>
      </c>
      <c r="L475" s="223">
        <f t="shared" si="173"/>
      </c>
      <c r="M475" s="224">
        <f t="shared" si="85"/>
      </c>
      <c r="N475" s="225">
        <f t="shared" si="54"/>
      </c>
      <c r="O475" s="226">
        <f t="shared" si="23"/>
      </c>
      <c r="P475" s="227">
        <f t="shared" si="958"/>
      </c>
      <c r="Q475" s="227">
        <f t="shared" si="927"/>
      </c>
      <c r="R475" s="227">
        <f t="shared" si="896"/>
      </c>
      <c r="S475" s="228">
        <f t="shared" si="865"/>
      </c>
      <c r="T475" s="229">
        <f t="shared" si="803"/>
      </c>
      <c r="U475" s="227">
        <f t="shared" si="772"/>
      </c>
      <c r="V475" s="230">
        <f t="shared" si="834"/>
      </c>
      <c r="W475" s="230">
        <f t="shared" si="741"/>
      </c>
      <c r="X475" s="227">
        <f t="shared" si="710"/>
      </c>
      <c r="Y475" s="231">
        <f t="shared" si="621"/>
      </c>
      <c r="Z475" s="231">
        <v>11</v>
      </c>
      <c r="AA475" s="231">
        <v>6</v>
      </c>
      <c r="AB475" s="232">
        <v>5077.080000000016</v>
      </c>
      <c r="AC475" s="232">
        <v>1547</v>
      </c>
      <c r="AD475" s="228">
        <f t="shared" si="679"/>
      </c>
      <c r="AE475" s="233" t="s">
        <v>202</v>
      </c>
      <c r="AF475" s="234" t="s">
        <v>203</v>
      </c>
      <c r="AG475" s="237">
        <v>5</v>
      </c>
      <c r="AH475" s="236">
        <v>49264</v>
      </c>
      <c r="AI475" s="236">
        <v>1331</v>
      </c>
      <c r="AJ475" s="236">
        <v>1421</v>
      </c>
      <c r="AK475" s="237">
        <v>166</v>
      </c>
      <c r="AL475" s="237">
        <v>156</v>
      </c>
    </row>
    <row r="476">
      <c r="A476" s="216"/>
      <c r="B476" s="217" t="s">
        <v>223</v>
      </c>
      <c r="C476" s="218" t="s">
        <v>237</v>
      </c>
      <c r="D476" s="219">
        <f t="shared" si="516"/>
      </c>
      <c r="E476" s="218">
        <v>1743.44</v>
      </c>
      <c r="F476" s="221">
        <v>5822.4</v>
      </c>
      <c r="G476" s="221">
        <v>976.99</v>
      </c>
      <c r="H476" s="221">
        <v>0</v>
      </c>
      <c r="I476" s="238">
        <f t="shared" si="403"/>
      </c>
      <c r="J476" s="222">
        <v>0</v>
      </c>
      <c r="K476" s="223">
        <f t="shared" si="288"/>
      </c>
      <c r="L476" s="223">
        <f t="shared" si="173"/>
      </c>
      <c r="M476" s="224">
        <f t="shared" si="85"/>
      </c>
      <c r="N476" s="225">
        <f t="shared" si="54"/>
      </c>
      <c r="O476" s="226">
        <f t="shared" si="23"/>
      </c>
      <c r="P476" s="227">
        <f t="shared" si="958"/>
      </c>
      <c r="Q476" s="227">
        <f t="shared" si="927"/>
      </c>
      <c r="R476" s="227">
        <f t="shared" si="896"/>
      </c>
      <c r="S476" s="228">
        <f t="shared" si="865"/>
      </c>
      <c r="T476" s="229">
        <f t="shared" si="803"/>
      </c>
      <c r="U476" s="227">
        <f t="shared" si="772"/>
      </c>
      <c r="V476" s="230">
        <f t="shared" si="834"/>
      </c>
      <c r="W476" s="230">
        <f t="shared" si="741"/>
      </c>
      <c r="X476" s="227">
        <f t="shared" si="710"/>
      </c>
      <c r="Y476" s="231">
        <f t="shared" si="621"/>
      </c>
      <c r="Z476" s="231">
        <v>6</v>
      </c>
      <c r="AA476" s="231">
        <v>3</v>
      </c>
      <c r="AB476" s="232">
        <v>6030.12</v>
      </c>
      <c r="AC476" s="232">
        <v>0</v>
      </c>
      <c r="AD476" s="228">
        <f t="shared" si="679"/>
      </c>
      <c r="AE476" s="233" t="s">
        <v>202</v>
      </c>
      <c r="AF476" s="234" t="s">
        <v>203</v>
      </c>
      <c r="AG476" s="235">
        <v>3</v>
      </c>
      <c r="AH476" s="236">
        <v>79621</v>
      </c>
      <c r="AI476" s="236">
        <v>2741</v>
      </c>
      <c r="AJ476" s="236">
        <v>2864</v>
      </c>
      <c r="AK476" s="237">
        <v>262</v>
      </c>
      <c r="AL476" s="237">
        <v>208</v>
      </c>
    </row>
    <row r="477">
      <c r="A477" s="216"/>
      <c r="B477" s="217" t="s">
        <v>223</v>
      </c>
      <c r="C477" s="218" t="s">
        <v>238</v>
      </c>
      <c r="D477" s="219">
        <f t="shared" si="516"/>
      </c>
      <c r="E477" s="220">
        <v>900.12</v>
      </c>
      <c r="F477" s="221">
        <v>3446.53</v>
      </c>
      <c r="G477" s="221">
        <v>420.69</v>
      </c>
      <c r="H477" s="221">
        <v>0</v>
      </c>
      <c r="I477" s="221">
        <f t="shared" si="403"/>
      </c>
      <c r="J477" s="222">
        <v>0</v>
      </c>
      <c r="K477" s="223">
        <f t="shared" si="288"/>
      </c>
      <c r="L477" s="223">
        <f t="shared" si="173"/>
      </c>
      <c r="M477" s="224">
        <f t="shared" si="85"/>
      </c>
      <c r="N477" s="225">
        <f t="shared" si="54"/>
      </c>
      <c r="O477" s="226">
        <f t="shared" si="23"/>
      </c>
      <c r="P477" s="227">
        <f t="shared" si="958"/>
      </c>
      <c r="Q477" s="227">
        <f t="shared" si="927"/>
      </c>
      <c r="R477" s="227">
        <f t="shared" si="896"/>
      </c>
      <c r="S477" s="228">
        <f t="shared" si="865"/>
      </c>
      <c r="T477" s="229">
        <f t="shared" si="803"/>
      </c>
      <c r="U477" s="227">
        <f t="shared" si="772"/>
      </c>
      <c r="V477" s="230">
        <f t="shared" si="834"/>
      </c>
      <c r="W477" s="230">
        <f t="shared" si="741"/>
      </c>
      <c r="X477" s="227">
        <f t="shared" si="710"/>
      </c>
      <c r="Y477" s="231">
        <f t="shared" si="621"/>
      </c>
      <c r="Z477" s="231">
        <v>13</v>
      </c>
      <c r="AA477" s="231">
        <v>15</v>
      </c>
      <c r="AB477" s="232">
        <v>21341.64</v>
      </c>
      <c r="AC477" s="232">
        <v>645</v>
      </c>
      <c r="AD477" s="228">
        <f t="shared" si="679"/>
      </c>
      <c r="AE477" s="233" t="s">
        <v>202</v>
      </c>
      <c r="AF477" s="234" t="s">
        <v>203</v>
      </c>
      <c r="AG477" s="235">
        <v>8</v>
      </c>
      <c r="AH477" s="236">
        <v>59970</v>
      </c>
      <c r="AI477" s="236">
        <v>2096</v>
      </c>
      <c r="AJ477" s="236">
        <v>2295</v>
      </c>
      <c r="AK477" s="235">
        <v>241</v>
      </c>
      <c r="AL477" s="235">
        <v>183</v>
      </c>
    </row>
    <row r="478">
      <c r="A478" s="216"/>
      <c r="B478" s="239" t="s">
        <v>208</v>
      </c>
      <c r="C478" s="240">
        <v>5</v>
      </c>
      <c r="D478" s="241">
        <f>SUM(D473:D477)</f>
      </c>
      <c r="E478" s="241">
        <f>SUM(E473:E477)</f>
      </c>
      <c r="F478" s="241">
        <f>SUM(F473:F477)</f>
      </c>
      <c r="G478" s="241">
        <f>SUM(G473:G477)</f>
      </c>
      <c r="H478" s="241">
        <f>SUM(H473:H477)</f>
      </c>
      <c r="I478" s="241">
        <f>SUM(I473:I477)</f>
      </c>
      <c r="J478" s="241">
        <f>SUM(J473:J477)</f>
      </c>
      <c r="K478" s="241">
        <f>SUM(K473:K477)</f>
      </c>
      <c r="L478" s="241">
        <f>SUM(L473:L477)</f>
      </c>
      <c r="M478" s="242">
        <f t="shared" si="85"/>
      </c>
      <c r="N478" s="243">
        <f t="shared" si="54"/>
      </c>
      <c r="O478" s="243">
        <f t="shared" si="23"/>
      </c>
      <c r="P478" s="244">
        <f t="shared" si="958"/>
      </c>
      <c r="Q478" s="244">
        <f t="shared" si="927"/>
      </c>
      <c r="R478" s="244">
        <f t="shared" si="896"/>
      </c>
      <c r="S478" s="245">
        <f t="shared" si="865"/>
      </c>
      <c r="T478" s="245">
        <f t="shared" si="803"/>
      </c>
      <c r="U478" s="244">
        <f t="shared" si="772"/>
      </c>
      <c r="V478" s="245">
        <f t="shared" si="834"/>
      </c>
      <c r="W478" s="245">
        <f t="shared" si="741"/>
      </c>
      <c r="X478" s="244">
        <f t="shared" si="710"/>
      </c>
      <c r="Y478" s="241">
        <f>SUM(Y473:Y477)</f>
      </c>
      <c r="Z478" s="241">
        <f>SUM(Z473:Z477)</f>
      </c>
      <c r="AA478" s="241">
        <f>SUM(AA473:AA477)</f>
      </c>
      <c r="AB478" s="241">
        <f>SUM(AB473:AB477)</f>
      </c>
      <c r="AC478" s="241">
        <f>SUM(AC473:AC477)</f>
      </c>
      <c r="AD478" s="246">
        <f t="shared" si="679"/>
      </c>
      <c r="AE478" s="247"/>
      <c r="AF478" s="248"/>
      <c r="AG478" s="241">
        <f>SUM(AG473:AG477)</f>
      </c>
      <c r="AH478" s="241">
        <f>SUM(AH473:AH477)</f>
      </c>
      <c r="AI478" s="241">
        <f>SUM(AI473:AI477)</f>
      </c>
      <c r="AJ478" s="241">
        <f>SUM(AJ473:AJ477)</f>
      </c>
      <c r="AK478" s="241">
        <f>SUM(AK473:AK477)</f>
      </c>
      <c r="AL478" s="241">
        <f>SUM(AL473:AL477)</f>
      </c>
    </row>
    <row r="479">
      <c r="A479" s="216"/>
      <c r="B479" s="253" t="s">
        <v>208</v>
      </c>
      <c r="C479" s="254">
        <f>C459+C465+C468+C472+C478</f>
      </c>
      <c r="D479" s="254">
        <f>D459+D465+D468+D472+D478</f>
      </c>
      <c r="E479" s="254">
        <f>E459+E465+E468+E472+E478</f>
      </c>
      <c r="F479" s="254">
        <f>F459+F465+F468+F472+F478</f>
      </c>
      <c r="G479" s="254">
        <f>G459+G465+G468+G472+G478</f>
      </c>
      <c r="H479" s="254">
        <f>H459+H465+H468+H472+H478</f>
      </c>
      <c r="I479" s="254">
        <f>I459+I465+I468+I472+I478</f>
      </c>
      <c r="J479" s="254">
        <f>J459+J465+J468+J472+J478</f>
      </c>
      <c r="K479" s="254">
        <f>K459+K465+K468+K472+K478</f>
      </c>
      <c r="L479" s="254">
        <f>L459+L465+L468+L472+L478</f>
      </c>
      <c r="M479" s="256">
        <f t="shared" si="85"/>
      </c>
      <c r="N479" s="256">
        <f t="shared" si="54"/>
      </c>
      <c r="O479" s="256">
        <f t="shared" si="23"/>
      </c>
      <c r="P479" s="256">
        <f t="shared" si="958"/>
      </c>
      <c r="Q479" s="256">
        <f t="shared" si="927"/>
      </c>
      <c r="R479" s="256">
        <f t="shared" si="896"/>
      </c>
      <c r="S479" s="257">
        <f t="shared" si="865"/>
      </c>
      <c r="T479" s="257">
        <f t="shared" si="803"/>
      </c>
      <c r="U479" s="256">
        <f t="shared" si="772"/>
      </c>
      <c r="V479" s="257">
        <f t="shared" si="834"/>
      </c>
      <c r="W479" s="257">
        <f t="shared" si="741"/>
      </c>
      <c r="X479" s="256">
        <f t="shared" si="710"/>
      </c>
      <c r="Y479" s="254">
        <f>Y459+Y465+Y468+Y472+Y478</f>
      </c>
      <c r="Z479" s="254">
        <f>Z459+Z465+Z468+Z472+Z478</f>
      </c>
      <c r="AA479" s="254">
        <f>AA459+AA465+AA468+AA472+AA478</f>
      </c>
      <c r="AB479" s="254">
        <f>AB459+AB465+AB468+AB472+AB478</f>
      </c>
      <c r="AC479" s="254">
        <f>AC459+AC465+AC468+AC472+AC478</f>
      </c>
      <c r="AD479" s="258">
        <f t="shared" si="679"/>
      </c>
      <c r="AE479" s="253"/>
      <c r="AF479" s="253"/>
      <c r="AG479" s="254">
        <f>AG459+AG465+AG468+AG472+AG478</f>
      </c>
      <c r="AH479" s="254">
        <f>AH459+AH465+AH468+AH472+AH478</f>
      </c>
      <c r="AI479" s="254">
        <f>AI459+AI465+AI468+AI472+AI478</f>
      </c>
      <c r="AJ479" s="254">
        <f>AJ459+AJ465+AJ468+AJ472+AJ478</f>
      </c>
      <c r="AK479" s="254">
        <f>AK459+AK465+AK468+AK472+AK478</f>
      </c>
      <c r="AL479" s="254">
        <f>AL459+AL465+AL468+AL472+AL478</f>
      </c>
    </row>
    <row r="480">
      <c r="A480" s="202" t="s">
        <v>162</v>
      </c>
      <c r="B480" s="203" t="s">
        <v>163</v>
      </c>
      <c r="C480" s="203" t="s">
        <v>164</v>
      </c>
      <c r="D480" s="204" t="s">
        <v>165</v>
      </c>
      <c r="E480" s="203" t="s">
        <v>166</v>
      </c>
      <c r="F480" s="203" t="s">
        <v>167</v>
      </c>
      <c r="G480" s="205" t="s">
        <v>168</v>
      </c>
      <c r="H480" s="205" t="s">
        <v>169</v>
      </c>
      <c r="I480" s="204" t="s">
        <v>170</v>
      </c>
      <c r="J480" s="206" t="s">
        <v>171</v>
      </c>
      <c r="K480" s="207" t="s">
        <v>172</v>
      </c>
      <c r="L480" s="207" t="s">
        <v>173</v>
      </c>
      <c r="M480" s="208" t="s">
        <v>174</v>
      </c>
      <c r="N480" s="207" t="s">
        <v>175</v>
      </c>
      <c r="O480" s="203" t="s">
        <v>176</v>
      </c>
      <c r="P480" s="208" t="s">
        <v>177</v>
      </c>
      <c r="Q480" s="209" t="s">
        <v>178</v>
      </c>
      <c r="R480" s="209" t="s">
        <v>179</v>
      </c>
      <c r="S480" s="204" t="s">
        <v>180</v>
      </c>
      <c r="T480" s="210" t="s">
        <v>181</v>
      </c>
      <c r="U480" s="208" t="s">
        <v>182</v>
      </c>
      <c r="V480" s="211" t="s">
        <v>183</v>
      </c>
      <c r="W480" s="212" t="s">
        <v>184</v>
      </c>
      <c r="X480" s="208" t="s">
        <v>185</v>
      </c>
      <c r="Y480" s="213" t="s">
        <v>186</v>
      </c>
      <c r="Z480" s="214" t="s">
        <v>187</v>
      </c>
      <c r="AA480" s="213" t="s">
        <v>188</v>
      </c>
      <c r="AB480" s="215" t="s">
        <v>189</v>
      </c>
      <c r="AC480" s="215" t="s">
        <v>190</v>
      </c>
      <c r="AD480" s="207" t="s">
        <v>191</v>
      </c>
      <c r="AE480" s="206" t="s">
        <v>192</v>
      </c>
      <c r="AF480" s="207" t="s">
        <v>193</v>
      </c>
      <c r="AG480" s="206" t="s">
        <v>194</v>
      </c>
      <c r="AH480" s="206" t="s">
        <v>195</v>
      </c>
      <c r="AI480" s="207" t="s">
        <v>196</v>
      </c>
      <c r="AJ480" s="206" t="s">
        <v>197</v>
      </c>
      <c r="AK480" s="207" t="s">
        <v>198</v>
      </c>
      <c r="AL480" s="206" t="s">
        <v>199</v>
      </c>
    </row>
    <row r="481">
      <c r="A481" s="216">
        <v>46259</v>
      </c>
      <c r="B481" s="217" t="s">
        <v>200</v>
      </c>
      <c r="C481" s="218" t="s">
        <v>234</v>
      </c>
      <c r="D481" s="219">
        <f t="shared" ref="D481:D485" si="517">E481+F481+G481+H481</f>
      </c>
      <c r="E481" s="220">
        <v>2466.99</v>
      </c>
      <c r="F481" s="221">
        <v>5105.38</v>
      </c>
      <c r="G481" s="221">
        <v>1143.77</v>
      </c>
      <c r="H481" s="221">
        <v>0</v>
      </c>
      <c r="I481" s="221">
        <f t="shared" ref="I481:I485" si="404">AB481+AC481</f>
      </c>
      <c r="J481" s="222">
        <v>6335.28</v>
      </c>
      <c r="K481" s="223">
        <f t="shared" ref="K481:K485" si="289">I481-J481</f>
      </c>
      <c r="L481" s="223">
        <f t="shared" ref="L481:L485" si="174">(I481-AC481)/12+AC481</f>
      </c>
      <c r="M481" s="224">
        <f t="shared" ref="M481:M506" si="86">I481/D481</f>
      </c>
      <c r="N481" s="225">
        <f t="shared" ref="N481:N506" si="55">(I481-J481)/D481</f>
      </c>
      <c r="O481" s="226">
        <f t="shared" ref="O481:O506" si="24">(AC481+AB481/12)/D481</f>
      </c>
      <c r="P481" s="227">
        <f t="shared" ref="P481:P506" si="959">I481/AA481</f>
      </c>
      <c r="Q481" s="227">
        <f t="shared" ref="Q481:Q506" si="928">D481/AA481</f>
      </c>
      <c r="R481" s="227">
        <f t="shared" ref="R481:R506" si="897">D481/AG481</f>
      </c>
      <c r="S481" s="228">
        <f t="shared" ref="S481:S506" si="866">AA481/Y481</f>
      </c>
      <c r="T481" s="229">
        <f t="shared" ref="T481:T506" si="804">AI481/AH481</f>
      </c>
      <c r="U481" s="227">
        <f t="shared" ref="U481:U506" si="773">D481/AJ481</f>
      </c>
      <c r="V481" s="230">
        <f t="shared" ref="V481:V506" si="835">AK481/AJ481</f>
      </c>
      <c r="W481" s="230">
        <f t="shared" ref="W481:W506" si="742">AL481/AJ481</f>
      </c>
      <c r="X481" s="227">
        <f t="shared" ref="X481:X506" si="711">D481/AL481</f>
      </c>
      <c r="Y481" s="231">
        <f t="shared" ref="Y481:Y485" si="622">Z481+AA481</f>
      </c>
      <c r="Z481" s="231">
        <v>7</v>
      </c>
      <c r="AA481" s="231">
        <v>6</v>
      </c>
      <c r="AB481" s="232">
        <v>19226.16</v>
      </c>
      <c r="AC481" s="232">
        <v>0</v>
      </c>
      <c r="AD481" s="228">
        <f t="shared" ref="AD481:AD506" si="680">AC481/I481</f>
      </c>
      <c r="AE481" s="233" t="s">
        <v>202</v>
      </c>
      <c r="AF481" s="234" t="s">
        <v>217</v>
      </c>
      <c r="AG481" s="235">
        <v>5</v>
      </c>
      <c r="AH481" s="235">
        <v>96180</v>
      </c>
      <c r="AI481" s="236">
        <v>3888</v>
      </c>
      <c r="AJ481" s="236">
        <v>4210</v>
      </c>
      <c r="AK481" s="235">
        <v>308</v>
      </c>
      <c r="AL481" s="237">
        <v>267</v>
      </c>
    </row>
    <row r="482">
      <c r="A482" s="216"/>
      <c r="B482" s="217" t="s">
        <v>200</v>
      </c>
      <c r="C482" s="218" t="s">
        <v>235</v>
      </c>
      <c r="D482" s="219">
        <f t="shared" si="517"/>
      </c>
      <c r="E482" s="218">
        <v>1921.82</v>
      </c>
      <c r="F482" s="221">
        <v>8805.96</v>
      </c>
      <c r="G482" s="221">
        <v>1661.8</v>
      </c>
      <c r="H482" s="221">
        <v>0</v>
      </c>
      <c r="I482" s="221">
        <f t="shared" si="404"/>
      </c>
      <c r="J482" s="222">
        <v>2301.48</v>
      </c>
      <c r="K482" s="223">
        <f t="shared" si="289"/>
      </c>
      <c r="L482" s="223">
        <f t="shared" si="174"/>
      </c>
      <c r="M482" s="224">
        <f t="shared" si="86"/>
      </c>
      <c r="N482" s="225">
        <f t="shared" si="55"/>
      </c>
      <c r="O482" s="226">
        <f t="shared" si="24"/>
      </c>
      <c r="P482" s="227">
        <f t="shared" si="959"/>
      </c>
      <c r="Q482" s="227">
        <f t="shared" si="928"/>
      </c>
      <c r="R482" s="227">
        <f t="shared" si="897"/>
      </c>
      <c r="S482" s="228">
        <f t="shared" si="866"/>
      </c>
      <c r="T482" s="229">
        <f t="shared" si="804"/>
      </c>
      <c r="U482" s="227">
        <f t="shared" si="773"/>
      </c>
      <c r="V482" s="230">
        <f t="shared" si="835"/>
      </c>
      <c r="W482" s="230">
        <f t="shared" si="742"/>
      </c>
      <c r="X482" s="227">
        <f t="shared" si="711"/>
      </c>
      <c r="Y482" s="231">
        <f t="shared" si="622"/>
      </c>
      <c r="Z482" s="231">
        <v>13</v>
      </c>
      <c r="AA482" s="231">
        <v>10</v>
      </c>
      <c r="AB482" s="232">
        <v>16710.600000000002</v>
      </c>
      <c r="AC482" s="232">
        <v>1927</v>
      </c>
      <c r="AD482" s="228">
        <f t="shared" si="680"/>
      </c>
      <c r="AE482" s="233" t="s">
        <v>202</v>
      </c>
      <c r="AF482" s="234" t="s">
        <v>217</v>
      </c>
      <c r="AG482" s="235">
        <v>8</v>
      </c>
      <c r="AH482" s="236">
        <v>126660</v>
      </c>
      <c r="AI482" s="236">
        <v>2744</v>
      </c>
      <c r="AJ482" s="236">
        <v>3001</v>
      </c>
      <c r="AK482" s="237">
        <v>386</v>
      </c>
      <c r="AL482" s="237">
        <v>380</v>
      </c>
    </row>
    <row r="483">
      <c r="A483" s="216"/>
      <c r="B483" s="217" t="s">
        <v>200</v>
      </c>
      <c r="C483" s="218" t="s">
        <v>236</v>
      </c>
      <c r="D483" s="219">
        <f t="shared" si="517"/>
      </c>
      <c r="E483" s="218">
        <v>1216.08</v>
      </c>
      <c r="F483" s="218">
        <v>10380.34</v>
      </c>
      <c r="G483" s="218">
        <v>3512.19</v>
      </c>
      <c r="H483" s="221">
        <v>0</v>
      </c>
      <c r="I483" s="221">
        <f t="shared" si="404"/>
      </c>
      <c r="J483" s="222">
        <v>3732.12</v>
      </c>
      <c r="K483" s="223">
        <f t="shared" si="289"/>
      </c>
      <c r="L483" s="223">
        <f t="shared" si="174"/>
      </c>
      <c r="M483" s="224">
        <f t="shared" si="86"/>
      </c>
      <c r="N483" s="225">
        <f t="shared" si="55"/>
      </c>
      <c r="O483" s="226">
        <f t="shared" si="24"/>
      </c>
      <c r="P483" s="227">
        <f t="shared" si="959"/>
      </c>
      <c r="Q483" s="227">
        <f t="shared" si="928"/>
      </c>
      <c r="R483" s="227">
        <f t="shared" si="897"/>
      </c>
      <c r="S483" s="228">
        <f t="shared" si="866"/>
      </c>
      <c r="T483" s="229">
        <f t="shared" si="804"/>
      </c>
      <c r="U483" s="227">
        <f t="shared" si="773"/>
      </c>
      <c r="V483" s="230">
        <f t="shared" si="835"/>
      </c>
      <c r="W483" s="230">
        <f t="shared" si="742"/>
      </c>
      <c r="X483" s="227">
        <f t="shared" si="711"/>
      </c>
      <c r="Y483" s="231">
        <f t="shared" si="622"/>
      </c>
      <c r="Z483" s="231">
        <v>9</v>
      </c>
      <c r="AA483" s="231">
        <v>7</v>
      </c>
      <c r="AB483" s="232">
        <v>11817.48</v>
      </c>
      <c r="AC483" s="232">
        <v>0</v>
      </c>
      <c r="AD483" s="228">
        <f t="shared" si="680"/>
      </c>
      <c r="AE483" s="233" t="s">
        <v>202</v>
      </c>
      <c r="AF483" s="234" t="s">
        <v>217</v>
      </c>
      <c r="AG483" s="237">
        <v>6</v>
      </c>
      <c r="AH483" s="236">
        <v>123877</v>
      </c>
      <c r="AI483" s="236">
        <v>1964</v>
      </c>
      <c r="AJ483" s="236">
        <v>1986</v>
      </c>
      <c r="AK483" s="237">
        <v>381</v>
      </c>
      <c r="AL483" s="237">
        <v>420</v>
      </c>
    </row>
    <row r="484">
      <c r="A484" s="216"/>
      <c r="B484" s="217" t="s">
        <v>200</v>
      </c>
      <c r="C484" s="218" t="s">
        <v>216</v>
      </c>
      <c r="D484" s="219">
        <f t="shared" si="517"/>
      </c>
      <c r="E484" s="218">
        <v>1507.29</v>
      </c>
      <c r="F484" s="221">
        <v>4100.51</v>
      </c>
      <c r="G484" s="221">
        <v>2367.13</v>
      </c>
      <c r="H484" s="221">
        <v>0</v>
      </c>
      <c r="I484" s="238">
        <f t="shared" si="404"/>
      </c>
      <c r="J484" s="222">
        <v>0</v>
      </c>
      <c r="K484" s="223">
        <f t="shared" si="289"/>
      </c>
      <c r="L484" s="223">
        <f t="shared" si="174"/>
      </c>
      <c r="M484" s="224">
        <f t="shared" si="86"/>
      </c>
      <c r="N484" s="225">
        <f t="shared" si="55"/>
      </c>
      <c r="O484" s="226">
        <f t="shared" si="24"/>
      </c>
      <c r="P484" s="227">
        <f t="shared" si="959"/>
      </c>
      <c r="Q484" s="227">
        <f t="shared" si="928"/>
      </c>
      <c r="R484" s="227">
        <f t="shared" si="897"/>
      </c>
      <c r="S484" s="228">
        <f t="shared" si="866"/>
      </c>
      <c r="T484" s="229">
        <f t="shared" si="804"/>
      </c>
      <c r="U484" s="227">
        <f t="shared" si="773"/>
      </c>
      <c r="V484" s="230">
        <f t="shared" si="835"/>
      </c>
      <c r="W484" s="230">
        <f t="shared" si="742"/>
      </c>
      <c r="X484" s="227">
        <f t="shared" si="711"/>
      </c>
      <c r="Y484" s="231">
        <f t="shared" si="622"/>
      </c>
      <c r="Z484" s="231">
        <v>5</v>
      </c>
      <c r="AA484" s="231">
        <v>7</v>
      </c>
      <c r="AB484" s="232">
        <v>10244.880000000001</v>
      </c>
      <c r="AC484" s="232">
        <v>2778.95</v>
      </c>
      <c r="AD484" s="228">
        <f t="shared" si="680"/>
      </c>
      <c r="AE484" s="233" t="s">
        <v>202</v>
      </c>
      <c r="AF484" s="234" t="s">
        <v>217</v>
      </c>
      <c r="AG484" s="235">
        <v>4</v>
      </c>
      <c r="AH484" s="236">
        <v>64407</v>
      </c>
      <c r="AI484" s="236">
        <v>1271</v>
      </c>
      <c r="AJ484" s="236">
        <v>1459</v>
      </c>
      <c r="AK484" s="237">
        <v>181</v>
      </c>
      <c r="AL484" s="237">
        <v>201</v>
      </c>
    </row>
    <row r="485">
      <c r="A485" s="216"/>
      <c r="B485" s="217" t="s">
        <v>200</v>
      </c>
      <c r="C485" s="218" t="s">
        <v>218</v>
      </c>
      <c r="D485" s="219">
        <f t="shared" si="517"/>
      </c>
      <c r="E485" s="220">
        <v>1211.11</v>
      </c>
      <c r="F485" s="221">
        <v>3449.88</v>
      </c>
      <c r="G485" s="221">
        <v>570.54</v>
      </c>
      <c r="H485" s="221">
        <v>0</v>
      </c>
      <c r="I485" s="221">
        <f t="shared" si="404"/>
      </c>
      <c r="J485" s="222">
        <v>7258.68</v>
      </c>
      <c r="K485" s="223">
        <f t="shared" si="289"/>
      </c>
      <c r="L485" s="223">
        <f t="shared" si="174"/>
      </c>
      <c r="M485" s="224">
        <f t="shared" si="86"/>
      </c>
      <c r="N485" s="225">
        <f t="shared" si="55"/>
      </c>
      <c r="O485" s="226">
        <f t="shared" si="24"/>
      </c>
      <c r="P485" s="227">
        <f t="shared" si="959"/>
      </c>
      <c r="Q485" s="227">
        <f t="shared" si="928"/>
      </c>
      <c r="R485" s="227">
        <f t="shared" si="897"/>
      </c>
      <c r="S485" s="228">
        <f t="shared" si="866"/>
      </c>
      <c r="T485" s="229">
        <f t="shared" si="804"/>
      </c>
      <c r="U485" s="227">
        <f t="shared" si="773"/>
      </c>
      <c r="V485" s="230">
        <f t="shared" si="835"/>
      </c>
      <c r="W485" s="230">
        <f t="shared" si="742"/>
      </c>
      <c r="X485" s="227">
        <f t="shared" si="711"/>
      </c>
      <c r="Y485" s="231">
        <f t="shared" si="622"/>
      </c>
      <c r="Z485" s="231">
        <v>3</v>
      </c>
      <c r="AA485" s="231">
        <v>9</v>
      </c>
      <c r="AB485" s="232">
        <v>10321.56</v>
      </c>
      <c r="AC485" s="232">
        <v>0</v>
      </c>
      <c r="AD485" s="228">
        <f t="shared" si="680"/>
      </c>
      <c r="AE485" s="233" t="s">
        <v>202</v>
      </c>
      <c r="AF485" s="234" t="s">
        <v>217</v>
      </c>
      <c r="AG485" s="235">
        <v>6</v>
      </c>
      <c r="AH485" s="236">
        <v>48121</v>
      </c>
      <c r="AI485" s="236">
        <v>1023</v>
      </c>
      <c r="AJ485" s="236">
        <v>1159</v>
      </c>
      <c r="AK485" s="235">
        <v>186</v>
      </c>
      <c r="AL485" s="235">
        <v>180</v>
      </c>
    </row>
    <row r="486">
      <c r="A486" s="216"/>
      <c r="B486" s="239" t="s">
        <v>208</v>
      </c>
      <c r="C486" s="240">
        <v>5</v>
      </c>
      <c r="D486" s="241">
        <f>SUM(D481:D485)</f>
      </c>
      <c r="E486" s="241">
        <f>SUM(E481:E485)</f>
      </c>
      <c r="F486" s="241">
        <f>SUM(F481:F485)</f>
      </c>
      <c r="G486" s="241">
        <f>SUM(G481:G485)</f>
      </c>
      <c r="H486" s="241">
        <f>SUM(H481:H485)</f>
      </c>
      <c r="I486" s="241">
        <f>SUM(I481:I485)</f>
      </c>
      <c r="J486" s="241">
        <f>SUM(J481:J485)</f>
      </c>
      <c r="K486" s="241">
        <f>SUM(K481:K485)</f>
      </c>
      <c r="L486" s="241">
        <f>SUM(L481:L485)</f>
      </c>
      <c r="M486" s="242">
        <f t="shared" si="86"/>
      </c>
      <c r="N486" s="243">
        <f t="shared" si="55"/>
      </c>
      <c r="O486" s="243">
        <f t="shared" si="24"/>
      </c>
      <c r="P486" s="244">
        <f t="shared" si="959"/>
      </c>
      <c r="Q486" s="244">
        <f t="shared" si="928"/>
      </c>
      <c r="R486" s="244">
        <f t="shared" si="897"/>
      </c>
      <c r="S486" s="245">
        <f t="shared" si="866"/>
      </c>
      <c r="T486" s="245">
        <f t="shared" si="804"/>
      </c>
      <c r="U486" s="244">
        <f t="shared" si="773"/>
      </c>
      <c r="V486" s="245">
        <f t="shared" si="835"/>
      </c>
      <c r="W486" s="245">
        <f t="shared" si="742"/>
      </c>
      <c r="X486" s="244">
        <f t="shared" si="711"/>
      </c>
      <c r="Y486" s="241">
        <f>SUM(Y481:Y485)</f>
      </c>
      <c r="Z486" s="241">
        <f>SUM(Z481:Z485)</f>
      </c>
      <c r="AA486" s="241">
        <f>SUM(AA481:AA485)</f>
      </c>
      <c r="AB486" s="241">
        <f>SUM(AB481:AB485)</f>
      </c>
      <c r="AC486" s="241">
        <f>SUM(AC481:AC485)</f>
      </c>
      <c r="AD486" s="246">
        <f t="shared" si="680"/>
      </c>
      <c r="AE486" s="247"/>
      <c r="AF486" s="248"/>
      <c r="AG486" s="241">
        <f>SUM(AG481:AG485)</f>
      </c>
      <c r="AH486" s="241">
        <f>SUM(AH481:AH485)</f>
      </c>
      <c r="AI486" s="241">
        <f>SUM(AI481:AI485)</f>
      </c>
      <c r="AJ486" s="241">
        <f>SUM(AJ481:AJ485)</f>
      </c>
      <c r="AK486" s="241">
        <f>SUM(AK481:AK485)</f>
      </c>
      <c r="AL486" s="241">
        <f>SUM(AL481:AL485)</f>
      </c>
    </row>
    <row r="487">
      <c r="A487" s="216"/>
      <c r="B487" s="217" t="s">
        <v>209</v>
      </c>
      <c r="C487" s="218" t="s">
        <v>219</v>
      </c>
      <c r="D487" s="219">
        <f t="shared" ref="D487:D491" si="518">E487+F487+G487+H487</f>
      </c>
      <c r="E487" s="220">
        <v>1332.09</v>
      </c>
      <c r="F487" s="221">
        <v>2455.07</v>
      </c>
      <c r="G487" s="221">
        <v>1285.65</v>
      </c>
      <c r="H487" s="221">
        <v>0</v>
      </c>
      <c r="I487" s="221">
        <f t="shared" ref="I487:I491" si="405">AB487+AC487</f>
      </c>
      <c r="J487" s="222">
        <v>0</v>
      </c>
      <c r="K487" s="223">
        <f t="shared" ref="K487:K491" si="290">I487-J487</f>
      </c>
      <c r="L487" s="223">
        <f t="shared" ref="L487:L491" si="175">(I487-AC487)/12+AC487</f>
      </c>
      <c r="M487" s="224">
        <f t="shared" si="86"/>
      </c>
      <c r="N487" s="225">
        <f t="shared" si="55"/>
      </c>
      <c r="O487" s="226">
        <f t="shared" si="24"/>
      </c>
      <c r="P487" s="227">
        <f t="shared" si="959"/>
      </c>
      <c r="Q487" s="227">
        <f t="shared" si="928"/>
      </c>
      <c r="R487" s="227">
        <f t="shared" si="897"/>
      </c>
      <c r="S487" s="228">
        <f t="shared" si="866"/>
      </c>
      <c r="T487" s="229">
        <f t="shared" si="804"/>
      </c>
      <c r="U487" s="227">
        <f t="shared" si="773"/>
      </c>
      <c r="V487" s="230">
        <f t="shared" si="835"/>
      </c>
      <c r="W487" s="230">
        <f t="shared" si="742"/>
      </c>
      <c r="X487" s="227">
        <f t="shared" si="711"/>
      </c>
      <c r="Y487" s="231">
        <f t="shared" ref="Y487:Y491" si="623">Z487+AA487</f>
      </c>
      <c r="Z487" s="231">
        <v>3</v>
      </c>
      <c r="AA487" s="231">
        <v>4</v>
      </c>
      <c r="AB487" s="232">
        <v>2159.9999999999964</v>
      </c>
      <c r="AC487" s="232">
        <v>1608</v>
      </c>
      <c r="AD487" s="228">
        <f t="shared" si="680"/>
      </c>
      <c r="AE487" s="233" t="s">
        <v>202</v>
      </c>
      <c r="AF487" s="234" t="s">
        <v>217</v>
      </c>
      <c r="AG487" s="235">
        <v>4</v>
      </c>
      <c r="AH487" s="236">
        <v>36083</v>
      </c>
      <c r="AI487" s="236">
        <v>834</v>
      </c>
      <c r="AJ487" s="236">
        <v>952</v>
      </c>
      <c r="AK487" s="235">
        <v>109</v>
      </c>
      <c r="AL487" s="235">
        <v>146</v>
      </c>
    </row>
    <row r="488">
      <c r="A488" s="216"/>
      <c r="B488" s="217" t="s">
        <v>209</v>
      </c>
      <c r="C488" s="218" t="s">
        <v>220</v>
      </c>
      <c r="D488" s="219">
        <f t="shared" si="518"/>
      </c>
      <c r="E488" s="218">
        <v>523.9</v>
      </c>
      <c r="F488" s="221">
        <v>4153.78</v>
      </c>
      <c r="G488" s="221">
        <v>996.51</v>
      </c>
      <c r="H488" s="221">
        <v>0</v>
      </c>
      <c r="I488" s="221">
        <f t="shared" si="405"/>
      </c>
      <c r="J488" s="222">
        <v>2756.16</v>
      </c>
      <c r="K488" s="223">
        <f t="shared" si="290"/>
      </c>
      <c r="L488" s="223">
        <f t="shared" si="175"/>
      </c>
      <c r="M488" s="224">
        <f t="shared" si="86"/>
      </c>
      <c r="N488" s="225">
        <f t="shared" si="55"/>
      </c>
      <c r="O488" s="226">
        <f t="shared" si="24"/>
      </c>
      <c r="P488" s="227">
        <f t="shared" si="959"/>
      </c>
      <c r="Q488" s="227">
        <f t="shared" si="928"/>
      </c>
      <c r="R488" s="227">
        <f t="shared" si="897"/>
      </c>
      <c r="S488" s="228">
        <f t="shared" si="866"/>
      </c>
      <c r="T488" s="229">
        <f t="shared" si="804"/>
      </c>
      <c r="U488" s="227">
        <f t="shared" si="773"/>
      </c>
      <c r="V488" s="230">
        <f t="shared" si="835"/>
      </c>
      <c r="W488" s="230">
        <f t="shared" si="742"/>
      </c>
      <c r="X488" s="227">
        <f t="shared" si="711"/>
      </c>
      <c r="Y488" s="231">
        <f t="shared" si="623"/>
      </c>
      <c r="Z488" s="231">
        <v>1</v>
      </c>
      <c r="AA488" s="231">
        <v>5</v>
      </c>
      <c r="AB488" s="232">
        <v>6100.919999999995</v>
      </c>
      <c r="AC488" s="232">
        <v>0</v>
      </c>
      <c r="AD488" s="228">
        <f t="shared" si="680"/>
      </c>
      <c r="AE488" s="233" t="s">
        <v>202</v>
      </c>
      <c r="AF488" s="234" t="s">
        <v>217</v>
      </c>
      <c r="AG488" s="235">
        <v>5</v>
      </c>
      <c r="AH488" s="236">
        <v>57863</v>
      </c>
      <c r="AI488" s="236">
        <v>985</v>
      </c>
      <c r="AJ488" s="236">
        <v>997</v>
      </c>
      <c r="AK488" s="237">
        <v>146</v>
      </c>
      <c r="AL488" s="237">
        <v>194</v>
      </c>
    </row>
    <row r="489">
      <c r="A489" s="216"/>
      <c r="B489" s="217" t="s">
        <v>209</v>
      </c>
      <c r="C489" s="218" t="s">
        <v>221</v>
      </c>
      <c r="D489" s="219">
        <f t="shared" si="518"/>
      </c>
      <c r="E489" s="218">
        <v>458.4</v>
      </c>
      <c r="F489" s="218">
        <v>6851.44</v>
      </c>
      <c r="G489" s="221">
        <v>1035.27</v>
      </c>
      <c r="H489" s="221">
        <v>0</v>
      </c>
      <c r="I489" s="221">
        <f t="shared" si="405"/>
      </c>
      <c r="J489" s="222">
        <v>4431.24</v>
      </c>
      <c r="K489" s="223">
        <f t="shared" si="290"/>
      </c>
      <c r="L489" s="223">
        <f t="shared" si="175"/>
      </c>
      <c r="M489" s="224">
        <f t="shared" si="86"/>
      </c>
      <c r="N489" s="225">
        <f t="shared" si="55"/>
      </c>
      <c r="O489" s="226">
        <f t="shared" si="24"/>
      </c>
      <c r="P489" s="227">
        <f t="shared" si="959"/>
      </c>
      <c r="Q489" s="227">
        <f t="shared" si="928"/>
      </c>
      <c r="R489" s="227">
        <f t="shared" si="897"/>
      </c>
      <c r="S489" s="228">
        <f t="shared" si="866"/>
      </c>
      <c r="T489" s="229">
        <f t="shared" si="804"/>
      </c>
      <c r="U489" s="227">
        <f t="shared" si="773"/>
      </c>
      <c r="V489" s="230">
        <f t="shared" si="835"/>
      </c>
      <c r="W489" s="230">
        <f t="shared" si="742"/>
      </c>
      <c r="X489" s="227">
        <f t="shared" si="711"/>
      </c>
      <c r="Y489" s="231">
        <f t="shared" si="623"/>
      </c>
      <c r="Z489" s="231">
        <v>5</v>
      </c>
      <c r="AA489" s="231">
        <v>13</v>
      </c>
      <c r="AB489" s="232">
        <v>26045.279999999995</v>
      </c>
      <c r="AC489" s="232">
        <v>855</v>
      </c>
      <c r="AD489" s="228">
        <f t="shared" si="680"/>
      </c>
      <c r="AE489" s="233" t="s">
        <v>202</v>
      </c>
      <c r="AF489" s="234" t="s">
        <v>217</v>
      </c>
      <c r="AG489" s="237">
        <v>11</v>
      </c>
      <c r="AH489" s="236">
        <v>84230</v>
      </c>
      <c r="AI489" s="236">
        <v>1151</v>
      </c>
      <c r="AJ489" s="236">
        <v>1175</v>
      </c>
      <c r="AK489" s="237">
        <v>202</v>
      </c>
      <c r="AL489" s="237">
        <v>257</v>
      </c>
    </row>
    <row r="490">
      <c r="A490" s="216"/>
      <c r="B490" s="217" t="s">
        <v>209</v>
      </c>
      <c r="C490" s="218" t="s">
        <v>201</v>
      </c>
      <c r="D490" s="219">
        <f t="shared" si="518"/>
      </c>
      <c r="E490" s="218">
        <v>370.37</v>
      </c>
      <c r="F490" s="221">
        <v>10852.59</v>
      </c>
      <c r="G490" s="221">
        <v>531.31</v>
      </c>
      <c r="H490" s="221">
        <v>0</v>
      </c>
      <c r="I490" s="221">
        <f t="shared" si="405"/>
      </c>
      <c r="J490" s="222">
        <f>638.28+3881.52</f>
      </c>
      <c r="K490" s="223">
        <f t="shared" si="290"/>
      </c>
      <c r="L490" s="223">
        <f t="shared" si="175"/>
      </c>
      <c r="M490" s="224">
        <f t="shared" si="86"/>
      </c>
      <c r="N490" s="225">
        <f t="shared" si="55"/>
      </c>
      <c r="O490" s="226">
        <f t="shared" si="24"/>
      </c>
      <c r="P490" s="227">
        <f t="shared" si="959"/>
      </c>
      <c r="Q490" s="227">
        <f t="shared" si="928"/>
      </c>
      <c r="R490" s="227">
        <f t="shared" si="897"/>
      </c>
      <c r="S490" s="228">
        <f t="shared" si="866"/>
      </c>
      <c r="T490" s="229">
        <f t="shared" si="804"/>
      </c>
      <c r="U490" s="227">
        <f t="shared" si="773"/>
      </c>
      <c r="V490" s="230">
        <f t="shared" si="835"/>
      </c>
      <c r="W490" s="230">
        <f t="shared" si="742"/>
      </c>
      <c r="X490" s="227">
        <f t="shared" si="711"/>
      </c>
      <c r="Y490" s="231">
        <f t="shared" si="623"/>
      </c>
      <c r="Z490" s="231">
        <v>11</v>
      </c>
      <c r="AA490" s="231">
        <v>9</v>
      </c>
      <c r="AB490" s="222">
        <v>12790.439999999999</v>
      </c>
      <c r="AC490" s="232">
        <v>385.0000000000009</v>
      </c>
      <c r="AD490" s="228">
        <f t="shared" si="680"/>
      </c>
      <c r="AE490" s="233" t="s">
        <v>202</v>
      </c>
      <c r="AF490" s="234" t="s">
        <v>217</v>
      </c>
      <c r="AG490" s="235">
        <v>9</v>
      </c>
      <c r="AH490" s="236">
        <v>131297</v>
      </c>
      <c r="AI490" s="236">
        <v>1417</v>
      </c>
      <c r="AJ490" s="236">
        <v>1358</v>
      </c>
      <c r="AK490" s="237">
        <v>216</v>
      </c>
      <c r="AL490" s="237">
        <v>310</v>
      </c>
    </row>
    <row r="491">
      <c r="A491" s="216"/>
      <c r="B491" s="217" t="s">
        <v>209</v>
      </c>
      <c r="C491" s="218" t="s">
        <v>204</v>
      </c>
      <c r="D491" s="219">
        <f t="shared" si="518"/>
      </c>
      <c r="E491" s="218">
        <v>334.27</v>
      </c>
      <c r="F491" s="249">
        <v>6028.82</v>
      </c>
      <c r="G491" s="221">
        <v>392.9</v>
      </c>
      <c r="H491" s="221">
        <v>0</v>
      </c>
      <c r="I491" s="250">
        <f t="shared" si="405"/>
      </c>
      <c r="J491" s="251">
        <f>379+2514.24+1622.16+645+3218.4</f>
      </c>
      <c r="K491" s="223">
        <f t="shared" si="290"/>
      </c>
      <c r="L491" s="223">
        <f t="shared" si="175"/>
      </c>
      <c r="M491" s="224">
        <f t="shared" si="86"/>
      </c>
      <c r="N491" s="225">
        <f t="shared" si="55"/>
      </c>
      <c r="O491" s="226">
        <f t="shared" si="24"/>
      </c>
      <c r="P491" s="227">
        <f t="shared" si="959"/>
      </c>
      <c r="Q491" s="227">
        <f t="shared" si="928"/>
      </c>
      <c r="R491" s="227">
        <f t="shared" si="897"/>
      </c>
      <c r="S491" s="228">
        <f t="shared" si="866"/>
      </c>
      <c r="T491" s="229">
        <f t="shared" si="804"/>
      </c>
      <c r="U491" s="227">
        <f t="shared" si="773"/>
      </c>
      <c r="V491" s="230">
        <f t="shared" si="835"/>
      </c>
      <c r="W491" s="230">
        <f t="shared" si="742"/>
      </c>
      <c r="X491" s="227">
        <f t="shared" si="711"/>
      </c>
      <c r="Y491" s="231">
        <f t="shared" si="623"/>
      </c>
      <c r="Z491" s="231">
        <v>2</v>
      </c>
      <c r="AA491" s="231">
        <v>12</v>
      </c>
      <c r="AB491" s="232">
        <v>22253.999999999996</v>
      </c>
      <c r="AC491" s="232">
        <v>1024</v>
      </c>
      <c r="AD491" s="228">
        <f t="shared" si="680"/>
      </c>
      <c r="AE491" s="233" t="s">
        <v>202</v>
      </c>
      <c r="AF491" s="234" t="s">
        <v>217</v>
      </c>
      <c r="AG491" s="235">
        <v>10</v>
      </c>
      <c r="AH491" s="236">
        <v>77046</v>
      </c>
      <c r="AI491" s="236">
        <v>922</v>
      </c>
      <c r="AJ491" s="236">
        <v>896</v>
      </c>
      <c r="AK491" s="237">
        <v>172</v>
      </c>
      <c r="AL491" s="237">
        <v>218</v>
      </c>
    </row>
    <row r="492">
      <c r="A492" s="216"/>
      <c r="B492" s="239" t="s">
        <v>208</v>
      </c>
      <c r="C492" s="240">
        <v>5</v>
      </c>
      <c r="D492" s="241">
        <f>SUM(D487:D491)</f>
      </c>
      <c r="E492" s="241">
        <f>SUM(E487:E491)</f>
      </c>
      <c r="F492" s="241">
        <f>SUM(F487:F491)</f>
      </c>
      <c r="G492" s="241">
        <f>SUM(G487:G491)</f>
      </c>
      <c r="H492" s="241">
        <f>SUM(H487:H491)</f>
      </c>
      <c r="I492" s="241">
        <f>SUM(I487:I491)</f>
      </c>
      <c r="J492" s="241">
        <f>SUM(J487:J491)</f>
      </c>
      <c r="K492" s="241">
        <f>SUM(K487:K491)</f>
      </c>
      <c r="L492" s="241">
        <f>SUM(L487:L491)</f>
      </c>
      <c r="M492" s="242">
        <f t="shared" si="86"/>
      </c>
      <c r="N492" s="243">
        <f t="shared" si="55"/>
      </c>
      <c r="O492" s="243">
        <f t="shared" si="24"/>
      </c>
      <c r="P492" s="244">
        <f t="shared" si="959"/>
      </c>
      <c r="Q492" s="244">
        <f t="shared" si="928"/>
      </c>
      <c r="R492" s="244">
        <f t="shared" si="897"/>
      </c>
      <c r="S492" s="245">
        <f t="shared" si="866"/>
      </c>
      <c r="T492" s="245">
        <f t="shared" si="804"/>
      </c>
      <c r="U492" s="244">
        <f t="shared" si="773"/>
      </c>
      <c r="V492" s="245">
        <f t="shared" si="835"/>
      </c>
      <c r="W492" s="245">
        <f t="shared" si="742"/>
      </c>
      <c r="X492" s="244">
        <f t="shared" si="711"/>
      </c>
      <c r="Y492" s="241">
        <f>SUM(Y487:Y491)</f>
      </c>
      <c r="Z492" s="241">
        <f>SUM(Z487:Z491)</f>
      </c>
      <c r="AA492" s="241">
        <f>SUM(AA487:AA491)</f>
      </c>
      <c r="AB492" s="241">
        <f>SUM(AB487:AB491)</f>
      </c>
      <c r="AC492" s="241">
        <f>SUM(AC487:AC491)</f>
      </c>
      <c r="AD492" s="246">
        <f t="shared" si="680"/>
      </c>
      <c r="AE492" s="247"/>
      <c r="AF492" s="248"/>
      <c r="AG492" s="241">
        <f>SUM(AG487:AG491)</f>
      </c>
      <c r="AH492" s="241">
        <f>SUM(AH487:AH491)</f>
      </c>
      <c r="AI492" s="241">
        <f>SUM(AI487:AI491)</f>
      </c>
      <c r="AJ492" s="241">
        <f>SUM(AJ487:AJ491)</f>
      </c>
      <c r="AK492" s="241">
        <f>SUM(AK487:AK491)</f>
      </c>
      <c r="AL492" s="241">
        <f>SUM(AL487:AL491)</f>
      </c>
    </row>
    <row r="493">
      <c r="A493" s="216"/>
      <c r="B493" s="217" t="s">
        <v>230</v>
      </c>
      <c r="C493" s="218" t="s">
        <v>205</v>
      </c>
      <c r="D493" s="219">
        <f t="shared" ref="D493:D494" si="519">E493+F493+G493+H493</f>
      </c>
      <c r="E493" s="218">
        <v>492.68</v>
      </c>
      <c r="F493" s="249">
        <v>8241.13</v>
      </c>
      <c r="G493" s="221">
        <v>157.77</v>
      </c>
      <c r="H493" s="221">
        <v>0</v>
      </c>
      <c r="I493" s="250">
        <f t="shared" ref="I493:I494" si="406">AB493+AC493</f>
      </c>
      <c r="J493" s="251">
        <v>0</v>
      </c>
      <c r="K493" s="223">
        <f t="shared" ref="K493:K494" si="291">I493-J493</f>
      </c>
      <c r="L493" s="223">
        <f t="shared" ref="L493:L494" si="176">(I493-AC493)/12+AC493</f>
      </c>
      <c r="M493" s="224">
        <f t="shared" si="86"/>
      </c>
      <c r="N493" s="225">
        <f t="shared" si="55"/>
      </c>
      <c r="O493" s="226">
        <f t="shared" si="24"/>
      </c>
      <c r="P493" s="227">
        <f t="shared" si="959"/>
      </c>
      <c r="Q493" s="227">
        <f t="shared" si="928"/>
      </c>
      <c r="R493" s="227">
        <f t="shared" si="897"/>
      </c>
      <c r="S493" s="228">
        <f t="shared" si="866"/>
      </c>
      <c r="T493" s="229">
        <f t="shared" si="804"/>
      </c>
      <c r="U493" s="227">
        <f t="shared" si="773"/>
      </c>
      <c r="V493" s="230">
        <f t="shared" si="835"/>
      </c>
      <c r="W493" s="230">
        <f t="shared" si="742"/>
      </c>
      <c r="X493" s="227">
        <f t="shared" si="711"/>
      </c>
      <c r="Y493" s="231">
        <f t="shared" ref="Y493:Y494" si="624">Z493+AA493</f>
      </c>
      <c r="Z493" s="231">
        <v>2</v>
      </c>
      <c r="AA493" s="231">
        <v>7</v>
      </c>
      <c r="AB493" s="232">
        <v>16984.31999999999</v>
      </c>
      <c r="AC493" s="232">
        <v>0</v>
      </c>
      <c r="AD493" s="228">
        <f t="shared" si="680"/>
      </c>
      <c r="AE493" s="233" t="s">
        <v>202</v>
      </c>
      <c r="AF493" s="233" t="s">
        <v>203</v>
      </c>
      <c r="AG493" s="235">
        <v>5</v>
      </c>
      <c r="AH493" s="236">
        <v>97644</v>
      </c>
      <c r="AI493" s="236">
        <v>1128</v>
      </c>
      <c r="AJ493" s="236">
        <v>1079</v>
      </c>
      <c r="AK493" s="237">
        <v>180</v>
      </c>
      <c r="AL493" s="237">
        <v>239</v>
      </c>
    </row>
    <row r="494">
      <c r="A494" s="216"/>
      <c r="B494" s="217" t="s">
        <v>230</v>
      </c>
      <c r="C494" s="218" t="s">
        <v>206</v>
      </c>
      <c r="D494" s="219">
        <f t="shared" si="519"/>
      </c>
      <c r="E494" s="252">
        <v>1371.65</v>
      </c>
      <c r="F494" s="268">
        <v>4006.17</v>
      </c>
      <c r="G494" s="221">
        <v>663.5</v>
      </c>
      <c r="H494" s="221">
        <v>0</v>
      </c>
      <c r="I494" s="270">
        <f t="shared" si="406"/>
      </c>
      <c r="J494" s="251">
        <v>489</v>
      </c>
      <c r="K494" s="223">
        <f t="shared" si="291"/>
      </c>
      <c r="L494" s="223">
        <f t="shared" si="176"/>
      </c>
      <c r="M494" s="224">
        <f t="shared" si="86"/>
      </c>
      <c r="N494" s="225">
        <f t="shared" si="55"/>
      </c>
      <c r="O494" s="226">
        <f t="shared" si="24"/>
      </c>
      <c r="P494" s="227">
        <f t="shared" si="959"/>
      </c>
      <c r="Q494" s="227">
        <f t="shared" si="928"/>
      </c>
      <c r="R494" s="227">
        <f t="shared" si="897"/>
      </c>
      <c r="S494" s="228">
        <f t="shared" si="866"/>
      </c>
      <c r="T494" s="229">
        <f t="shared" si="804"/>
      </c>
      <c r="U494" s="227">
        <f t="shared" si="773"/>
      </c>
      <c r="V494" s="230">
        <f t="shared" si="835"/>
      </c>
      <c r="W494" s="230">
        <f t="shared" si="742"/>
      </c>
      <c r="X494" s="227">
        <f t="shared" si="711"/>
      </c>
      <c r="Y494" s="231">
        <f t="shared" si="624"/>
      </c>
      <c r="Z494" s="231">
        <v>4</v>
      </c>
      <c r="AA494" s="231">
        <v>4</v>
      </c>
      <c r="AB494" s="272">
        <v>5827.680000000004</v>
      </c>
      <c r="AC494" s="232">
        <v>489</v>
      </c>
      <c r="AD494" s="228">
        <f t="shared" si="680"/>
      </c>
      <c r="AE494" s="233" t="s">
        <v>202</v>
      </c>
      <c r="AF494" s="233" t="s">
        <v>203</v>
      </c>
      <c r="AG494" s="237">
        <v>4</v>
      </c>
      <c r="AH494" s="236">
        <v>58829</v>
      </c>
      <c r="AI494" s="236">
        <v>1232</v>
      </c>
      <c r="AJ494" s="236">
        <v>1289</v>
      </c>
      <c r="AK494" s="237">
        <v>159</v>
      </c>
      <c r="AL494" s="237">
        <v>185</v>
      </c>
    </row>
    <row r="495">
      <c r="A495" s="216"/>
      <c r="B495" s="239" t="s">
        <v>208</v>
      </c>
      <c r="C495" s="240">
        <v>2</v>
      </c>
      <c r="D495" s="273">
        <f>SUM(D493:D494)</f>
      </c>
      <c r="E495" s="273">
        <f>SUM(E493:E494)</f>
      </c>
      <c r="F495" s="273">
        <f>SUM(F493:F494)</f>
      </c>
      <c r="G495" s="273">
        <f>SUM(G493:G494)</f>
      </c>
      <c r="H495" s="273">
        <f>SUM(H493:H494)</f>
      </c>
      <c r="I495" s="273">
        <f>SUM(I493:I494)</f>
      </c>
      <c r="J495" s="273">
        <f>SUM(J493:J494)</f>
      </c>
      <c r="K495" s="273">
        <f>SUM(K493:K494)</f>
      </c>
      <c r="L495" s="273">
        <f>SUM(L493:L494)</f>
      </c>
      <c r="M495" s="242">
        <f t="shared" si="86"/>
      </c>
      <c r="N495" s="243">
        <f t="shared" si="55"/>
      </c>
      <c r="O495" s="243">
        <f t="shared" si="24"/>
      </c>
      <c r="P495" s="244">
        <f t="shared" si="959"/>
      </c>
      <c r="Q495" s="244">
        <f t="shared" si="928"/>
      </c>
      <c r="R495" s="244">
        <f t="shared" si="897"/>
      </c>
      <c r="S495" s="245">
        <f t="shared" si="866"/>
      </c>
      <c r="T495" s="245">
        <f t="shared" si="804"/>
      </c>
      <c r="U495" s="244">
        <f t="shared" si="773"/>
      </c>
      <c r="V495" s="245">
        <f t="shared" si="835"/>
      </c>
      <c r="W495" s="245">
        <f t="shared" si="742"/>
      </c>
      <c r="X495" s="244">
        <f t="shared" si="711"/>
      </c>
      <c r="Y495" s="273">
        <f>SUM(Y493:Y494)</f>
      </c>
      <c r="Z495" s="273">
        <f>SUM(Z493:Z494)</f>
      </c>
      <c r="AA495" s="273">
        <f>SUM(AA493:AA494)</f>
      </c>
      <c r="AB495" s="273">
        <f>SUM(AB493:AB494)</f>
      </c>
      <c r="AC495" s="273">
        <f>SUM(AC493:AC494)</f>
      </c>
      <c r="AD495" s="246">
        <f t="shared" si="680"/>
      </c>
      <c r="AE495" s="247"/>
      <c r="AF495" s="248"/>
      <c r="AG495" s="273">
        <f>SUM(AG493:AG494)</f>
      </c>
      <c r="AH495" s="273">
        <f>SUM(AH493:AH494)</f>
      </c>
      <c r="AI495" s="273">
        <f>SUM(AI493:AI494)</f>
      </c>
      <c r="AJ495" s="273">
        <f>SUM(AJ493:AJ494)</f>
      </c>
      <c r="AK495" s="273">
        <f>SUM(AK493:AK494)</f>
      </c>
      <c r="AL495" s="273">
        <f>SUM(AL493:AL494)</f>
      </c>
    </row>
    <row r="496">
      <c r="A496" s="216"/>
      <c r="B496" s="265" t="s">
        <v>225</v>
      </c>
      <c r="C496" s="218" t="s">
        <v>207</v>
      </c>
      <c r="D496" s="219">
        <f t="shared" ref="D496:D498" si="520">E496+F496+G496+H496</f>
      </c>
      <c r="E496" s="218">
        <v>1723.88</v>
      </c>
      <c r="F496" s="249">
        <v>3000</v>
      </c>
      <c r="G496" s="221">
        <v>505.96</v>
      </c>
      <c r="H496" s="221">
        <v>0</v>
      </c>
      <c r="I496" s="250">
        <f t="shared" ref="I496:I498" si="407">AB496+AC496</f>
      </c>
      <c r="J496" s="251">
        <v>0</v>
      </c>
      <c r="K496" s="223">
        <f t="shared" ref="K496:K498" si="292">I496-J496</f>
      </c>
      <c r="L496" s="223">
        <f t="shared" ref="L496:L498" si="177">(I496-AC496)/12+AC496</f>
      </c>
      <c r="M496" s="224">
        <f t="shared" si="86"/>
      </c>
      <c r="N496" s="225">
        <f t="shared" si="55"/>
      </c>
      <c r="O496" s="226">
        <f t="shared" si="24"/>
      </c>
      <c r="P496" s="227">
        <f t="shared" si="959"/>
      </c>
      <c r="Q496" s="227">
        <f t="shared" si="928"/>
      </c>
      <c r="R496" s="227">
        <f t="shared" si="897"/>
      </c>
      <c r="S496" s="228">
        <f t="shared" si="866"/>
      </c>
      <c r="T496" s="229">
        <f t="shared" si="804"/>
      </c>
      <c r="U496" s="227">
        <f t="shared" si="773"/>
      </c>
      <c r="V496" s="230">
        <f t="shared" si="835"/>
      </c>
      <c r="W496" s="230">
        <f t="shared" si="742"/>
      </c>
      <c r="X496" s="227">
        <f t="shared" si="711"/>
      </c>
      <c r="Y496" s="231">
        <f t="shared" ref="Y496:Y498" si="625">Z496+AA496</f>
      </c>
      <c r="Z496" s="231">
        <v>5</v>
      </c>
      <c r="AA496" s="231">
        <v>4</v>
      </c>
      <c r="AB496" s="232">
        <v>5720.759999999991</v>
      </c>
      <c r="AC496" s="232">
        <v>2823</v>
      </c>
      <c r="AD496" s="228">
        <f t="shared" si="680"/>
      </c>
      <c r="AE496" s="233" t="s">
        <v>202</v>
      </c>
      <c r="AF496" s="234" t="s">
        <v>203</v>
      </c>
      <c r="AG496" s="235">
        <v>4</v>
      </c>
      <c r="AH496" s="236">
        <v>52175</v>
      </c>
      <c r="AI496" s="236">
        <v>1472</v>
      </c>
      <c r="AJ496" s="236">
        <v>1593</v>
      </c>
      <c r="AK496" s="237">
        <v>148</v>
      </c>
      <c r="AL496" s="237">
        <v>146</v>
      </c>
    </row>
    <row r="497">
      <c r="A497" s="216"/>
      <c r="B497" s="265" t="s">
        <v>225</v>
      </c>
      <c r="C497" s="252" t="s">
        <v>210</v>
      </c>
      <c r="D497" s="219">
        <f t="shared" si="520"/>
      </c>
      <c r="E497" s="218">
        <v>1626.77</v>
      </c>
      <c r="F497" s="249">
        <v>3000</v>
      </c>
      <c r="G497" s="221">
        <v>747.58</v>
      </c>
      <c r="H497" s="221">
        <v>0</v>
      </c>
      <c r="I497" s="250">
        <f t="shared" si="407"/>
      </c>
      <c r="J497" s="251">
        <f>465.48+2059.56</f>
      </c>
      <c r="K497" s="223">
        <f t="shared" si="292"/>
      </c>
      <c r="L497" s="223">
        <f t="shared" si="177"/>
      </c>
      <c r="M497" s="224">
        <f t="shared" si="86"/>
      </c>
      <c r="N497" s="225">
        <f t="shared" si="55"/>
      </c>
      <c r="O497" s="226">
        <f t="shared" si="24"/>
      </c>
      <c r="P497" s="227">
        <f t="shared" si="959"/>
      </c>
      <c r="Q497" s="227">
        <f t="shared" si="928"/>
      </c>
      <c r="R497" s="227">
        <f t="shared" si="897"/>
      </c>
      <c r="S497" s="228">
        <f t="shared" si="866"/>
      </c>
      <c r="T497" s="229">
        <f t="shared" si="804"/>
      </c>
      <c r="U497" s="227">
        <f t="shared" si="773"/>
      </c>
      <c r="V497" s="230">
        <f t="shared" si="835"/>
      </c>
      <c r="W497" s="230">
        <f t="shared" si="742"/>
      </c>
      <c r="X497" s="227">
        <f t="shared" si="711"/>
      </c>
      <c r="Y497" s="231">
        <f t="shared" si="625"/>
      </c>
      <c r="Z497" s="231">
        <v>6</v>
      </c>
      <c r="AA497" s="231">
        <v>5</v>
      </c>
      <c r="AB497" s="232">
        <v>5868.720000000012</v>
      </c>
      <c r="AC497" s="232">
        <v>0</v>
      </c>
      <c r="AD497" s="228">
        <f t="shared" si="680"/>
      </c>
      <c r="AE497" s="233" t="s">
        <v>202</v>
      </c>
      <c r="AF497" s="234" t="s">
        <v>203</v>
      </c>
      <c r="AG497" s="235">
        <v>5</v>
      </c>
      <c r="AH497" s="236">
        <v>51431</v>
      </c>
      <c r="AI497" s="236">
        <v>1432</v>
      </c>
      <c r="AJ497" s="236">
        <v>1553</v>
      </c>
      <c r="AK497" s="237">
        <v>149</v>
      </c>
      <c r="AL497" s="237">
        <v>166</v>
      </c>
    </row>
    <row r="498">
      <c r="A498" s="216"/>
      <c r="B498" s="265" t="s">
        <v>225</v>
      </c>
      <c r="C498" s="252" t="s">
        <v>211</v>
      </c>
      <c r="D498" s="219">
        <f t="shared" si="520"/>
      </c>
      <c r="E498" s="218">
        <v>866.12</v>
      </c>
      <c r="F498" s="249">
        <v>2995.86</v>
      </c>
      <c r="G498" s="221">
        <v>1380.47</v>
      </c>
      <c r="H498" s="221">
        <v>0</v>
      </c>
      <c r="I498" s="250">
        <f t="shared" si="407"/>
      </c>
      <c r="J498" s="251">
        <f>1064+1509.84</f>
      </c>
      <c r="K498" s="223">
        <f t="shared" si="292"/>
      </c>
      <c r="L498" s="223">
        <f t="shared" si="177"/>
      </c>
      <c r="M498" s="224">
        <f t="shared" si="86"/>
      </c>
      <c r="N498" s="225">
        <f t="shared" si="55"/>
      </c>
      <c r="O498" s="226">
        <f t="shared" si="24"/>
      </c>
      <c r="P498" s="227">
        <f t="shared" si="959"/>
      </c>
      <c r="Q498" s="227">
        <f t="shared" si="928"/>
      </c>
      <c r="R498" s="227">
        <f t="shared" si="897"/>
      </c>
      <c r="S498" s="228">
        <f t="shared" si="866"/>
      </c>
      <c r="T498" s="229">
        <f t="shared" si="804"/>
      </c>
      <c r="U498" s="227">
        <f t="shared" si="773"/>
      </c>
      <c r="V498" s="230">
        <f t="shared" si="835"/>
      </c>
      <c r="W498" s="230">
        <f t="shared" si="742"/>
      </c>
      <c r="X498" s="227">
        <f t="shared" si="711"/>
      </c>
      <c r="Y498" s="231">
        <f t="shared" si="625"/>
      </c>
      <c r="Z498" s="231">
        <v>5</v>
      </c>
      <c r="AA498" s="231">
        <v>7</v>
      </c>
      <c r="AB498" s="232">
        <v>11663.999999999982</v>
      </c>
      <c r="AC498" s="232">
        <v>1064</v>
      </c>
      <c r="AD498" s="228">
        <f t="shared" si="680"/>
      </c>
      <c r="AE498" s="233" t="s">
        <v>202</v>
      </c>
      <c r="AF498" s="234" t="s">
        <v>203</v>
      </c>
      <c r="AG498" s="237">
        <v>5</v>
      </c>
      <c r="AH498" s="236">
        <v>52623</v>
      </c>
      <c r="AI498" s="236">
        <v>968</v>
      </c>
      <c r="AJ498" s="236">
        <v>945</v>
      </c>
      <c r="AK498" s="237">
        <v>143</v>
      </c>
      <c r="AL498" s="237">
        <v>201</v>
      </c>
    </row>
    <row r="499">
      <c r="A499" s="216"/>
      <c r="B499" s="239" t="s">
        <v>208</v>
      </c>
      <c r="C499" s="240">
        <v>3</v>
      </c>
      <c r="D499" s="241">
        <f>SUM(D496:D498)</f>
      </c>
      <c r="E499" s="241">
        <f>SUM(E496:E498)</f>
      </c>
      <c r="F499" s="241">
        <f>SUM(F496:F498)</f>
      </c>
      <c r="G499" s="241">
        <f>SUM(G496:G498)</f>
      </c>
      <c r="H499" s="241">
        <f>SUM(H496:H498)</f>
      </c>
      <c r="I499" s="241">
        <f>SUM(I496:I498)</f>
      </c>
      <c r="J499" s="241">
        <f>SUM(J496:J498)</f>
      </c>
      <c r="K499" s="241">
        <f>SUM(K496:K498)</f>
      </c>
      <c r="L499" s="241">
        <f>SUM(L496:L498)</f>
      </c>
      <c r="M499" s="242">
        <f t="shared" si="86"/>
      </c>
      <c r="N499" s="243">
        <f t="shared" si="55"/>
      </c>
      <c r="O499" s="243">
        <f t="shared" si="24"/>
      </c>
      <c r="P499" s="244">
        <f t="shared" si="959"/>
      </c>
      <c r="Q499" s="244">
        <f t="shared" si="928"/>
      </c>
      <c r="R499" s="244">
        <f t="shared" si="897"/>
      </c>
      <c r="S499" s="245">
        <f t="shared" si="866"/>
      </c>
      <c r="T499" s="245">
        <f t="shared" si="804"/>
      </c>
      <c r="U499" s="244">
        <f t="shared" si="773"/>
      </c>
      <c r="V499" s="245">
        <f t="shared" si="835"/>
      </c>
      <c r="W499" s="245">
        <f t="shared" si="742"/>
      </c>
      <c r="X499" s="244">
        <f t="shared" si="711"/>
      </c>
      <c r="Y499" s="241">
        <f>SUM(Y496:Y498)</f>
      </c>
      <c r="Z499" s="241">
        <f>SUM(Z496:Z498)</f>
      </c>
      <c r="AA499" s="241">
        <f>SUM(AA496:AA498)</f>
      </c>
      <c r="AB499" s="241">
        <f>SUM(AB496:AB498)</f>
      </c>
      <c r="AC499" s="241">
        <f>SUM(AC496:AC498)</f>
      </c>
      <c r="AD499" s="246">
        <f t="shared" si="680"/>
      </c>
      <c r="AE499" s="247"/>
      <c r="AF499" s="248"/>
      <c r="AG499" s="241">
        <f>SUM(AG496:AG498)</f>
      </c>
      <c r="AH499" s="241">
        <f>SUM(AH496:AH498)</f>
      </c>
      <c r="AI499" s="241">
        <f>SUM(AI496:AI498)</f>
      </c>
      <c r="AJ499" s="241">
        <f>SUM(AJ496:AJ498)</f>
      </c>
      <c r="AK499" s="241">
        <f>SUM(AK496:AK498)</f>
      </c>
      <c r="AL499" s="241">
        <f>SUM(AL496:AL498)</f>
      </c>
    </row>
    <row r="500">
      <c r="A500" s="216"/>
      <c r="B500" s="217" t="s">
        <v>223</v>
      </c>
      <c r="C500" s="252" t="s">
        <v>212</v>
      </c>
      <c r="D500" s="219">
        <f t="shared" ref="D500:D504" si="521">E500+F500+G500+H500</f>
      </c>
      <c r="E500" s="220">
        <v>477.55</v>
      </c>
      <c r="F500" s="221">
        <v>4006.14</v>
      </c>
      <c r="G500" s="221">
        <v>3784.42</v>
      </c>
      <c r="H500" s="221">
        <v>0</v>
      </c>
      <c r="I500" s="221">
        <f t="shared" ref="I500:I504" si="408">AB500+AC500</f>
      </c>
      <c r="J500" s="222">
        <v>6448.68</v>
      </c>
      <c r="K500" s="223">
        <f t="shared" ref="K500:K504" si="293">I500-J500</f>
      </c>
      <c r="L500" s="223">
        <f t="shared" ref="L500:L504" si="178">(I500-AC500)/12+AC500</f>
      </c>
      <c r="M500" s="224">
        <f t="shared" si="86"/>
      </c>
      <c r="N500" s="225">
        <f t="shared" si="55"/>
      </c>
      <c r="O500" s="226">
        <f t="shared" si="24"/>
      </c>
      <c r="P500" s="227">
        <f t="shared" si="959"/>
      </c>
      <c r="Q500" s="227">
        <f t="shared" si="928"/>
      </c>
      <c r="R500" s="227">
        <f t="shared" si="897"/>
      </c>
      <c r="S500" s="228">
        <f t="shared" si="866"/>
      </c>
      <c r="T500" s="229">
        <f t="shared" si="804"/>
      </c>
      <c r="U500" s="227">
        <f t="shared" si="773"/>
      </c>
      <c r="V500" s="230">
        <f t="shared" si="835"/>
      </c>
      <c r="W500" s="230">
        <f t="shared" si="742"/>
      </c>
      <c r="X500" s="227">
        <f t="shared" si="711"/>
      </c>
      <c r="Y500" s="231">
        <f t="shared" ref="Y500:Y504" si="626">Z500+AA500</f>
      </c>
      <c r="Z500" s="231">
        <v>9</v>
      </c>
      <c r="AA500" s="231">
        <v>6</v>
      </c>
      <c r="AB500" s="232">
        <v>13878.000000000011</v>
      </c>
      <c r="AC500" s="232">
        <v>0</v>
      </c>
      <c r="AD500" s="228">
        <f t="shared" si="680"/>
      </c>
      <c r="AE500" s="233" t="s">
        <v>202</v>
      </c>
      <c r="AF500" s="234" t="s">
        <v>203</v>
      </c>
      <c r="AG500" s="235">
        <v>3</v>
      </c>
      <c r="AH500" s="235">
        <v>69989</v>
      </c>
      <c r="AI500" s="236">
        <v>1208</v>
      </c>
      <c r="AJ500" s="236">
        <v>1114</v>
      </c>
      <c r="AK500" s="235">
        <v>218</v>
      </c>
      <c r="AL500" s="237">
        <v>262</v>
      </c>
    </row>
    <row r="501">
      <c r="A501" s="216"/>
      <c r="B501" s="217" t="s">
        <v>223</v>
      </c>
      <c r="C501" s="218" t="s">
        <v>213</v>
      </c>
      <c r="D501" s="219">
        <f t="shared" si="521"/>
      </c>
      <c r="E501" s="218">
        <v>254.73</v>
      </c>
      <c r="F501" s="221">
        <v>3998</v>
      </c>
      <c r="G501" s="221">
        <v>1199.55</v>
      </c>
      <c r="H501" s="221">
        <v>0</v>
      </c>
      <c r="I501" s="221">
        <f t="shared" si="408"/>
      </c>
      <c r="J501" s="222">
        <v>0</v>
      </c>
      <c r="K501" s="223">
        <f t="shared" si="293"/>
      </c>
      <c r="L501" s="223">
        <f t="shared" si="178"/>
      </c>
      <c r="M501" s="224">
        <f t="shared" si="86"/>
      </c>
      <c r="N501" s="225">
        <f t="shared" si="55"/>
      </c>
      <c r="O501" s="226">
        <f t="shared" si="24"/>
      </c>
      <c r="P501" s="227">
        <f t="shared" si="959"/>
      </c>
      <c r="Q501" s="227">
        <f t="shared" si="928"/>
      </c>
      <c r="R501" s="227">
        <f t="shared" si="897"/>
      </c>
      <c r="S501" s="228">
        <f t="shared" si="866"/>
      </c>
      <c r="T501" s="229">
        <f t="shared" si="804"/>
      </c>
      <c r="U501" s="227">
        <f t="shared" si="773"/>
      </c>
      <c r="V501" s="230">
        <f t="shared" si="835"/>
      </c>
      <c r="W501" s="230">
        <f t="shared" si="742"/>
      </c>
      <c r="X501" s="227">
        <f t="shared" si="711"/>
      </c>
      <c r="Y501" s="231">
        <f t="shared" si="626"/>
      </c>
      <c r="Z501" s="231">
        <v>9</v>
      </c>
      <c r="AA501" s="231">
        <v>5</v>
      </c>
      <c r="AB501" s="232">
        <v>3855.6000000000167</v>
      </c>
      <c r="AC501" s="232">
        <v>2773</v>
      </c>
      <c r="AD501" s="228">
        <f t="shared" si="680"/>
      </c>
      <c r="AE501" s="233" t="s">
        <v>202</v>
      </c>
      <c r="AF501" s="234" t="s">
        <v>203</v>
      </c>
      <c r="AG501" s="235">
        <v>5</v>
      </c>
      <c r="AH501" s="236">
        <v>52233</v>
      </c>
      <c r="AI501" s="236">
        <v>754</v>
      </c>
      <c r="AJ501" s="236">
        <v>690</v>
      </c>
      <c r="AK501" s="237">
        <v>172</v>
      </c>
      <c r="AL501" s="237">
        <v>210</v>
      </c>
    </row>
    <row r="502">
      <c r="A502" s="216"/>
      <c r="B502" s="217" t="s">
        <v>223</v>
      </c>
      <c r="C502" s="252" t="s">
        <v>214</v>
      </c>
      <c r="D502" s="219">
        <f t="shared" si="521"/>
      </c>
      <c r="E502" s="218">
        <v>734.15</v>
      </c>
      <c r="F502" s="218">
        <v>6226.97</v>
      </c>
      <c r="G502" s="221">
        <v>0</v>
      </c>
      <c r="H502" s="221">
        <v>0</v>
      </c>
      <c r="I502" s="221">
        <f t="shared" si="408"/>
      </c>
      <c r="J502" s="222">
        <v>0</v>
      </c>
      <c r="K502" s="223">
        <f t="shared" si="293"/>
      </c>
      <c r="L502" s="223">
        <f t="shared" si="178"/>
      </c>
      <c r="M502" s="224">
        <f t="shared" si="86"/>
      </c>
      <c r="N502" s="225">
        <f t="shared" si="55"/>
      </c>
      <c r="O502" s="226">
        <f t="shared" si="24"/>
      </c>
      <c r="P502" s="227">
        <f t="shared" si="959"/>
      </c>
      <c r="Q502" s="227">
        <f t="shared" si="928"/>
      </c>
      <c r="R502" s="227">
        <f t="shared" si="897"/>
      </c>
      <c r="S502" s="228">
        <f t="shared" si="866"/>
      </c>
      <c r="T502" s="229">
        <f t="shared" si="804"/>
      </c>
      <c r="U502" s="227">
        <f t="shared" si="773"/>
      </c>
      <c r="V502" s="230">
        <f t="shared" si="835"/>
      </c>
      <c r="W502" s="230">
        <f t="shared" si="742"/>
      </c>
      <c r="X502" s="227">
        <f t="shared" si="711"/>
      </c>
      <c r="Y502" s="231">
        <f t="shared" si="626"/>
      </c>
      <c r="Z502" s="231">
        <v>5</v>
      </c>
      <c r="AA502" s="231">
        <v>3</v>
      </c>
      <c r="AB502" s="232">
        <v>7869.959999999974</v>
      </c>
      <c r="AC502" s="232">
        <v>0</v>
      </c>
      <c r="AD502" s="228">
        <f t="shared" si="680"/>
      </c>
      <c r="AE502" s="233" t="s">
        <v>202</v>
      </c>
      <c r="AF502" s="234" t="s">
        <v>203</v>
      </c>
      <c r="AG502" s="237">
        <v>2</v>
      </c>
      <c r="AH502" s="236">
        <v>84694</v>
      </c>
      <c r="AI502" s="236">
        <v>924</v>
      </c>
      <c r="AJ502" s="236">
        <v>902</v>
      </c>
      <c r="AK502" s="237">
        <v>124</v>
      </c>
      <c r="AL502" s="237">
        <v>172</v>
      </c>
    </row>
    <row r="503">
      <c r="A503" s="216"/>
      <c r="B503" s="217" t="s">
        <v>223</v>
      </c>
      <c r="C503" s="218" t="s">
        <v>237</v>
      </c>
      <c r="D503" s="219">
        <f t="shared" si="521"/>
      </c>
      <c r="E503" s="218">
        <v>1223.41</v>
      </c>
      <c r="F503" s="221">
        <v>7419.42</v>
      </c>
      <c r="G503" s="221">
        <v>0</v>
      </c>
      <c r="H503" s="221">
        <v>0</v>
      </c>
      <c r="I503" s="238">
        <f t="shared" si="408"/>
      </c>
      <c r="J503" s="222">
        <v>0</v>
      </c>
      <c r="K503" s="223">
        <f t="shared" si="293"/>
      </c>
      <c r="L503" s="223">
        <f t="shared" si="178"/>
      </c>
      <c r="M503" s="224">
        <f t="shared" si="86"/>
      </c>
      <c r="N503" s="225">
        <f t="shared" si="55"/>
      </c>
      <c r="O503" s="226">
        <f t="shared" si="24"/>
      </c>
      <c r="P503" s="227">
        <f t="shared" si="959"/>
      </c>
      <c r="Q503" s="227">
        <f t="shared" si="928"/>
      </c>
      <c r="R503" s="227">
        <f t="shared" si="897"/>
      </c>
      <c r="S503" s="228">
        <f t="shared" si="866"/>
      </c>
      <c r="T503" s="229">
        <f t="shared" si="804"/>
      </c>
      <c r="U503" s="227">
        <f t="shared" si="773"/>
      </c>
      <c r="V503" s="230">
        <f t="shared" si="835"/>
      </c>
      <c r="W503" s="230">
        <f t="shared" si="742"/>
      </c>
      <c r="X503" s="227">
        <f t="shared" si="711"/>
      </c>
      <c r="Y503" s="231">
        <f t="shared" si="626"/>
      </c>
      <c r="Z503" s="231">
        <v>9</v>
      </c>
      <c r="AA503" s="231">
        <v>11</v>
      </c>
      <c r="AB503" s="232">
        <v>19030.8</v>
      </c>
      <c r="AC503" s="232">
        <v>5605</v>
      </c>
      <c r="AD503" s="228">
        <f t="shared" si="680"/>
      </c>
      <c r="AE503" s="233" t="s">
        <v>202</v>
      </c>
      <c r="AF503" s="234" t="s">
        <v>203</v>
      </c>
      <c r="AG503" s="235">
        <v>11</v>
      </c>
      <c r="AH503" s="236">
        <v>93158</v>
      </c>
      <c r="AI503" s="236">
        <v>1949</v>
      </c>
      <c r="AJ503" s="236">
        <v>2192</v>
      </c>
      <c r="AK503" s="237">
        <v>242</v>
      </c>
      <c r="AL503" s="237">
        <v>281</v>
      </c>
    </row>
    <row r="504">
      <c r="A504" s="216"/>
      <c r="B504" s="217" t="s">
        <v>223</v>
      </c>
      <c r="C504" s="218" t="s">
        <v>238</v>
      </c>
      <c r="D504" s="219">
        <f t="shared" si="521"/>
      </c>
      <c r="E504" s="220">
        <v>1133.74</v>
      </c>
      <c r="F504" s="221">
        <v>4707.97</v>
      </c>
      <c r="G504" s="221">
        <v>0</v>
      </c>
      <c r="H504" s="221">
        <v>0</v>
      </c>
      <c r="I504" s="221">
        <f t="shared" si="408"/>
      </c>
      <c r="J504" s="222">
        <v>0</v>
      </c>
      <c r="K504" s="223">
        <f t="shared" si="293"/>
      </c>
      <c r="L504" s="223">
        <f t="shared" si="178"/>
      </c>
      <c r="M504" s="224">
        <f t="shared" si="86"/>
      </c>
      <c r="N504" s="225">
        <f t="shared" si="55"/>
      </c>
      <c r="O504" s="226">
        <f t="shared" si="24"/>
      </c>
      <c r="P504" s="227">
        <f t="shared" si="959"/>
      </c>
      <c r="Q504" s="227">
        <f t="shared" si="928"/>
      </c>
      <c r="R504" s="227">
        <f t="shared" si="897"/>
      </c>
      <c r="S504" s="228">
        <f t="shared" si="866"/>
      </c>
      <c r="T504" s="229">
        <f t="shared" si="804"/>
      </c>
      <c r="U504" s="227">
        <f t="shared" si="773"/>
      </c>
      <c r="V504" s="230">
        <f t="shared" si="835"/>
      </c>
      <c r="W504" s="230">
        <f t="shared" si="742"/>
      </c>
      <c r="X504" s="227">
        <f t="shared" si="711"/>
      </c>
      <c r="Y504" s="231">
        <f t="shared" si="626"/>
      </c>
      <c r="Z504" s="231">
        <v>6</v>
      </c>
      <c r="AA504" s="231">
        <v>8</v>
      </c>
      <c r="AB504" s="232">
        <v>13143.72</v>
      </c>
      <c r="AC504" s="232">
        <v>2401</v>
      </c>
      <c r="AD504" s="228">
        <f t="shared" si="680"/>
      </c>
      <c r="AE504" s="233" t="s">
        <v>202</v>
      </c>
      <c r="AF504" s="234" t="s">
        <v>203</v>
      </c>
      <c r="AG504" s="235">
        <v>7</v>
      </c>
      <c r="AH504" s="236">
        <v>60156</v>
      </c>
      <c r="AI504" s="236">
        <v>1815</v>
      </c>
      <c r="AJ504" s="236">
        <v>2093</v>
      </c>
      <c r="AK504" s="235">
        <v>180</v>
      </c>
      <c r="AL504" s="235">
        <v>175</v>
      </c>
    </row>
    <row r="505">
      <c r="A505" s="216"/>
      <c r="B505" s="239" t="s">
        <v>208</v>
      </c>
      <c r="C505" s="240">
        <v>5</v>
      </c>
      <c r="D505" s="241">
        <f>SUM(D500:D504)</f>
      </c>
      <c r="E505" s="241">
        <f>SUM(E500:E504)</f>
      </c>
      <c r="F505" s="241">
        <f>SUM(F500:F504)</f>
      </c>
      <c r="G505" s="241">
        <f>SUM(G500:G504)</f>
      </c>
      <c r="H505" s="241">
        <f>SUM(H500:H504)</f>
      </c>
      <c r="I505" s="241">
        <f>SUM(I500:I504)</f>
      </c>
      <c r="J505" s="241">
        <f>SUM(J500:J504)</f>
      </c>
      <c r="K505" s="241">
        <f>SUM(K500:K504)</f>
      </c>
      <c r="L505" s="241">
        <f>SUM(L500:L504)</f>
      </c>
      <c r="M505" s="242">
        <f t="shared" si="86"/>
      </c>
      <c r="N505" s="243">
        <f t="shared" si="55"/>
      </c>
      <c r="O505" s="243">
        <f t="shared" si="24"/>
      </c>
      <c r="P505" s="244">
        <f t="shared" si="959"/>
      </c>
      <c r="Q505" s="244">
        <f t="shared" si="928"/>
      </c>
      <c r="R505" s="244">
        <f t="shared" si="897"/>
      </c>
      <c r="S505" s="245">
        <f t="shared" si="866"/>
      </c>
      <c r="T505" s="245">
        <f t="shared" si="804"/>
      </c>
      <c r="U505" s="244">
        <f t="shared" si="773"/>
      </c>
      <c r="V505" s="245">
        <f t="shared" si="835"/>
      </c>
      <c r="W505" s="245">
        <f t="shared" si="742"/>
      </c>
      <c r="X505" s="244">
        <f t="shared" si="711"/>
      </c>
      <c r="Y505" s="241">
        <f>SUM(Y500:Y504)</f>
      </c>
      <c r="Z505" s="241">
        <f>SUM(Z500:Z504)</f>
      </c>
      <c r="AA505" s="241">
        <f>SUM(AA500:AA504)</f>
      </c>
      <c r="AB505" s="241">
        <f>SUM(AB500:AB504)</f>
      </c>
      <c r="AC505" s="241">
        <f>SUM(AC500:AC504)</f>
      </c>
      <c r="AD505" s="246">
        <f t="shared" si="680"/>
      </c>
      <c r="AE505" s="247"/>
      <c r="AF505" s="248"/>
      <c r="AG505" s="241">
        <f>SUM(AG500:AG504)</f>
      </c>
      <c r="AH505" s="241">
        <f>SUM(AH500:AH504)</f>
      </c>
      <c r="AI505" s="241">
        <f>SUM(AI500:AI504)</f>
      </c>
      <c r="AJ505" s="241">
        <f>SUM(AJ500:AJ504)</f>
      </c>
      <c r="AK505" s="241">
        <f>SUM(AK500:AK504)</f>
      </c>
      <c r="AL505" s="241">
        <f>SUM(AL500:AL504)</f>
      </c>
    </row>
    <row r="506">
      <c r="A506" s="216"/>
      <c r="B506" s="253" t="s">
        <v>208</v>
      </c>
      <c r="C506" s="254">
        <f>C486+C492+C495+C499+C505</f>
      </c>
      <c r="D506" s="254">
        <f>D486+D492+D495+D499+D505</f>
      </c>
      <c r="E506" s="254">
        <f>E486+E492+E495+E499+E505</f>
      </c>
      <c r="F506" s="254">
        <f>F486+F492+F495+F499+F505</f>
      </c>
      <c r="G506" s="254">
        <f>G486+G492+G495+G499+G505</f>
      </c>
      <c r="H506" s="254">
        <f>H486+H492+H495+H499+H505</f>
      </c>
      <c r="I506" s="254">
        <f>I486+I492+I495+I499+I505</f>
      </c>
      <c r="J506" s="254">
        <f>J486+J492+J495+J499+J505</f>
      </c>
      <c r="K506" s="254">
        <f>K486+K492+K495+K499+K505</f>
      </c>
      <c r="L506" s="254">
        <f>L486+L492+L495+L499+L505</f>
      </c>
      <c r="M506" s="256">
        <f t="shared" si="86"/>
      </c>
      <c r="N506" s="256">
        <f t="shared" si="55"/>
      </c>
      <c r="O506" s="256">
        <f t="shared" si="24"/>
      </c>
      <c r="P506" s="256">
        <f t="shared" si="959"/>
      </c>
      <c r="Q506" s="256">
        <f t="shared" si="928"/>
      </c>
      <c r="R506" s="256">
        <f t="shared" si="897"/>
      </c>
      <c r="S506" s="257">
        <f t="shared" si="866"/>
      </c>
      <c r="T506" s="257">
        <f t="shared" si="804"/>
      </c>
      <c r="U506" s="256">
        <f t="shared" si="773"/>
      </c>
      <c r="V506" s="257">
        <f t="shared" si="835"/>
      </c>
      <c r="W506" s="257">
        <f t="shared" si="742"/>
      </c>
      <c r="X506" s="256">
        <f t="shared" si="711"/>
      </c>
      <c r="Y506" s="254">
        <f>Y486+Y492+Y495+Y499+Y505</f>
      </c>
      <c r="Z506" s="254">
        <f>Z486+Z492+Z495+Z499+Z505</f>
      </c>
      <c r="AA506" s="254">
        <f>AA486+AA492+AA495+AA499+AA505</f>
      </c>
      <c r="AB506" s="254">
        <f>AB486+AB492+AB495+AB499+AB505</f>
      </c>
      <c r="AC506" s="254">
        <f>AC486+AC492+AC495+AC499+AC505</f>
      </c>
      <c r="AD506" s="258">
        <f t="shared" si="680"/>
      </c>
      <c r="AE506" s="253"/>
      <c r="AF506" s="253"/>
      <c r="AG506" s="254">
        <f>AG486+AG492+AG495+AG499+AG505</f>
      </c>
      <c r="AH506" s="254">
        <f>AH486+AH492+AH495+AH499+AH505</f>
      </c>
      <c r="AI506" s="254">
        <f>AI486+AI492+AI495+AI499+AI505</f>
      </c>
      <c r="AJ506" s="254">
        <f>AJ486+AJ492+AJ495+AJ499+AJ505</f>
      </c>
      <c r="AK506" s="254">
        <f>AK486+AK492+AK495+AK499+AK505</f>
      </c>
      <c r="AL506" s="254">
        <f>AL486+AL492+AL495+AL499+AL505</f>
      </c>
    </row>
    <row r="507">
      <c r="A507" s="202" t="s">
        <v>162</v>
      </c>
      <c r="B507" s="203" t="s">
        <v>163</v>
      </c>
      <c r="C507" s="203" t="s">
        <v>164</v>
      </c>
      <c r="D507" s="204" t="s">
        <v>165</v>
      </c>
      <c r="E507" s="203" t="s">
        <v>166</v>
      </c>
      <c r="F507" s="203" t="s">
        <v>167</v>
      </c>
      <c r="G507" s="205" t="s">
        <v>168</v>
      </c>
      <c r="H507" s="205" t="s">
        <v>169</v>
      </c>
      <c r="I507" s="204" t="s">
        <v>170</v>
      </c>
      <c r="J507" s="206" t="s">
        <v>171</v>
      </c>
      <c r="K507" s="207" t="s">
        <v>172</v>
      </c>
      <c r="L507" s="207" t="s">
        <v>173</v>
      </c>
      <c r="M507" s="208" t="s">
        <v>174</v>
      </c>
      <c r="N507" s="207" t="s">
        <v>175</v>
      </c>
      <c r="O507" s="203" t="s">
        <v>176</v>
      </c>
      <c r="P507" s="208" t="s">
        <v>177</v>
      </c>
      <c r="Q507" s="209" t="s">
        <v>178</v>
      </c>
      <c r="R507" s="209" t="s">
        <v>179</v>
      </c>
      <c r="S507" s="204" t="s">
        <v>180</v>
      </c>
      <c r="T507" s="210" t="s">
        <v>181</v>
      </c>
      <c r="U507" s="208" t="s">
        <v>182</v>
      </c>
      <c r="V507" s="211" t="s">
        <v>183</v>
      </c>
      <c r="W507" s="212" t="s">
        <v>184</v>
      </c>
      <c r="X507" s="208" t="s">
        <v>185</v>
      </c>
      <c r="Y507" s="213" t="s">
        <v>186</v>
      </c>
      <c r="Z507" s="214" t="s">
        <v>187</v>
      </c>
      <c r="AA507" s="213" t="s">
        <v>188</v>
      </c>
      <c r="AB507" s="215" t="s">
        <v>189</v>
      </c>
      <c r="AC507" s="215" t="s">
        <v>190</v>
      </c>
      <c r="AD507" s="207" t="s">
        <v>191</v>
      </c>
      <c r="AE507" s="206" t="s">
        <v>192</v>
      </c>
      <c r="AF507" s="207" t="s">
        <v>193</v>
      </c>
      <c r="AG507" s="206" t="s">
        <v>194</v>
      </c>
      <c r="AH507" s="206" t="s">
        <v>195</v>
      </c>
      <c r="AI507" s="207" t="s">
        <v>196</v>
      </c>
      <c r="AJ507" s="206" t="s">
        <v>197</v>
      </c>
      <c r="AK507" s="207" t="s">
        <v>198</v>
      </c>
      <c r="AL507" s="206" t="s">
        <v>199</v>
      </c>
    </row>
    <row r="508">
      <c r="A508" s="216">
        <v>46260</v>
      </c>
      <c r="B508" s="217" t="s">
        <v>200</v>
      </c>
      <c r="C508" s="218" t="s">
        <v>234</v>
      </c>
      <c r="D508" s="219">
        <f t="shared" ref="D508:D512" si="522">E508+F508+G508+H508</f>
      </c>
      <c r="E508" s="220">
        <v>1265.58</v>
      </c>
      <c r="F508" s="221">
        <v>8367.18</v>
      </c>
      <c r="G508" s="221">
        <v>0</v>
      </c>
      <c r="H508" s="221">
        <v>0</v>
      </c>
      <c r="I508" s="221">
        <f t="shared" ref="I508:I512" si="409">AB508+AC508</f>
      </c>
      <c r="J508" s="222">
        <f>8966.16+656+491.52</f>
      </c>
      <c r="K508" s="223">
        <f t="shared" ref="K508:K512" si="294">I508-J508</f>
      </c>
      <c r="L508" s="223">
        <f t="shared" ref="L508:L512" si="179">(I508-AC508)/12+AC508</f>
      </c>
      <c r="M508" s="224">
        <f t="shared" ref="M508:M533" si="87">I508/D508</f>
      </c>
      <c r="N508" s="225">
        <f t="shared" ref="N508:N533" si="56">(I508-J508)/D508</f>
      </c>
      <c r="O508" s="226">
        <f t="shared" ref="O508:O533" si="25">(AC508+AB508/12)/D508</f>
      </c>
      <c r="P508" s="227">
        <f t="shared" ref="P508:P533" si="960">I508/AA508</f>
      </c>
      <c r="Q508" s="227">
        <f t="shared" ref="Q508:Q533" si="929">D508/AA508</f>
      </c>
      <c r="R508" s="227">
        <f t="shared" ref="R508:R533" si="898">D508/AG508</f>
      </c>
      <c r="S508" s="228">
        <f t="shared" ref="S508:S533" si="867">AA508/Y508</f>
      </c>
      <c r="T508" s="229">
        <f t="shared" ref="T508:T533" si="805">AI508/AH508</f>
      </c>
      <c r="U508" s="227">
        <f t="shared" ref="U508:U533" si="774">D508/AJ508</f>
      </c>
      <c r="V508" s="230">
        <f t="shared" ref="V508:V533" si="836">AK508/AJ508</f>
      </c>
      <c r="W508" s="230">
        <f t="shared" ref="W508:W533" si="743">AL508/AJ508</f>
      </c>
      <c r="X508" s="227">
        <f t="shared" ref="X508:X533" si="712">D508/AL508</f>
      </c>
      <c r="Y508" s="231">
        <f t="shared" ref="Y508:Y512" si="627">Z508+AA508</f>
      </c>
      <c r="Z508" s="231">
        <v>11</v>
      </c>
      <c r="AA508" s="231">
        <v>9</v>
      </c>
      <c r="AB508" s="232">
        <v>23697.24</v>
      </c>
      <c r="AC508" s="232">
        <v>656</v>
      </c>
      <c r="AD508" s="228">
        <f t="shared" ref="AD508:AD533" si="681">AC508/I508</f>
      </c>
      <c r="AE508" s="233" t="s">
        <v>202</v>
      </c>
      <c r="AF508" s="234" t="s">
        <v>217</v>
      </c>
      <c r="AG508" s="235">
        <v>9</v>
      </c>
      <c r="AH508" s="235">
        <v>87386</v>
      </c>
      <c r="AI508" s="236">
        <v>2920</v>
      </c>
      <c r="AJ508" s="236">
        <v>3213</v>
      </c>
      <c r="AK508" s="235">
        <v>312</v>
      </c>
      <c r="AL508" s="237">
        <v>315</v>
      </c>
    </row>
    <row r="509">
      <c r="A509" s="216"/>
      <c r="B509" s="217" t="s">
        <v>200</v>
      </c>
      <c r="C509" s="218" t="s">
        <v>235</v>
      </c>
      <c r="D509" s="219">
        <f t="shared" si="522"/>
      </c>
      <c r="E509" s="218">
        <v>2428.28</v>
      </c>
      <c r="F509" s="221">
        <v>11691.45</v>
      </c>
      <c r="G509" s="221">
        <v>0</v>
      </c>
      <c r="H509" s="221">
        <v>0</v>
      </c>
      <c r="I509" s="221">
        <f t="shared" si="409"/>
      </c>
      <c r="J509" s="222">
        <v>5586.72</v>
      </c>
      <c r="K509" s="223">
        <f t="shared" si="294"/>
      </c>
      <c r="L509" s="223">
        <f t="shared" si="179"/>
      </c>
      <c r="M509" s="224">
        <f t="shared" si="87"/>
      </c>
      <c r="N509" s="225">
        <f t="shared" si="56"/>
      </c>
      <c r="O509" s="226">
        <f t="shared" si="25"/>
      </c>
      <c r="P509" s="227">
        <f t="shared" si="960"/>
      </c>
      <c r="Q509" s="227">
        <f t="shared" si="929"/>
      </c>
      <c r="R509" s="227">
        <f t="shared" si="898"/>
      </c>
      <c r="S509" s="228">
        <f t="shared" si="867"/>
      </c>
      <c r="T509" s="229">
        <f t="shared" si="805"/>
      </c>
      <c r="U509" s="227">
        <f t="shared" si="774"/>
      </c>
      <c r="V509" s="230">
        <f t="shared" si="836"/>
      </c>
      <c r="W509" s="230">
        <f t="shared" si="743"/>
      </c>
      <c r="X509" s="227">
        <f t="shared" si="712"/>
      </c>
      <c r="Y509" s="231">
        <f t="shared" si="627"/>
      </c>
      <c r="Z509" s="231">
        <v>10</v>
      </c>
      <c r="AA509" s="231">
        <v>11</v>
      </c>
      <c r="AB509" s="232">
        <v>29402.879999999994</v>
      </c>
      <c r="AC509" s="232">
        <v>0</v>
      </c>
      <c r="AD509" s="228">
        <f t="shared" si="681"/>
      </c>
      <c r="AE509" s="233" t="s">
        <v>202</v>
      </c>
      <c r="AF509" s="234" t="s">
        <v>217</v>
      </c>
      <c r="AG509" s="235">
        <v>10</v>
      </c>
      <c r="AH509" s="236">
        <v>122375</v>
      </c>
      <c r="AI509" s="236">
        <v>3880</v>
      </c>
      <c r="AJ509" s="236">
        <v>4329</v>
      </c>
      <c r="AK509" s="237">
        <v>463</v>
      </c>
      <c r="AL509" s="237">
        <v>397</v>
      </c>
    </row>
    <row r="510">
      <c r="A510" s="216"/>
      <c r="B510" s="217" t="s">
        <v>200</v>
      </c>
      <c r="C510" s="218" t="s">
        <v>236</v>
      </c>
      <c r="D510" s="219">
        <f t="shared" si="522"/>
      </c>
      <c r="E510" s="218">
        <v>1559.42</v>
      </c>
      <c r="F510" s="218">
        <v>10203.81</v>
      </c>
      <c r="G510" s="221">
        <v>0</v>
      </c>
      <c r="H510" s="221">
        <v>0</v>
      </c>
      <c r="I510" s="221">
        <f t="shared" si="409"/>
      </c>
      <c r="J510" s="222">
        <v>3408.48</v>
      </c>
      <c r="K510" s="223">
        <f t="shared" si="294"/>
      </c>
      <c r="L510" s="223">
        <f t="shared" si="179"/>
      </c>
      <c r="M510" s="224">
        <f t="shared" si="87"/>
      </c>
      <c r="N510" s="225">
        <f t="shared" si="56"/>
      </c>
      <c r="O510" s="226">
        <f t="shared" si="25"/>
      </c>
      <c r="P510" s="227">
        <f t="shared" si="960"/>
      </c>
      <c r="Q510" s="227">
        <f t="shared" si="929"/>
      </c>
      <c r="R510" s="227">
        <f t="shared" si="898"/>
      </c>
      <c r="S510" s="228">
        <f t="shared" si="867"/>
      </c>
      <c r="T510" s="229">
        <f t="shared" si="805"/>
      </c>
      <c r="U510" s="227">
        <f t="shared" si="774"/>
      </c>
      <c r="V510" s="230">
        <f t="shared" si="836"/>
      </c>
      <c r="W510" s="230">
        <f t="shared" si="743"/>
      </c>
      <c r="X510" s="227">
        <f t="shared" si="712"/>
      </c>
      <c r="Y510" s="231">
        <f t="shared" si="627"/>
      </c>
      <c r="Z510" s="231">
        <v>13</v>
      </c>
      <c r="AA510" s="231">
        <v>13</v>
      </c>
      <c r="AB510" s="232">
        <v>19537.2</v>
      </c>
      <c r="AC510" s="232">
        <v>1206.5</v>
      </c>
      <c r="AD510" s="228">
        <f t="shared" si="681"/>
      </c>
      <c r="AE510" s="233" t="s">
        <v>202</v>
      </c>
      <c r="AF510" s="234" t="s">
        <v>217</v>
      </c>
      <c r="AG510" s="237">
        <v>11</v>
      </c>
      <c r="AH510" s="236">
        <v>110715</v>
      </c>
      <c r="AI510" s="236">
        <v>2760</v>
      </c>
      <c r="AJ510" s="236">
        <v>2944</v>
      </c>
      <c r="AK510" s="237">
        <v>405</v>
      </c>
      <c r="AL510" s="237">
        <v>396</v>
      </c>
    </row>
    <row r="511">
      <c r="A511" s="216"/>
      <c r="B511" s="217" t="s">
        <v>200</v>
      </c>
      <c r="C511" s="218" t="s">
        <v>216</v>
      </c>
      <c r="D511" s="219">
        <f t="shared" si="522"/>
      </c>
      <c r="E511" s="218">
        <v>1276.48</v>
      </c>
      <c r="F511" s="221">
        <v>6770.79</v>
      </c>
      <c r="G511" s="221">
        <v>0</v>
      </c>
      <c r="H511" s="221">
        <v>0</v>
      </c>
      <c r="I511" s="238">
        <f t="shared" si="409"/>
      </c>
      <c r="J511" s="222">
        <f>5575.56+708.48</f>
      </c>
      <c r="K511" s="223">
        <f t="shared" si="294"/>
      </c>
      <c r="L511" s="223">
        <f t="shared" si="179"/>
      </c>
      <c r="M511" s="224">
        <f t="shared" si="87"/>
      </c>
      <c r="N511" s="225">
        <f t="shared" si="56"/>
      </c>
      <c r="O511" s="226">
        <f t="shared" si="25"/>
      </c>
      <c r="P511" s="227">
        <f t="shared" si="960"/>
      </c>
      <c r="Q511" s="227">
        <f t="shared" si="929"/>
      </c>
      <c r="R511" s="227">
        <f t="shared" si="898"/>
      </c>
      <c r="S511" s="228">
        <f t="shared" si="867"/>
      </c>
      <c r="T511" s="229">
        <f t="shared" si="805"/>
      </c>
      <c r="U511" s="227">
        <f t="shared" si="774"/>
      </c>
      <c r="V511" s="230">
        <f t="shared" si="836"/>
      </c>
      <c r="W511" s="230">
        <f t="shared" si="743"/>
      </c>
      <c r="X511" s="227">
        <f t="shared" si="712"/>
      </c>
      <c r="Y511" s="231">
        <f t="shared" si="627"/>
      </c>
      <c r="Z511" s="231">
        <v>12</v>
      </c>
      <c r="AA511" s="231">
        <v>8</v>
      </c>
      <c r="AB511" s="232">
        <v>11439.360000000004</v>
      </c>
      <c r="AC511" s="232">
        <v>2786</v>
      </c>
      <c r="AD511" s="228">
        <f t="shared" si="681"/>
      </c>
      <c r="AE511" s="233" t="s">
        <v>202</v>
      </c>
      <c r="AF511" s="234" t="s">
        <v>217</v>
      </c>
      <c r="AG511" s="235">
        <v>5</v>
      </c>
      <c r="AH511" s="236">
        <v>64279</v>
      </c>
      <c r="AI511" s="236">
        <v>1655</v>
      </c>
      <c r="AJ511" s="236">
        <v>1855</v>
      </c>
      <c r="AK511" s="237">
        <v>212</v>
      </c>
      <c r="AL511" s="237">
        <v>211</v>
      </c>
    </row>
    <row r="512">
      <c r="A512" s="216"/>
      <c r="B512" s="217" t="s">
        <v>200</v>
      </c>
      <c r="C512" s="218" t="s">
        <v>218</v>
      </c>
      <c r="D512" s="219">
        <f t="shared" si="522"/>
      </c>
      <c r="E512" s="220">
        <v>1585.34</v>
      </c>
      <c r="F512" s="221">
        <v>7305.32</v>
      </c>
      <c r="G512" s="221">
        <v>0</v>
      </c>
      <c r="H512" s="221">
        <v>0</v>
      </c>
      <c r="I512" s="221">
        <f t="shared" si="409"/>
      </c>
      <c r="J512" s="222">
        <v>1551.96</v>
      </c>
      <c r="K512" s="223">
        <f t="shared" si="294"/>
      </c>
      <c r="L512" s="223">
        <f t="shared" si="179"/>
      </c>
      <c r="M512" s="224">
        <f t="shared" si="87"/>
      </c>
      <c r="N512" s="225">
        <f t="shared" si="56"/>
      </c>
      <c r="O512" s="226">
        <f t="shared" si="25"/>
      </c>
      <c r="P512" s="227">
        <f t="shared" si="960"/>
      </c>
      <c r="Q512" s="227">
        <f t="shared" si="929"/>
      </c>
      <c r="R512" s="227">
        <f t="shared" si="898"/>
      </c>
      <c r="S512" s="228">
        <f t="shared" si="867"/>
      </c>
      <c r="T512" s="229">
        <f t="shared" si="805"/>
      </c>
      <c r="U512" s="227">
        <f t="shared" si="774"/>
      </c>
      <c r="V512" s="230">
        <f t="shared" si="836"/>
      </c>
      <c r="W512" s="230">
        <f t="shared" si="743"/>
      </c>
      <c r="X512" s="227">
        <f t="shared" si="712"/>
      </c>
      <c r="Y512" s="231">
        <f t="shared" si="627"/>
      </c>
      <c r="Z512" s="231">
        <v>10</v>
      </c>
      <c r="AA512" s="231">
        <v>4</v>
      </c>
      <c r="AB512" s="232">
        <v>6899.040000000012</v>
      </c>
      <c r="AC512" s="232">
        <v>0</v>
      </c>
      <c r="AD512" s="228">
        <f t="shared" si="681"/>
      </c>
      <c r="AE512" s="233" t="s">
        <v>202</v>
      </c>
      <c r="AF512" s="234" t="s">
        <v>217</v>
      </c>
      <c r="AG512" s="235">
        <v>5</v>
      </c>
      <c r="AH512" s="236">
        <v>64490</v>
      </c>
      <c r="AI512" s="236">
        <v>1886</v>
      </c>
      <c r="AJ512" s="236">
        <v>2153</v>
      </c>
      <c r="AK512" s="235">
        <v>240</v>
      </c>
      <c r="AL512" s="235">
        <v>229</v>
      </c>
    </row>
    <row r="513">
      <c r="A513" s="216"/>
      <c r="B513" s="239" t="s">
        <v>208</v>
      </c>
      <c r="C513" s="240">
        <v>5</v>
      </c>
      <c r="D513" s="241">
        <f>SUM(D508:D512)</f>
      </c>
      <c r="E513" s="241">
        <f>SUM(E508:E512)</f>
      </c>
      <c r="F513" s="241">
        <f>SUM(F508:F512)</f>
      </c>
      <c r="G513" s="241">
        <f>SUM(G508:G512)</f>
      </c>
      <c r="H513" s="241">
        <f>SUM(H508:H512)</f>
      </c>
      <c r="I513" s="241">
        <f>SUM(I508:I512)</f>
      </c>
      <c r="J513" s="241">
        <f>SUM(J508:J512)</f>
      </c>
      <c r="K513" s="241">
        <f>SUM(K508:K512)</f>
      </c>
      <c r="L513" s="241">
        <f>SUM(L508:L512)</f>
      </c>
      <c r="M513" s="242">
        <f t="shared" si="87"/>
      </c>
      <c r="N513" s="243">
        <f t="shared" si="56"/>
      </c>
      <c r="O513" s="243">
        <f t="shared" si="25"/>
      </c>
      <c r="P513" s="244">
        <f t="shared" si="960"/>
      </c>
      <c r="Q513" s="244">
        <f t="shared" si="929"/>
      </c>
      <c r="R513" s="244">
        <f t="shared" si="898"/>
      </c>
      <c r="S513" s="245">
        <f t="shared" si="867"/>
      </c>
      <c r="T513" s="245">
        <f t="shared" si="805"/>
      </c>
      <c r="U513" s="244">
        <f t="shared" si="774"/>
      </c>
      <c r="V513" s="245">
        <f t="shared" si="836"/>
      </c>
      <c r="W513" s="245">
        <f t="shared" si="743"/>
      </c>
      <c r="X513" s="244">
        <f t="shared" si="712"/>
      </c>
      <c r="Y513" s="241">
        <f>SUM(Y508:Y512)</f>
      </c>
      <c r="Z513" s="241">
        <f>SUM(Z508:Z512)</f>
      </c>
      <c r="AA513" s="241">
        <f>SUM(AA508:AA512)</f>
      </c>
      <c r="AB513" s="241">
        <f>SUM(AB508:AB512)</f>
      </c>
      <c r="AC513" s="241">
        <f>SUM(AC508:AC512)</f>
      </c>
      <c r="AD513" s="246">
        <f t="shared" si="681"/>
      </c>
      <c r="AE513" s="247"/>
      <c r="AF513" s="248"/>
      <c r="AG513" s="241">
        <f>SUM(AG508:AG512)</f>
      </c>
      <c r="AH513" s="241">
        <f>SUM(AH508:AH512)</f>
      </c>
      <c r="AI513" s="241">
        <f>SUM(AI508:AI512)</f>
      </c>
      <c r="AJ513" s="241">
        <f>SUM(AJ508:AJ512)</f>
      </c>
      <c r="AK513" s="241">
        <f>SUM(AK508:AK512)</f>
      </c>
      <c r="AL513" s="241">
        <f>SUM(AL508:AL512)</f>
      </c>
    </row>
    <row r="514">
      <c r="A514" s="216"/>
      <c r="B514" s="217" t="s">
        <v>223</v>
      </c>
      <c r="C514" s="218" t="s">
        <v>219</v>
      </c>
      <c r="D514" s="219">
        <f t="shared" ref="D514:D518" si="523">E514+F514+G514+H514</f>
      </c>
      <c r="E514" s="220">
        <v>1057.87</v>
      </c>
      <c r="F514" s="221">
        <v>4510.08</v>
      </c>
      <c r="G514" s="221">
        <v>0</v>
      </c>
      <c r="H514" s="221">
        <v>0</v>
      </c>
      <c r="I514" s="221">
        <f t="shared" ref="I514:I518" si="410">AB514+AC514</f>
      </c>
      <c r="J514" s="222">
        <f>7687.68+4461.48</f>
      </c>
      <c r="K514" s="223">
        <f t="shared" ref="K514:K518" si="295">I514-J514</f>
      </c>
      <c r="L514" s="223">
        <f t="shared" ref="L514:L518" si="180">(I514-AC514)/12+AC514</f>
      </c>
      <c r="M514" s="224">
        <f t="shared" si="87"/>
      </c>
      <c r="N514" s="225">
        <f t="shared" si="56"/>
      </c>
      <c r="O514" s="226">
        <f t="shared" si="25"/>
      </c>
      <c r="P514" s="227">
        <f t="shared" si="960"/>
      </c>
      <c r="Q514" s="227">
        <f t="shared" si="929"/>
      </c>
      <c r="R514" s="227">
        <f t="shared" si="898"/>
      </c>
      <c r="S514" s="228">
        <f t="shared" si="867"/>
      </c>
      <c r="T514" s="229">
        <f t="shared" si="805"/>
      </c>
      <c r="U514" s="227">
        <f t="shared" si="774"/>
      </c>
      <c r="V514" s="230">
        <f t="shared" si="836"/>
      </c>
      <c r="W514" s="230">
        <f t="shared" si="743"/>
      </c>
      <c r="X514" s="227">
        <f t="shared" si="712"/>
      </c>
      <c r="Y514" s="231">
        <f t="shared" ref="Y514:Y518" si="628">Z514+AA514</f>
      </c>
      <c r="Z514" s="231">
        <v>8</v>
      </c>
      <c r="AA514" s="231">
        <v>8</v>
      </c>
      <c r="AB514" s="232">
        <v>23777.76</v>
      </c>
      <c r="AC514" s="232">
        <v>0</v>
      </c>
      <c r="AD514" s="228">
        <f t="shared" si="681"/>
      </c>
      <c r="AE514" s="233" t="s">
        <v>202</v>
      </c>
      <c r="AF514" s="234" t="s">
        <v>217</v>
      </c>
      <c r="AG514" s="235">
        <v>7</v>
      </c>
      <c r="AH514" s="236">
        <v>46894</v>
      </c>
      <c r="AI514" s="236">
        <v>1299</v>
      </c>
      <c r="AJ514" s="236">
        <v>1486</v>
      </c>
      <c r="AK514" s="235">
        <v>176</v>
      </c>
      <c r="AL514" s="235">
        <v>180</v>
      </c>
    </row>
    <row r="515">
      <c r="A515" s="216"/>
      <c r="B515" s="217" t="s">
        <v>223</v>
      </c>
      <c r="C515" s="218" t="s">
        <v>220</v>
      </c>
      <c r="D515" s="219">
        <f t="shared" si="523"/>
      </c>
      <c r="E515" s="218">
        <v>472.01</v>
      </c>
      <c r="F515" s="221">
        <v>4876.72</v>
      </c>
      <c r="G515" s="221">
        <v>0</v>
      </c>
      <c r="H515" s="221">
        <v>0</v>
      </c>
      <c r="I515" s="221">
        <f t="shared" si="410"/>
      </c>
      <c r="J515" s="222">
        <f>2425.4+752.76+1797.12</f>
      </c>
      <c r="K515" s="223">
        <f t="shared" si="295"/>
      </c>
      <c r="L515" s="223">
        <f t="shared" si="180"/>
      </c>
      <c r="M515" s="224">
        <f t="shared" si="87"/>
      </c>
      <c r="N515" s="225">
        <f t="shared" si="56"/>
      </c>
      <c r="O515" s="226">
        <f t="shared" si="25"/>
      </c>
      <c r="P515" s="227">
        <f t="shared" si="960"/>
      </c>
      <c r="Q515" s="227">
        <f t="shared" si="929"/>
      </c>
      <c r="R515" s="227">
        <f t="shared" si="898"/>
      </c>
      <c r="S515" s="228">
        <f t="shared" si="867"/>
      </c>
      <c r="T515" s="229">
        <f t="shared" si="805"/>
      </c>
      <c r="U515" s="227">
        <f t="shared" si="774"/>
      </c>
      <c r="V515" s="230">
        <f t="shared" si="836"/>
      </c>
      <c r="W515" s="230">
        <f t="shared" si="743"/>
      </c>
      <c r="X515" s="227">
        <f t="shared" si="712"/>
      </c>
      <c r="Y515" s="231">
        <f t="shared" si="628"/>
      </c>
      <c r="Z515" s="231">
        <v>12</v>
      </c>
      <c r="AA515" s="231">
        <v>6</v>
      </c>
      <c r="AB515" s="232">
        <v>4175.2800000000025</v>
      </c>
      <c r="AC515" s="232">
        <v>4423.299999999999</v>
      </c>
      <c r="AD515" s="228">
        <f t="shared" si="681"/>
      </c>
      <c r="AE515" s="233" t="s">
        <v>202</v>
      </c>
      <c r="AF515" s="234" t="s">
        <v>217</v>
      </c>
      <c r="AG515" s="235">
        <v>4</v>
      </c>
      <c r="AH515" s="236">
        <v>37982</v>
      </c>
      <c r="AI515" s="236">
        <v>695</v>
      </c>
      <c r="AJ515" s="236">
        <v>754</v>
      </c>
      <c r="AK515" s="237">
        <v>118</v>
      </c>
      <c r="AL515" s="237">
        <v>137</v>
      </c>
    </row>
    <row r="516">
      <c r="A516" s="216"/>
      <c r="B516" s="217" t="s">
        <v>223</v>
      </c>
      <c r="C516" s="218" t="s">
        <v>221</v>
      </c>
      <c r="D516" s="219">
        <f t="shared" si="523"/>
      </c>
      <c r="E516" s="218">
        <v>371.13</v>
      </c>
      <c r="F516" s="218">
        <v>3407.09</v>
      </c>
      <c r="G516" s="221">
        <v>0</v>
      </c>
      <c r="H516" s="221">
        <v>0</v>
      </c>
      <c r="I516" s="221">
        <f t="shared" si="410"/>
      </c>
      <c r="J516" s="222">
        <v>1064</v>
      </c>
      <c r="K516" s="223">
        <f t="shared" si="295"/>
      </c>
      <c r="L516" s="223">
        <f t="shared" si="180"/>
      </c>
      <c r="M516" s="224">
        <f t="shared" si="87"/>
      </c>
      <c r="N516" s="225">
        <f t="shared" si="56"/>
      </c>
      <c r="O516" s="226">
        <f t="shared" si="25"/>
      </c>
      <c r="P516" s="227">
        <f t="shared" si="960"/>
      </c>
      <c r="Q516" s="227">
        <f t="shared" si="929"/>
      </c>
      <c r="R516" s="227">
        <f t="shared" si="898"/>
      </c>
      <c r="S516" s="228">
        <f t="shared" si="867"/>
      </c>
      <c r="T516" s="229">
        <f t="shared" si="805"/>
      </c>
      <c r="U516" s="227">
        <f t="shared" si="774"/>
      </c>
      <c r="V516" s="230">
        <f t="shared" si="836"/>
      </c>
      <c r="W516" s="230">
        <f t="shared" si="743"/>
      </c>
      <c r="X516" s="227">
        <f t="shared" si="712"/>
      </c>
      <c r="Y516" s="231">
        <f t="shared" si="628"/>
      </c>
      <c r="Z516" s="231">
        <v>6</v>
      </c>
      <c r="AA516" s="231">
        <v>2</v>
      </c>
      <c r="AB516" s="232">
        <v>1551.959999999981</v>
      </c>
      <c r="AC516" s="232">
        <v>1064</v>
      </c>
      <c r="AD516" s="228">
        <f t="shared" si="681"/>
      </c>
      <c r="AE516" s="233" t="s">
        <v>202</v>
      </c>
      <c r="AF516" s="234" t="s">
        <v>217</v>
      </c>
      <c r="AG516" s="237">
        <v>2</v>
      </c>
      <c r="AH516" s="236">
        <v>28744</v>
      </c>
      <c r="AI516" s="236">
        <v>711</v>
      </c>
      <c r="AJ516" s="236">
        <v>770</v>
      </c>
      <c r="AK516" s="237">
        <v>100</v>
      </c>
      <c r="AL516" s="237">
        <v>104</v>
      </c>
    </row>
    <row r="517">
      <c r="A517" s="216"/>
      <c r="B517" s="217" t="s">
        <v>223</v>
      </c>
      <c r="C517" s="218" t="s">
        <v>201</v>
      </c>
      <c r="D517" s="219">
        <f t="shared" si="523"/>
      </c>
      <c r="E517" s="218">
        <v>289.57</v>
      </c>
      <c r="F517" s="221">
        <v>1849.92</v>
      </c>
      <c r="G517" s="221">
        <v>0</v>
      </c>
      <c r="H517" s="221">
        <v>0</v>
      </c>
      <c r="I517" s="221">
        <f t="shared" si="410"/>
      </c>
      <c r="J517" s="222">
        <v>0</v>
      </c>
      <c r="K517" s="223">
        <f t="shared" si="295"/>
      </c>
      <c r="L517" s="223">
        <f t="shared" si="180"/>
      </c>
      <c r="M517" s="224">
        <f t="shared" si="87"/>
      </c>
      <c r="N517" s="225">
        <f t="shared" si="56"/>
      </c>
      <c r="O517" s="226">
        <f t="shared" si="25"/>
      </c>
      <c r="P517" s="227">
        <f t="shared" si="960"/>
      </c>
      <c r="Q517" s="227">
        <f t="shared" si="929"/>
      </c>
      <c r="R517" s="227">
        <f t="shared" si="898"/>
      </c>
      <c r="S517" s="228">
        <f t="shared" si="867"/>
      </c>
      <c r="T517" s="229">
        <f t="shared" si="805"/>
      </c>
      <c r="U517" s="227">
        <f t="shared" si="774"/>
      </c>
      <c r="V517" s="230">
        <f t="shared" si="836"/>
      </c>
      <c r="W517" s="230">
        <f t="shared" si="743"/>
      </c>
      <c r="X517" s="227">
        <f t="shared" si="712"/>
      </c>
      <c r="Y517" s="231">
        <f t="shared" si="628"/>
      </c>
      <c r="Z517" s="231">
        <v>4</v>
      </c>
      <c r="AA517" s="231">
        <v>1</v>
      </c>
      <c r="AB517" s="222">
        <v>0</v>
      </c>
      <c r="AC517" s="232">
        <v>1290.1000000000022</v>
      </c>
      <c r="AD517" s="228">
        <f t="shared" si="681"/>
      </c>
      <c r="AE517" s="233" t="s">
        <v>202</v>
      </c>
      <c r="AF517" s="234" t="s">
        <v>217</v>
      </c>
      <c r="AG517" s="235">
        <v>1</v>
      </c>
      <c r="AH517" s="236">
        <v>18612</v>
      </c>
      <c r="AI517" s="236">
        <v>842</v>
      </c>
      <c r="AJ517" s="236">
        <v>910</v>
      </c>
      <c r="AK517" s="237">
        <v>68</v>
      </c>
      <c r="AL517" s="237">
        <v>62</v>
      </c>
    </row>
    <row r="518">
      <c r="A518" s="216"/>
      <c r="B518" s="217" t="s">
        <v>223</v>
      </c>
      <c r="C518" s="218" t="s">
        <v>204</v>
      </c>
      <c r="D518" s="219">
        <f t="shared" si="523"/>
      </c>
      <c r="E518" s="218">
        <v>914.28</v>
      </c>
      <c r="F518" s="249">
        <v>2205.7</v>
      </c>
      <c r="G518" s="221">
        <v>0</v>
      </c>
      <c r="H518" s="221">
        <v>0</v>
      </c>
      <c r="I518" s="250">
        <f t="shared" si="410"/>
      </c>
      <c r="J518" s="251">
        <v>4691.52</v>
      </c>
      <c r="K518" s="223">
        <f t="shared" si="295"/>
      </c>
      <c r="L518" s="223">
        <f t="shared" si="180"/>
      </c>
      <c r="M518" s="224">
        <f t="shared" si="87"/>
      </c>
      <c r="N518" s="225">
        <f t="shared" si="56"/>
      </c>
      <c r="O518" s="226">
        <f t="shared" si="25"/>
      </c>
      <c r="P518" s="227">
        <f t="shared" si="960"/>
      </c>
      <c r="Q518" s="227">
        <f t="shared" si="929"/>
      </c>
      <c r="R518" s="227">
        <f t="shared" si="898"/>
      </c>
      <c r="S518" s="228">
        <f t="shared" si="867"/>
      </c>
      <c r="T518" s="229">
        <f t="shared" si="805"/>
      </c>
      <c r="U518" s="227">
        <f t="shared" si="774"/>
      </c>
      <c r="V518" s="230">
        <f t="shared" si="836"/>
      </c>
      <c r="W518" s="230">
        <f t="shared" si="743"/>
      </c>
      <c r="X518" s="227">
        <f t="shared" si="712"/>
      </c>
      <c r="Y518" s="231">
        <f t="shared" si="628"/>
      </c>
      <c r="Z518" s="231">
        <v>2</v>
      </c>
      <c r="AA518" s="231">
        <v>3</v>
      </c>
      <c r="AB518" s="232">
        <v>9040.680000000026</v>
      </c>
      <c r="AC518" s="232">
        <v>0</v>
      </c>
      <c r="AD518" s="228">
        <f t="shared" si="681"/>
      </c>
      <c r="AE518" s="233" t="s">
        <v>202</v>
      </c>
      <c r="AF518" s="234" t="s">
        <v>217</v>
      </c>
      <c r="AG518" s="235">
        <v>3</v>
      </c>
      <c r="AH518" s="236">
        <v>22428</v>
      </c>
      <c r="AI518" s="236">
        <v>901</v>
      </c>
      <c r="AJ518" s="236">
        <v>1028</v>
      </c>
      <c r="AK518" s="237">
        <v>94</v>
      </c>
      <c r="AL518" s="237">
        <v>99</v>
      </c>
    </row>
    <row r="519">
      <c r="A519" s="216"/>
      <c r="B519" s="239" t="s">
        <v>208</v>
      </c>
      <c r="C519" s="240">
        <v>5</v>
      </c>
      <c r="D519" s="241">
        <f>SUM(D514:D518)</f>
      </c>
      <c r="E519" s="241">
        <f>SUM(E514:E518)</f>
      </c>
      <c r="F519" s="241">
        <f>SUM(F514:F518)</f>
      </c>
      <c r="G519" s="241">
        <f>SUM(G514:G518)</f>
      </c>
      <c r="H519" s="241">
        <f>SUM(H514:H518)</f>
      </c>
      <c r="I519" s="241">
        <f>SUM(I514:I518)</f>
      </c>
      <c r="J519" s="241">
        <f>SUM(J514:J518)</f>
      </c>
      <c r="K519" s="241">
        <f>SUM(K514:K518)</f>
      </c>
      <c r="L519" s="241">
        <f>SUM(L514:L518)</f>
      </c>
      <c r="M519" s="242">
        <f t="shared" si="87"/>
      </c>
      <c r="N519" s="243">
        <f t="shared" si="56"/>
      </c>
      <c r="O519" s="243">
        <f t="shared" si="25"/>
      </c>
      <c r="P519" s="244">
        <f t="shared" si="960"/>
      </c>
      <c r="Q519" s="244">
        <f t="shared" si="929"/>
      </c>
      <c r="R519" s="244">
        <f t="shared" si="898"/>
      </c>
      <c r="S519" s="245">
        <f t="shared" si="867"/>
      </c>
      <c r="T519" s="245">
        <f t="shared" si="805"/>
      </c>
      <c r="U519" s="244">
        <f t="shared" si="774"/>
      </c>
      <c r="V519" s="245">
        <f t="shared" si="836"/>
      </c>
      <c r="W519" s="245">
        <f t="shared" si="743"/>
      </c>
      <c r="X519" s="244">
        <f t="shared" si="712"/>
      </c>
      <c r="Y519" s="241">
        <f>SUM(Y514:Y518)</f>
      </c>
      <c r="Z519" s="241">
        <f>SUM(Z514:Z518)</f>
      </c>
      <c r="AA519" s="241">
        <f>SUM(AA514:AA518)</f>
      </c>
      <c r="AB519" s="241">
        <f>SUM(AB514:AB518)</f>
      </c>
      <c r="AC519" s="241">
        <f>SUM(AC514:AC518)</f>
      </c>
      <c r="AD519" s="246">
        <f t="shared" si="681"/>
      </c>
      <c r="AE519" s="247"/>
      <c r="AF519" s="248"/>
      <c r="AG519" s="241">
        <f>SUM(AG514:AG518)</f>
      </c>
      <c r="AH519" s="241">
        <f>SUM(AH514:AH518)</f>
      </c>
      <c r="AI519" s="241">
        <f>SUM(AI514:AI518)</f>
      </c>
      <c r="AJ519" s="241">
        <f>SUM(AJ514:AJ518)</f>
      </c>
      <c r="AK519" s="241">
        <f>SUM(AK514:AK518)</f>
      </c>
      <c r="AL519" s="241">
        <f>SUM(AL514:AL518)</f>
      </c>
    </row>
    <row r="520">
      <c r="A520" s="216"/>
      <c r="B520" s="217" t="s">
        <v>230</v>
      </c>
      <c r="C520" s="218" t="s">
        <v>205</v>
      </c>
      <c r="D520" s="219">
        <f t="shared" ref="D520:D521" si="524">E520+F520+G520+H520</f>
      </c>
      <c r="E520" s="218">
        <v>1605.05</v>
      </c>
      <c r="F520" s="249">
        <v>5468.12</v>
      </c>
      <c r="G520" s="221">
        <v>0</v>
      </c>
      <c r="H520" s="221">
        <v>0</v>
      </c>
      <c r="I520" s="250">
        <f t="shared" ref="I520:I521" si="411">AB520+AC520</f>
      </c>
      <c r="J520" s="251">
        <v>0</v>
      </c>
      <c r="K520" s="223">
        <f t="shared" ref="K520:K521" si="296">I520-J520</f>
      </c>
      <c r="L520" s="223">
        <f t="shared" ref="L520:L521" si="181">(I520-AC520)/12+AC520</f>
      </c>
      <c r="M520" s="224">
        <f t="shared" si="87"/>
      </c>
      <c r="N520" s="225">
        <f t="shared" si="56"/>
      </c>
      <c r="O520" s="226">
        <f t="shared" si="25"/>
      </c>
      <c r="P520" s="227">
        <f t="shared" si="960"/>
      </c>
      <c r="Q520" s="227">
        <f t="shared" si="929"/>
      </c>
      <c r="R520" s="227">
        <f t="shared" si="898"/>
      </c>
      <c r="S520" s="228">
        <f t="shared" si="867"/>
      </c>
      <c r="T520" s="229">
        <f t="shared" si="805"/>
      </c>
      <c r="U520" s="227">
        <f t="shared" si="774"/>
      </c>
      <c r="V520" s="230">
        <f t="shared" si="836"/>
      </c>
      <c r="W520" s="230">
        <f t="shared" si="743"/>
      </c>
      <c r="X520" s="227">
        <f t="shared" si="712"/>
      </c>
      <c r="Y520" s="231">
        <f t="shared" ref="Y520:Y521" si="629">Z520+AA520</f>
      </c>
      <c r="Z520" s="231">
        <v>4</v>
      </c>
      <c r="AA520" s="231">
        <v>7</v>
      </c>
      <c r="AB520" s="232">
        <v>7284.59999999998</v>
      </c>
      <c r="AC520" s="232">
        <v>2503</v>
      </c>
      <c r="AD520" s="228">
        <f t="shared" si="681"/>
      </c>
      <c r="AE520" s="233" t="s">
        <v>202</v>
      </c>
      <c r="AF520" s="233" t="s">
        <v>203</v>
      </c>
      <c r="AG520" s="235">
        <v>5</v>
      </c>
      <c r="AH520" s="236">
        <v>50939</v>
      </c>
      <c r="AI520" s="236">
        <v>1811</v>
      </c>
      <c r="AJ520" s="236">
        <v>1964</v>
      </c>
      <c r="AK520" s="237">
        <v>187</v>
      </c>
      <c r="AL520" s="237">
        <v>197</v>
      </c>
    </row>
    <row r="521">
      <c r="A521" s="216"/>
      <c r="B521" s="217" t="s">
        <v>230</v>
      </c>
      <c r="C521" s="218" t="s">
        <v>206</v>
      </c>
      <c r="D521" s="219">
        <f t="shared" si="524"/>
      </c>
      <c r="E521" s="252">
        <v>764</v>
      </c>
      <c r="F521" s="268">
        <v>5000.82</v>
      </c>
      <c r="G521" s="221">
        <v>0</v>
      </c>
      <c r="H521" s="221">
        <v>0</v>
      </c>
      <c r="I521" s="270">
        <f t="shared" si="411"/>
      </c>
      <c r="J521" s="251">
        <v>708.48</v>
      </c>
      <c r="K521" s="223">
        <f t="shared" si="296"/>
      </c>
      <c r="L521" s="223">
        <f t="shared" si="181"/>
      </c>
      <c r="M521" s="224">
        <f t="shared" si="87"/>
      </c>
      <c r="N521" s="225">
        <f t="shared" si="56"/>
      </c>
      <c r="O521" s="226">
        <f t="shared" si="25"/>
      </c>
      <c r="P521" s="227">
        <f t="shared" si="960"/>
      </c>
      <c r="Q521" s="227">
        <f t="shared" si="929"/>
      </c>
      <c r="R521" s="227">
        <f t="shared" si="898"/>
      </c>
      <c r="S521" s="228">
        <f t="shared" si="867"/>
      </c>
      <c r="T521" s="229">
        <f t="shared" si="805"/>
      </c>
      <c r="U521" s="227">
        <f t="shared" si="774"/>
      </c>
      <c r="V521" s="230">
        <f t="shared" si="836"/>
      </c>
      <c r="W521" s="230">
        <f t="shared" si="743"/>
      </c>
      <c r="X521" s="227">
        <f t="shared" si="712"/>
      </c>
      <c r="Y521" s="231">
        <f t="shared" si="629"/>
      </c>
      <c r="Z521" s="231">
        <v>6</v>
      </c>
      <c r="AA521" s="231">
        <v>5</v>
      </c>
      <c r="AB521" s="272">
        <v>5933.52000000001</v>
      </c>
      <c r="AC521" s="232">
        <v>2701</v>
      </c>
      <c r="AD521" s="228">
        <f t="shared" si="681"/>
      </c>
      <c r="AE521" s="233" t="s">
        <v>202</v>
      </c>
      <c r="AF521" s="233" t="s">
        <v>203</v>
      </c>
      <c r="AG521" s="237">
        <v>3</v>
      </c>
      <c r="AH521" s="236">
        <v>53611</v>
      </c>
      <c r="AI521" s="236">
        <v>1469</v>
      </c>
      <c r="AJ521" s="236">
        <v>1539</v>
      </c>
      <c r="AK521" s="237">
        <v>178</v>
      </c>
      <c r="AL521" s="237">
        <v>189</v>
      </c>
    </row>
    <row r="522">
      <c r="A522" s="216"/>
      <c r="B522" s="239" t="s">
        <v>208</v>
      </c>
      <c r="C522" s="240">
        <v>2</v>
      </c>
      <c r="D522" s="273">
        <f>SUM(D520:D521)</f>
      </c>
      <c r="E522" s="273">
        <f>SUM(E520:E521)</f>
      </c>
      <c r="F522" s="273">
        <f>SUM(F520:F521)</f>
      </c>
      <c r="G522" s="273">
        <f>SUM(G520:G521)</f>
      </c>
      <c r="H522" s="273">
        <f>SUM(H520:H521)</f>
      </c>
      <c r="I522" s="273">
        <f>SUM(I520:I521)</f>
      </c>
      <c r="J522" s="273">
        <f>SUM(J520:J521)</f>
      </c>
      <c r="K522" s="273">
        <f>SUM(K520:K521)</f>
      </c>
      <c r="L522" s="273">
        <f>SUM(L520:L521)</f>
      </c>
      <c r="M522" s="242">
        <f t="shared" si="87"/>
      </c>
      <c r="N522" s="243">
        <f t="shared" si="56"/>
      </c>
      <c r="O522" s="243">
        <f t="shared" si="25"/>
      </c>
      <c r="P522" s="244">
        <f t="shared" si="960"/>
      </c>
      <c r="Q522" s="244">
        <f t="shared" si="929"/>
      </c>
      <c r="R522" s="244">
        <f t="shared" si="898"/>
      </c>
      <c r="S522" s="245">
        <f t="shared" si="867"/>
      </c>
      <c r="T522" s="245">
        <f t="shared" si="805"/>
      </c>
      <c r="U522" s="244">
        <f t="shared" si="774"/>
      </c>
      <c r="V522" s="245">
        <f t="shared" si="836"/>
      </c>
      <c r="W522" s="245">
        <f t="shared" si="743"/>
      </c>
      <c r="X522" s="244">
        <f t="shared" si="712"/>
      </c>
      <c r="Y522" s="273">
        <f>SUM(Y520:Y521)</f>
      </c>
      <c r="Z522" s="273">
        <f>SUM(Z520:Z521)</f>
      </c>
      <c r="AA522" s="273">
        <f>SUM(AA520:AA521)</f>
      </c>
      <c r="AB522" s="273">
        <f>SUM(AB520:AB521)</f>
      </c>
      <c r="AC522" s="273">
        <f>SUM(AC520:AC521)</f>
      </c>
      <c r="AD522" s="246">
        <f t="shared" si="681"/>
      </c>
      <c r="AE522" s="247"/>
      <c r="AF522" s="248"/>
      <c r="AG522" s="273">
        <f>SUM(AG520:AG521)</f>
      </c>
      <c r="AH522" s="273">
        <f>SUM(AH520:AH521)</f>
      </c>
      <c r="AI522" s="273">
        <f>SUM(AI520:AI521)</f>
      </c>
      <c r="AJ522" s="273">
        <f>SUM(AJ520:AJ521)</f>
      </c>
      <c r="AK522" s="273">
        <f>SUM(AK520:AK521)</f>
      </c>
      <c r="AL522" s="273">
        <f>SUM(AL520:AL521)</f>
      </c>
    </row>
    <row r="523">
      <c r="A523" s="216"/>
      <c r="B523" s="217" t="s">
        <v>224</v>
      </c>
      <c r="C523" s="218" t="s">
        <v>207</v>
      </c>
      <c r="D523" s="219">
        <f t="shared" ref="D523:D525" si="525">E523+F523+G523+H523</f>
      </c>
      <c r="E523" s="218">
        <v>708.22</v>
      </c>
      <c r="F523" s="249">
        <v>7819.52</v>
      </c>
      <c r="G523" s="221">
        <v>0</v>
      </c>
      <c r="H523" s="221">
        <v>0</v>
      </c>
      <c r="I523" s="250">
        <f t="shared" ref="I523:I525" si="412">AB523+AC523</f>
      </c>
      <c r="J523" s="251">
        <v>3154</v>
      </c>
      <c r="K523" s="223">
        <f t="shared" ref="K523:K525" si="297">I523-J523</f>
      </c>
      <c r="L523" s="223">
        <f t="shared" ref="L523:L525" si="182">(I523-AC523)/12+AC523</f>
      </c>
      <c r="M523" s="224">
        <f t="shared" si="87"/>
      </c>
      <c r="N523" s="225">
        <f t="shared" si="56"/>
      </c>
      <c r="O523" s="226">
        <f t="shared" si="25"/>
      </c>
      <c r="P523" s="227">
        <f t="shared" si="960"/>
      </c>
      <c r="Q523" s="227">
        <f t="shared" si="929"/>
      </c>
      <c r="R523" s="227">
        <f t="shared" si="898"/>
      </c>
      <c r="S523" s="228">
        <f t="shared" si="867"/>
      </c>
      <c r="T523" s="229">
        <f t="shared" si="805"/>
      </c>
      <c r="U523" s="227">
        <f t="shared" si="774"/>
      </c>
      <c r="V523" s="230">
        <f t="shared" si="836"/>
      </c>
      <c r="W523" s="230">
        <f t="shared" si="743"/>
      </c>
      <c r="X523" s="227">
        <f t="shared" si="712"/>
      </c>
      <c r="Y523" s="231">
        <f t="shared" ref="Y523:Y525" si="630">Z523+AA523</f>
      </c>
      <c r="Z523" s="231">
        <v>3</v>
      </c>
      <c r="AA523" s="231">
        <v>9</v>
      </c>
      <c r="AB523" s="232">
        <v>8169.1200000000135</v>
      </c>
      <c r="AC523" s="232">
        <v>3154</v>
      </c>
      <c r="AD523" s="228">
        <f t="shared" si="681"/>
      </c>
      <c r="AE523" s="233" t="s">
        <v>202</v>
      </c>
      <c r="AF523" s="234" t="s">
        <v>203</v>
      </c>
      <c r="AG523" s="235">
        <v>6</v>
      </c>
      <c r="AH523" s="236">
        <v>81676</v>
      </c>
      <c r="AI523" s="236">
        <v>1950</v>
      </c>
      <c r="AJ523" s="236">
        <v>2046</v>
      </c>
      <c r="AK523" s="237">
        <v>182</v>
      </c>
      <c r="AL523" s="237">
        <v>222</v>
      </c>
    </row>
    <row r="524">
      <c r="A524" s="216"/>
      <c r="B524" s="217" t="s">
        <v>224</v>
      </c>
      <c r="C524" s="252" t="s">
        <v>210</v>
      </c>
      <c r="D524" s="219">
        <f t="shared" si="525"/>
      </c>
      <c r="E524" s="218">
        <v>370.15</v>
      </c>
      <c r="F524" s="249">
        <v>7242.81</v>
      </c>
      <c r="G524" s="221">
        <v>0</v>
      </c>
      <c r="H524" s="221">
        <v>0</v>
      </c>
      <c r="I524" s="250">
        <f t="shared" si="412"/>
      </c>
      <c r="J524" s="251">
        <f>2341.2+2095.2+1159.92+2786</f>
      </c>
      <c r="K524" s="223">
        <f t="shared" si="297"/>
      </c>
      <c r="L524" s="223">
        <f t="shared" si="182"/>
      </c>
      <c r="M524" s="224">
        <f t="shared" si="87"/>
      </c>
      <c r="N524" s="225">
        <f t="shared" si="56"/>
      </c>
      <c r="O524" s="226">
        <f t="shared" si="25"/>
      </c>
      <c r="P524" s="227">
        <f t="shared" si="960"/>
      </c>
      <c r="Q524" s="227">
        <f t="shared" si="929"/>
      </c>
      <c r="R524" s="227">
        <f t="shared" si="898"/>
      </c>
      <c r="S524" s="228">
        <f t="shared" si="867"/>
      </c>
      <c r="T524" s="229">
        <f t="shared" si="805"/>
      </c>
      <c r="U524" s="227">
        <f t="shared" si="774"/>
      </c>
      <c r="V524" s="230">
        <f t="shared" si="836"/>
      </c>
      <c r="W524" s="230">
        <f t="shared" si="743"/>
      </c>
      <c r="X524" s="227">
        <f t="shared" si="712"/>
      </c>
      <c r="Y524" s="231">
        <f t="shared" si="630"/>
      </c>
      <c r="Z524" s="231">
        <v>7</v>
      </c>
      <c r="AA524" s="231">
        <v>10</v>
      </c>
      <c r="AB524" s="232">
        <v>15973.199999999972</v>
      </c>
      <c r="AC524" s="232">
        <v>4394</v>
      </c>
      <c r="AD524" s="228">
        <f t="shared" si="681"/>
      </c>
      <c r="AE524" s="233" t="s">
        <v>202</v>
      </c>
      <c r="AF524" s="234" t="s">
        <v>203</v>
      </c>
      <c r="AG524" s="235">
        <v>9</v>
      </c>
      <c r="AH524" s="236">
        <v>84863</v>
      </c>
      <c r="AI524" s="236">
        <v>1736</v>
      </c>
      <c r="AJ524" s="236">
        <v>1777</v>
      </c>
      <c r="AK524" s="237">
        <v>215</v>
      </c>
      <c r="AL524" s="237">
        <v>263</v>
      </c>
    </row>
    <row r="525">
      <c r="A525" s="216"/>
      <c r="B525" s="217" t="s">
        <v>224</v>
      </c>
      <c r="C525" s="252" t="s">
        <v>211</v>
      </c>
      <c r="D525" s="219">
        <f t="shared" si="525"/>
      </c>
      <c r="E525" s="218">
        <v>455.43</v>
      </c>
      <c r="F525" s="249">
        <v>8210.96</v>
      </c>
      <c r="G525" s="221">
        <v>0</v>
      </c>
      <c r="H525" s="221">
        <v>0</v>
      </c>
      <c r="I525" s="250">
        <f t="shared" si="412"/>
      </c>
      <c r="J525" s="251">
        <v>1686.96</v>
      </c>
      <c r="K525" s="223">
        <f t="shared" si="297"/>
      </c>
      <c r="L525" s="223">
        <f t="shared" si="182"/>
      </c>
      <c r="M525" s="224">
        <f t="shared" si="87"/>
      </c>
      <c r="N525" s="225">
        <f t="shared" si="56"/>
      </c>
      <c r="O525" s="226">
        <f t="shared" si="25"/>
      </c>
      <c r="P525" s="227">
        <f t="shared" si="960"/>
      </c>
      <c r="Q525" s="227">
        <f t="shared" si="929"/>
      </c>
      <c r="R525" s="227">
        <f t="shared" si="898"/>
      </c>
      <c r="S525" s="228">
        <f t="shared" si="867"/>
      </c>
      <c r="T525" s="229">
        <f t="shared" si="805"/>
      </c>
      <c r="U525" s="227">
        <f t="shared" si="774"/>
      </c>
      <c r="V525" s="230">
        <f t="shared" si="836"/>
      </c>
      <c r="W525" s="230">
        <f t="shared" si="743"/>
      </c>
      <c r="X525" s="227">
        <f t="shared" si="712"/>
      </c>
      <c r="Y525" s="231">
        <f t="shared" si="630"/>
      </c>
      <c r="Z525" s="231">
        <v>2</v>
      </c>
      <c r="AA525" s="231">
        <v>8</v>
      </c>
      <c r="AB525" s="232">
        <v>7328.880000000023</v>
      </c>
      <c r="AC525" s="232">
        <v>3712</v>
      </c>
      <c r="AD525" s="228">
        <f t="shared" si="681"/>
      </c>
      <c r="AE525" s="233" t="s">
        <v>202</v>
      </c>
      <c r="AF525" s="234" t="s">
        <v>203</v>
      </c>
      <c r="AG525" s="237">
        <v>6</v>
      </c>
      <c r="AH525" s="236">
        <v>90262</v>
      </c>
      <c r="AI525" s="236">
        <v>1496</v>
      </c>
      <c r="AJ525" s="236">
        <v>1516</v>
      </c>
      <c r="AK525" s="237">
        <v>214</v>
      </c>
      <c r="AL525" s="237">
        <v>298</v>
      </c>
    </row>
    <row r="526">
      <c r="A526" s="216"/>
      <c r="B526" s="239" t="s">
        <v>208</v>
      </c>
      <c r="C526" s="240">
        <v>3</v>
      </c>
      <c r="D526" s="241">
        <f>SUM(D523:D525)</f>
      </c>
      <c r="E526" s="241">
        <f>SUM(E523:E525)</f>
      </c>
      <c r="F526" s="241">
        <f>SUM(F523:F525)</f>
      </c>
      <c r="G526" s="241">
        <f>SUM(G523:G525)</f>
      </c>
      <c r="H526" s="241">
        <f>SUM(H523:H525)</f>
      </c>
      <c r="I526" s="241">
        <f>SUM(I523:I525)</f>
      </c>
      <c r="J526" s="241">
        <f>SUM(J523:J525)</f>
      </c>
      <c r="K526" s="241">
        <f>SUM(K523:K525)</f>
      </c>
      <c r="L526" s="241">
        <f>SUM(L523:L525)</f>
      </c>
      <c r="M526" s="242">
        <f t="shared" si="87"/>
      </c>
      <c r="N526" s="243">
        <f t="shared" si="56"/>
      </c>
      <c r="O526" s="243">
        <f t="shared" si="25"/>
      </c>
      <c r="P526" s="244">
        <f t="shared" si="960"/>
      </c>
      <c r="Q526" s="244">
        <f t="shared" si="929"/>
      </c>
      <c r="R526" s="244">
        <f t="shared" si="898"/>
      </c>
      <c r="S526" s="245">
        <f t="shared" si="867"/>
      </c>
      <c r="T526" s="245">
        <f t="shared" si="805"/>
      </c>
      <c r="U526" s="244">
        <f t="shared" si="774"/>
      </c>
      <c r="V526" s="245">
        <f t="shared" si="836"/>
      </c>
      <c r="W526" s="245">
        <f t="shared" si="743"/>
      </c>
      <c r="X526" s="244">
        <f t="shared" si="712"/>
      </c>
      <c r="Y526" s="241">
        <f>SUM(Y523:Y525)</f>
      </c>
      <c r="Z526" s="241">
        <f>SUM(Z523:Z525)</f>
      </c>
      <c r="AA526" s="241">
        <f>SUM(AA523:AA525)</f>
      </c>
      <c r="AB526" s="241">
        <f>SUM(AB523:AB525)</f>
      </c>
      <c r="AC526" s="241">
        <f>SUM(AC523:AC525)</f>
      </c>
      <c r="AD526" s="246">
        <f t="shared" si="681"/>
      </c>
      <c r="AE526" s="247"/>
      <c r="AF526" s="248"/>
      <c r="AG526" s="241">
        <f>SUM(AG523:AG525)</f>
      </c>
      <c r="AH526" s="241">
        <f>SUM(AH523:AH525)</f>
      </c>
      <c r="AI526" s="241">
        <f>SUM(AI523:AI525)</f>
      </c>
      <c r="AJ526" s="241">
        <f>SUM(AJ523:AJ525)</f>
      </c>
      <c r="AK526" s="241">
        <f>SUM(AK523:AK525)</f>
      </c>
      <c r="AL526" s="241">
        <f>SUM(AL523:AL525)</f>
      </c>
    </row>
    <row r="527">
      <c r="A527" s="216"/>
      <c r="B527" s="217" t="s">
        <v>209</v>
      </c>
      <c r="C527" s="252" t="s">
        <v>212</v>
      </c>
      <c r="D527" s="219">
        <f t="shared" ref="D527:D531" si="526">E527+F527+G527+H527</f>
      </c>
      <c r="E527" s="220">
        <v>581.87</v>
      </c>
      <c r="F527" s="221">
        <v>8529.94</v>
      </c>
      <c r="G527" s="221">
        <v>0</v>
      </c>
      <c r="H527" s="221">
        <v>0</v>
      </c>
      <c r="I527" s="221">
        <f t="shared" ref="I527:I531" si="413">AB527+AC527</f>
      </c>
      <c r="J527" s="222">
        <v>5732.88</v>
      </c>
      <c r="K527" s="223">
        <f t="shared" ref="K527:K531" si="298">I527-J527</f>
      </c>
      <c r="L527" s="223">
        <f t="shared" ref="L527:L531" si="183">(I527-AC527)/12+AC527</f>
      </c>
      <c r="M527" s="224">
        <f t="shared" si="87"/>
      </c>
      <c r="N527" s="225">
        <f t="shared" si="56"/>
      </c>
      <c r="O527" s="226">
        <f t="shared" si="25"/>
      </c>
      <c r="P527" s="227">
        <f t="shared" si="960"/>
      </c>
      <c r="Q527" s="227">
        <f t="shared" si="929"/>
      </c>
      <c r="R527" s="227">
        <f t="shared" si="898"/>
      </c>
      <c r="S527" s="228">
        <f t="shared" si="867"/>
      </c>
      <c r="T527" s="229">
        <f t="shared" si="805"/>
      </c>
      <c r="U527" s="227">
        <f t="shared" si="774"/>
      </c>
      <c r="V527" s="230">
        <f t="shared" si="836"/>
      </c>
      <c r="W527" s="230">
        <f t="shared" si="743"/>
      </c>
      <c r="X527" s="227">
        <f t="shared" si="712"/>
      </c>
      <c r="Y527" s="231">
        <f t="shared" ref="Y527:Y531" si="631">Z527+AA527</f>
      </c>
      <c r="Z527" s="231">
        <v>3</v>
      </c>
      <c r="AA527" s="231">
        <v>17</v>
      </c>
      <c r="AB527" s="232">
        <v>27985.43999999999</v>
      </c>
      <c r="AC527" s="232">
        <v>663</v>
      </c>
      <c r="AD527" s="228">
        <f t="shared" si="681"/>
      </c>
      <c r="AE527" s="233" t="s">
        <v>202</v>
      </c>
      <c r="AF527" s="234" t="s">
        <v>203</v>
      </c>
      <c r="AG527" s="235">
        <v>13</v>
      </c>
      <c r="AH527" s="235">
        <v>96193</v>
      </c>
      <c r="AI527" s="236">
        <v>1771</v>
      </c>
      <c r="AJ527" s="236">
        <v>1769</v>
      </c>
      <c r="AK527" s="235">
        <v>222</v>
      </c>
      <c r="AL527" s="237">
        <v>298</v>
      </c>
    </row>
    <row r="528">
      <c r="A528" s="216"/>
      <c r="B528" s="217" t="s">
        <v>209</v>
      </c>
      <c r="C528" s="218" t="s">
        <v>213</v>
      </c>
      <c r="D528" s="219">
        <f t="shared" si="526"/>
      </c>
      <c r="E528" s="218">
        <v>706.59</v>
      </c>
      <c r="F528" s="221">
        <v>12732.8</v>
      </c>
      <c r="G528" s="221">
        <v>0</v>
      </c>
      <c r="H528" s="221">
        <v>0</v>
      </c>
      <c r="I528" s="221">
        <f t="shared" si="413"/>
      </c>
      <c r="J528" s="222">
        <f>2703.24+4665.48</f>
      </c>
      <c r="K528" s="223">
        <f t="shared" si="298"/>
      </c>
      <c r="L528" s="223">
        <f t="shared" si="183"/>
      </c>
      <c r="M528" s="224">
        <f t="shared" si="87"/>
      </c>
      <c r="N528" s="225">
        <f t="shared" si="56"/>
      </c>
      <c r="O528" s="226">
        <f t="shared" si="25"/>
      </c>
      <c r="P528" s="227">
        <f t="shared" si="960"/>
      </c>
      <c r="Q528" s="227">
        <f t="shared" si="929"/>
      </c>
      <c r="R528" s="227">
        <f t="shared" si="898"/>
      </c>
      <c r="S528" s="228">
        <f t="shared" si="867"/>
      </c>
      <c r="T528" s="229">
        <f t="shared" si="805"/>
      </c>
      <c r="U528" s="227">
        <f t="shared" si="774"/>
      </c>
      <c r="V528" s="230">
        <f t="shared" si="836"/>
      </c>
      <c r="W528" s="230">
        <f t="shared" si="743"/>
      </c>
      <c r="X528" s="227">
        <f t="shared" si="712"/>
      </c>
      <c r="Y528" s="231">
        <f t="shared" si="631"/>
      </c>
      <c r="Z528" s="231">
        <v>9</v>
      </c>
      <c r="AA528" s="231">
        <v>6</v>
      </c>
      <c r="AB528" s="232">
        <v>20593.920000000002</v>
      </c>
      <c r="AC528" s="232">
        <v>0</v>
      </c>
      <c r="AD528" s="228">
        <f t="shared" si="681"/>
      </c>
      <c r="AE528" s="233" t="s">
        <v>202</v>
      </c>
      <c r="AF528" s="234" t="s">
        <v>203</v>
      </c>
      <c r="AG528" s="235">
        <v>3</v>
      </c>
      <c r="AH528" s="236">
        <v>133486</v>
      </c>
      <c r="AI528" s="236">
        <v>2471</v>
      </c>
      <c r="AJ528" s="236">
        <v>2484</v>
      </c>
      <c r="AK528" s="237">
        <v>263</v>
      </c>
      <c r="AL528" s="237">
        <v>361</v>
      </c>
    </row>
    <row r="529">
      <c r="A529" s="216"/>
      <c r="B529" s="217" t="s">
        <v>209</v>
      </c>
      <c r="C529" s="252" t="s">
        <v>214</v>
      </c>
      <c r="D529" s="219">
        <f t="shared" si="526"/>
      </c>
      <c r="E529" s="218">
        <v>1269.26</v>
      </c>
      <c r="F529" s="218">
        <v>6073.36</v>
      </c>
      <c r="G529" s="221">
        <v>0</v>
      </c>
      <c r="H529" s="221">
        <v>0</v>
      </c>
      <c r="I529" s="221">
        <f t="shared" si="413"/>
      </c>
      <c r="J529" s="222">
        <v>0</v>
      </c>
      <c r="K529" s="223">
        <f t="shared" si="298"/>
      </c>
      <c r="L529" s="223">
        <f t="shared" si="183"/>
      </c>
      <c r="M529" s="224">
        <f t="shared" si="87"/>
      </c>
      <c r="N529" s="225">
        <f t="shared" si="56"/>
      </c>
      <c r="O529" s="226">
        <f t="shared" si="25"/>
      </c>
      <c r="P529" s="227">
        <f t="shared" si="960"/>
      </c>
      <c r="Q529" s="227">
        <f t="shared" si="929"/>
      </c>
      <c r="R529" s="227">
        <f t="shared" si="898"/>
      </c>
      <c r="S529" s="228">
        <f t="shared" si="867"/>
      </c>
      <c r="T529" s="229">
        <f t="shared" si="805"/>
      </c>
      <c r="U529" s="227">
        <f t="shared" si="774"/>
      </c>
      <c r="V529" s="230">
        <f t="shared" si="836"/>
      </c>
      <c r="W529" s="230">
        <f t="shared" si="743"/>
      </c>
      <c r="X529" s="227">
        <f t="shared" si="712"/>
      </c>
      <c r="Y529" s="231">
        <f t="shared" si="631"/>
      </c>
      <c r="Z529" s="231">
        <v>6</v>
      </c>
      <c r="AA529" s="231">
        <v>8</v>
      </c>
      <c r="AB529" s="232">
        <v>8847.600000000024</v>
      </c>
      <c r="AC529" s="232">
        <v>0</v>
      </c>
      <c r="AD529" s="228">
        <f t="shared" si="681"/>
      </c>
      <c r="AE529" s="233" t="s">
        <v>202</v>
      </c>
      <c r="AF529" s="234" t="s">
        <v>203</v>
      </c>
      <c r="AG529" s="237">
        <v>8</v>
      </c>
      <c r="AH529" s="236">
        <v>72092</v>
      </c>
      <c r="AI529" s="236">
        <v>1641</v>
      </c>
      <c r="AJ529" s="236">
        <v>1705</v>
      </c>
      <c r="AK529" s="237">
        <v>206</v>
      </c>
      <c r="AL529" s="237">
        <v>244</v>
      </c>
    </row>
    <row r="530">
      <c r="A530" s="216"/>
      <c r="B530" s="217" t="s">
        <v>209</v>
      </c>
      <c r="C530" s="218" t="s">
        <v>237</v>
      </c>
      <c r="D530" s="219">
        <f t="shared" si="526"/>
      </c>
      <c r="E530" s="218">
        <v>1070.51</v>
      </c>
      <c r="F530" s="221">
        <v>7235.94</v>
      </c>
      <c r="G530" s="221">
        <v>0</v>
      </c>
      <c r="H530" s="221">
        <v>0</v>
      </c>
      <c r="I530" s="238">
        <f t="shared" si="413"/>
      </c>
      <c r="J530" s="222">
        <v>0</v>
      </c>
      <c r="K530" s="223">
        <f t="shared" si="298"/>
      </c>
      <c r="L530" s="223">
        <f t="shared" si="183"/>
      </c>
      <c r="M530" s="224">
        <f t="shared" si="87"/>
      </c>
      <c r="N530" s="225">
        <f t="shared" si="56"/>
      </c>
      <c r="O530" s="226">
        <f t="shared" si="25"/>
      </c>
      <c r="P530" s="227">
        <f t="shared" si="960"/>
      </c>
      <c r="Q530" s="227">
        <f t="shared" si="929"/>
      </c>
      <c r="R530" s="227">
        <f t="shared" si="898"/>
      </c>
      <c r="S530" s="228">
        <f t="shared" si="867"/>
      </c>
      <c r="T530" s="229">
        <f t="shared" si="805"/>
      </c>
      <c r="U530" s="227">
        <f t="shared" si="774"/>
      </c>
      <c r="V530" s="230">
        <f t="shared" si="836"/>
      </c>
      <c r="W530" s="230">
        <f t="shared" si="743"/>
      </c>
      <c r="X530" s="227">
        <f t="shared" si="712"/>
      </c>
      <c r="Y530" s="231">
        <f t="shared" si="631"/>
      </c>
      <c r="Z530" s="231">
        <v>7</v>
      </c>
      <c r="AA530" s="231">
        <v>9</v>
      </c>
      <c r="AB530" s="232">
        <v>18108.6</v>
      </c>
      <c r="AC530" s="232">
        <v>0</v>
      </c>
      <c r="AD530" s="228">
        <f t="shared" si="681"/>
      </c>
      <c r="AE530" s="233" t="s">
        <v>202</v>
      </c>
      <c r="AF530" s="234" t="s">
        <v>203</v>
      </c>
      <c r="AG530" s="235">
        <v>7</v>
      </c>
      <c r="AH530" s="236">
        <v>82927</v>
      </c>
      <c r="AI530" s="236">
        <v>2314</v>
      </c>
      <c r="AJ530" s="236">
        <v>2647</v>
      </c>
      <c r="AK530" s="237">
        <v>216</v>
      </c>
      <c r="AL530" s="237">
        <v>231</v>
      </c>
    </row>
    <row r="531">
      <c r="A531" s="216"/>
      <c r="B531" s="217" t="s">
        <v>209</v>
      </c>
      <c r="C531" s="218" t="s">
        <v>238</v>
      </c>
      <c r="D531" s="219">
        <f t="shared" si="526"/>
      </c>
      <c r="E531" s="220">
        <v>975.91</v>
      </c>
      <c r="F531" s="221">
        <v>2483.57</v>
      </c>
      <c r="G531" s="221">
        <v>0</v>
      </c>
      <c r="H531" s="221">
        <v>0</v>
      </c>
      <c r="I531" s="221">
        <f t="shared" si="413"/>
      </c>
      <c r="J531" s="222">
        <v>1245.24</v>
      </c>
      <c r="K531" s="223">
        <f t="shared" si="298"/>
      </c>
      <c r="L531" s="223">
        <f t="shared" si="183"/>
      </c>
      <c r="M531" s="224">
        <f t="shared" si="87"/>
      </c>
      <c r="N531" s="225">
        <f t="shared" si="56"/>
      </c>
      <c r="O531" s="226">
        <f t="shared" si="25"/>
      </c>
      <c r="P531" s="227">
        <f t="shared" si="960"/>
      </c>
      <c r="Q531" s="227">
        <f t="shared" si="929"/>
      </c>
      <c r="R531" s="227">
        <f t="shared" si="898"/>
      </c>
      <c r="S531" s="228">
        <f t="shared" si="867"/>
      </c>
      <c r="T531" s="229">
        <f t="shared" si="805"/>
      </c>
      <c r="U531" s="227">
        <f t="shared" si="774"/>
      </c>
      <c r="V531" s="230">
        <f t="shared" si="836"/>
      </c>
      <c r="W531" s="230">
        <f t="shared" si="743"/>
      </c>
      <c r="X531" s="227">
        <f t="shared" si="712"/>
      </c>
      <c r="Y531" s="231">
        <f t="shared" si="631"/>
      </c>
      <c r="Z531" s="231">
        <v>4</v>
      </c>
      <c r="AA531" s="231">
        <v>10</v>
      </c>
      <c r="AB531" s="232">
        <v>13466.52</v>
      </c>
      <c r="AC531" s="232">
        <v>1380</v>
      </c>
      <c r="AD531" s="228">
        <f t="shared" si="681"/>
      </c>
      <c r="AE531" s="233" t="s">
        <v>202</v>
      </c>
      <c r="AF531" s="234" t="s">
        <v>203</v>
      </c>
      <c r="AG531" s="235">
        <v>9</v>
      </c>
      <c r="AH531" s="236">
        <v>36672</v>
      </c>
      <c r="AI531" s="236">
        <v>1451</v>
      </c>
      <c r="AJ531" s="236">
        <v>1759</v>
      </c>
      <c r="AK531" s="235">
        <v>137</v>
      </c>
      <c r="AL531" s="235">
        <v>110</v>
      </c>
    </row>
    <row r="532">
      <c r="A532" s="216"/>
      <c r="B532" s="239" t="s">
        <v>208</v>
      </c>
      <c r="C532" s="240">
        <v>5</v>
      </c>
      <c r="D532" s="241">
        <f>SUM(D527:D531)</f>
      </c>
      <c r="E532" s="241">
        <f>SUM(E527:E531)</f>
      </c>
      <c r="F532" s="241">
        <f>SUM(F527:F531)</f>
      </c>
      <c r="G532" s="241">
        <f>SUM(G527:G531)</f>
      </c>
      <c r="H532" s="241">
        <f>SUM(H527:H531)</f>
      </c>
      <c r="I532" s="241">
        <f>SUM(I527:I531)</f>
      </c>
      <c r="J532" s="241">
        <f>SUM(J527:J531)</f>
      </c>
      <c r="K532" s="241">
        <f>SUM(K527:K531)</f>
      </c>
      <c r="L532" s="241">
        <f>SUM(L527:L531)</f>
      </c>
      <c r="M532" s="242">
        <f t="shared" si="87"/>
      </c>
      <c r="N532" s="243">
        <f t="shared" si="56"/>
      </c>
      <c r="O532" s="243">
        <f t="shared" si="25"/>
      </c>
      <c r="P532" s="244">
        <f t="shared" si="960"/>
      </c>
      <c r="Q532" s="244">
        <f t="shared" si="929"/>
      </c>
      <c r="R532" s="244">
        <f t="shared" si="898"/>
      </c>
      <c r="S532" s="245">
        <f t="shared" si="867"/>
      </c>
      <c r="T532" s="245">
        <f t="shared" si="805"/>
      </c>
      <c r="U532" s="244">
        <f t="shared" si="774"/>
      </c>
      <c r="V532" s="245">
        <f t="shared" si="836"/>
      </c>
      <c r="W532" s="245">
        <f t="shared" si="743"/>
      </c>
      <c r="X532" s="244">
        <f t="shared" si="712"/>
      </c>
      <c r="Y532" s="241">
        <f>SUM(Y527:Y531)</f>
      </c>
      <c r="Z532" s="241">
        <f>SUM(Z527:Z531)</f>
      </c>
      <c r="AA532" s="241">
        <f>SUM(AA527:AA531)</f>
      </c>
      <c r="AB532" s="241">
        <f>SUM(AB527:AB531)</f>
      </c>
      <c r="AC532" s="241">
        <f>SUM(AC527:AC531)</f>
      </c>
      <c r="AD532" s="246">
        <f t="shared" si="681"/>
      </c>
      <c r="AE532" s="247"/>
      <c r="AF532" s="248"/>
      <c r="AG532" s="241">
        <f>SUM(AG527:AG531)</f>
      </c>
      <c r="AH532" s="241">
        <f>SUM(AH527:AH531)</f>
      </c>
      <c r="AI532" s="241">
        <f>SUM(AI527:AI531)</f>
      </c>
      <c r="AJ532" s="241">
        <f>SUM(AJ527:AJ531)</f>
      </c>
      <c r="AK532" s="241">
        <f>SUM(AK527:AK531)</f>
      </c>
      <c r="AL532" s="241">
        <f>SUM(AL527:AL531)</f>
      </c>
    </row>
    <row r="533">
      <c r="A533" s="216"/>
      <c r="B533" s="253" t="s">
        <v>208</v>
      </c>
      <c r="C533" s="254">
        <f>C513+C519+C522+C526+C532</f>
      </c>
      <c r="D533" s="254">
        <f>D513+D519+D522+D526+D532</f>
      </c>
      <c r="E533" s="254">
        <f>E513+E519+E522+E526+E532</f>
      </c>
      <c r="F533" s="254">
        <f>F513+F519+F522+F526+F532</f>
      </c>
      <c r="G533" s="254">
        <f>G513+G519+G522+G526+G532</f>
      </c>
      <c r="H533" s="254">
        <f>H513+H519+H522+H526+H532</f>
      </c>
      <c r="I533" s="254">
        <f>I513+I519+I522+I526+I532</f>
      </c>
      <c r="J533" s="254">
        <f>J513+J519+J522+J526+J532</f>
      </c>
      <c r="K533" s="254">
        <f>K513+K519+K522+K526+K532</f>
      </c>
      <c r="L533" s="254">
        <f>L513+L519+L522+L526+L532</f>
      </c>
      <c r="M533" s="256">
        <f t="shared" si="87"/>
      </c>
      <c r="N533" s="256">
        <f t="shared" si="56"/>
      </c>
      <c r="O533" s="256">
        <f t="shared" si="25"/>
      </c>
      <c r="P533" s="256">
        <f t="shared" si="960"/>
      </c>
      <c r="Q533" s="256">
        <f t="shared" si="929"/>
      </c>
      <c r="R533" s="256">
        <f t="shared" si="898"/>
      </c>
      <c r="S533" s="257">
        <f t="shared" si="867"/>
      </c>
      <c r="T533" s="257">
        <f t="shared" si="805"/>
      </c>
      <c r="U533" s="256">
        <f t="shared" si="774"/>
      </c>
      <c r="V533" s="257">
        <f t="shared" si="836"/>
      </c>
      <c r="W533" s="257">
        <f t="shared" si="743"/>
      </c>
      <c r="X533" s="256">
        <f t="shared" si="712"/>
      </c>
      <c r="Y533" s="254">
        <f>Y513+Y519+Y522+Y526+Y532</f>
      </c>
      <c r="Z533" s="254">
        <f>Z513+Z519+Z522+Z526+Z532</f>
      </c>
      <c r="AA533" s="254">
        <f>AA513+AA519+AA522+AA526+AA532</f>
      </c>
      <c r="AB533" s="254">
        <f>AB513+AB519+AB522+AB526+AB532</f>
      </c>
      <c r="AC533" s="254">
        <f>AC513+AC519+AC522+AC526+AC532</f>
      </c>
      <c r="AD533" s="258">
        <f t="shared" si="681"/>
      </c>
      <c r="AE533" s="253"/>
      <c r="AF533" s="253"/>
      <c r="AG533" s="254">
        <f>AG513+AG519+AG522+AG526+AG532</f>
      </c>
      <c r="AH533" s="254">
        <f>AH513+AH519+AH522+AH526+AH532</f>
      </c>
      <c r="AI533" s="254">
        <f>AI513+AI519+AI522+AI526+AI532</f>
      </c>
      <c r="AJ533" s="254">
        <f>AJ513+AJ519+AJ522+AJ526+AJ532</f>
      </c>
      <c r="AK533" s="254">
        <f>AK513+AK519+AK522+AK526+AK532</f>
      </c>
      <c r="AL533" s="254">
        <f>AL513+AL519+AL522+AL526+AL532</f>
      </c>
    </row>
    <row r="534">
      <c r="A534" s="202" t="s">
        <v>162</v>
      </c>
      <c r="B534" s="203" t="s">
        <v>163</v>
      </c>
      <c r="C534" s="203" t="s">
        <v>164</v>
      </c>
      <c r="D534" s="204" t="s">
        <v>165</v>
      </c>
      <c r="E534" s="203" t="s">
        <v>166</v>
      </c>
      <c r="F534" s="203" t="s">
        <v>167</v>
      </c>
      <c r="G534" s="205" t="s">
        <v>168</v>
      </c>
      <c r="H534" s="205" t="s">
        <v>169</v>
      </c>
      <c r="I534" s="204" t="s">
        <v>170</v>
      </c>
      <c r="J534" s="206" t="s">
        <v>171</v>
      </c>
      <c r="K534" s="207" t="s">
        <v>172</v>
      </c>
      <c r="L534" s="207" t="s">
        <v>173</v>
      </c>
      <c r="M534" s="208" t="s">
        <v>174</v>
      </c>
      <c r="N534" s="207" t="s">
        <v>175</v>
      </c>
      <c r="O534" s="203" t="s">
        <v>176</v>
      </c>
      <c r="P534" s="208" t="s">
        <v>177</v>
      </c>
      <c r="Q534" s="209" t="s">
        <v>178</v>
      </c>
      <c r="R534" s="209" t="s">
        <v>179</v>
      </c>
      <c r="S534" s="204" t="s">
        <v>180</v>
      </c>
      <c r="T534" s="210" t="s">
        <v>181</v>
      </c>
      <c r="U534" s="208" t="s">
        <v>182</v>
      </c>
      <c r="V534" s="211" t="s">
        <v>183</v>
      </c>
      <c r="W534" s="212" t="s">
        <v>184</v>
      </c>
      <c r="X534" s="208" t="s">
        <v>185</v>
      </c>
      <c r="Y534" s="213" t="s">
        <v>186</v>
      </c>
      <c r="Z534" s="214" t="s">
        <v>187</v>
      </c>
      <c r="AA534" s="213" t="s">
        <v>188</v>
      </c>
      <c r="AB534" s="215" t="s">
        <v>189</v>
      </c>
      <c r="AC534" s="215" t="s">
        <v>190</v>
      </c>
      <c r="AD534" s="207" t="s">
        <v>191</v>
      </c>
      <c r="AE534" s="206" t="s">
        <v>192</v>
      </c>
      <c r="AF534" s="207" t="s">
        <v>193</v>
      </c>
      <c r="AG534" s="206" t="s">
        <v>194</v>
      </c>
      <c r="AH534" s="206" t="s">
        <v>195</v>
      </c>
      <c r="AI534" s="207" t="s">
        <v>196</v>
      </c>
      <c r="AJ534" s="206" t="s">
        <v>197</v>
      </c>
      <c r="AK534" s="207" t="s">
        <v>198</v>
      </c>
      <c r="AL534" s="206" t="s">
        <v>199</v>
      </c>
    </row>
    <row r="535">
      <c r="A535" s="216">
        <v>46261</v>
      </c>
      <c r="B535" s="217" t="s">
        <v>200</v>
      </c>
      <c r="C535" s="218" t="s">
        <v>234</v>
      </c>
      <c r="D535" s="219">
        <f t="shared" ref="D535:D539" si="527">E535+F535+G535+H535</f>
      </c>
      <c r="E535" s="220">
        <v>2275.12</v>
      </c>
      <c r="F535" s="221">
        <v>8071.1</v>
      </c>
      <c r="G535" s="221">
        <v>0</v>
      </c>
      <c r="H535" s="221">
        <v>0</v>
      </c>
      <c r="I535" s="221">
        <f t="shared" ref="I535:I539" si="414">AB535+AC535</f>
      </c>
      <c r="J535" s="222">
        <f>2036.88+1871.64</f>
      </c>
      <c r="K535" s="223">
        <f t="shared" ref="K535:K539" si="299">I535-J535</f>
      </c>
      <c r="L535" s="223">
        <f t="shared" ref="L535:L539" si="184">(I535-AC535)/12+AC535</f>
      </c>
      <c r="M535" s="224">
        <f t="shared" ref="M535:M560" si="88">I535/D535</f>
      </c>
      <c r="N535" s="225">
        <f t="shared" ref="N535:N560" si="57">(I535-J535)/D535</f>
      </c>
      <c r="O535" s="226">
        <f t="shared" ref="O535:O560" si="26">(AC535+AB535/12)/D535</f>
      </c>
      <c r="P535" s="227">
        <f t="shared" ref="P535:P560" si="961">I535/AA535</f>
      </c>
      <c r="Q535" s="227">
        <f t="shared" ref="Q535:Q560" si="930">D535/AA535</f>
      </c>
      <c r="R535" s="227">
        <f t="shared" ref="R535:R560" si="899">D535/AG535</f>
      </c>
      <c r="S535" s="228">
        <f t="shared" ref="S535:S560" si="868">AA535/Y535</f>
      </c>
      <c r="T535" s="229">
        <f t="shared" ref="T535:T560" si="806">AI535/AH535</f>
      </c>
      <c r="U535" s="227">
        <f t="shared" ref="U535:U560" si="775">D535/AJ535</f>
      </c>
      <c r="V535" s="230">
        <f t="shared" ref="V535:V560" si="837">AK535/AJ535</f>
      </c>
      <c r="W535" s="230">
        <f t="shared" ref="W535:W560" si="744">AL535/AJ535</f>
      </c>
      <c r="X535" s="227">
        <f t="shared" ref="X535:X560" si="713">D535/AL535</f>
      </c>
      <c r="Y535" s="231">
        <f t="shared" ref="Y535:Y539" si="632">Z535+AA535</f>
      </c>
      <c r="Z535" s="231">
        <v>2</v>
      </c>
      <c r="AA535" s="231">
        <v>14</v>
      </c>
      <c r="AB535" s="232">
        <v>19043.16</v>
      </c>
      <c r="AC535" s="232">
        <v>3695</v>
      </c>
      <c r="AD535" s="228">
        <f t="shared" ref="AD535:AD560" si="682">AC535/I535</f>
      </c>
      <c r="AE535" s="233" t="s">
        <v>202</v>
      </c>
      <c r="AF535" s="234" t="s">
        <v>217</v>
      </c>
      <c r="AG535" s="235">
        <v>12</v>
      </c>
      <c r="AH535" s="235">
        <v>99857</v>
      </c>
      <c r="AI535" s="236">
        <v>3460</v>
      </c>
      <c r="AJ535" s="236">
        <v>4154</v>
      </c>
      <c r="AK535" s="235">
        <v>389</v>
      </c>
      <c r="AL535" s="237">
        <v>357</v>
      </c>
    </row>
    <row r="536">
      <c r="A536" s="216"/>
      <c r="B536" s="217" t="s">
        <v>200</v>
      </c>
      <c r="C536" s="218" t="s">
        <v>235</v>
      </c>
      <c r="D536" s="219">
        <f t="shared" si="527"/>
      </c>
      <c r="E536" s="218">
        <v>2889.1</v>
      </c>
      <c r="F536" s="221">
        <v>10691.61</v>
      </c>
      <c r="G536" s="221">
        <v>0</v>
      </c>
      <c r="H536" s="221">
        <v>0</v>
      </c>
      <c r="I536" s="221">
        <f t="shared" si="414"/>
      </c>
      <c r="J536" s="222">
        <v>8240.88</v>
      </c>
      <c r="K536" s="223">
        <f t="shared" si="299"/>
      </c>
      <c r="L536" s="223">
        <f t="shared" si="184"/>
      </c>
      <c r="M536" s="224">
        <f t="shared" si="88"/>
      </c>
      <c r="N536" s="225">
        <f t="shared" si="57"/>
      </c>
      <c r="O536" s="226">
        <f t="shared" si="26"/>
      </c>
      <c r="P536" s="227">
        <f t="shared" si="961"/>
      </c>
      <c r="Q536" s="227">
        <f t="shared" si="930"/>
      </c>
      <c r="R536" s="227">
        <f t="shared" si="899"/>
      </c>
      <c r="S536" s="228">
        <f t="shared" si="868"/>
      </c>
      <c r="T536" s="229">
        <f t="shared" si="806"/>
      </c>
      <c r="U536" s="227">
        <f t="shared" si="775"/>
      </c>
      <c r="V536" s="230">
        <f t="shared" si="837"/>
      </c>
      <c r="W536" s="230">
        <f t="shared" si="744"/>
      </c>
      <c r="X536" s="227">
        <f t="shared" si="713"/>
      </c>
      <c r="Y536" s="231">
        <f t="shared" si="632"/>
      </c>
      <c r="Z536" s="231">
        <v>7</v>
      </c>
      <c r="AA536" s="231">
        <v>10</v>
      </c>
      <c r="AB536" s="232">
        <v>18544.44</v>
      </c>
      <c r="AC536" s="232">
        <v>5050</v>
      </c>
      <c r="AD536" s="228">
        <f t="shared" si="682"/>
      </c>
      <c r="AE536" s="233" t="s">
        <v>202</v>
      </c>
      <c r="AF536" s="234" t="s">
        <v>217</v>
      </c>
      <c r="AG536" s="235">
        <v>9</v>
      </c>
      <c r="AH536" s="236">
        <v>127425</v>
      </c>
      <c r="AI536" s="236">
        <v>2837</v>
      </c>
      <c r="AJ536" s="236">
        <v>3446</v>
      </c>
      <c r="AK536" s="237">
        <v>434</v>
      </c>
      <c r="AL536" s="237">
        <v>360</v>
      </c>
    </row>
    <row r="537">
      <c r="A537" s="216"/>
      <c r="B537" s="217" t="s">
        <v>200</v>
      </c>
      <c r="C537" s="218" t="s">
        <v>236</v>
      </c>
      <c r="D537" s="219">
        <f t="shared" si="527"/>
      </c>
      <c r="E537" s="218">
        <v>1920.98</v>
      </c>
      <c r="F537" s="218">
        <v>10780.13</v>
      </c>
      <c r="G537" s="221">
        <v>0</v>
      </c>
      <c r="H537" s="221">
        <v>0</v>
      </c>
      <c r="I537" s="221">
        <f t="shared" si="414"/>
      </c>
      <c r="J537" s="222">
        <f>5325.84+1551.96</f>
      </c>
      <c r="K537" s="223">
        <f t="shared" si="299"/>
      </c>
      <c r="L537" s="223">
        <f t="shared" si="184"/>
      </c>
      <c r="M537" s="224">
        <f t="shared" si="88"/>
      </c>
      <c r="N537" s="225">
        <f t="shared" si="57"/>
      </c>
      <c r="O537" s="226">
        <f t="shared" si="26"/>
      </c>
      <c r="P537" s="227">
        <f t="shared" si="961"/>
      </c>
      <c r="Q537" s="227">
        <f t="shared" si="930"/>
      </c>
      <c r="R537" s="227">
        <f t="shared" si="899"/>
      </c>
      <c r="S537" s="228">
        <f t="shared" si="868"/>
      </c>
      <c r="T537" s="229">
        <f t="shared" si="806"/>
      </c>
      <c r="U537" s="227">
        <f t="shared" si="775"/>
      </c>
      <c r="V537" s="230">
        <f t="shared" si="837"/>
      </c>
      <c r="W537" s="230">
        <f t="shared" si="744"/>
      </c>
      <c r="X537" s="227">
        <f t="shared" si="713"/>
      </c>
      <c r="Y537" s="231">
        <f t="shared" si="632"/>
      </c>
      <c r="Z537" s="231">
        <v>8</v>
      </c>
      <c r="AA537" s="231">
        <v>15</v>
      </c>
      <c r="AB537" s="232">
        <v>22940.76</v>
      </c>
      <c r="AC537" s="232">
        <v>0</v>
      </c>
      <c r="AD537" s="228">
        <f t="shared" si="682"/>
      </c>
      <c r="AE537" s="233" t="s">
        <v>202</v>
      </c>
      <c r="AF537" s="234" t="s">
        <v>217</v>
      </c>
      <c r="AG537" s="237">
        <v>13</v>
      </c>
      <c r="AH537" s="236">
        <v>106913</v>
      </c>
      <c r="AI537" s="236">
        <v>2106</v>
      </c>
      <c r="AJ537" s="236">
        <v>2453</v>
      </c>
      <c r="AK537" s="237">
        <v>367</v>
      </c>
      <c r="AL537" s="237">
        <v>396</v>
      </c>
    </row>
    <row r="538">
      <c r="A538" s="216"/>
      <c r="B538" s="217" t="s">
        <v>200</v>
      </c>
      <c r="C538" s="218" t="s">
        <v>216</v>
      </c>
      <c r="D538" s="219">
        <f t="shared" si="527"/>
      </c>
      <c r="E538" s="218">
        <v>2116.98</v>
      </c>
      <c r="F538" s="221">
        <v>12139.39</v>
      </c>
      <c r="G538" s="221">
        <v>0</v>
      </c>
      <c r="H538" s="221">
        <v>0</v>
      </c>
      <c r="I538" s="238">
        <f t="shared" si="414"/>
      </c>
      <c r="J538" s="222">
        <v>2299.32</v>
      </c>
      <c r="K538" s="223">
        <f t="shared" si="299"/>
      </c>
      <c r="L538" s="223">
        <f t="shared" si="184"/>
      </c>
      <c r="M538" s="224">
        <f t="shared" si="88"/>
      </c>
      <c r="N538" s="225">
        <f t="shared" si="57"/>
      </c>
      <c r="O538" s="226">
        <f t="shared" si="26"/>
      </c>
      <c r="P538" s="227">
        <f t="shared" si="961"/>
      </c>
      <c r="Q538" s="227">
        <f t="shared" si="930"/>
      </c>
      <c r="R538" s="227">
        <f t="shared" si="899"/>
      </c>
      <c r="S538" s="228">
        <f t="shared" si="868"/>
      </c>
      <c r="T538" s="229">
        <f t="shared" si="806"/>
      </c>
      <c r="U538" s="227">
        <f t="shared" si="775"/>
      </c>
      <c r="V538" s="230">
        <f t="shared" si="837"/>
      </c>
      <c r="W538" s="230">
        <f t="shared" si="744"/>
      </c>
      <c r="X538" s="227">
        <f t="shared" si="713"/>
      </c>
      <c r="Y538" s="231">
        <f t="shared" si="632"/>
      </c>
      <c r="Z538" s="231">
        <v>4</v>
      </c>
      <c r="AA538" s="231">
        <v>12</v>
      </c>
      <c r="AB538" s="232">
        <v>18287.639999999996</v>
      </c>
      <c r="AC538" s="232">
        <v>2545</v>
      </c>
      <c r="AD538" s="228">
        <f t="shared" si="682"/>
      </c>
      <c r="AE538" s="233" t="s">
        <v>202</v>
      </c>
      <c r="AF538" s="234" t="s">
        <v>217</v>
      </c>
      <c r="AG538" s="235">
        <v>10</v>
      </c>
      <c r="AH538" s="236">
        <v>110535</v>
      </c>
      <c r="AI538" s="236">
        <v>2221</v>
      </c>
      <c r="AJ538" s="236">
        <v>2381</v>
      </c>
      <c r="AK538" s="237">
        <v>369</v>
      </c>
      <c r="AL538" s="237">
        <v>390</v>
      </c>
    </row>
    <row r="539">
      <c r="A539" s="216"/>
      <c r="B539" s="217" t="s">
        <v>200</v>
      </c>
      <c r="C539" s="218" t="s">
        <v>218</v>
      </c>
      <c r="D539" s="219">
        <f t="shared" si="527"/>
      </c>
      <c r="E539" s="220">
        <v>2332.59</v>
      </c>
      <c r="F539" s="221">
        <v>10368.47</v>
      </c>
      <c r="G539" s="221">
        <v>0</v>
      </c>
      <c r="H539" s="221">
        <v>0</v>
      </c>
      <c r="I539" s="221">
        <f t="shared" si="414"/>
      </c>
      <c r="J539" s="222">
        <f>2439+1735.56</f>
      </c>
      <c r="K539" s="223">
        <f t="shared" si="299"/>
      </c>
      <c r="L539" s="223">
        <f t="shared" si="184"/>
      </c>
      <c r="M539" s="224">
        <f t="shared" si="88"/>
      </c>
      <c r="N539" s="225">
        <f t="shared" si="57"/>
      </c>
      <c r="O539" s="226">
        <f t="shared" si="26"/>
      </c>
      <c r="P539" s="227">
        <f t="shared" si="961"/>
      </c>
      <c r="Q539" s="227">
        <f t="shared" si="930"/>
      </c>
      <c r="R539" s="227">
        <f t="shared" si="899"/>
      </c>
      <c r="S539" s="228">
        <f t="shared" si="868"/>
      </c>
      <c r="T539" s="229">
        <f t="shared" si="806"/>
      </c>
      <c r="U539" s="227">
        <f t="shared" si="775"/>
      </c>
      <c r="V539" s="230">
        <f t="shared" si="837"/>
      </c>
      <c r="W539" s="230">
        <f t="shared" si="744"/>
      </c>
      <c r="X539" s="227">
        <f t="shared" si="713"/>
      </c>
      <c r="Y539" s="231">
        <f t="shared" si="632"/>
      </c>
      <c r="Z539" s="231">
        <v>2</v>
      </c>
      <c r="AA539" s="231">
        <v>8</v>
      </c>
      <c r="AB539" s="232">
        <v>10061.279999999995</v>
      </c>
      <c r="AC539" s="232">
        <v>0</v>
      </c>
      <c r="AD539" s="228">
        <f t="shared" si="682"/>
      </c>
      <c r="AE539" s="233" t="s">
        <v>202</v>
      </c>
      <c r="AF539" s="234" t="s">
        <v>217</v>
      </c>
      <c r="AG539" s="235">
        <v>8</v>
      </c>
      <c r="AH539" s="236">
        <v>97439</v>
      </c>
      <c r="AI539" s="236">
        <v>1931</v>
      </c>
      <c r="AJ539" s="236">
        <v>2023</v>
      </c>
      <c r="AK539" s="235">
        <v>338</v>
      </c>
      <c r="AL539" s="235">
        <v>350</v>
      </c>
    </row>
    <row r="540">
      <c r="A540" s="216"/>
      <c r="B540" s="239" t="s">
        <v>208</v>
      </c>
      <c r="C540" s="240">
        <v>5</v>
      </c>
      <c r="D540" s="241">
        <f>SUM(D535:D539)</f>
      </c>
      <c r="E540" s="241">
        <f>SUM(E535:E539)</f>
      </c>
      <c r="F540" s="241">
        <f>SUM(F535:F539)</f>
      </c>
      <c r="G540" s="241">
        <f>SUM(G535:G539)</f>
      </c>
      <c r="H540" s="241">
        <f>SUM(H535:H539)</f>
      </c>
      <c r="I540" s="241">
        <f>SUM(I535:I539)</f>
      </c>
      <c r="J540" s="241">
        <f>SUM(J535:J539)</f>
      </c>
      <c r="K540" s="241">
        <f>SUM(K535:K539)</f>
      </c>
      <c r="L540" s="241">
        <f>SUM(L535:L539)</f>
      </c>
      <c r="M540" s="242">
        <f t="shared" si="88"/>
      </c>
      <c r="N540" s="243">
        <f t="shared" si="57"/>
      </c>
      <c r="O540" s="243">
        <f t="shared" si="26"/>
      </c>
      <c r="P540" s="244">
        <f t="shared" si="961"/>
      </c>
      <c r="Q540" s="244">
        <f t="shared" si="930"/>
      </c>
      <c r="R540" s="244">
        <f t="shared" si="899"/>
      </c>
      <c r="S540" s="245">
        <f t="shared" si="868"/>
      </c>
      <c r="T540" s="245">
        <f t="shared" si="806"/>
      </c>
      <c r="U540" s="244">
        <f t="shared" si="775"/>
      </c>
      <c r="V540" s="245">
        <f t="shared" si="837"/>
      </c>
      <c r="W540" s="245">
        <f t="shared" si="744"/>
      </c>
      <c r="X540" s="244">
        <f t="shared" si="713"/>
      </c>
      <c r="Y540" s="241">
        <f>SUM(Y535:Y539)</f>
      </c>
      <c r="Z540" s="241">
        <f>SUM(Z535:Z539)</f>
      </c>
      <c r="AA540" s="241">
        <f>SUM(AA535:AA539)</f>
      </c>
      <c r="AB540" s="241">
        <f>SUM(AB535:AB539)</f>
      </c>
      <c r="AC540" s="241">
        <f>SUM(AC535:AC539)</f>
      </c>
      <c r="AD540" s="246">
        <f t="shared" si="682"/>
      </c>
      <c r="AE540" s="247"/>
      <c r="AF540" s="248"/>
      <c r="AG540" s="241">
        <f>SUM(AG535:AG539)</f>
      </c>
      <c r="AH540" s="241">
        <f>SUM(AH535:AH539)</f>
      </c>
      <c r="AI540" s="241">
        <f>SUM(AI535:AI539)</f>
      </c>
      <c r="AJ540" s="241">
        <f>SUM(AJ535:AJ539)</f>
      </c>
      <c r="AK540" s="241">
        <f>SUM(AK535:AK539)</f>
      </c>
      <c r="AL540" s="241">
        <f>SUM(AL535:AL539)</f>
      </c>
    </row>
    <row r="541">
      <c r="A541" s="216"/>
      <c r="B541" s="217" t="s">
        <v>223</v>
      </c>
      <c r="C541" s="218" t="s">
        <v>219</v>
      </c>
      <c r="D541" s="219">
        <f t="shared" ref="D541:D545" si="528">E541+F541+G541+H541</f>
      </c>
      <c r="E541" s="220">
        <v>1158.4</v>
      </c>
      <c r="F541" s="221">
        <v>9209.78</v>
      </c>
      <c r="G541" s="221">
        <v>0</v>
      </c>
      <c r="H541" s="221">
        <v>0</v>
      </c>
      <c r="I541" s="221">
        <f t="shared" ref="I541:I545" si="415">AB541+AC541</f>
      </c>
      <c r="J541" s="222">
        <v>4934.42</v>
      </c>
      <c r="K541" s="223">
        <f t="shared" ref="K541:K545" si="300">I541-J541</f>
      </c>
      <c r="L541" s="223">
        <f t="shared" ref="L541:L545" si="185">(I541-AC541)/12+AC541</f>
      </c>
      <c r="M541" s="224">
        <f t="shared" si="88"/>
      </c>
      <c r="N541" s="225">
        <f t="shared" si="57"/>
      </c>
      <c r="O541" s="226">
        <f t="shared" si="26"/>
      </c>
      <c r="P541" s="227">
        <f t="shared" si="961"/>
      </c>
      <c r="Q541" s="227">
        <f t="shared" si="930"/>
      </c>
      <c r="R541" s="227">
        <f t="shared" si="899"/>
      </c>
      <c r="S541" s="228">
        <f t="shared" si="868"/>
      </c>
      <c r="T541" s="229">
        <f t="shared" si="806"/>
      </c>
      <c r="U541" s="227">
        <f t="shared" si="775"/>
      </c>
      <c r="V541" s="230">
        <f t="shared" si="837"/>
      </c>
      <c r="W541" s="230">
        <f t="shared" si="744"/>
      </c>
      <c r="X541" s="227">
        <f t="shared" si="713"/>
      </c>
      <c r="Y541" s="231">
        <f t="shared" ref="Y541:Y545" si="633">Z541+AA541</f>
      </c>
      <c r="Z541" s="231">
        <v>12</v>
      </c>
      <c r="AA541" s="231">
        <v>12</v>
      </c>
      <c r="AB541" s="232">
        <v>9815.040000000005</v>
      </c>
      <c r="AC541" s="232">
        <v>3693.7999999999993</v>
      </c>
      <c r="AD541" s="228">
        <f t="shared" si="682"/>
      </c>
      <c r="AE541" s="233" t="s">
        <v>202</v>
      </c>
      <c r="AF541" s="234" t="s">
        <v>217</v>
      </c>
      <c r="AG541" s="235">
        <v>10</v>
      </c>
      <c r="AH541" s="236">
        <v>86635</v>
      </c>
      <c r="AI541" s="236">
        <v>1374</v>
      </c>
      <c r="AJ541" s="236">
        <v>1415</v>
      </c>
      <c r="AK541" s="235">
        <v>283</v>
      </c>
      <c r="AL541" s="235">
        <v>271</v>
      </c>
    </row>
    <row r="542">
      <c r="A542" s="216"/>
      <c r="B542" s="217" t="s">
        <v>223</v>
      </c>
      <c r="C542" s="218" t="s">
        <v>220</v>
      </c>
      <c r="D542" s="219">
        <f t="shared" si="528"/>
      </c>
      <c r="E542" s="218">
        <v>2010.35</v>
      </c>
      <c r="F542" s="221">
        <v>4020.01</v>
      </c>
      <c r="G542" s="221">
        <v>0</v>
      </c>
      <c r="H542" s="221">
        <v>0</v>
      </c>
      <c r="I542" s="221">
        <f t="shared" si="415"/>
      </c>
      <c r="J542" s="222">
        <v>3198.56</v>
      </c>
      <c r="K542" s="223">
        <f t="shared" si="300"/>
      </c>
      <c r="L542" s="223">
        <f t="shared" si="185"/>
      </c>
      <c r="M542" s="224">
        <f t="shared" si="88"/>
      </c>
      <c r="N542" s="225">
        <f t="shared" si="57"/>
      </c>
      <c r="O542" s="226">
        <f t="shared" si="26"/>
      </c>
      <c r="P542" s="227">
        <f t="shared" si="961"/>
      </c>
      <c r="Q542" s="227">
        <f t="shared" si="930"/>
      </c>
      <c r="R542" s="227">
        <f t="shared" si="899"/>
      </c>
      <c r="S542" s="228">
        <f t="shared" si="868"/>
      </c>
      <c r="T542" s="229">
        <f t="shared" si="806"/>
      </c>
      <c r="U542" s="227">
        <f t="shared" si="775"/>
      </c>
      <c r="V542" s="230">
        <f t="shared" si="837"/>
      </c>
      <c r="W542" s="230">
        <f t="shared" si="744"/>
      </c>
      <c r="X542" s="227">
        <f t="shared" si="713"/>
      </c>
      <c r="Y542" s="231">
        <f t="shared" si="633"/>
      </c>
      <c r="Z542" s="231">
        <v>4</v>
      </c>
      <c r="AA542" s="231">
        <v>5</v>
      </c>
      <c r="AB542" s="232">
        <v>5151.600000000002</v>
      </c>
      <c r="AC542" s="232">
        <v>410</v>
      </c>
      <c r="AD542" s="228">
        <f t="shared" si="682"/>
      </c>
      <c r="AE542" s="233" t="s">
        <v>202</v>
      </c>
      <c r="AF542" s="234" t="s">
        <v>217</v>
      </c>
      <c r="AG542" s="235">
        <v>5</v>
      </c>
      <c r="AH542" s="236">
        <v>57658</v>
      </c>
      <c r="AI542" s="236">
        <v>1164</v>
      </c>
      <c r="AJ542" s="236">
        <v>1229</v>
      </c>
      <c r="AK542" s="237">
        <v>168</v>
      </c>
      <c r="AL542" s="237">
        <v>161</v>
      </c>
    </row>
    <row r="543">
      <c r="A543" s="216"/>
      <c r="B543" s="217" t="s">
        <v>223</v>
      </c>
      <c r="C543" s="218" t="s">
        <v>221</v>
      </c>
      <c r="D543" s="219">
        <f t="shared" si="528"/>
      </c>
      <c r="E543" s="218">
        <v>2288.06</v>
      </c>
      <c r="F543" s="218">
        <v>3483.32</v>
      </c>
      <c r="G543" s="221">
        <v>0</v>
      </c>
      <c r="H543" s="221">
        <v>0</v>
      </c>
      <c r="I543" s="221">
        <f t="shared" si="415"/>
      </c>
      <c r="J543" s="222">
        <v>1064</v>
      </c>
      <c r="K543" s="223">
        <f t="shared" si="300"/>
      </c>
      <c r="L543" s="223">
        <f t="shared" si="185"/>
      </c>
      <c r="M543" s="224">
        <f t="shared" si="88"/>
      </c>
      <c r="N543" s="225">
        <f t="shared" si="57"/>
      </c>
      <c r="O543" s="226">
        <f t="shared" si="26"/>
      </c>
      <c r="P543" s="227">
        <f t="shared" si="961"/>
      </c>
      <c r="Q543" s="227">
        <f t="shared" si="930"/>
      </c>
      <c r="R543" s="227">
        <f t="shared" si="899"/>
      </c>
      <c r="S543" s="228">
        <f t="shared" si="868"/>
      </c>
      <c r="T543" s="229">
        <f t="shared" si="806"/>
      </c>
      <c r="U543" s="227">
        <f t="shared" si="775"/>
      </c>
      <c r="V543" s="230">
        <f t="shared" si="837"/>
      </c>
      <c r="W543" s="230">
        <f t="shared" si="744"/>
      </c>
      <c r="X543" s="227">
        <f t="shared" si="713"/>
      </c>
      <c r="Y543" s="231">
        <f t="shared" si="633"/>
      </c>
      <c r="Z543" s="231">
        <v>1</v>
      </c>
      <c r="AA543" s="231">
        <v>2</v>
      </c>
      <c r="AB543" s="232">
        <v>3061.559999999994</v>
      </c>
      <c r="AC543" s="232">
        <v>1064</v>
      </c>
      <c r="AD543" s="228">
        <f t="shared" si="682"/>
      </c>
      <c r="AE543" s="233" t="s">
        <v>202</v>
      </c>
      <c r="AF543" s="234" t="s">
        <v>217</v>
      </c>
      <c r="AG543" s="237">
        <v>2</v>
      </c>
      <c r="AH543" s="236">
        <v>51788</v>
      </c>
      <c r="AI543" s="236">
        <v>1347</v>
      </c>
      <c r="AJ543" s="236">
        <v>1531</v>
      </c>
      <c r="AK543" s="237">
        <v>154</v>
      </c>
      <c r="AL543" s="237">
        <v>136</v>
      </c>
    </row>
    <row r="544">
      <c r="A544" s="216"/>
      <c r="B544" s="217" t="s">
        <v>223</v>
      </c>
      <c r="C544" s="218" t="s">
        <v>201</v>
      </c>
      <c r="D544" s="219">
        <f t="shared" si="528"/>
      </c>
      <c r="E544" s="218">
        <v>1692.44</v>
      </c>
      <c r="F544" s="221">
        <v>4219.37</v>
      </c>
      <c r="G544" s="221">
        <v>0</v>
      </c>
      <c r="H544" s="221">
        <v>0</v>
      </c>
      <c r="I544" s="221">
        <f t="shared" si="415"/>
      </c>
      <c r="J544" s="222">
        <v>675.7</v>
      </c>
      <c r="K544" s="223">
        <f t="shared" si="300"/>
      </c>
      <c r="L544" s="223">
        <f t="shared" si="185"/>
      </c>
      <c r="M544" s="224">
        <f t="shared" si="88"/>
      </c>
      <c r="N544" s="225">
        <f t="shared" si="57"/>
      </c>
      <c r="O544" s="226">
        <f t="shared" si="26"/>
      </c>
      <c r="P544" s="227">
        <f t="shared" si="961"/>
      </c>
      <c r="Q544" s="227">
        <f t="shared" si="930"/>
      </c>
      <c r="R544" s="227">
        <f t="shared" si="899"/>
      </c>
      <c r="S544" s="228">
        <f t="shared" si="868"/>
      </c>
      <c r="T544" s="229">
        <f t="shared" si="806"/>
      </c>
      <c r="U544" s="227">
        <f t="shared" si="775"/>
      </c>
      <c r="V544" s="230">
        <f t="shared" si="837"/>
      </c>
      <c r="W544" s="230">
        <f t="shared" si="744"/>
      </c>
      <c r="X544" s="227">
        <f t="shared" si="713"/>
      </c>
      <c r="Y544" s="231">
        <f t="shared" si="633"/>
      </c>
      <c r="Z544" s="231">
        <v>7</v>
      </c>
      <c r="AA544" s="231">
        <v>9</v>
      </c>
      <c r="AB544" s="222">
        <v>14613.240000000002</v>
      </c>
      <c r="AC544" s="232">
        <v>5971</v>
      </c>
      <c r="AD544" s="228">
        <f t="shared" si="682"/>
      </c>
      <c r="AE544" s="233" t="s">
        <v>202</v>
      </c>
      <c r="AF544" s="234" t="s">
        <v>217</v>
      </c>
      <c r="AG544" s="235">
        <v>7</v>
      </c>
      <c r="AH544" s="236">
        <v>50596</v>
      </c>
      <c r="AI544" s="236">
        <v>1464</v>
      </c>
      <c r="AJ544" s="236">
        <v>1631</v>
      </c>
      <c r="AK544" s="237">
        <v>198</v>
      </c>
      <c r="AL544" s="237">
        <v>172</v>
      </c>
    </row>
    <row r="545">
      <c r="A545" s="216"/>
      <c r="B545" s="217" t="s">
        <v>223</v>
      </c>
      <c r="C545" s="218" t="s">
        <v>204</v>
      </c>
      <c r="D545" s="219">
        <f t="shared" si="528"/>
      </c>
      <c r="E545" s="218">
        <v>1266.63</v>
      </c>
      <c r="F545" s="249">
        <v>6607.5</v>
      </c>
      <c r="G545" s="221">
        <v>0</v>
      </c>
      <c r="H545" s="221">
        <v>0</v>
      </c>
      <c r="I545" s="250">
        <f t="shared" si="415"/>
      </c>
      <c r="J545" s="251">
        <f>4240.08+2136.24+1562+3839.4</f>
      </c>
      <c r="K545" s="223">
        <f t="shared" si="300"/>
      </c>
      <c r="L545" s="223">
        <f t="shared" si="185"/>
      </c>
      <c r="M545" s="224">
        <f t="shared" si="88"/>
      </c>
      <c r="N545" s="225">
        <f t="shared" si="57"/>
      </c>
      <c r="O545" s="226">
        <f t="shared" si="26"/>
      </c>
      <c r="P545" s="227">
        <f t="shared" si="961"/>
      </c>
      <c r="Q545" s="227">
        <f t="shared" si="930"/>
      </c>
      <c r="R545" s="227">
        <f t="shared" si="899"/>
      </c>
      <c r="S545" s="228">
        <f t="shared" si="868"/>
      </c>
      <c r="T545" s="229">
        <f t="shared" si="806"/>
      </c>
      <c r="U545" s="227">
        <f t="shared" si="775"/>
      </c>
      <c r="V545" s="230">
        <f t="shared" si="837"/>
      </c>
      <c r="W545" s="230">
        <f t="shared" si="744"/>
      </c>
      <c r="X545" s="227">
        <f t="shared" si="713"/>
      </c>
      <c r="Y545" s="231">
        <f t="shared" si="633"/>
      </c>
      <c r="Z545" s="231">
        <v>8</v>
      </c>
      <c r="AA545" s="231">
        <v>9</v>
      </c>
      <c r="AB545" s="232">
        <v>18501.480000000007</v>
      </c>
      <c r="AC545" s="232">
        <v>2218</v>
      </c>
      <c r="AD545" s="228">
        <f t="shared" si="682"/>
      </c>
      <c r="AE545" s="233" t="s">
        <v>202</v>
      </c>
      <c r="AF545" s="234" t="s">
        <v>217</v>
      </c>
      <c r="AG545" s="235">
        <v>9</v>
      </c>
      <c r="AH545" s="236">
        <v>65325</v>
      </c>
      <c r="AI545" s="236">
        <v>1675</v>
      </c>
      <c r="AJ545" s="236">
        <v>1797</v>
      </c>
      <c r="AK545" s="237">
        <v>249</v>
      </c>
      <c r="AL545" s="237">
        <v>221</v>
      </c>
    </row>
    <row r="546">
      <c r="A546" s="216"/>
      <c r="B546" s="239" t="s">
        <v>208</v>
      </c>
      <c r="C546" s="240">
        <v>5</v>
      </c>
      <c r="D546" s="241">
        <f>SUM(D541:D545)</f>
      </c>
      <c r="E546" s="241">
        <f>SUM(E541:E545)</f>
      </c>
      <c r="F546" s="241">
        <f>SUM(F541:F545)</f>
      </c>
      <c r="G546" s="241">
        <f>SUM(G541:G545)</f>
      </c>
      <c r="H546" s="241">
        <f>SUM(H541:H545)</f>
      </c>
      <c r="I546" s="241">
        <f>SUM(I541:I545)</f>
      </c>
      <c r="J546" s="241">
        <f>SUM(J541:J545)</f>
      </c>
      <c r="K546" s="241">
        <f>SUM(K541:K545)</f>
      </c>
      <c r="L546" s="241">
        <f>SUM(L541:L545)</f>
      </c>
      <c r="M546" s="242">
        <f t="shared" si="88"/>
      </c>
      <c r="N546" s="243">
        <f t="shared" si="57"/>
      </c>
      <c r="O546" s="243">
        <f t="shared" si="26"/>
      </c>
      <c r="P546" s="244">
        <f t="shared" si="961"/>
      </c>
      <c r="Q546" s="244">
        <f t="shared" si="930"/>
      </c>
      <c r="R546" s="244">
        <f t="shared" si="899"/>
      </c>
      <c r="S546" s="245">
        <f t="shared" si="868"/>
      </c>
      <c r="T546" s="245">
        <f t="shared" si="806"/>
      </c>
      <c r="U546" s="244">
        <f t="shared" si="775"/>
      </c>
      <c r="V546" s="245">
        <f t="shared" si="837"/>
      </c>
      <c r="W546" s="245">
        <f t="shared" si="744"/>
      </c>
      <c r="X546" s="244">
        <f t="shared" si="713"/>
      </c>
      <c r="Y546" s="241">
        <f>SUM(Y541:Y545)</f>
      </c>
      <c r="Z546" s="241">
        <f>SUM(Z541:Z545)</f>
      </c>
      <c r="AA546" s="241">
        <f>SUM(AA541:AA545)</f>
      </c>
      <c r="AB546" s="241">
        <f>SUM(AB541:AB545)</f>
      </c>
      <c r="AC546" s="241">
        <f>SUM(AC541:AC545)</f>
      </c>
      <c r="AD546" s="246">
        <f t="shared" si="682"/>
      </c>
      <c r="AE546" s="247"/>
      <c r="AF546" s="248"/>
      <c r="AG546" s="241">
        <f>SUM(AG541:AG545)</f>
      </c>
      <c r="AH546" s="241">
        <f>SUM(AH541:AH545)</f>
      </c>
      <c r="AI546" s="241">
        <f>SUM(AI541:AI545)</f>
      </c>
      <c r="AJ546" s="241">
        <f>SUM(AJ541:AJ545)</f>
      </c>
      <c r="AK546" s="241">
        <f>SUM(AK541:AK545)</f>
      </c>
      <c r="AL546" s="241">
        <f>SUM(AL541:AL545)</f>
      </c>
    </row>
    <row r="547">
      <c r="A547" s="216"/>
      <c r="B547" s="217" t="s">
        <v>225</v>
      </c>
      <c r="C547" s="218" t="s">
        <v>205</v>
      </c>
      <c r="D547" s="219">
        <f t="shared" ref="D547:D548" si="529">E547+F547+G547+H547</f>
      </c>
      <c r="E547" s="218">
        <v>1122.59</v>
      </c>
      <c r="F547" s="249">
        <v>7947.12</v>
      </c>
      <c r="G547" s="221">
        <v>0</v>
      </c>
      <c r="H547" s="221">
        <v>0</v>
      </c>
      <c r="I547" s="250">
        <f t="shared" ref="I547:I548" si="416">AB547+AC547</f>
      </c>
      <c r="J547" s="251">
        <f>1977.24+2008.92+1509.84+1622.16+519.24+1541.16+1641.6</f>
      </c>
      <c r="K547" s="223">
        <f t="shared" ref="K547:K548" si="301">I547-J547</f>
      </c>
      <c r="L547" s="223">
        <f t="shared" ref="L547:L548" si="186">(I547-AC547)/12+AC547</f>
      </c>
      <c r="M547" s="224">
        <f t="shared" si="88"/>
      </c>
      <c r="N547" s="225">
        <f t="shared" si="57"/>
      </c>
      <c r="O547" s="226">
        <f t="shared" si="26"/>
      </c>
      <c r="P547" s="227">
        <f t="shared" si="961"/>
      </c>
      <c r="Q547" s="227">
        <f t="shared" si="930"/>
      </c>
      <c r="R547" s="227">
        <f t="shared" si="899"/>
      </c>
      <c r="S547" s="228">
        <f t="shared" si="868"/>
      </c>
      <c r="T547" s="229">
        <f t="shared" si="806"/>
      </c>
      <c r="U547" s="227">
        <f t="shared" si="775"/>
      </c>
      <c r="V547" s="230">
        <f t="shared" si="837"/>
      </c>
      <c r="W547" s="230">
        <f t="shared" si="744"/>
      </c>
      <c r="X547" s="227">
        <f t="shared" si="713"/>
      </c>
      <c r="Y547" s="231">
        <f t="shared" ref="Y547:Y548" si="634">Z547+AA547</f>
      </c>
      <c r="Z547" s="231">
        <v>8</v>
      </c>
      <c r="AA547" s="231">
        <v>13</v>
      </c>
      <c r="AB547" s="232">
        <v>21211.91999999998</v>
      </c>
      <c r="AC547" s="232">
        <v>526</v>
      </c>
      <c r="AD547" s="228">
        <f t="shared" si="682"/>
      </c>
      <c r="AE547" s="233" t="s">
        <v>202</v>
      </c>
      <c r="AF547" s="233" t="s">
        <v>203</v>
      </c>
      <c r="AG547" s="235">
        <v>11</v>
      </c>
      <c r="AH547" s="236">
        <v>78548</v>
      </c>
      <c r="AI547" s="236">
        <v>1671</v>
      </c>
      <c r="AJ547" s="236">
        <v>1683</v>
      </c>
      <c r="AK547" s="237">
        <v>282</v>
      </c>
      <c r="AL547" s="237">
        <v>295</v>
      </c>
    </row>
    <row r="548">
      <c r="A548" s="216"/>
      <c r="B548" s="217" t="s">
        <v>225</v>
      </c>
      <c r="C548" s="218" t="s">
        <v>206</v>
      </c>
      <c r="D548" s="219">
        <f t="shared" si="529"/>
      </c>
      <c r="E548" s="252">
        <v>2482.2</v>
      </c>
      <c r="F548" s="268">
        <v>7045.75</v>
      </c>
      <c r="G548" s="221">
        <v>0</v>
      </c>
      <c r="H548" s="221">
        <v>0</v>
      </c>
      <c r="I548" s="270">
        <f t="shared" si="416"/>
      </c>
      <c r="J548" s="251">
        <v>3110.4</v>
      </c>
      <c r="K548" s="223">
        <f t="shared" si="301"/>
      </c>
      <c r="L548" s="223">
        <f t="shared" si="186"/>
      </c>
      <c r="M548" s="224">
        <f t="shared" si="88"/>
      </c>
      <c r="N548" s="225">
        <f t="shared" si="57"/>
      </c>
      <c r="O548" s="226">
        <f t="shared" si="26"/>
      </c>
      <c r="P548" s="227">
        <f t="shared" si="961"/>
      </c>
      <c r="Q548" s="227">
        <f t="shared" si="930"/>
      </c>
      <c r="R548" s="227">
        <f t="shared" si="899"/>
      </c>
      <c r="S548" s="228">
        <f t="shared" si="868"/>
      </c>
      <c r="T548" s="229">
        <f t="shared" si="806"/>
      </c>
      <c r="U548" s="227">
        <f t="shared" si="775"/>
      </c>
      <c r="V548" s="230">
        <f t="shared" si="837"/>
      </c>
      <c r="W548" s="230">
        <f t="shared" si="744"/>
      </c>
      <c r="X548" s="227">
        <f t="shared" si="713"/>
      </c>
      <c r="Y548" s="231">
        <f t="shared" si="634"/>
      </c>
      <c r="Z548" s="231">
        <v>5</v>
      </c>
      <c r="AA548" s="231">
        <v>11</v>
      </c>
      <c r="AB548" s="272">
        <v>17278.320000000003</v>
      </c>
      <c r="AC548" s="232">
        <v>1927</v>
      </c>
      <c r="AD548" s="228">
        <f t="shared" si="682"/>
      </c>
      <c r="AE548" s="233" t="s">
        <v>202</v>
      </c>
      <c r="AF548" s="233" t="s">
        <v>203</v>
      </c>
      <c r="AG548" s="237">
        <v>9</v>
      </c>
      <c r="AH548" s="236">
        <v>85199</v>
      </c>
      <c r="AI548" s="236">
        <v>2168</v>
      </c>
      <c r="AJ548" s="236">
        <v>2352</v>
      </c>
      <c r="AK548" s="237">
        <v>209</v>
      </c>
      <c r="AL548" s="237">
        <v>213</v>
      </c>
    </row>
    <row r="549">
      <c r="A549" s="216"/>
      <c r="B549" s="239" t="s">
        <v>208</v>
      </c>
      <c r="C549" s="240">
        <v>2</v>
      </c>
      <c r="D549" s="273">
        <f>SUM(D547:D548)</f>
      </c>
      <c r="E549" s="273">
        <f>SUM(E547:E548)</f>
      </c>
      <c r="F549" s="273">
        <f>SUM(F547:F548)</f>
      </c>
      <c r="G549" s="273">
        <f>SUM(G547:G548)</f>
      </c>
      <c r="H549" s="273">
        <f>SUM(H547:H548)</f>
      </c>
      <c r="I549" s="273">
        <f>SUM(I547:I548)</f>
      </c>
      <c r="J549" s="273">
        <f>SUM(J547:J548)</f>
      </c>
      <c r="K549" s="273">
        <f>SUM(K547:K548)</f>
      </c>
      <c r="L549" s="273">
        <f>SUM(L547:L548)</f>
      </c>
      <c r="M549" s="242">
        <f t="shared" si="88"/>
      </c>
      <c r="N549" s="243">
        <f t="shared" si="57"/>
      </c>
      <c r="O549" s="243">
        <f t="shared" si="26"/>
      </c>
      <c r="P549" s="244">
        <f t="shared" si="961"/>
      </c>
      <c r="Q549" s="244">
        <f t="shared" si="930"/>
      </c>
      <c r="R549" s="244">
        <f t="shared" si="899"/>
      </c>
      <c r="S549" s="245">
        <f t="shared" si="868"/>
      </c>
      <c r="T549" s="245">
        <f t="shared" si="806"/>
      </c>
      <c r="U549" s="244">
        <f t="shared" si="775"/>
      </c>
      <c r="V549" s="245">
        <f t="shared" si="837"/>
      </c>
      <c r="W549" s="245">
        <f t="shared" si="744"/>
      </c>
      <c r="X549" s="244">
        <f t="shared" si="713"/>
      </c>
      <c r="Y549" s="273">
        <f>SUM(Y547:Y548)</f>
      </c>
      <c r="Z549" s="273">
        <f>SUM(Z547:Z548)</f>
      </c>
      <c r="AA549" s="273">
        <f>SUM(AA547:AA548)</f>
      </c>
      <c r="AB549" s="273">
        <f>SUM(AB547:AB548)</f>
      </c>
      <c r="AC549" s="273">
        <f>SUM(AC547:AC548)</f>
      </c>
      <c r="AD549" s="246">
        <f t="shared" si="682"/>
      </c>
      <c r="AE549" s="247"/>
      <c r="AF549" s="248"/>
      <c r="AG549" s="273">
        <f>SUM(AG547:AG548)</f>
      </c>
      <c r="AH549" s="273">
        <f>SUM(AH547:AH548)</f>
      </c>
      <c r="AI549" s="273">
        <f>SUM(AI547:AI548)</f>
      </c>
      <c r="AJ549" s="273">
        <f>SUM(AJ547:AJ548)</f>
      </c>
      <c r="AK549" s="273">
        <f>SUM(AK547:AK548)</f>
      </c>
      <c r="AL549" s="273">
        <f>SUM(AL547:AL548)</f>
      </c>
    </row>
    <row r="550">
      <c r="A550" s="216"/>
      <c r="B550" s="217" t="s">
        <v>224</v>
      </c>
      <c r="C550" s="218" t="s">
        <v>207</v>
      </c>
      <c r="D550" s="219">
        <f t="shared" ref="D550:D552" si="530">E550+F550+G550+H550</f>
      </c>
      <c r="E550" s="218">
        <v>1232.67</v>
      </c>
      <c r="F550" s="249">
        <v>8071.13</v>
      </c>
      <c r="G550" s="221">
        <v>0</v>
      </c>
      <c r="H550" s="221">
        <v>0</v>
      </c>
      <c r="I550" s="250">
        <f t="shared" ref="I550:I552" si="417">AB550+AC550</f>
      </c>
      <c r="J550" s="251">
        <v>0</v>
      </c>
      <c r="K550" s="223">
        <f t="shared" ref="K550:K552" si="302">I550-J550</f>
      </c>
      <c r="L550" s="223">
        <f t="shared" ref="L550:L552" si="187">(I550-AC550)/12+AC550</f>
      </c>
      <c r="M550" s="224">
        <f t="shared" si="88"/>
      </c>
      <c r="N550" s="225">
        <f t="shared" si="57"/>
      </c>
      <c r="O550" s="226">
        <f t="shared" si="26"/>
      </c>
      <c r="P550" s="227">
        <f t="shared" si="961"/>
      </c>
      <c r="Q550" s="227">
        <f t="shared" si="930"/>
      </c>
      <c r="R550" s="227">
        <f t="shared" si="899"/>
      </c>
      <c r="S550" s="228">
        <f t="shared" si="868"/>
      </c>
      <c r="T550" s="229">
        <f t="shared" si="806"/>
      </c>
      <c r="U550" s="227">
        <f t="shared" si="775"/>
      </c>
      <c r="V550" s="230">
        <f t="shared" si="837"/>
      </c>
      <c r="W550" s="230">
        <f t="shared" si="744"/>
      </c>
      <c r="X550" s="227">
        <f t="shared" si="713"/>
      </c>
      <c r="Y550" s="231">
        <f t="shared" ref="Y550:Y552" si="635">Z550+AA550</f>
      </c>
      <c r="Z550" s="231">
        <v>5</v>
      </c>
      <c r="AA550" s="231">
        <v>9</v>
      </c>
      <c r="AB550" s="232">
        <v>9210.239999999987</v>
      </c>
      <c r="AC550" s="232">
        <v>2175</v>
      </c>
      <c r="AD550" s="228">
        <f t="shared" si="682"/>
      </c>
      <c r="AE550" s="233" t="s">
        <v>202</v>
      </c>
      <c r="AF550" s="234" t="s">
        <v>203</v>
      </c>
      <c r="AG550" s="235">
        <v>7</v>
      </c>
      <c r="AH550" s="236">
        <v>94854</v>
      </c>
      <c r="AI550" s="236">
        <v>2021</v>
      </c>
      <c r="AJ550" s="236">
        <v>2188</v>
      </c>
      <c r="AK550" s="237">
        <v>224</v>
      </c>
      <c r="AL550" s="237">
        <v>254</v>
      </c>
    </row>
    <row r="551">
      <c r="A551" s="216"/>
      <c r="B551" s="217" t="s">
        <v>224</v>
      </c>
      <c r="C551" s="252" t="s">
        <v>210</v>
      </c>
      <c r="D551" s="219">
        <f t="shared" si="530"/>
      </c>
      <c r="E551" s="218">
        <v>1300.04</v>
      </c>
      <c r="F551" s="249">
        <v>6915.34</v>
      </c>
      <c r="G551" s="221">
        <v>0</v>
      </c>
      <c r="H551" s="221">
        <v>0</v>
      </c>
      <c r="I551" s="250">
        <f t="shared" si="417"/>
      </c>
      <c r="J551" s="251">
        <v>1622.16</v>
      </c>
      <c r="K551" s="223">
        <f t="shared" si="302"/>
      </c>
      <c r="L551" s="223">
        <f t="shared" si="187"/>
      </c>
      <c r="M551" s="224">
        <f t="shared" si="88"/>
      </c>
      <c r="N551" s="225">
        <f t="shared" si="57"/>
      </c>
      <c r="O551" s="226">
        <f t="shared" si="26"/>
      </c>
      <c r="P551" s="227">
        <f t="shared" si="961"/>
      </c>
      <c r="Q551" s="227">
        <f t="shared" si="930"/>
      </c>
      <c r="R551" s="227">
        <f t="shared" si="899"/>
      </c>
      <c r="S551" s="228">
        <f t="shared" si="868"/>
      </c>
      <c r="T551" s="229">
        <f t="shared" si="806"/>
      </c>
      <c r="U551" s="227">
        <f t="shared" si="775"/>
      </c>
      <c r="V551" s="230">
        <f t="shared" si="837"/>
      </c>
      <c r="W551" s="230">
        <f t="shared" si="744"/>
      </c>
      <c r="X551" s="227">
        <f t="shared" si="713"/>
      </c>
      <c r="Y551" s="231">
        <f t="shared" si="635"/>
      </c>
      <c r="Z551" s="231">
        <v>5</v>
      </c>
      <c r="AA551" s="231">
        <v>10</v>
      </c>
      <c r="AB551" s="232">
        <v>13370.040000000005</v>
      </c>
      <c r="AC551" s="232">
        <v>1260</v>
      </c>
      <c r="AD551" s="228">
        <f t="shared" si="682"/>
      </c>
      <c r="AE551" s="233" t="s">
        <v>202</v>
      </c>
      <c r="AF551" s="234" t="s">
        <v>203</v>
      </c>
      <c r="AG551" s="235">
        <v>7</v>
      </c>
      <c r="AH551" s="236">
        <v>95004</v>
      </c>
      <c r="AI551" s="236">
        <v>1863</v>
      </c>
      <c r="AJ551" s="236">
        <v>1913</v>
      </c>
      <c r="AK551" s="237">
        <v>201</v>
      </c>
      <c r="AL551" s="237">
        <v>244</v>
      </c>
    </row>
    <row r="552">
      <c r="A552" s="216"/>
      <c r="B552" s="217" t="s">
        <v>224</v>
      </c>
      <c r="C552" s="252" t="s">
        <v>211</v>
      </c>
      <c r="D552" s="219">
        <f t="shared" si="530"/>
      </c>
      <c r="E552" s="218">
        <v>853.85</v>
      </c>
      <c r="F552" s="249">
        <v>10568.01</v>
      </c>
      <c r="G552" s="221">
        <v>0</v>
      </c>
      <c r="H552" s="221">
        <v>0</v>
      </c>
      <c r="I552" s="250">
        <f t="shared" si="417"/>
      </c>
      <c r="J552" s="251">
        <v>0</v>
      </c>
      <c r="K552" s="223">
        <f t="shared" si="302"/>
      </c>
      <c r="L552" s="223">
        <f t="shared" si="187"/>
      </c>
      <c r="M552" s="224">
        <f t="shared" si="88"/>
      </c>
      <c r="N552" s="225">
        <f t="shared" si="57"/>
      </c>
      <c r="O552" s="226">
        <f t="shared" si="26"/>
      </c>
      <c r="P552" s="227">
        <f t="shared" si="961"/>
      </c>
      <c r="Q552" s="227">
        <f t="shared" si="930"/>
      </c>
      <c r="R552" s="227">
        <f t="shared" si="899"/>
      </c>
      <c r="S552" s="228">
        <f t="shared" si="868"/>
      </c>
      <c r="T552" s="229">
        <f t="shared" si="806"/>
      </c>
      <c r="U552" s="227">
        <f t="shared" si="775"/>
      </c>
      <c r="V552" s="230">
        <f t="shared" si="837"/>
      </c>
      <c r="W552" s="230">
        <f t="shared" si="744"/>
      </c>
      <c r="X552" s="227">
        <f t="shared" si="713"/>
      </c>
      <c r="Y552" s="231">
        <f t="shared" si="635"/>
      </c>
      <c r="Z552" s="231">
        <v>4</v>
      </c>
      <c r="AA552" s="231">
        <v>13</v>
      </c>
      <c r="AB552" s="232">
        <v>16247.52</v>
      </c>
      <c r="AC552" s="232">
        <v>2545.0000000000036</v>
      </c>
      <c r="AD552" s="228">
        <f t="shared" si="682"/>
      </c>
      <c r="AE552" s="233" t="s">
        <v>202</v>
      </c>
      <c r="AF552" s="234" t="s">
        <v>203</v>
      </c>
      <c r="AG552" s="237">
        <v>9</v>
      </c>
      <c r="AH552" s="236">
        <v>131338</v>
      </c>
      <c r="AI552" s="236">
        <v>1903</v>
      </c>
      <c r="AJ552" s="236">
        <v>1855</v>
      </c>
      <c r="AK552" s="237">
        <v>271</v>
      </c>
      <c r="AL552" s="237">
        <v>343</v>
      </c>
    </row>
    <row r="553">
      <c r="A553" s="216"/>
      <c r="B553" s="239" t="s">
        <v>208</v>
      </c>
      <c r="C553" s="240">
        <v>3</v>
      </c>
      <c r="D553" s="241">
        <f>SUM(D550:D552)</f>
      </c>
      <c r="E553" s="241">
        <f>SUM(E550:E552)</f>
      </c>
      <c r="F553" s="241">
        <f>SUM(F550:F552)</f>
      </c>
      <c r="G553" s="241">
        <f>SUM(G550:G552)</f>
      </c>
      <c r="H553" s="241">
        <f>SUM(H550:H552)</f>
      </c>
      <c r="I553" s="241">
        <f>SUM(I550:I552)</f>
      </c>
      <c r="J553" s="241">
        <f>SUM(J550:J552)</f>
      </c>
      <c r="K553" s="241">
        <f>SUM(K550:K552)</f>
      </c>
      <c r="L553" s="241">
        <f>SUM(L550:L552)</f>
      </c>
      <c r="M553" s="242">
        <f t="shared" si="88"/>
      </c>
      <c r="N553" s="243">
        <f t="shared" si="57"/>
      </c>
      <c r="O553" s="243">
        <f t="shared" si="26"/>
      </c>
      <c r="P553" s="244">
        <f t="shared" si="961"/>
      </c>
      <c r="Q553" s="244">
        <f t="shared" si="930"/>
      </c>
      <c r="R553" s="244">
        <f t="shared" si="899"/>
      </c>
      <c r="S553" s="245">
        <f t="shared" si="868"/>
      </c>
      <c r="T553" s="245">
        <f t="shared" si="806"/>
      </c>
      <c r="U553" s="244">
        <f t="shared" si="775"/>
      </c>
      <c r="V553" s="245">
        <f t="shared" si="837"/>
      </c>
      <c r="W553" s="245">
        <f t="shared" si="744"/>
      </c>
      <c r="X553" s="244">
        <f t="shared" si="713"/>
      </c>
      <c r="Y553" s="241">
        <f>SUM(Y550:Y552)</f>
      </c>
      <c r="Z553" s="241">
        <f>SUM(Z550:Z552)</f>
      </c>
      <c r="AA553" s="241">
        <f>SUM(AA550:AA552)</f>
      </c>
      <c r="AB553" s="241">
        <f>SUM(AB550:AB552)</f>
      </c>
      <c r="AC553" s="241">
        <f>SUM(AC550:AC552)</f>
      </c>
      <c r="AD553" s="246">
        <f t="shared" si="682"/>
      </c>
      <c r="AE553" s="247"/>
      <c r="AF553" s="248"/>
      <c r="AG553" s="241">
        <f>SUM(AG550:AG552)</f>
      </c>
      <c r="AH553" s="241">
        <f>SUM(AH550:AH552)</f>
      </c>
      <c r="AI553" s="241">
        <f>SUM(AI550:AI552)</f>
      </c>
      <c r="AJ553" s="241">
        <f>SUM(AJ550:AJ552)</f>
      </c>
      <c r="AK553" s="241">
        <f>SUM(AK550:AK552)</f>
      </c>
      <c r="AL553" s="241">
        <f>SUM(AL550:AL552)</f>
      </c>
    </row>
    <row r="554">
      <c r="A554" s="216"/>
      <c r="B554" s="217" t="s">
        <v>209</v>
      </c>
      <c r="C554" s="252" t="s">
        <v>212</v>
      </c>
      <c r="D554" s="219">
        <f t="shared" ref="D554:D558" si="531">E554+F554+G554+H554</f>
      </c>
      <c r="E554" s="220">
        <v>2007.78</v>
      </c>
      <c r="F554" s="221">
        <v>6497.46</v>
      </c>
      <c r="G554" s="221">
        <v>0</v>
      </c>
      <c r="H554" s="221">
        <v>0</v>
      </c>
      <c r="I554" s="221">
        <f t="shared" ref="I554:I558" si="418">AB554+AC554</f>
      </c>
      <c r="J554" s="222">
        <v>0</v>
      </c>
      <c r="K554" s="223">
        <f t="shared" ref="K554:K558" si="303">I554-J554</f>
      </c>
      <c r="L554" s="223">
        <f t="shared" ref="L554:L558" si="188">(I554-AC554)/12+AC554</f>
      </c>
      <c r="M554" s="224">
        <f t="shared" si="88"/>
      </c>
      <c r="N554" s="225">
        <f t="shared" si="57"/>
      </c>
      <c r="O554" s="226">
        <f t="shared" si="26"/>
      </c>
      <c r="P554" s="227">
        <f t="shared" si="961"/>
      </c>
      <c r="Q554" s="227">
        <f t="shared" si="930"/>
      </c>
      <c r="R554" s="227">
        <f t="shared" si="899"/>
      </c>
      <c r="S554" s="228">
        <f t="shared" si="868"/>
      </c>
      <c r="T554" s="229">
        <f t="shared" si="806"/>
      </c>
      <c r="U554" s="227">
        <f t="shared" si="775"/>
      </c>
      <c r="V554" s="230">
        <f t="shared" si="837"/>
      </c>
      <c r="W554" s="230">
        <f t="shared" si="744"/>
      </c>
      <c r="X554" s="227">
        <f t="shared" si="713"/>
      </c>
      <c r="Y554" s="231">
        <f t="shared" ref="Y554:Y558" si="636">Z554+AA554</f>
      </c>
      <c r="Z554" s="231">
        <v>7</v>
      </c>
      <c r="AA554" s="231">
        <v>9</v>
      </c>
      <c r="AB554" s="232">
        <v>9688.439999999999</v>
      </c>
      <c r="AC554" s="232">
        <v>1474</v>
      </c>
      <c r="AD554" s="228">
        <f t="shared" si="682"/>
      </c>
      <c r="AE554" s="233" t="s">
        <v>202</v>
      </c>
      <c r="AF554" s="234" t="s">
        <v>203</v>
      </c>
      <c r="AG554" s="235">
        <v>8</v>
      </c>
      <c r="AH554" s="235">
        <v>93247</v>
      </c>
      <c r="AI554" s="236">
        <v>2055</v>
      </c>
      <c r="AJ554" s="236">
        <v>2161</v>
      </c>
      <c r="AK554" s="235">
        <v>182</v>
      </c>
      <c r="AL554" s="237">
        <v>200</v>
      </c>
    </row>
    <row r="555">
      <c r="A555" s="216"/>
      <c r="B555" s="217" t="s">
        <v>209</v>
      </c>
      <c r="C555" s="218" t="s">
        <v>213</v>
      </c>
      <c r="D555" s="219">
        <f t="shared" si="531"/>
      </c>
      <c r="E555" s="218">
        <v>2585.21</v>
      </c>
      <c r="F555" s="221">
        <v>3645</v>
      </c>
      <c r="G555" s="221">
        <v>0</v>
      </c>
      <c r="H555" s="221">
        <v>0</v>
      </c>
      <c r="I555" s="221">
        <f t="shared" si="418"/>
      </c>
      <c r="J555" s="222">
        <v>3251.52</v>
      </c>
      <c r="K555" s="223">
        <f t="shared" si="303"/>
      </c>
      <c r="L555" s="223">
        <f t="shared" si="188"/>
      </c>
      <c r="M555" s="224">
        <f t="shared" si="88"/>
      </c>
      <c r="N555" s="225">
        <f t="shared" si="57"/>
      </c>
      <c r="O555" s="226">
        <f t="shared" si="26"/>
      </c>
      <c r="P555" s="227">
        <f t="shared" si="961"/>
      </c>
      <c r="Q555" s="227">
        <f t="shared" si="930"/>
      </c>
      <c r="R555" s="227">
        <f t="shared" si="899"/>
      </c>
      <c r="S555" s="228">
        <f t="shared" si="868"/>
      </c>
      <c r="T555" s="229">
        <f t="shared" si="806"/>
      </c>
      <c r="U555" s="227">
        <f t="shared" si="775"/>
      </c>
      <c r="V555" s="230">
        <f t="shared" si="837"/>
      </c>
      <c r="W555" s="230">
        <f t="shared" si="744"/>
      </c>
      <c r="X555" s="227">
        <f t="shared" si="713"/>
      </c>
      <c r="Y555" s="231">
        <f t="shared" si="636"/>
      </c>
      <c r="Z555" s="231">
        <v>5</v>
      </c>
      <c r="AA555" s="231">
        <v>5</v>
      </c>
      <c r="AB555" s="232">
        <v>6057.359999999982</v>
      </c>
      <c r="AC555" s="232">
        <v>363</v>
      </c>
      <c r="AD555" s="228">
        <f t="shared" si="682"/>
      </c>
      <c r="AE555" s="233" t="s">
        <v>202</v>
      </c>
      <c r="AF555" s="234" t="s">
        <v>203</v>
      </c>
      <c r="AG555" s="235">
        <v>5</v>
      </c>
      <c r="AH555" s="236">
        <v>76668</v>
      </c>
      <c r="AI555" s="236">
        <v>1800</v>
      </c>
      <c r="AJ555" s="236">
        <v>1875</v>
      </c>
      <c r="AK555" s="237">
        <v>178</v>
      </c>
      <c r="AL555" s="237">
        <v>198</v>
      </c>
    </row>
    <row r="556">
      <c r="A556" s="216"/>
      <c r="B556" s="217" t="s">
        <v>209</v>
      </c>
      <c r="C556" s="252" t="s">
        <v>214</v>
      </c>
      <c r="D556" s="219">
        <f t="shared" si="531"/>
      </c>
      <c r="E556" s="218">
        <v>2149.09</v>
      </c>
      <c r="F556" s="218">
        <v>6054.57</v>
      </c>
      <c r="G556" s="221">
        <v>0</v>
      </c>
      <c r="H556" s="221">
        <v>0</v>
      </c>
      <c r="I556" s="221">
        <f t="shared" si="418"/>
      </c>
      <c r="J556" s="222">
        <v>0</v>
      </c>
      <c r="K556" s="223">
        <f t="shared" si="303"/>
      </c>
      <c r="L556" s="223">
        <f t="shared" si="188"/>
      </c>
      <c r="M556" s="224">
        <f t="shared" si="88"/>
      </c>
      <c r="N556" s="225">
        <f t="shared" si="57"/>
      </c>
      <c r="O556" s="226">
        <f t="shared" si="26"/>
      </c>
      <c r="P556" s="227">
        <f t="shared" si="961"/>
      </c>
      <c r="Q556" s="227">
        <f t="shared" si="930"/>
      </c>
      <c r="R556" s="227">
        <f t="shared" si="899"/>
      </c>
      <c r="S556" s="228">
        <f t="shared" si="868"/>
      </c>
      <c r="T556" s="229">
        <f t="shared" si="806"/>
      </c>
      <c r="U556" s="227">
        <f t="shared" si="775"/>
      </c>
      <c r="V556" s="230">
        <f t="shared" si="837"/>
      </c>
      <c r="W556" s="230">
        <f t="shared" si="744"/>
      </c>
      <c r="X556" s="227">
        <f t="shared" si="713"/>
      </c>
      <c r="Y556" s="231">
        <f t="shared" si="636"/>
      </c>
      <c r="Z556" s="231">
        <v>1</v>
      </c>
      <c r="AA556" s="231">
        <v>5</v>
      </c>
      <c r="AB556" s="232">
        <v>2275.559999999994</v>
      </c>
      <c r="AC556" s="232">
        <v>6234</v>
      </c>
      <c r="AD556" s="228">
        <f t="shared" si="682"/>
      </c>
      <c r="AE556" s="233" t="s">
        <v>202</v>
      </c>
      <c r="AF556" s="234" t="s">
        <v>203</v>
      </c>
      <c r="AG556" s="237">
        <v>5</v>
      </c>
      <c r="AH556" s="236">
        <v>101798</v>
      </c>
      <c r="AI556" s="236">
        <v>1883</v>
      </c>
      <c r="AJ556" s="236">
        <v>1858</v>
      </c>
      <c r="AK556" s="237">
        <v>182</v>
      </c>
      <c r="AL556" s="237">
        <v>207</v>
      </c>
    </row>
    <row r="557">
      <c r="A557" s="216"/>
      <c r="B557" s="217" t="s">
        <v>209</v>
      </c>
      <c r="C557" s="218" t="s">
        <v>237</v>
      </c>
      <c r="D557" s="219">
        <f t="shared" si="531"/>
      </c>
      <c r="E557" s="218">
        <v>906.75</v>
      </c>
      <c r="F557" s="221">
        <v>5751.16</v>
      </c>
      <c r="G557" s="221">
        <v>0</v>
      </c>
      <c r="H557" s="221">
        <v>0</v>
      </c>
      <c r="I557" s="238">
        <f t="shared" si="418"/>
      </c>
      <c r="J557" s="222">
        <v>0</v>
      </c>
      <c r="K557" s="223">
        <f t="shared" si="303"/>
      </c>
      <c r="L557" s="223">
        <f t="shared" si="188"/>
      </c>
      <c r="M557" s="224">
        <f t="shared" si="88"/>
      </c>
      <c r="N557" s="225">
        <f t="shared" si="57"/>
      </c>
      <c r="O557" s="226">
        <f t="shared" si="26"/>
      </c>
      <c r="P557" s="227">
        <f t="shared" si="961"/>
      </c>
      <c r="Q557" s="227">
        <f t="shared" si="930"/>
      </c>
      <c r="R557" s="227">
        <f t="shared" si="899"/>
      </c>
      <c r="S557" s="228">
        <f t="shared" si="868"/>
      </c>
      <c r="T557" s="229">
        <f t="shared" si="806"/>
      </c>
      <c r="U557" s="227">
        <f t="shared" si="775"/>
      </c>
      <c r="V557" s="230">
        <f t="shared" si="837"/>
      </c>
      <c r="W557" s="230">
        <f t="shared" si="744"/>
      </c>
      <c r="X557" s="227">
        <f t="shared" si="713"/>
      </c>
      <c r="Y557" s="231">
        <f t="shared" si="636"/>
      </c>
      <c r="Z557" s="231">
        <v>2</v>
      </c>
      <c r="AA557" s="231">
        <v>5</v>
      </c>
      <c r="AB557" s="232">
        <v>9217.8</v>
      </c>
      <c r="AC557" s="232">
        <v>0</v>
      </c>
      <c r="AD557" s="228">
        <f t="shared" si="682"/>
      </c>
      <c r="AE557" s="233" t="s">
        <v>202</v>
      </c>
      <c r="AF557" s="234" t="s">
        <v>203</v>
      </c>
      <c r="AG557" s="235">
        <v>5</v>
      </c>
      <c r="AH557" s="236">
        <v>65727</v>
      </c>
      <c r="AI557" s="236">
        <v>1639</v>
      </c>
      <c r="AJ557" s="236">
        <v>1755</v>
      </c>
      <c r="AK557" s="237">
        <v>132</v>
      </c>
      <c r="AL557" s="237">
        <v>168</v>
      </c>
    </row>
    <row r="558">
      <c r="A558" s="216"/>
      <c r="B558" s="217" t="s">
        <v>209</v>
      </c>
      <c r="C558" s="218" t="s">
        <v>238</v>
      </c>
      <c r="D558" s="219">
        <f t="shared" si="531"/>
      </c>
      <c r="E558" s="220">
        <v>508.52</v>
      </c>
      <c r="F558" s="221">
        <v>4570.91</v>
      </c>
      <c r="G558" s="221">
        <v>0</v>
      </c>
      <c r="H558" s="221">
        <v>0</v>
      </c>
      <c r="I558" s="221">
        <f t="shared" si="418"/>
      </c>
      <c r="J558" s="222">
        <v>0</v>
      </c>
      <c r="K558" s="223">
        <f t="shared" si="303"/>
      </c>
      <c r="L558" s="223">
        <f t="shared" si="188"/>
      </c>
      <c r="M558" s="224">
        <f t="shared" si="88"/>
      </c>
      <c r="N558" s="225">
        <f t="shared" si="57"/>
      </c>
      <c r="O558" s="226">
        <f t="shared" si="26"/>
      </c>
      <c r="P558" s="227">
        <f t="shared" si="961"/>
      </c>
      <c r="Q558" s="227">
        <f t="shared" si="930"/>
      </c>
      <c r="R558" s="227">
        <f t="shared" si="899"/>
      </c>
      <c r="S558" s="228">
        <f t="shared" si="868"/>
      </c>
      <c r="T558" s="229">
        <f t="shared" si="806"/>
      </c>
      <c r="U558" s="227">
        <f t="shared" si="775"/>
      </c>
      <c r="V558" s="230">
        <f t="shared" si="837"/>
      </c>
      <c r="W558" s="230">
        <f t="shared" si="744"/>
      </c>
      <c r="X558" s="227">
        <f t="shared" si="713"/>
      </c>
      <c r="Y558" s="231">
        <f t="shared" si="636"/>
      </c>
      <c r="Z558" s="231">
        <v>3</v>
      </c>
      <c r="AA558" s="231">
        <v>7</v>
      </c>
      <c r="AB558" s="232">
        <v>14537.880000000001</v>
      </c>
      <c r="AC558" s="232">
        <v>0</v>
      </c>
      <c r="AD558" s="228">
        <f t="shared" si="682"/>
      </c>
      <c r="AE558" s="233" t="s">
        <v>202</v>
      </c>
      <c r="AF558" s="234" t="s">
        <v>203</v>
      </c>
      <c r="AG558" s="235">
        <v>5</v>
      </c>
      <c r="AH558" s="236">
        <v>65727</v>
      </c>
      <c r="AI558" s="236">
        <v>1639</v>
      </c>
      <c r="AJ558" s="236">
        <v>1755</v>
      </c>
      <c r="AK558" s="235">
        <v>132</v>
      </c>
      <c r="AL558" s="235">
        <v>168</v>
      </c>
    </row>
    <row r="559">
      <c r="A559" s="216"/>
      <c r="B559" s="239" t="s">
        <v>208</v>
      </c>
      <c r="C559" s="240">
        <v>5</v>
      </c>
      <c r="D559" s="241">
        <f>SUM(D554:D558)</f>
      </c>
      <c r="E559" s="241">
        <f>SUM(E554:E558)</f>
      </c>
      <c r="F559" s="241">
        <f>SUM(F554:F558)</f>
      </c>
      <c r="G559" s="241">
        <f>SUM(G554:G558)</f>
      </c>
      <c r="H559" s="241">
        <f>SUM(H554:H558)</f>
      </c>
      <c r="I559" s="241">
        <f>SUM(I554:I558)</f>
      </c>
      <c r="J559" s="241">
        <f>SUM(J554:J558)</f>
      </c>
      <c r="K559" s="241">
        <f>SUM(K554:K558)</f>
      </c>
      <c r="L559" s="241">
        <f>SUM(L554:L558)</f>
      </c>
      <c r="M559" s="242">
        <f t="shared" si="88"/>
      </c>
      <c r="N559" s="243">
        <f t="shared" si="57"/>
      </c>
      <c r="O559" s="243">
        <f t="shared" si="26"/>
      </c>
      <c r="P559" s="244">
        <f t="shared" si="961"/>
      </c>
      <c r="Q559" s="244">
        <f t="shared" si="930"/>
      </c>
      <c r="R559" s="244">
        <f t="shared" si="899"/>
      </c>
      <c r="S559" s="245">
        <f t="shared" si="868"/>
      </c>
      <c r="T559" s="245">
        <f t="shared" si="806"/>
      </c>
      <c r="U559" s="244">
        <f t="shared" si="775"/>
      </c>
      <c r="V559" s="245">
        <f t="shared" si="837"/>
      </c>
      <c r="W559" s="245">
        <f t="shared" si="744"/>
      </c>
      <c r="X559" s="244">
        <f t="shared" si="713"/>
      </c>
      <c r="Y559" s="241">
        <f>SUM(Y554:Y558)</f>
      </c>
      <c r="Z559" s="241">
        <f>SUM(Z554:Z558)</f>
      </c>
      <c r="AA559" s="241">
        <f>SUM(AA554:AA558)</f>
      </c>
      <c r="AB559" s="241">
        <f>SUM(AB554:AB558)</f>
      </c>
      <c r="AC559" s="241">
        <f>SUM(AC554:AC558)</f>
      </c>
      <c r="AD559" s="246">
        <f t="shared" si="682"/>
      </c>
      <c r="AE559" s="247"/>
      <c r="AF559" s="248"/>
      <c r="AG559" s="241">
        <f>SUM(AG554:AG558)</f>
      </c>
      <c r="AH559" s="241">
        <f>SUM(AH554:AH558)</f>
      </c>
      <c r="AI559" s="241">
        <f>SUM(AI554:AI558)</f>
      </c>
      <c r="AJ559" s="241">
        <f>SUM(AJ554:AJ558)</f>
      </c>
      <c r="AK559" s="241">
        <f>SUM(AK554:AK558)</f>
      </c>
      <c r="AL559" s="241">
        <f>SUM(AL554:AL558)</f>
      </c>
    </row>
    <row r="560">
      <c r="A560" s="216"/>
      <c r="B560" s="253" t="s">
        <v>208</v>
      </c>
      <c r="C560" s="254">
        <f>C540+C546+C549+C553+C559</f>
      </c>
      <c r="D560" s="254">
        <f>D540+D546+D549+D553+D559</f>
      </c>
      <c r="E560" s="254">
        <f>E540+E546+E549+E553+E559</f>
      </c>
      <c r="F560" s="254">
        <f>F540+F546+F549+F553+F559</f>
      </c>
      <c r="G560" s="254">
        <f>G540+G546+G549+G553+G559</f>
      </c>
      <c r="H560" s="254">
        <f>H540+H546+H549+H553+H559</f>
      </c>
      <c r="I560" s="254">
        <f>I540+I546+I549+I553+I559</f>
      </c>
      <c r="J560" s="254">
        <f>J540+J546+J549+J553+J559</f>
      </c>
      <c r="K560" s="254">
        <f>K540+K546+K549+K553+K559</f>
      </c>
      <c r="L560" s="254">
        <f>L540+L546+L549+L553+L559</f>
      </c>
      <c r="M560" s="256">
        <f t="shared" si="88"/>
      </c>
      <c r="N560" s="256">
        <f t="shared" si="57"/>
      </c>
      <c r="O560" s="256">
        <f t="shared" si="26"/>
      </c>
      <c r="P560" s="256">
        <f t="shared" si="961"/>
      </c>
      <c r="Q560" s="256">
        <f t="shared" si="930"/>
      </c>
      <c r="R560" s="256">
        <f t="shared" si="899"/>
      </c>
      <c r="S560" s="257">
        <f t="shared" si="868"/>
      </c>
      <c r="T560" s="257">
        <f t="shared" si="806"/>
      </c>
      <c r="U560" s="256">
        <f t="shared" si="775"/>
      </c>
      <c r="V560" s="257">
        <f t="shared" si="837"/>
      </c>
      <c r="W560" s="257">
        <f t="shared" si="744"/>
      </c>
      <c r="X560" s="256">
        <f t="shared" si="713"/>
      </c>
      <c r="Y560" s="254">
        <f>Y540+Y546+Y549+Y553+Y559</f>
      </c>
      <c r="Z560" s="254">
        <f>Z540+Z546+Z549+Z553+Z559</f>
      </c>
      <c r="AA560" s="254">
        <f>AA540+AA546+AA549+AA553+AA559</f>
      </c>
      <c r="AB560" s="254">
        <f>AB540+AB546+AB549+AB553+AB559</f>
      </c>
      <c r="AC560" s="254">
        <f>AC540+AC546+AC549+AC553+AC559</f>
      </c>
      <c r="AD560" s="258">
        <f t="shared" si="682"/>
      </c>
      <c r="AE560" s="253"/>
      <c r="AF560" s="253"/>
      <c r="AG560" s="254">
        <f>AG540+AG546+AG549+AG553+AG559</f>
      </c>
      <c r="AH560" s="254">
        <f>AH540+AH546+AH549+AH553+AH559</f>
      </c>
      <c r="AI560" s="254">
        <f>AI540+AI546+AI549+AI553+AI559</f>
      </c>
      <c r="AJ560" s="254">
        <f>AJ540+AJ546+AJ549+AJ553+AJ559</f>
      </c>
      <c r="AK560" s="254">
        <f>AK540+AK546+AK549+AK553+AK559</f>
      </c>
      <c r="AL560" s="254">
        <f>AL540+AL546+AL549+AL553+AL559</f>
      </c>
    </row>
    <row r="561">
      <c r="A561" s="202" t="s">
        <v>162</v>
      </c>
      <c r="B561" s="203" t="s">
        <v>163</v>
      </c>
      <c r="C561" s="203" t="s">
        <v>164</v>
      </c>
      <c r="D561" s="204" t="s">
        <v>165</v>
      </c>
      <c r="E561" s="203" t="s">
        <v>166</v>
      </c>
      <c r="F561" s="203" t="s">
        <v>167</v>
      </c>
      <c r="G561" s="205" t="s">
        <v>168</v>
      </c>
      <c r="H561" s="205" t="s">
        <v>169</v>
      </c>
      <c r="I561" s="204" t="s">
        <v>170</v>
      </c>
      <c r="J561" s="206" t="s">
        <v>171</v>
      </c>
      <c r="K561" s="207" t="s">
        <v>172</v>
      </c>
      <c r="L561" s="207" t="s">
        <v>173</v>
      </c>
      <c r="M561" s="208" t="s">
        <v>174</v>
      </c>
      <c r="N561" s="207" t="s">
        <v>175</v>
      </c>
      <c r="O561" s="203" t="s">
        <v>176</v>
      </c>
      <c r="P561" s="208" t="s">
        <v>177</v>
      </c>
      <c r="Q561" s="209" t="s">
        <v>178</v>
      </c>
      <c r="R561" s="209" t="s">
        <v>179</v>
      </c>
      <c r="S561" s="204" t="s">
        <v>180</v>
      </c>
      <c r="T561" s="210" t="s">
        <v>181</v>
      </c>
      <c r="U561" s="208" t="s">
        <v>182</v>
      </c>
      <c r="V561" s="211" t="s">
        <v>183</v>
      </c>
      <c r="W561" s="212" t="s">
        <v>184</v>
      </c>
      <c r="X561" s="208" t="s">
        <v>185</v>
      </c>
      <c r="Y561" s="213" t="s">
        <v>186</v>
      </c>
      <c r="Z561" s="214" t="s">
        <v>187</v>
      </c>
      <c r="AA561" s="213" t="s">
        <v>188</v>
      </c>
      <c r="AB561" s="215" t="s">
        <v>189</v>
      </c>
      <c r="AC561" s="215" t="s">
        <v>190</v>
      </c>
      <c r="AD561" s="207" t="s">
        <v>191</v>
      </c>
      <c r="AE561" s="206" t="s">
        <v>192</v>
      </c>
      <c r="AF561" s="207" t="s">
        <v>193</v>
      </c>
      <c r="AG561" s="206" t="s">
        <v>194</v>
      </c>
      <c r="AH561" s="206" t="s">
        <v>195</v>
      </c>
      <c r="AI561" s="207" t="s">
        <v>196</v>
      </c>
      <c r="AJ561" s="206" t="s">
        <v>197</v>
      </c>
      <c r="AK561" s="207" t="s">
        <v>198</v>
      </c>
      <c r="AL561" s="206" t="s">
        <v>199</v>
      </c>
    </row>
    <row r="562">
      <c r="A562" s="216">
        <v>46262</v>
      </c>
      <c r="B562" s="217" t="s">
        <v>200</v>
      </c>
      <c r="C562" s="218" t="s">
        <v>234</v>
      </c>
      <c r="D562" s="219">
        <f t="shared" ref="D562:D566" si="532">E562+F562+G562+H562</f>
      </c>
      <c r="E562" s="220">
        <v>875.07</v>
      </c>
      <c r="F562" s="221">
        <v>9113.94</v>
      </c>
      <c r="G562" s="221">
        <v>0</v>
      </c>
      <c r="H562" s="221">
        <v>0</v>
      </c>
      <c r="I562" s="221">
        <f t="shared" ref="I562:I566" si="419">AB562+AC562</f>
      </c>
      <c r="J562" s="222">
        <v>0</v>
      </c>
      <c r="K562" s="223">
        <f t="shared" ref="K562:K566" si="304">I562-J562</f>
      </c>
      <c r="L562" s="223">
        <f t="shared" ref="L562:L566" si="189">(I562-AC562)/12+AC562</f>
      </c>
      <c r="M562" s="224">
        <f t="shared" ref="M562:M587" si="89">I562/D562</f>
      </c>
      <c r="N562" s="225">
        <f t="shared" ref="N562:N587" si="58">(I562-J562)/D562</f>
      </c>
      <c r="O562" s="226">
        <f t="shared" ref="O562:O587" si="27">(AC562+AB562/12)/D562</f>
      </c>
      <c r="P562" s="227">
        <f t="shared" ref="P562:P587" si="962">I562/AA562</f>
      </c>
      <c r="Q562" s="227">
        <f t="shared" ref="Q562:Q587" si="931">D562/AA562</f>
      </c>
      <c r="R562" s="227">
        <f t="shared" ref="R562:R587" si="900">D562/AG562</f>
      </c>
      <c r="S562" s="228">
        <f t="shared" ref="S562:S587" si="869">AA562/Y562</f>
      </c>
      <c r="T562" s="229">
        <f t="shared" ref="T562:T587" si="807">AI562/AH562</f>
      </c>
      <c r="U562" s="227">
        <f t="shared" ref="U562:U587" si="776">D562/AJ562</f>
      </c>
      <c r="V562" s="230">
        <f t="shared" ref="V562:V587" si="838">AK562/AJ562</f>
      </c>
      <c r="W562" s="230">
        <f t="shared" ref="W562:W587" si="745">AL562/AJ562</f>
      </c>
      <c r="X562" s="227">
        <f t="shared" ref="X562:X587" si="714">D562/AL562</f>
      </c>
      <c r="Y562" s="231">
        <f t="shared" ref="Y562:Y566" si="637">Z562+AA562</f>
      </c>
      <c r="Z562" s="231">
        <v>7</v>
      </c>
      <c r="AA562" s="231">
        <v>6</v>
      </c>
      <c r="AB562" s="232">
        <v>9876.720000000001</v>
      </c>
      <c r="AC562" s="232">
        <v>1204</v>
      </c>
      <c r="AD562" s="228">
        <f t="shared" ref="AD562:AD587" si="683">AC562/I562</f>
      </c>
      <c r="AE562" s="233" t="s">
        <v>202</v>
      </c>
      <c r="AF562" s="234" t="s">
        <v>240</v>
      </c>
      <c r="AG562" s="235">
        <v>5</v>
      </c>
      <c r="AH562" s="235">
        <v>95156</v>
      </c>
      <c r="AI562" s="236">
        <v>2783</v>
      </c>
      <c r="AJ562" s="236">
        <v>2858</v>
      </c>
      <c r="AK562" s="235">
        <v>335</v>
      </c>
      <c r="AL562" s="237">
        <v>336</v>
      </c>
    </row>
    <row r="563">
      <c r="A563" s="216"/>
      <c r="B563" s="217" t="s">
        <v>200</v>
      </c>
      <c r="C563" s="218" t="s">
        <v>235</v>
      </c>
      <c r="D563" s="219">
        <f t="shared" si="532"/>
      </c>
      <c r="E563" s="218">
        <v>703.23</v>
      </c>
      <c r="F563" s="221">
        <v>6300.65</v>
      </c>
      <c r="G563" s="221">
        <v>0</v>
      </c>
      <c r="H563" s="221">
        <v>0</v>
      </c>
      <c r="I563" s="221">
        <f t="shared" si="419"/>
      </c>
      <c r="J563" s="222">
        <f>1217.16+1670.76+411</f>
      </c>
      <c r="K563" s="223">
        <f t="shared" si="304"/>
      </c>
      <c r="L563" s="223">
        <f t="shared" si="189"/>
      </c>
      <c r="M563" s="224">
        <f t="shared" si="89"/>
      </c>
      <c r="N563" s="225">
        <f t="shared" si="58"/>
      </c>
      <c r="O563" s="226">
        <f t="shared" si="27"/>
      </c>
      <c r="P563" s="227">
        <f t="shared" si="962"/>
      </c>
      <c r="Q563" s="227">
        <f t="shared" si="931"/>
      </c>
      <c r="R563" s="227">
        <f t="shared" si="900"/>
      </c>
      <c r="S563" s="228">
        <f t="shared" si="869"/>
      </c>
      <c r="T563" s="229">
        <f t="shared" si="807"/>
      </c>
      <c r="U563" s="227">
        <f t="shared" si="776"/>
      </c>
      <c r="V563" s="230">
        <f t="shared" si="838"/>
      </c>
      <c r="W563" s="230">
        <f t="shared" si="745"/>
      </c>
      <c r="X563" s="227">
        <f t="shared" si="714"/>
      </c>
      <c r="Y563" s="231">
        <f t="shared" si="637"/>
      </c>
      <c r="Z563" s="231">
        <v>7</v>
      </c>
      <c r="AA563" s="231">
        <v>8</v>
      </c>
      <c r="AB563" s="232">
        <v>10201.68</v>
      </c>
      <c r="AC563" s="232">
        <v>411</v>
      </c>
      <c r="AD563" s="228">
        <f t="shared" si="683"/>
      </c>
      <c r="AE563" s="233" t="s">
        <v>202</v>
      </c>
      <c r="AF563" s="234" t="s">
        <v>240</v>
      </c>
      <c r="AG563" s="235">
        <v>8</v>
      </c>
      <c r="AH563" s="236">
        <v>63603</v>
      </c>
      <c r="AI563" s="236">
        <v>1549</v>
      </c>
      <c r="AJ563" s="236">
        <v>1698</v>
      </c>
      <c r="AK563" s="237">
        <v>258</v>
      </c>
      <c r="AL563" s="237">
        <v>234</v>
      </c>
    </row>
    <row r="564">
      <c r="A564" s="216"/>
      <c r="B564" s="217" t="s">
        <v>200</v>
      </c>
      <c r="C564" s="218" t="s">
        <v>236</v>
      </c>
      <c r="D564" s="219">
        <f t="shared" si="532"/>
      </c>
      <c r="E564" s="218">
        <v>1450</v>
      </c>
      <c r="F564" s="218">
        <v>10560.51</v>
      </c>
      <c r="G564" s="221">
        <v>0</v>
      </c>
      <c r="H564" s="221">
        <v>0</v>
      </c>
      <c r="I564" s="221">
        <f t="shared" si="419"/>
      </c>
      <c r="J564" s="222">
        <v>645</v>
      </c>
      <c r="K564" s="223">
        <f t="shared" si="304"/>
      </c>
      <c r="L564" s="223">
        <f t="shared" si="189"/>
      </c>
      <c r="M564" s="224">
        <f t="shared" si="89"/>
      </c>
      <c r="N564" s="225">
        <f t="shared" si="58"/>
      </c>
      <c r="O564" s="226">
        <f t="shared" si="27"/>
      </c>
      <c r="P564" s="227">
        <f t="shared" si="962"/>
      </c>
      <c r="Q564" s="227">
        <f t="shared" si="931"/>
      </c>
      <c r="R564" s="227">
        <f t="shared" si="900"/>
      </c>
      <c r="S564" s="228">
        <f t="shared" si="869"/>
      </c>
      <c r="T564" s="229">
        <f t="shared" si="807"/>
      </c>
      <c r="U564" s="227">
        <f t="shared" si="776"/>
      </c>
      <c r="V564" s="230">
        <f t="shared" si="838"/>
      </c>
      <c r="W564" s="230">
        <f t="shared" si="745"/>
      </c>
      <c r="X564" s="227">
        <f t="shared" si="714"/>
      </c>
      <c r="Y564" s="231">
        <f t="shared" si="637"/>
      </c>
      <c r="Z564" s="231">
        <v>3</v>
      </c>
      <c r="AA564" s="231">
        <v>6</v>
      </c>
      <c r="AB564" s="232">
        <v>9817.199999999997</v>
      </c>
      <c r="AC564" s="232">
        <v>645</v>
      </c>
      <c r="AD564" s="228">
        <f t="shared" si="683"/>
      </c>
      <c r="AE564" s="233" t="s">
        <v>202</v>
      </c>
      <c r="AF564" s="234" t="s">
        <v>240</v>
      </c>
      <c r="AG564" s="237">
        <v>6</v>
      </c>
      <c r="AH564" s="236">
        <v>101889</v>
      </c>
      <c r="AI564" s="236">
        <v>2535</v>
      </c>
      <c r="AJ564" s="236">
        <v>2729</v>
      </c>
      <c r="AK564" s="237">
        <v>275</v>
      </c>
      <c r="AL564" s="237">
        <v>259</v>
      </c>
    </row>
    <row r="565">
      <c r="A565" s="216"/>
      <c r="B565" s="217" t="s">
        <v>200</v>
      </c>
      <c r="C565" s="218" t="s">
        <v>216</v>
      </c>
      <c r="D565" s="219">
        <f t="shared" si="532"/>
      </c>
      <c r="E565" s="218">
        <v>1151.4</v>
      </c>
      <c r="F565" s="221">
        <v>3702.83</v>
      </c>
      <c r="G565" s="221">
        <v>0</v>
      </c>
      <c r="H565" s="221">
        <v>0</v>
      </c>
      <c r="I565" s="238">
        <f t="shared" si="419"/>
      </c>
      <c r="J565" s="222">
        <v>685.8</v>
      </c>
      <c r="K565" s="223">
        <f t="shared" si="304"/>
      </c>
      <c r="L565" s="223">
        <f t="shared" si="189"/>
      </c>
      <c r="M565" s="224">
        <f t="shared" si="89"/>
      </c>
      <c r="N565" s="225">
        <f t="shared" si="58"/>
      </c>
      <c r="O565" s="226">
        <f t="shared" si="27"/>
      </c>
      <c r="P565" s="227">
        <f t="shared" si="962"/>
      </c>
      <c r="Q565" s="227">
        <f t="shared" si="931"/>
      </c>
      <c r="R565" s="227">
        <f t="shared" si="900"/>
      </c>
      <c r="S565" s="228">
        <f t="shared" si="869"/>
      </c>
      <c r="T565" s="229">
        <f t="shared" si="807"/>
      </c>
      <c r="U565" s="227">
        <f t="shared" si="776"/>
      </c>
      <c r="V565" s="230">
        <f t="shared" si="838"/>
      </c>
      <c r="W565" s="230">
        <f t="shared" si="745"/>
      </c>
      <c r="X565" s="227">
        <f t="shared" si="714"/>
      </c>
      <c r="Y565" s="231">
        <f t="shared" si="637"/>
      </c>
      <c r="Z565" s="231">
        <v>5</v>
      </c>
      <c r="AA565" s="231">
        <v>5</v>
      </c>
      <c r="AB565" s="232">
        <v>8041.32</v>
      </c>
      <c r="AC565" s="232">
        <v>0</v>
      </c>
      <c r="AD565" s="228">
        <f t="shared" si="683"/>
      </c>
      <c r="AE565" s="233" t="s">
        <v>202</v>
      </c>
      <c r="AF565" s="234" t="s">
        <v>240</v>
      </c>
      <c r="AG565" s="235">
        <v>4</v>
      </c>
      <c r="AH565" s="236">
        <v>42698</v>
      </c>
      <c r="AI565" s="236">
        <v>1301</v>
      </c>
      <c r="AJ565" s="236">
        <v>1396</v>
      </c>
      <c r="AK565" s="237">
        <v>144</v>
      </c>
      <c r="AL565" s="237">
        <v>138</v>
      </c>
    </row>
    <row r="566">
      <c r="A566" s="216"/>
      <c r="B566" s="217" t="s">
        <v>200</v>
      </c>
      <c r="C566" s="218" t="s">
        <v>218</v>
      </c>
      <c r="D566" s="219">
        <f t="shared" si="532"/>
      </c>
      <c r="E566" s="220">
        <v>1098.48</v>
      </c>
      <c r="F566" s="221">
        <v>4036.51</v>
      </c>
      <c r="G566" s="221">
        <v>0</v>
      </c>
      <c r="H566" s="221">
        <v>0</v>
      </c>
      <c r="I566" s="221">
        <f t="shared" si="419"/>
      </c>
      <c r="J566" s="222">
        <v>0</v>
      </c>
      <c r="K566" s="223">
        <f t="shared" si="304"/>
      </c>
      <c r="L566" s="223">
        <f t="shared" si="189"/>
      </c>
      <c r="M566" s="224">
        <f t="shared" si="89"/>
      </c>
      <c r="N566" s="225">
        <f t="shared" si="58"/>
      </c>
      <c r="O566" s="226">
        <f t="shared" si="27"/>
      </c>
      <c r="P566" s="227">
        <f t="shared" si="962"/>
      </c>
      <c r="Q566" s="227">
        <f t="shared" si="931"/>
      </c>
      <c r="R566" s="227">
        <f t="shared" si="900"/>
      </c>
      <c r="S566" s="228">
        <f t="shared" si="869"/>
      </c>
      <c r="T566" s="229">
        <f t="shared" si="807"/>
      </c>
      <c r="U566" s="227">
        <f t="shared" si="776"/>
      </c>
      <c r="V566" s="230">
        <f t="shared" si="838"/>
      </c>
      <c r="W566" s="230">
        <f t="shared" si="745"/>
      </c>
      <c r="X566" s="227">
        <f t="shared" si="714"/>
      </c>
      <c r="Y566" s="231">
        <f t="shared" si="637"/>
      </c>
      <c r="Z566" s="231">
        <v>5</v>
      </c>
      <c r="AA566" s="231">
        <v>7</v>
      </c>
      <c r="AB566" s="232">
        <f>19369.08+4725</f>
      </c>
      <c r="AC566" s="232">
        <v>0</v>
      </c>
      <c r="AD566" s="228">
        <f t="shared" si="683"/>
      </c>
      <c r="AE566" s="233" t="s">
        <v>202</v>
      </c>
      <c r="AF566" s="234" t="s">
        <v>240</v>
      </c>
      <c r="AG566" s="235">
        <v>4</v>
      </c>
      <c r="AH566" s="236">
        <v>46220</v>
      </c>
      <c r="AI566" s="236">
        <v>813</v>
      </c>
      <c r="AJ566" s="236">
        <v>836</v>
      </c>
      <c r="AK566" s="235">
        <v>140</v>
      </c>
      <c r="AL566" s="235">
        <v>127</v>
      </c>
    </row>
    <row r="567">
      <c r="A567" s="216"/>
      <c r="B567" s="239" t="s">
        <v>208</v>
      </c>
      <c r="C567" s="240">
        <v>5</v>
      </c>
      <c r="D567" s="241">
        <f>SUM(D562:D566)</f>
      </c>
      <c r="E567" s="241">
        <f>SUM(E562:E566)</f>
      </c>
      <c r="F567" s="241">
        <f>SUM(F562:F566)</f>
      </c>
      <c r="G567" s="241">
        <f>SUM(G562:G566)</f>
      </c>
      <c r="H567" s="241">
        <f>SUM(H562:H566)</f>
      </c>
      <c r="I567" s="241">
        <f>SUM(I562:I566)</f>
      </c>
      <c r="J567" s="241">
        <f>SUM(J562:J566)</f>
      </c>
      <c r="K567" s="241">
        <f>SUM(K562:K566)</f>
      </c>
      <c r="L567" s="241">
        <f>SUM(L562:L566)</f>
      </c>
      <c r="M567" s="242">
        <f t="shared" si="89"/>
      </c>
      <c r="N567" s="243">
        <f t="shared" si="58"/>
      </c>
      <c r="O567" s="243">
        <f t="shared" si="27"/>
      </c>
      <c r="P567" s="244">
        <f t="shared" si="962"/>
      </c>
      <c r="Q567" s="244">
        <f t="shared" si="931"/>
      </c>
      <c r="R567" s="244">
        <f t="shared" si="900"/>
      </c>
      <c r="S567" s="245">
        <f t="shared" si="869"/>
      </c>
      <c r="T567" s="245">
        <f t="shared" si="807"/>
      </c>
      <c r="U567" s="244">
        <f t="shared" si="776"/>
      </c>
      <c r="V567" s="245">
        <f t="shared" si="838"/>
      </c>
      <c r="W567" s="245">
        <f t="shared" si="745"/>
      </c>
      <c r="X567" s="244">
        <f t="shared" si="714"/>
      </c>
      <c r="Y567" s="241">
        <f>SUM(Y562:Y566)</f>
      </c>
      <c r="Z567" s="241">
        <f>SUM(Z562:Z566)</f>
      </c>
      <c r="AA567" s="241">
        <f>SUM(AA562:AA566)</f>
      </c>
      <c r="AB567" s="241">
        <f>SUM(AB562:AB566)</f>
      </c>
      <c r="AC567" s="241">
        <f>SUM(AC562:AC566)</f>
      </c>
      <c r="AD567" s="246">
        <f t="shared" si="683"/>
      </c>
      <c r="AE567" s="247"/>
      <c r="AF567" s="248"/>
      <c r="AG567" s="241">
        <f>SUM(AG562:AG566)</f>
      </c>
      <c r="AH567" s="241">
        <f>SUM(AH562:AH566)</f>
      </c>
      <c r="AI567" s="241">
        <f>SUM(AI562:AI566)</f>
      </c>
      <c r="AJ567" s="241">
        <f>SUM(AJ562:AJ566)</f>
      </c>
      <c r="AK567" s="241">
        <f>SUM(AK562:AK566)</f>
      </c>
      <c r="AL567" s="241">
        <f>SUM(AL562:AL566)</f>
      </c>
    </row>
    <row r="568">
      <c r="A568" s="216"/>
      <c r="B568" s="217" t="s">
        <v>223</v>
      </c>
      <c r="C568" s="218" t="s">
        <v>219</v>
      </c>
      <c r="D568" s="219">
        <f t="shared" ref="D568:D572" si="533">E568+F568+G568+H568</f>
      </c>
      <c r="E568" s="220">
        <v>1699.39</v>
      </c>
      <c r="F568" s="221">
        <v>4000.92</v>
      </c>
      <c r="G568" s="221">
        <v>0</v>
      </c>
      <c r="H568" s="221">
        <v>0</v>
      </c>
      <c r="I568" s="221">
        <f t="shared" ref="I568:I572" si="420">AB568+AC568</f>
      </c>
      <c r="J568" s="222">
        <v>1337.04</v>
      </c>
      <c r="K568" s="223">
        <f t="shared" ref="K568:K572" si="305">I568-J568</f>
      </c>
      <c r="L568" s="223">
        <f t="shared" ref="L568:L572" si="190">(I568-AC568)/12+AC568</f>
      </c>
      <c r="M568" s="224">
        <f t="shared" si="89"/>
      </c>
      <c r="N568" s="225">
        <f t="shared" si="58"/>
      </c>
      <c r="O568" s="226">
        <f t="shared" si="27"/>
      </c>
      <c r="P568" s="227">
        <f t="shared" si="962"/>
      </c>
      <c r="Q568" s="227">
        <f t="shared" si="931"/>
      </c>
      <c r="R568" s="227">
        <f t="shared" si="900"/>
      </c>
      <c r="S568" s="228">
        <f t="shared" si="869"/>
      </c>
      <c r="T568" s="229">
        <f t="shared" si="807"/>
      </c>
      <c r="U568" s="227">
        <f t="shared" si="776"/>
      </c>
      <c r="V568" s="230">
        <f t="shared" si="838"/>
      </c>
      <c r="W568" s="230">
        <f t="shared" si="745"/>
      </c>
      <c r="X568" s="227">
        <f t="shared" si="714"/>
      </c>
      <c r="Y568" s="231">
        <f t="shared" ref="Y568:Y572" si="638">Z568+AA568</f>
      </c>
      <c r="Z568" s="231">
        <v>3</v>
      </c>
      <c r="AA568" s="231">
        <v>6</v>
      </c>
      <c r="AB568" s="232">
        <v>9500.760000000002</v>
      </c>
      <c r="AC568" s="232">
        <v>0</v>
      </c>
      <c r="AD568" s="228">
        <f t="shared" si="683"/>
      </c>
      <c r="AE568" s="233" t="s">
        <v>202</v>
      </c>
      <c r="AF568" s="234" t="s">
        <v>240</v>
      </c>
      <c r="AG568" s="235">
        <v>6</v>
      </c>
      <c r="AH568" s="236">
        <v>46618</v>
      </c>
      <c r="AI568" s="236">
        <v>1064</v>
      </c>
      <c r="AJ568" s="236">
        <v>1113</v>
      </c>
      <c r="AK568" s="235">
        <v>162</v>
      </c>
      <c r="AL568" s="235">
        <v>153</v>
      </c>
    </row>
    <row r="569">
      <c r="A569" s="216"/>
      <c r="B569" s="217" t="s">
        <v>223</v>
      </c>
      <c r="C569" s="218" t="s">
        <v>220</v>
      </c>
      <c r="D569" s="219">
        <f t="shared" si="533"/>
      </c>
      <c r="E569" s="218">
        <v>2102.4</v>
      </c>
      <c r="F569" s="221">
        <v>3963.02</v>
      </c>
      <c r="G569" s="221">
        <v>0</v>
      </c>
      <c r="H569" s="221">
        <v>0</v>
      </c>
      <c r="I569" s="221">
        <f t="shared" si="420"/>
      </c>
      <c r="J569" s="222">
        <f>2603.88+3048.84</f>
      </c>
      <c r="K569" s="223">
        <f t="shared" si="305"/>
      </c>
      <c r="L569" s="223">
        <f t="shared" si="190"/>
      </c>
      <c r="M569" s="224">
        <f t="shared" si="89"/>
      </c>
      <c r="N569" s="225">
        <f t="shared" si="58"/>
      </c>
      <c r="O569" s="226">
        <f t="shared" si="27"/>
      </c>
      <c r="P569" s="227">
        <f t="shared" si="962"/>
      </c>
      <c r="Q569" s="227">
        <f t="shared" si="931"/>
      </c>
      <c r="R569" s="227">
        <f t="shared" si="900"/>
      </c>
      <c r="S569" s="228">
        <f t="shared" si="869"/>
      </c>
      <c r="T569" s="229">
        <f t="shared" si="807"/>
      </c>
      <c r="U569" s="227">
        <f t="shared" si="776"/>
      </c>
      <c r="V569" s="230">
        <f t="shared" si="838"/>
      </c>
      <c r="W569" s="230">
        <f t="shared" si="745"/>
      </c>
      <c r="X569" s="227">
        <f t="shared" si="714"/>
      </c>
      <c r="Y569" s="231">
        <f t="shared" si="638"/>
      </c>
      <c r="Z569" s="231">
        <v>4</v>
      </c>
      <c r="AA569" s="231">
        <v>8</v>
      </c>
      <c r="AB569" s="232">
        <v>11759.039999999986</v>
      </c>
      <c r="AC569" s="232">
        <v>3268.55</v>
      </c>
      <c r="AD569" s="228">
        <f t="shared" si="683"/>
      </c>
      <c r="AE569" s="233" t="s">
        <v>202</v>
      </c>
      <c r="AF569" s="234" t="s">
        <v>240</v>
      </c>
      <c r="AG569" s="235">
        <v>6</v>
      </c>
      <c r="AH569" s="236">
        <v>58862</v>
      </c>
      <c r="AI569" s="236">
        <v>1337</v>
      </c>
      <c r="AJ569" s="236">
        <v>1397</v>
      </c>
      <c r="AK569" s="237">
        <v>185</v>
      </c>
      <c r="AL569" s="237">
        <v>187</v>
      </c>
    </row>
    <row r="570">
      <c r="A570" s="216"/>
      <c r="B570" s="217" t="s">
        <v>223</v>
      </c>
      <c r="C570" s="218" t="s">
        <v>221</v>
      </c>
      <c r="D570" s="219">
        <f t="shared" si="533"/>
      </c>
      <c r="E570" s="218">
        <v>2215.46</v>
      </c>
      <c r="F570" s="218">
        <v>4242.27</v>
      </c>
      <c r="G570" s="221">
        <v>0</v>
      </c>
      <c r="H570" s="221">
        <v>0</v>
      </c>
      <c r="I570" s="221">
        <f t="shared" si="420"/>
      </c>
      <c r="J570" s="222">
        <v>0</v>
      </c>
      <c r="K570" s="223">
        <f t="shared" si="305"/>
      </c>
      <c r="L570" s="223">
        <f t="shared" si="190"/>
      </c>
      <c r="M570" s="224">
        <f t="shared" si="89"/>
      </c>
      <c r="N570" s="225">
        <f t="shared" si="58"/>
      </c>
      <c r="O570" s="226">
        <f t="shared" si="27"/>
      </c>
      <c r="P570" s="227">
        <f t="shared" si="962"/>
      </c>
      <c r="Q570" s="227">
        <f t="shared" si="931"/>
      </c>
      <c r="R570" s="227">
        <f t="shared" si="900"/>
      </c>
      <c r="S570" s="228">
        <f t="shared" si="869"/>
      </c>
      <c r="T570" s="229">
        <f t="shared" si="807"/>
      </c>
      <c r="U570" s="227">
        <f t="shared" si="776"/>
      </c>
      <c r="V570" s="230">
        <f t="shared" si="838"/>
      </c>
      <c r="W570" s="230">
        <f t="shared" si="745"/>
      </c>
      <c r="X570" s="227">
        <f t="shared" si="714"/>
      </c>
      <c r="Y570" s="231">
        <f t="shared" si="638"/>
      </c>
      <c r="Z570" s="231">
        <v>4</v>
      </c>
      <c r="AA570" s="231">
        <v>1</v>
      </c>
      <c r="AB570" s="232">
        <v>943.9200000000055</v>
      </c>
      <c r="AC570" s="232">
        <v>0</v>
      </c>
      <c r="AD570" s="228">
        <f t="shared" si="683"/>
      </c>
      <c r="AE570" s="233" t="s">
        <v>202</v>
      </c>
      <c r="AF570" s="234" t="s">
        <v>240</v>
      </c>
      <c r="AG570" s="237">
        <v>1</v>
      </c>
      <c r="AH570" s="236">
        <v>53009</v>
      </c>
      <c r="AI570" s="236">
        <v>1524</v>
      </c>
      <c r="AJ570" s="236">
        <v>1617</v>
      </c>
      <c r="AK570" s="237">
        <v>154</v>
      </c>
      <c r="AL570" s="237">
        <v>161</v>
      </c>
    </row>
    <row r="571">
      <c r="A571" s="216"/>
      <c r="B571" s="217" t="s">
        <v>223</v>
      </c>
      <c r="C571" s="218" t="s">
        <v>201</v>
      </c>
      <c r="D571" s="219">
        <f t="shared" si="533"/>
      </c>
      <c r="E571" s="218">
        <v>1386.77</v>
      </c>
      <c r="F571" s="221">
        <v>3527.83</v>
      </c>
      <c r="G571" s="221">
        <v>0</v>
      </c>
      <c r="H571" s="221">
        <v>0</v>
      </c>
      <c r="I571" s="221">
        <f t="shared" si="420"/>
      </c>
      <c r="J571" s="222">
        <v>0</v>
      </c>
      <c r="K571" s="223">
        <f t="shared" si="305"/>
      </c>
      <c r="L571" s="223">
        <f t="shared" si="190"/>
      </c>
      <c r="M571" s="224">
        <f t="shared" si="89"/>
      </c>
      <c r="N571" s="225">
        <f t="shared" si="58"/>
      </c>
      <c r="O571" s="226">
        <f t="shared" si="27"/>
      </c>
      <c r="P571" s="227">
        <f t="shared" si="962"/>
      </c>
      <c r="Q571" s="227">
        <f t="shared" si="931"/>
      </c>
      <c r="R571" s="227">
        <f t="shared" si="900"/>
      </c>
      <c r="S571" s="228">
        <f t="shared" si="869"/>
      </c>
      <c r="T571" s="229">
        <f t="shared" si="807"/>
      </c>
      <c r="U571" s="227">
        <f t="shared" si="776"/>
      </c>
      <c r="V571" s="230">
        <f t="shared" si="838"/>
      </c>
      <c r="W571" s="230">
        <f t="shared" si="745"/>
      </c>
      <c r="X571" s="227">
        <f t="shared" si="714"/>
      </c>
      <c r="Y571" s="231">
        <f t="shared" si="638"/>
      </c>
      <c r="Z571" s="231">
        <v>3</v>
      </c>
      <c r="AA571" s="231">
        <v>2</v>
      </c>
      <c r="AB571" s="222">
        <v>1509.8400000000038</v>
      </c>
      <c r="AC571" s="232">
        <v>1608</v>
      </c>
      <c r="AD571" s="228">
        <f t="shared" si="683"/>
      </c>
      <c r="AE571" s="233" t="s">
        <v>202</v>
      </c>
      <c r="AF571" s="234" t="s">
        <v>240</v>
      </c>
      <c r="AG571" s="235">
        <v>1</v>
      </c>
      <c r="AH571" s="236">
        <v>44219</v>
      </c>
      <c r="AI571" s="236">
        <v>1008</v>
      </c>
      <c r="AJ571" s="236">
        <v>1100</v>
      </c>
      <c r="AK571" s="237">
        <v>132</v>
      </c>
      <c r="AL571" s="237">
        <v>147</v>
      </c>
    </row>
    <row r="572">
      <c r="A572" s="216"/>
      <c r="B572" s="217" t="s">
        <v>223</v>
      </c>
      <c r="C572" s="218" t="s">
        <v>204</v>
      </c>
      <c r="D572" s="219">
        <f t="shared" si="533"/>
      </c>
      <c r="E572" s="218">
        <v>1117.22</v>
      </c>
      <c r="F572" s="249">
        <v>5741.35</v>
      </c>
      <c r="G572" s="221">
        <v>0</v>
      </c>
      <c r="H572" s="221">
        <v>0</v>
      </c>
      <c r="I572" s="250">
        <f t="shared" si="420"/>
      </c>
      <c r="J572" s="251">
        <f>2603.88+1205.28</f>
      </c>
      <c r="K572" s="223">
        <f t="shared" si="305"/>
      </c>
      <c r="L572" s="223">
        <f t="shared" si="190"/>
      </c>
      <c r="M572" s="224">
        <f t="shared" si="89"/>
      </c>
      <c r="N572" s="225">
        <f t="shared" si="58"/>
      </c>
      <c r="O572" s="226">
        <f t="shared" si="27"/>
      </c>
      <c r="P572" s="227">
        <f t="shared" si="962"/>
      </c>
      <c r="Q572" s="227">
        <f t="shared" si="931"/>
      </c>
      <c r="R572" s="227">
        <f t="shared" si="900"/>
      </c>
      <c r="S572" s="228">
        <f t="shared" si="869"/>
      </c>
      <c r="T572" s="229">
        <f t="shared" si="807"/>
      </c>
      <c r="U572" s="227">
        <f t="shared" si="776"/>
      </c>
      <c r="V572" s="230">
        <f t="shared" si="838"/>
      </c>
      <c r="W572" s="230">
        <f t="shared" si="745"/>
      </c>
      <c r="X572" s="227">
        <f t="shared" si="714"/>
      </c>
      <c r="Y572" s="231">
        <f t="shared" si="638"/>
      </c>
      <c r="Z572" s="231">
        <v>3</v>
      </c>
      <c r="AA572" s="231">
        <v>6</v>
      </c>
      <c r="AB572" s="232">
        <v>9225.36</v>
      </c>
      <c r="AC572" s="232">
        <v>0</v>
      </c>
      <c r="AD572" s="228">
        <f t="shared" si="683"/>
      </c>
      <c r="AE572" s="233" t="s">
        <v>202</v>
      </c>
      <c r="AF572" s="234" t="s">
        <v>240</v>
      </c>
      <c r="AG572" s="235">
        <v>4</v>
      </c>
      <c r="AH572" s="236">
        <v>56402</v>
      </c>
      <c r="AI572" s="236">
        <v>1016</v>
      </c>
      <c r="AJ572" s="236">
        <v>1041</v>
      </c>
      <c r="AK572" s="237">
        <v>179</v>
      </c>
      <c r="AL572" s="237">
        <v>192</v>
      </c>
    </row>
    <row r="573">
      <c r="A573" s="216"/>
      <c r="B573" s="239" t="s">
        <v>208</v>
      </c>
      <c r="C573" s="240">
        <v>5</v>
      </c>
      <c r="D573" s="241">
        <f>SUM(D568:D572)</f>
      </c>
      <c r="E573" s="241">
        <f>SUM(E568:E572)</f>
      </c>
      <c r="F573" s="241">
        <f>SUM(F568:F572)</f>
      </c>
      <c r="G573" s="241">
        <f>SUM(G568:G572)</f>
      </c>
      <c r="H573" s="241">
        <f>SUM(H568:H572)</f>
      </c>
      <c r="I573" s="241">
        <f>SUM(I568:I572)</f>
      </c>
      <c r="J573" s="241">
        <f>SUM(J568:J572)</f>
      </c>
      <c r="K573" s="241">
        <f>SUM(K568:K572)</f>
      </c>
      <c r="L573" s="241">
        <f>SUM(L568:L572)</f>
      </c>
      <c r="M573" s="242">
        <f t="shared" si="89"/>
      </c>
      <c r="N573" s="243">
        <f t="shared" si="58"/>
      </c>
      <c r="O573" s="243">
        <f t="shared" si="27"/>
      </c>
      <c r="P573" s="244">
        <f t="shared" si="962"/>
      </c>
      <c r="Q573" s="244">
        <f t="shared" si="931"/>
      </c>
      <c r="R573" s="244">
        <f t="shared" si="900"/>
      </c>
      <c r="S573" s="245">
        <f t="shared" si="869"/>
      </c>
      <c r="T573" s="245">
        <f t="shared" si="807"/>
      </c>
      <c r="U573" s="244">
        <f t="shared" si="776"/>
      </c>
      <c r="V573" s="245">
        <f t="shared" si="838"/>
      </c>
      <c r="W573" s="245">
        <f t="shared" si="745"/>
      </c>
      <c r="X573" s="244">
        <f t="shared" si="714"/>
      </c>
      <c r="Y573" s="241">
        <f>SUM(Y568:Y572)</f>
      </c>
      <c r="Z573" s="241">
        <f>SUM(Z568:Z572)</f>
      </c>
      <c r="AA573" s="241">
        <f>SUM(AA568:AA572)</f>
      </c>
      <c r="AB573" s="241">
        <f>SUM(AB568:AB572)</f>
      </c>
      <c r="AC573" s="241">
        <f>SUM(AC568:AC572)</f>
      </c>
      <c r="AD573" s="246">
        <f t="shared" si="683"/>
      </c>
      <c r="AE573" s="247"/>
      <c r="AF573" s="248"/>
      <c r="AG573" s="241">
        <f>SUM(AG568:AG572)</f>
      </c>
      <c r="AH573" s="241">
        <f>SUM(AH568:AH572)</f>
      </c>
      <c r="AI573" s="241">
        <f>SUM(AI568:AI572)</f>
      </c>
      <c r="AJ573" s="241">
        <f>SUM(AJ568:AJ572)</f>
      </c>
      <c r="AK573" s="241">
        <f>SUM(AK568:AK572)</f>
      </c>
      <c r="AL573" s="241">
        <f>SUM(AL568:AL572)</f>
      </c>
    </row>
    <row r="574">
      <c r="A574" s="216"/>
      <c r="B574" s="217" t="s">
        <v>230</v>
      </c>
      <c r="C574" s="218" t="s">
        <v>205</v>
      </c>
      <c r="D574" s="219">
        <f t="shared" ref="D574:D575" si="534">E574+F574+G574+H574</f>
      </c>
      <c r="E574" s="218">
        <v>982.63</v>
      </c>
      <c r="F574" s="249">
        <v>5848.65</v>
      </c>
      <c r="G574" s="221">
        <v>0</v>
      </c>
      <c r="H574" s="221">
        <v>0</v>
      </c>
      <c r="I574" s="250">
        <f t="shared" ref="I574:I575" si="421">AB574+AC574</f>
      </c>
      <c r="J574" s="251">
        <v>1480.68</v>
      </c>
      <c r="K574" s="223">
        <f t="shared" ref="K574:K575" si="306">I574-J574</f>
      </c>
      <c r="L574" s="223">
        <f t="shared" ref="L574:L575" si="191">(I574-AC574)/12+AC574</f>
      </c>
      <c r="M574" s="224">
        <f t="shared" si="89"/>
      </c>
      <c r="N574" s="225">
        <f t="shared" si="58"/>
      </c>
      <c r="O574" s="226">
        <f t="shared" si="27"/>
      </c>
      <c r="P574" s="227">
        <f t="shared" si="962"/>
      </c>
      <c r="Q574" s="227">
        <f t="shared" si="931"/>
      </c>
      <c r="R574" s="227">
        <f t="shared" si="900"/>
      </c>
      <c r="S574" s="228">
        <f t="shared" si="869"/>
      </c>
      <c r="T574" s="229">
        <f t="shared" si="807"/>
      </c>
      <c r="U574" s="227">
        <f t="shared" si="776"/>
      </c>
      <c r="V574" s="230">
        <f t="shared" si="838"/>
      </c>
      <c r="W574" s="230">
        <f t="shared" si="745"/>
      </c>
      <c r="X574" s="227">
        <f t="shared" si="714"/>
      </c>
      <c r="Y574" s="231">
        <f t="shared" ref="Y574:Y575" si="639">Z574+AA574</f>
      </c>
      <c r="Z574" s="231">
        <v>6</v>
      </c>
      <c r="AA574" s="231">
        <v>5</v>
      </c>
      <c r="AB574" s="232">
        <v>9631.560000000005</v>
      </c>
      <c r="AC574" s="232">
        <v>1203.999999999999</v>
      </c>
      <c r="AD574" s="228">
        <f t="shared" si="683"/>
      </c>
      <c r="AE574" s="233" t="s">
        <v>202</v>
      </c>
      <c r="AF574" s="233" t="s">
        <v>203</v>
      </c>
      <c r="AG574" s="235">
        <v>6</v>
      </c>
      <c r="AH574" s="236">
        <v>48641</v>
      </c>
      <c r="AI574" s="236">
        <v>857</v>
      </c>
      <c r="AJ574" s="236">
        <v>863</v>
      </c>
      <c r="AK574" s="237">
        <v>187</v>
      </c>
      <c r="AL574" s="237">
        <v>185</v>
      </c>
    </row>
    <row r="575">
      <c r="A575" s="216"/>
      <c r="B575" s="217" t="s">
        <v>230</v>
      </c>
      <c r="C575" s="218" t="s">
        <v>206</v>
      </c>
      <c r="D575" s="219">
        <f t="shared" si="534"/>
      </c>
      <c r="E575" s="252">
        <v>973.3</v>
      </c>
      <c r="F575" s="268">
        <v>5217.36</v>
      </c>
      <c r="G575" s="221">
        <v>0</v>
      </c>
      <c r="H575" s="221">
        <v>0</v>
      </c>
      <c r="I575" s="270">
        <f t="shared" si="421"/>
      </c>
      <c r="J575" s="251">
        <v>0</v>
      </c>
      <c r="K575" s="223">
        <f t="shared" si="306"/>
      </c>
      <c r="L575" s="223">
        <f t="shared" si="191"/>
      </c>
      <c r="M575" s="224">
        <f t="shared" si="89"/>
      </c>
      <c r="N575" s="225">
        <f t="shared" si="58"/>
      </c>
      <c r="O575" s="226">
        <f t="shared" si="27"/>
      </c>
      <c r="P575" s="227">
        <f t="shared" si="962"/>
      </c>
      <c r="Q575" s="227">
        <f t="shared" si="931"/>
      </c>
      <c r="R575" s="227">
        <f t="shared" si="900"/>
      </c>
      <c r="S575" s="228">
        <f t="shared" si="869"/>
      </c>
      <c r="T575" s="229">
        <f t="shared" si="807"/>
      </c>
      <c r="U575" s="227">
        <f t="shared" si="776"/>
      </c>
      <c r="V575" s="230">
        <f t="shared" si="838"/>
      </c>
      <c r="W575" s="230">
        <f t="shared" si="745"/>
      </c>
      <c r="X575" s="227">
        <f t="shared" si="714"/>
      </c>
      <c r="Y575" s="231">
        <f t="shared" si="639"/>
      </c>
      <c r="Z575" s="231">
        <v>6</v>
      </c>
      <c r="AA575" s="231">
        <v>3</v>
      </c>
      <c r="AB575" s="272">
        <v>4111.55999999999</v>
      </c>
      <c r="AC575" s="232">
        <v>0</v>
      </c>
      <c r="AD575" s="228">
        <f t="shared" si="683"/>
      </c>
      <c r="AE575" s="233" t="s">
        <v>202</v>
      </c>
      <c r="AF575" s="233" t="s">
        <v>203</v>
      </c>
      <c r="AG575" s="237">
        <v>2</v>
      </c>
      <c r="AH575" s="236">
        <v>48720</v>
      </c>
      <c r="AI575" s="236">
        <v>945</v>
      </c>
      <c r="AJ575" s="236">
        <v>952</v>
      </c>
      <c r="AK575" s="237">
        <v>150</v>
      </c>
      <c r="AL575" s="237">
        <v>198</v>
      </c>
    </row>
    <row r="576">
      <c r="A576" s="216"/>
      <c r="B576" s="239" t="s">
        <v>208</v>
      </c>
      <c r="C576" s="240">
        <v>2</v>
      </c>
      <c r="D576" s="273">
        <f>SUM(D574:D575)</f>
      </c>
      <c r="E576" s="273">
        <f>SUM(E574:E575)</f>
      </c>
      <c r="F576" s="273">
        <f>SUM(F574:F575)</f>
      </c>
      <c r="G576" s="273">
        <f>SUM(G574:G575)</f>
      </c>
      <c r="H576" s="273">
        <f>SUM(H574:H575)</f>
      </c>
      <c r="I576" s="273">
        <f>SUM(I574:I575)</f>
      </c>
      <c r="J576" s="273">
        <f>SUM(J574:J575)</f>
      </c>
      <c r="K576" s="273">
        <f>SUM(K574:K575)</f>
      </c>
      <c r="L576" s="273">
        <f>SUM(L574:L575)</f>
      </c>
      <c r="M576" s="242">
        <f t="shared" si="89"/>
      </c>
      <c r="N576" s="243">
        <f t="shared" si="58"/>
      </c>
      <c r="O576" s="243">
        <f t="shared" si="27"/>
      </c>
      <c r="P576" s="244">
        <f t="shared" si="962"/>
      </c>
      <c r="Q576" s="244">
        <f t="shared" si="931"/>
      </c>
      <c r="R576" s="244">
        <f t="shared" si="900"/>
      </c>
      <c r="S576" s="245">
        <f t="shared" si="869"/>
      </c>
      <c r="T576" s="245">
        <f t="shared" si="807"/>
      </c>
      <c r="U576" s="244">
        <f t="shared" si="776"/>
      </c>
      <c r="V576" s="245">
        <f t="shared" si="838"/>
      </c>
      <c r="W576" s="245">
        <f t="shared" si="745"/>
      </c>
      <c r="X576" s="244">
        <f t="shared" si="714"/>
      </c>
      <c r="Y576" s="273">
        <f>SUM(Y574:Y575)</f>
      </c>
      <c r="Z576" s="273">
        <f>SUM(Z574:Z575)</f>
      </c>
      <c r="AA576" s="273">
        <f>SUM(AA574:AA575)</f>
      </c>
      <c r="AB576" s="273">
        <f>SUM(AB574:AB575)</f>
      </c>
      <c r="AC576" s="273">
        <f>SUM(AC574:AC575)</f>
      </c>
      <c r="AD576" s="246">
        <f t="shared" si="683"/>
      </c>
      <c r="AE576" s="247"/>
      <c r="AF576" s="248"/>
      <c r="AG576" s="273">
        <f>SUM(AG574:AG575)</f>
      </c>
      <c r="AH576" s="273">
        <f>SUM(AH574:AH575)</f>
      </c>
      <c r="AI576" s="273">
        <f>SUM(AI574:AI575)</f>
      </c>
      <c r="AJ576" s="273">
        <f>SUM(AJ574:AJ575)</f>
      </c>
      <c r="AK576" s="273">
        <f>SUM(AK574:AK575)</f>
      </c>
      <c r="AL576" s="273">
        <f>SUM(AL574:AL575)</f>
      </c>
    </row>
    <row r="577">
      <c r="A577" s="216"/>
      <c r="B577" s="217" t="s">
        <v>225</v>
      </c>
      <c r="C577" s="218" t="s">
        <v>207</v>
      </c>
      <c r="D577" s="219">
        <f t="shared" ref="D577:D579" si="535">E577+F577+G577+H577</f>
      </c>
      <c r="E577" s="218">
        <v>1056.3</v>
      </c>
      <c r="F577" s="249">
        <v>5675.81</v>
      </c>
      <c r="G577" s="221">
        <v>0</v>
      </c>
      <c r="H577" s="221">
        <v>0</v>
      </c>
      <c r="I577" s="250">
        <f t="shared" ref="I577:I579" si="422">AB577+AC577</f>
      </c>
      <c r="J577" s="251">
        <f>757.08+582</f>
      </c>
      <c r="K577" s="223">
        <f t="shared" ref="K577:K579" si="307">I577-J577</f>
      </c>
      <c r="L577" s="223">
        <f t="shared" ref="L577:L579" si="192">(I577-AC577)/12+AC577</f>
      </c>
      <c r="M577" s="224">
        <f t="shared" si="89"/>
      </c>
      <c r="N577" s="225">
        <f t="shared" si="58"/>
      </c>
      <c r="O577" s="226">
        <f t="shared" si="27"/>
      </c>
      <c r="P577" s="227">
        <f t="shared" si="962"/>
      </c>
      <c r="Q577" s="227">
        <f t="shared" si="931"/>
      </c>
      <c r="R577" s="227">
        <f t="shared" si="900"/>
      </c>
      <c r="S577" s="228">
        <f t="shared" si="869"/>
      </c>
      <c r="T577" s="229">
        <f t="shared" si="807"/>
      </c>
      <c r="U577" s="227">
        <f t="shared" si="776"/>
      </c>
      <c r="V577" s="230">
        <f t="shared" si="838"/>
      </c>
      <c r="W577" s="230">
        <f t="shared" si="745"/>
      </c>
      <c r="X577" s="227">
        <f t="shared" si="714"/>
      </c>
      <c r="Y577" s="231">
        <f t="shared" ref="Y577:Y579" si="640">Z577+AA577</f>
      </c>
      <c r="Z577" s="231">
        <v>5</v>
      </c>
      <c r="AA577" s="231">
        <v>8</v>
      </c>
      <c r="AB577" s="232">
        <v>9658.44000000001</v>
      </c>
      <c r="AC577" s="232">
        <v>2858.2000000000007</v>
      </c>
      <c r="AD577" s="228">
        <f t="shared" si="683"/>
      </c>
      <c r="AE577" s="233" t="s">
        <v>202</v>
      </c>
      <c r="AF577" s="234" t="s">
        <v>203</v>
      </c>
      <c r="AG577" s="235">
        <v>8</v>
      </c>
      <c r="AH577" s="236">
        <v>57566</v>
      </c>
      <c r="AI577" s="236">
        <v>1187</v>
      </c>
      <c r="AJ577" s="236">
        <v>1198</v>
      </c>
      <c r="AK577" s="237">
        <v>169</v>
      </c>
      <c r="AL577" s="237">
        <v>187</v>
      </c>
    </row>
    <row r="578">
      <c r="A578" s="216"/>
      <c r="B578" s="217" t="s">
        <v>225</v>
      </c>
      <c r="C578" s="252" t="s">
        <v>210</v>
      </c>
      <c r="D578" s="219">
        <f t="shared" si="535"/>
      </c>
      <c r="E578" s="218">
        <v>1177.86</v>
      </c>
      <c r="F578" s="249">
        <v>5437.57</v>
      </c>
      <c r="G578" s="221">
        <v>0</v>
      </c>
      <c r="H578" s="221">
        <v>0</v>
      </c>
      <c r="I578" s="250">
        <f t="shared" si="422"/>
      </c>
      <c r="J578" s="251">
        <v>0</v>
      </c>
      <c r="K578" s="223">
        <f t="shared" si="307"/>
      </c>
      <c r="L578" s="223">
        <f t="shared" si="192"/>
      </c>
      <c r="M578" s="224">
        <f t="shared" si="89"/>
      </c>
      <c r="N578" s="225">
        <f t="shared" si="58"/>
      </c>
      <c r="O578" s="226">
        <f t="shared" si="27"/>
      </c>
      <c r="P578" s="227">
        <f t="shared" si="962"/>
      </c>
      <c r="Q578" s="227">
        <f t="shared" si="931"/>
      </c>
      <c r="R578" s="227">
        <f t="shared" si="900"/>
      </c>
      <c r="S578" s="228">
        <f t="shared" si="869"/>
      </c>
      <c r="T578" s="229">
        <f t="shared" si="807"/>
      </c>
      <c r="U578" s="227">
        <f t="shared" si="776"/>
      </c>
      <c r="V578" s="230">
        <f t="shared" si="838"/>
      </c>
      <c r="W578" s="230">
        <f t="shared" si="745"/>
      </c>
      <c r="X578" s="227">
        <f t="shared" si="714"/>
      </c>
      <c r="Y578" s="231">
        <f t="shared" si="640"/>
      </c>
      <c r="Z578" s="231">
        <v>8</v>
      </c>
      <c r="AA578" s="231">
        <v>6</v>
      </c>
      <c r="AB578" s="232">
        <v>8869.919999999976</v>
      </c>
      <c r="AC578" s="232">
        <v>0</v>
      </c>
      <c r="AD578" s="228">
        <f t="shared" si="683"/>
      </c>
      <c r="AE578" s="233" t="s">
        <v>202</v>
      </c>
      <c r="AF578" s="234" t="s">
        <v>203</v>
      </c>
      <c r="AG578" s="235">
        <v>5</v>
      </c>
      <c r="AH578" s="236">
        <v>73138</v>
      </c>
      <c r="AI578" s="236">
        <v>1504</v>
      </c>
      <c r="AJ578" s="236">
        <v>1531</v>
      </c>
      <c r="AK578" s="237">
        <v>191</v>
      </c>
      <c r="AL578" s="237">
        <v>195</v>
      </c>
    </row>
    <row r="579">
      <c r="A579" s="216"/>
      <c r="B579" s="217" t="s">
        <v>225</v>
      </c>
      <c r="C579" s="252" t="s">
        <v>211</v>
      </c>
      <c r="D579" s="219">
        <f t="shared" si="535"/>
      </c>
      <c r="E579" s="218">
        <v>1114.55</v>
      </c>
      <c r="F579" s="249">
        <v>3523.91</v>
      </c>
      <c r="G579" s="221">
        <v>0</v>
      </c>
      <c r="H579" s="221">
        <v>0</v>
      </c>
      <c r="I579" s="250">
        <f t="shared" si="422"/>
      </c>
      <c r="J579" s="251">
        <v>0</v>
      </c>
      <c r="K579" s="223">
        <f t="shared" si="307"/>
      </c>
      <c r="L579" s="223">
        <f t="shared" si="192"/>
      </c>
      <c r="M579" s="224">
        <f t="shared" si="89"/>
      </c>
      <c r="N579" s="225">
        <f t="shared" si="58"/>
      </c>
      <c r="O579" s="226">
        <f t="shared" si="27"/>
      </c>
      <c r="P579" s="227">
        <f t="shared" si="962"/>
      </c>
      <c r="Q579" s="227">
        <f t="shared" si="931"/>
      </c>
      <c r="R579" s="227">
        <f t="shared" si="900"/>
      </c>
      <c r="S579" s="228">
        <f t="shared" si="869"/>
      </c>
      <c r="T579" s="229">
        <f t="shared" si="807"/>
      </c>
      <c r="U579" s="227">
        <f t="shared" si="776"/>
      </c>
      <c r="V579" s="230">
        <f t="shared" si="838"/>
      </c>
      <c r="W579" s="230">
        <f t="shared" si="745"/>
      </c>
      <c r="X579" s="227">
        <f t="shared" si="714"/>
      </c>
      <c r="Y579" s="231">
        <f t="shared" si="640"/>
      </c>
      <c r="Z579" s="231">
        <v>6</v>
      </c>
      <c r="AA579" s="231">
        <v>3</v>
      </c>
      <c r="AB579" s="232">
        <v>4553.280000000006</v>
      </c>
      <c r="AC579" s="232">
        <v>0</v>
      </c>
      <c r="AD579" s="228">
        <f t="shared" si="683"/>
      </c>
      <c r="AE579" s="233" t="s">
        <v>202</v>
      </c>
      <c r="AF579" s="234" t="s">
        <v>203</v>
      </c>
      <c r="AG579" s="237">
        <v>3</v>
      </c>
      <c r="AH579" s="236">
        <v>42135</v>
      </c>
      <c r="AI579" s="236">
        <v>1098</v>
      </c>
      <c r="AJ579" s="236">
        <v>1161</v>
      </c>
      <c r="AK579" s="237">
        <v>131</v>
      </c>
      <c r="AL579" s="237">
        <v>140</v>
      </c>
    </row>
    <row r="580">
      <c r="A580" s="216"/>
      <c r="B580" s="239" t="s">
        <v>208</v>
      </c>
      <c r="C580" s="240">
        <v>3</v>
      </c>
      <c r="D580" s="241">
        <f>SUM(D577:D579)</f>
      </c>
      <c r="E580" s="241">
        <f>SUM(E577:E579)</f>
      </c>
      <c r="F580" s="241">
        <f>SUM(F577:F579)</f>
      </c>
      <c r="G580" s="241">
        <f>SUM(G577:G579)</f>
      </c>
      <c r="H580" s="241">
        <f>SUM(H577:H579)</f>
      </c>
      <c r="I580" s="241">
        <f>SUM(I577:I579)</f>
      </c>
      <c r="J580" s="241">
        <f>SUM(J577:J579)</f>
      </c>
      <c r="K580" s="241">
        <f>SUM(K577:K579)</f>
      </c>
      <c r="L580" s="241">
        <f>SUM(L577:L579)</f>
      </c>
      <c r="M580" s="242">
        <f t="shared" si="89"/>
      </c>
      <c r="N580" s="243">
        <f t="shared" si="58"/>
      </c>
      <c r="O580" s="243">
        <f t="shared" si="27"/>
      </c>
      <c r="P580" s="244">
        <f t="shared" si="962"/>
      </c>
      <c r="Q580" s="244">
        <f t="shared" si="931"/>
      </c>
      <c r="R580" s="244">
        <f t="shared" si="900"/>
      </c>
      <c r="S580" s="245">
        <f t="shared" si="869"/>
      </c>
      <c r="T580" s="245">
        <f t="shared" si="807"/>
      </c>
      <c r="U580" s="244">
        <f t="shared" si="776"/>
      </c>
      <c r="V580" s="245">
        <f t="shared" si="838"/>
      </c>
      <c r="W580" s="245">
        <f t="shared" si="745"/>
      </c>
      <c r="X580" s="244">
        <f t="shared" si="714"/>
      </c>
      <c r="Y580" s="241">
        <f>SUM(Y577:Y579)</f>
      </c>
      <c r="Z580" s="241">
        <f>SUM(Z577:Z579)</f>
      </c>
      <c r="AA580" s="241">
        <f>SUM(AA577:AA579)</f>
      </c>
      <c r="AB580" s="241">
        <f>SUM(AB577:AB579)</f>
      </c>
      <c r="AC580" s="241">
        <f>SUM(AC577:AC579)</f>
      </c>
      <c r="AD580" s="246">
        <f t="shared" si="683"/>
      </c>
      <c r="AE580" s="247"/>
      <c r="AF580" s="248"/>
      <c r="AG580" s="241">
        <f>SUM(AG577:AG579)</f>
      </c>
      <c r="AH580" s="241">
        <f>SUM(AH577:AH579)</f>
      </c>
      <c r="AI580" s="241">
        <f>SUM(AI577:AI579)</f>
      </c>
      <c r="AJ580" s="241">
        <f>SUM(AJ577:AJ579)</f>
      </c>
      <c r="AK580" s="241">
        <f>SUM(AK577:AK579)</f>
      </c>
      <c r="AL580" s="241">
        <f>SUM(AL577:AL579)</f>
      </c>
    </row>
    <row r="581">
      <c r="A581" s="216"/>
      <c r="B581" s="217" t="s">
        <v>209</v>
      </c>
      <c r="C581" s="252" t="s">
        <v>212</v>
      </c>
      <c r="D581" s="219">
        <f t="shared" ref="D581:D585" si="536">E581+F581+G581+H581</f>
      </c>
      <c r="E581" s="220">
        <v>1464.41</v>
      </c>
      <c r="F581" s="221">
        <v>6281.45</v>
      </c>
      <c r="G581" s="221">
        <v>0</v>
      </c>
      <c r="H581" s="221">
        <v>0</v>
      </c>
      <c r="I581" s="221">
        <f t="shared" ref="I581:I585" si="423">AB581+AC581</f>
      </c>
      <c r="J581" s="222">
        <v>0</v>
      </c>
      <c r="K581" s="223">
        <f t="shared" ref="K581:K585" si="308">I581-J581</f>
      </c>
      <c r="L581" s="223">
        <f t="shared" ref="L581:L585" si="193">(I581-AC581)/12+AC581</f>
      </c>
      <c r="M581" s="224">
        <f t="shared" si="89"/>
      </c>
      <c r="N581" s="225">
        <f t="shared" si="58"/>
      </c>
      <c r="O581" s="226">
        <f t="shared" si="27"/>
      </c>
      <c r="P581" s="227">
        <f t="shared" si="962"/>
      </c>
      <c r="Q581" s="227">
        <f t="shared" si="931"/>
      </c>
      <c r="R581" s="227">
        <f t="shared" si="900"/>
      </c>
      <c r="S581" s="228">
        <f t="shared" si="869"/>
      </c>
      <c r="T581" s="229">
        <f t="shared" si="807"/>
      </c>
      <c r="U581" s="227">
        <f t="shared" si="776"/>
      </c>
      <c r="V581" s="230">
        <f t="shared" si="838"/>
      </c>
      <c r="W581" s="230">
        <f t="shared" si="745"/>
      </c>
      <c r="X581" s="227">
        <f t="shared" si="714"/>
      </c>
      <c r="Y581" s="231">
        <f t="shared" ref="Y581:Y585" si="641">Z581+AA581</f>
      </c>
      <c r="Z581" s="231">
        <v>8</v>
      </c>
      <c r="AA581" s="231">
        <v>9</v>
      </c>
      <c r="AB581" s="232">
        <v>25838.04</v>
      </c>
      <c r="AC581" s="232">
        <v>0</v>
      </c>
      <c r="AD581" s="228">
        <f t="shared" si="683"/>
      </c>
      <c r="AE581" s="233" t="s">
        <v>202</v>
      </c>
      <c r="AF581" s="234" t="s">
        <v>203</v>
      </c>
      <c r="AG581" s="235">
        <v>8</v>
      </c>
      <c r="AH581" s="235">
        <v>72978</v>
      </c>
      <c r="AI581" s="236">
        <v>1378</v>
      </c>
      <c r="AJ581" s="236">
        <v>1378</v>
      </c>
      <c r="AK581" s="235">
        <v>173</v>
      </c>
      <c r="AL581" s="237">
        <v>207</v>
      </c>
    </row>
    <row r="582">
      <c r="A582" s="216"/>
      <c r="B582" s="217" t="s">
        <v>209</v>
      </c>
      <c r="C582" s="218" t="s">
        <v>213</v>
      </c>
      <c r="D582" s="219">
        <f t="shared" si="536"/>
      </c>
      <c r="E582" s="218">
        <v>1790.71</v>
      </c>
      <c r="F582" s="221">
        <v>7371.14</v>
      </c>
      <c r="G582" s="221">
        <v>0</v>
      </c>
      <c r="H582" s="221">
        <v>0</v>
      </c>
      <c r="I582" s="221">
        <f t="shared" si="423"/>
      </c>
      <c r="J582" s="222">
        <v>0</v>
      </c>
      <c r="K582" s="223">
        <f t="shared" si="308"/>
      </c>
      <c r="L582" s="223">
        <f t="shared" si="193"/>
      </c>
      <c r="M582" s="224">
        <f t="shared" si="89"/>
      </c>
      <c r="N582" s="225">
        <f t="shared" si="58"/>
      </c>
      <c r="O582" s="226">
        <f t="shared" si="27"/>
      </c>
      <c r="P582" s="227">
        <f t="shared" si="962"/>
      </c>
      <c r="Q582" s="227">
        <f t="shared" si="931"/>
      </c>
      <c r="R582" s="227">
        <f t="shared" si="900"/>
      </c>
      <c r="S582" s="228">
        <f t="shared" si="869"/>
      </c>
      <c r="T582" s="229">
        <f t="shared" si="807"/>
      </c>
      <c r="U582" s="227">
        <f t="shared" si="776"/>
      </c>
      <c r="V582" s="230">
        <f t="shared" si="838"/>
      </c>
      <c r="W582" s="230">
        <f t="shared" si="745"/>
      </c>
      <c r="X582" s="227">
        <f t="shared" si="714"/>
      </c>
      <c r="Y582" s="231">
        <f t="shared" si="641"/>
      </c>
      <c r="Z582" s="231">
        <v>6</v>
      </c>
      <c r="AA582" s="231">
        <v>12</v>
      </c>
      <c r="AB582" s="232">
        <v>23768.159999999996</v>
      </c>
      <c r="AC582" s="232">
        <v>0</v>
      </c>
      <c r="AD582" s="228">
        <f t="shared" si="683"/>
      </c>
      <c r="AE582" s="233" t="s">
        <v>202</v>
      </c>
      <c r="AF582" s="234" t="s">
        <v>203</v>
      </c>
      <c r="AG582" s="235">
        <v>9</v>
      </c>
      <c r="AH582" s="236">
        <v>95108</v>
      </c>
      <c r="AI582" s="236">
        <v>1848</v>
      </c>
      <c r="AJ582" s="236">
        <v>1879</v>
      </c>
      <c r="AK582" s="237">
        <v>227</v>
      </c>
      <c r="AL582" s="237">
        <v>263</v>
      </c>
    </row>
    <row r="583">
      <c r="A583" s="216"/>
      <c r="B583" s="217" t="s">
        <v>209</v>
      </c>
      <c r="C583" s="252" t="s">
        <v>214</v>
      </c>
      <c r="D583" s="219">
        <f t="shared" si="536"/>
      </c>
      <c r="E583" s="218">
        <v>1752.55</v>
      </c>
      <c r="F583" s="218">
        <v>13470.73</v>
      </c>
      <c r="G583" s="221">
        <v>0</v>
      </c>
      <c r="H583" s="221">
        <v>0</v>
      </c>
      <c r="I583" s="221">
        <f t="shared" si="423"/>
      </c>
      <c r="J583" s="222">
        <v>0</v>
      </c>
      <c r="K583" s="223">
        <f t="shared" si="308"/>
      </c>
      <c r="L583" s="223">
        <f t="shared" si="193"/>
      </c>
      <c r="M583" s="224">
        <f t="shared" si="89"/>
      </c>
      <c r="N583" s="225">
        <f t="shared" si="58"/>
      </c>
      <c r="O583" s="226">
        <f t="shared" si="27"/>
      </c>
      <c r="P583" s="227">
        <f t="shared" si="962"/>
      </c>
      <c r="Q583" s="227">
        <f t="shared" si="931"/>
      </c>
      <c r="R583" s="227">
        <f t="shared" si="900"/>
      </c>
      <c r="S583" s="228">
        <f t="shared" si="869"/>
      </c>
      <c r="T583" s="229">
        <f t="shared" si="807"/>
      </c>
      <c r="U583" s="227">
        <f t="shared" si="776"/>
      </c>
      <c r="V583" s="230">
        <f t="shared" si="838"/>
      </c>
      <c r="W583" s="230">
        <f t="shared" si="745"/>
      </c>
      <c r="X583" s="227">
        <f t="shared" si="714"/>
      </c>
      <c r="Y583" s="231">
        <f t="shared" si="641"/>
      </c>
      <c r="Z583" s="231">
        <v>7</v>
      </c>
      <c r="AA583" s="231">
        <v>22</v>
      </c>
      <c r="AB583" s="232">
        <v>30969.480000000003</v>
      </c>
      <c r="AC583" s="232">
        <v>440</v>
      </c>
      <c r="AD583" s="228">
        <f t="shared" si="683"/>
      </c>
      <c r="AE583" s="233" t="s">
        <v>202</v>
      </c>
      <c r="AF583" s="234" t="s">
        <v>203</v>
      </c>
      <c r="AG583" s="237">
        <v>15</v>
      </c>
      <c r="AH583" s="236">
        <v>201095</v>
      </c>
      <c r="AI583" s="236">
        <v>2868</v>
      </c>
      <c r="AJ583" s="236">
        <v>3019</v>
      </c>
      <c r="AK583" s="237">
        <v>335</v>
      </c>
      <c r="AL583" s="237">
        <v>371</v>
      </c>
    </row>
    <row r="584">
      <c r="A584" s="216"/>
      <c r="B584" s="217" t="s">
        <v>209</v>
      </c>
      <c r="C584" s="218" t="s">
        <v>237</v>
      </c>
      <c r="D584" s="219">
        <f t="shared" si="536"/>
      </c>
      <c r="E584" s="218">
        <v>1243.06</v>
      </c>
      <c r="F584" s="221">
        <v>6984.04</v>
      </c>
      <c r="G584" s="221">
        <v>0</v>
      </c>
      <c r="H584" s="221">
        <v>0</v>
      </c>
      <c r="I584" s="238">
        <f t="shared" si="423"/>
      </c>
      <c r="J584" s="222">
        <v>0</v>
      </c>
      <c r="K584" s="223">
        <f t="shared" si="308"/>
      </c>
      <c r="L584" s="223">
        <f t="shared" si="193"/>
      </c>
      <c r="M584" s="224">
        <f t="shared" si="89"/>
      </c>
      <c r="N584" s="225">
        <f t="shared" si="58"/>
      </c>
      <c r="O584" s="226">
        <f t="shared" si="27"/>
      </c>
      <c r="P584" s="227">
        <f t="shared" si="962"/>
      </c>
      <c r="Q584" s="227">
        <f t="shared" si="931"/>
      </c>
      <c r="R584" s="227">
        <f t="shared" si="900"/>
      </c>
      <c r="S584" s="228">
        <f t="shared" si="869"/>
      </c>
      <c r="T584" s="229">
        <f t="shared" si="807"/>
      </c>
      <c r="U584" s="227">
        <f t="shared" si="776"/>
      </c>
      <c r="V584" s="230">
        <f t="shared" si="838"/>
      </c>
      <c r="W584" s="230">
        <f t="shared" si="745"/>
      </c>
      <c r="X584" s="227">
        <f t="shared" si="714"/>
      </c>
      <c r="Y584" s="231">
        <f t="shared" si="641"/>
      </c>
      <c r="Z584" s="231">
        <v>8</v>
      </c>
      <c r="AA584" s="231">
        <v>8</v>
      </c>
      <c r="AB584" s="232">
        <v>19843.68</v>
      </c>
      <c r="AC584" s="232">
        <v>626</v>
      </c>
      <c r="AD584" s="228">
        <f t="shared" si="683"/>
      </c>
      <c r="AE584" s="233" t="s">
        <v>202</v>
      </c>
      <c r="AF584" s="234" t="s">
        <v>203</v>
      </c>
      <c r="AG584" s="235">
        <v>7</v>
      </c>
      <c r="AH584" s="236">
        <v>75901</v>
      </c>
      <c r="AI584" s="236">
        <v>2491</v>
      </c>
      <c r="AJ584" s="236">
        <v>2779</v>
      </c>
      <c r="AK584" s="237">
        <v>212</v>
      </c>
      <c r="AL584" s="237">
        <v>223</v>
      </c>
    </row>
    <row r="585">
      <c r="A585" s="216"/>
      <c r="B585" s="217" t="s">
        <v>209</v>
      </c>
      <c r="C585" s="218" t="s">
        <v>238</v>
      </c>
      <c r="D585" s="219">
        <f t="shared" si="536"/>
      </c>
      <c r="E585" s="220">
        <f>1063.98+12.25</f>
      </c>
      <c r="F585" s="221">
        <v>5892.18</v>
      </c>
      <c r="G585" s="221">
        <v>0</v>
      </c>
      <c r="H585" s="221">
        <v>0</v>
      </c>
      <c r="I585" s="221">
        <f t="shared" si="423"/>
      </c>
      <c r="J585" s="222">
        <v>0</v>
      </c>
      <c r="K585" s="223">
        <f t="shared" si="308"/>
      </c>
      <c r="L585" s="223">
        <f t="shared" si="193"/>
      </c>
      <c r="M585" s="224">
        <f t="shared" si="89"/>
      </c>
      <c r="N585" s="225">
        <f t="shared" si="58"/>
      </c>
      <c r="O585" s="226">
        <f t="shared" si="27"/>
      </c>
      <c r="P585" s="227">
        <f t="shared" si="962"/>
      </c>
      <c r="Q585" s="227">
        <f t="shared" si="931"/>
      </c>
      <c r="R585" s="227">
        <f t="shared" si="900"/>
      </c>
      <c r="S585" s="228">
        <f t="shared" si="869"/>
      </c>
      <c r="T585" s="229">
        <f t="shared" si="807"/>
      </c>
      <c r="U585" s="227">
        <f t="shared" si="776"/>
      </c>
      <c r="V585" s="230">
        <f t="shared" si="838"/>
      </c>
      <c r="W585" s="230">
        <f t="shared" si="745"/>
      </c>
      <c r="X585" s="227">
        <f t="shared" si="714"/>
      </c>
      <c r="Y585" s="231">
        <f t="shared" si="641"/>
      </c>
      <c r="Z585" s="231">
        <v>10</v>
      </c>
      <c r="AA585" s="231">
        <v>6</v>
      </c>
      <c r="AB585" s="232">
        <v>6639.360000000001</v>
      </c>
      <c r="AC585" s="232">
        <v>0</v>
      </c>
      <c r="AD585" s="228">
        <f t="shared" si="683"/>
      </c>
      <c r="AE585" s="233" t="s">
        <v>202</v>
      </c>
      <c r="AF585" s="234" t="s">
        <v>203</v>
      </c>
      <c r="AG585" s="235">
        <v>5</v>
      </c>
      <c r="AH585" s="236">
        <v>62060</v>
      </c>
      <c r="AI585" s="236">
        <v>2064</v>
      </c>
      <c r="AJ585" s="236">
        <v>2290</v>
      </c>
      <c r="AK585" s="235">
        <v>205</v>
      </c>
      <c r="AL585" s="235">
        <v>192</v>
      </c>
    </row>
    <row r="586">
      <c r="A586" s="216"/>
      <c r="B586" s="239" t="s">
        <v>208</v>
      </c>
      <c r="C586" s="240">
        <v>5</v>
      </c>
      <c r="D586" s="241">
        <f>SUM(D581:D585)</f>
      </c>
      <c r="E586" s="241">
        <f>SUM(E581:E585)</f>
      </c>
      <c r="F586" s="241">
        <f>SUM(F581:F585)</f>
      </c>
      <c r="G586" s="241">
        <f>SUM(G581:G585)</f>
      </c>
      <c r="H586" s="241">
        <f>SUM(H581:H585)</f>
      </c>
      <c r="I586" s="241">
        <f>SUM(I581:I585)</f>
      </c>
      <c r="J586" s="241">
        <f>SUM(J581:J585)</f>
      </c>
      <c r="K586" s="241">
        <f>SUM(K581:K585)</f>
      </c>
      <c r="L586" s="241">
        <f>SUM(L581:L585)</f>
      </c>
      <c r="M586" s="242">
        <f t="shared" si="89"/>
      </c>
      <c r="N586" s="243">
        <f t="shared" si="58"/>
      </c>
      <c r="O586" s="243">
        <f t="shared" si="27"/>
      </c>
      <c r="P586" s="244">
        <f t="shared" si="962"/>
      </c>
      <c r="Q586" s="244">
        <f t="shared" si="931"/>
      </c>
      <c r="R586" s="244">
        <f t="shared" si="900"/>
      </c>
      <c r="S586" s="245">
        <f t="shared" si="869"/>
      </c>
      <c r="T586" s="245">
        <f t="shared" si="807"/>
      </c>
      <c r="U586" s="244">
        <f t="shared" si="776"/>
      </c>
      <c r="V586" s="245">
        <f t="shared" si="838"/>
      </c>
      <c r="W586" s="245">
        <f t="shared" si="745"/>
      </c>
      <c r="X586" s="244">
        <f t="shared" si="714"/>
      </c>
      <c r="Y586" s="241">
        <f>SUM(Y581:Y585)</f>
      </c>
      <c r="Z586" s="241">
        <f>SUM(Z581:Z585)</f>
      </c>
      <c r="AA586" s="241">
        <f>SUM(AA581:AA585)</f>
      </c>
      <c r="AB586" s="241">
        <f>SUM(AB581:AB585)</f>
      </c>
      <c r="AC586" s="241">
        <f>SUM(AC581:AC585)</f>
      </c>
      <c r="AD586" s="246">
        <f t="shared" si="683"/>
      </c>
      <c r="AE586" s="247"/>
      <c r="AF586" s="248"/>
      <c r="AG586" s="241">
        <f>SUM(AG581:AG585)</f>
      </c>
      <c r="AH586" s="241">
        <f>SUM(AH581:AH585)</f>
      </c>
      <c r="AI586" s="241">
        <f>SUM(AI581:AI585)</f>
      </c>
      <c r="AJ586" s="241">
        <f>SUM(AJ581:AJ585)</f>
      </c>
      <c r="AK586" s="241">
        <f>SUM(AK581:AK585)</f>
      </c>
      <c r="AL586" s="241">
        <f>SUM(AL581:AL585)</f>
      </c>
    </row>
    <row r="587">
      <c r="A587" s="216"/>
      <c r="B587" s="253" t="s">
        <v>208</v>
      </c>
      <c r="C587" s="254">
        <f>C567+C573+C576+C580+C586</f>
      </c>
      <c r="D587" s="254">
        <f>D567+D573+D576+D580+D586</f>
      </c>
      <c r="E587" s="254">
        <f>E567+E573+E576+E580+E586</f>
      </c>
      <c r="F587" s="254">
        <f>F567+F573+F576+F580+F586</f>
      </c>
      <c r="G587" s="254">
        <f>G567+G573+G576+G580+G586</f>
      </c>
      <c r="H587" s="254">
        <f>H567+H573+H576+H580+H586</f>
      </c>
      <c r="I587" s="254">
        <f>I567+I573+I576+I580+I586</f>
      </c>
      <c r="J587" s="254">
        <f>J567+J573+J576+J580+J586</f>
      </c>
      <c r="K587" s="254">
        <f>K567+K573+K576+K580+K586</f>
      </c>
      <c r="L587" s="254">
        <f>L567+L573+L576+L580+L586</f>
      </c>
      <c r="M587" s="256">
        <f t="shared" si="89"/>
      </c>
      <c r="N587" s="256">
        <f t="shared" si="58"/>
      </c>
      <c r="O587" s="256">
        <f t="shared" si="27"/>
      </c>
      <c r="P587" s="256">
        <f t="shared" si="962"/>
      </c>
      <c r="Q587" s="256">
        <f t="shared" si="931"/>
      </c>
      <c r="R587" s="256">
        <f t="shared" si="900"/>
      </c>
      <c r="S587" s="257">
        <f t="shared" si="869"/>
      </c>
      <c r="T587" s="257">
        <f t="shared" si="807"/>
      </c>
      <c r="U587" s="256">
        <f t="shared" si="776"/>
      </c>
      <c r="V587" s="257">
        <f t="shared" si="838"/>
      </c>
      <c r="W587" s="257">
        <f t="shared" si="745"/>
      </c>
      <c r="X587" s="256">
        <f t="shared" si="714"/>
      </c>
      <c r="Y587" s="254">
        <f>Y567+Y573+Y576+Y580+Y586</f>
      </c>
      <c r="Z587" s="254">
        <f>Z567+Z573+Z576+Z580+Z586</f>
      </c>
      <c r="AA587" s="254">
        <f>AA567+AA573+AA576+AA580+AA586</f>
      </c>
      <c r="AB587" s="254">
        <f>AB567+AB573+AB576+AB580+AB586</f>
      </c>
      <c r="AC587" s="254">
        <f>AC567+AC573+AC576+AC580+AC586</f>
      </c>
      <c r="AD587" s="258">
        <f t="shared" si="683"/>
      </c>
      <c r="AE587" s="253"/>
      <c r="AF587" s="253"/>
      <c r="AG587" s="254">
        <f>AG567+AG573+AG576+AG580+AG586</f>
      </c>
      <c r="AH587" s="254">
        <f>AH567+AH573+AH576+AH580+AH586</f>
      </c>
      <c r="AI587" s="254">
        <f>AI567+AI573+AI576+AI580+AI586</f>
      </c>
      <c r="AJ587" s="254">
        <f>AJ567+AJ573+AJ576+AJ580+AJ586</f>
      </c>
      <c r="AK587" s="254">
        <f>AK567+AK573+AK576+AK580+AK586</f>
      </c>
      <c r="AL587" s="254">
        <f>AL567+AL573+AL576+AL580+AL586</f>
      </c>
    </row>
    <row r="588">
      <c r="A588" s="202" t="s">
        <v>162</v>
      </c>
      <c r="B588" s="203" t="s">
        <v>163</v>
      </c>
      <c r="C588" s="203" t="s">
        <v>164</v>
      </c>
      <c r="D588" s="204" t="s">
        <v>165</v>
      </c>
      <c r="E588" s="203" t="s">
        <v>166</v>
      </c>
      <c r="F588" s="203" t="s">
        <v>167</v>
      </c>
      <c r="G588" s="205" t="s">
        <v>168</v>
      </c>
      <c r="H588" s="205" t="s">
        <v>169</v>
      </c>
      <c r="I588" s="204" t="s">
        <v>170</v>
      </c>
      <c r="J588" s="206" t="s">
        <v>171</v>
      </c>
      <c r="K588" s="207" t="s">
        <v>172</v>
      </c>
      <c r="L588" s="207" t="s">
        <v>173</v>
      </c>
      <c r="M588" s="208" t="s">
        <v>174</v>
      </c>
      <c r="N588" s="207" t="s">
        <v>175</v>
      </c>
      <c r="O588" s="203" t="s">
        <v>176</v>
      </c>
      <c r="P588" s="208" t="s">
        <v>177</v>
      </c>
      <c r="Q588" s="209" t="s">
        <v>178</v>
      </c>
      <c r="R588" s="209" t="s">
        <v>179</v>
      </c>
      <c r="S588" s="204" t="s">
        <v>180</v>
      </c>
      <c r="T588" s="210" t="s">
        <v>181</v>
      </c>
      <c r="U588" s="208" t="s">
        <v>182</v>
      </c>
      <c r="V588" s="211" t="s">
        <v>183</v>
      </c>
      <c r="W588" s="212" t="s">
        <v>184</v>
      </c>
      <c r="X588" s="208" t="s">
        <v>185</v>
      </c>
      <c r="Y588" s="213" t="s">
        <v>186</v>
      </c>
      <c r="Z588" s="214" t="s">
        <v>187</v>
      </c>
      <c r="AA588" s="213" t="s">
        <v>188</v>
      </c>
      <c r="AB588" s="215" t="s">
        <v>189</v>
      </c>
      <c r="AC588" s="215" t="s">
        <v>190</v>
      </c>
      <c r="AD588" s="207" t="s">
        <v>191</v>
      </c>
      <c r="AE588" s="206" t="s">
        <v>192</v>
      </c>
      <c r="AF588" s="207" t="s">
        <v>193</v>
      </c>
      <c r="AG588" s="206" t="s">
        <v>194</v>
      </c>
      <c r="AH588" s="206" t="s">
        <v>195</v>
      </c>
      <c r="AI588" s="207" t="s">
        <v>196</v>
      </c>
      <c r="AJ588" s="206" t="s">
        <v>197</v>
      </c>
      <c r="AK588" s="207" t="s">
        <v>198</v>
      </c>
      <c r="AL588" s="206" t="s">
        <v>199</v>
      </c>
    </row>
    <row r="589">
      <c r="A589" s="216">
        <v>46263</v>
      </c>
      <c r="B589" s="217" t="s">
        <v>200</v>
      </c>
      <c r="C589" s="218" t="s">
        <v>234</v>
      </c>
      <c r="D589" s="219">
        <f t="shared" ref="D589:D593" si="537">E589+F589+G589+H589</f>
      </c>
      <c r="E589" s="220">
        <v>1941.58</v>
      </c>
      <c r="F589" s="221">
        <v>8623.85</v>
      </c>
      <c r="G589" s="221">
        <v>0</v>
      </c>
      <c r="H589" s="221">
        <v>0</v>
      </c>
      <c r="I589" s="221">
        <f t="shared" ref="I589:I593" si="424">AB589+AC589</f>
      </c>
      <c r="J589" s="222">
        <v>4755.24</v>
      </c>
      <c r="K589" s="223">
        <f t="shared" ref="K589:K593" si="309">I589-J589</f>
      </c>
      <c r="L589" s="223">
        <f t="shared" ref="L589:L593" si="194">(I589-AC589)/12+AC589</f>
      </c>
      <c r="M589" s="224">
        <f t="shared" ref="M589:M614" si="90">I589/D589</f>
      </c>
      <c r="N589" s="225">
        <f t="shared" ref="N589:N614" si="59">(I589-J589)/D589</f>
      </c>
      <c r="O589" s="226">
        <f t="shared" ref="O589:O614" si="28">(AC589+AB589/12)/D589</f>
      </c>
      <c r="P589" s="227">
        <f t="shared" ref="P589:P614" si="963">I589/AA589</f>
      </c>
      <c r="Q589" s="227">
        <f t="shared" ref="Q589:Q614" si="932">D589/AA589</f>
      </c>
      <c r="R589" s="227">
        <f t="shared" ref="R589:R614" si="901">D589/AG589</f>
      </c>
      <c r="S589" s="228">
        <f t="shared" ref="S589:S614" si="870">AA589/Y589</f>
      </c>
      <c r="T589" s="229">
        <f t="shared" ref="T589:T614" si="808">AI589/AH589</f>
      </c>
      <c r="U589" s="227">
        <f t="shared" ref="U589:U614" si="777">D589/AJ589</f>
      </c>
      <c r="V589" s="230">
        <f t="shared" ref="V589:V614" si="839">AK589/AJ589</f>
      </c>
      <c r="W589" s="230">
        <f t="shared" ref="W589:W614" si="746">AL589/AJ589</f>
      </c>
      <c r="X589" s="227">
        <f t="shared" ref="X589:X614" si="715">D589/AL589</f>
      </c>
      <c r="Y589" s="231">
        <f t="shared" ref="Y589:Y593" si="642">Z589+AA589</f>
      </c>
      <c r="Z589" s="231">
        <v>11</v>
      </c>
      <c r="AA589" s="231">
        <v>9</v>
      </c>
      <c r="AB589" s="232">
        <v>12376.440000000002</v>
      </c>
      <c r="AC589" s="232">
        <v>697</v>
      </c>
      <c r="AD589" s="228">
        <f t="shared" ref="AD589:AD614" si="684">AC589/I589</f>
      </c>
      <c r="AE589" s="233" t="s">
        <v>202</v>
      </c>
      <c r="AF589" s="234" t="s">
        <v>240</v>
      </c>
      <c r="AG589" s="235">
        <v>8</v>
      </c>
      <c r="AH589" s="235">
        <v>93663</v>
      </c>
      <c r="AI589" s="236">
        <v>3660</v>
      </c>
      <c r="AJ589" s="236">
        <v>4011</v>
      </c>
      <c r="AK589" s="235">
        <v>380</v>
      </c>
      <c r="AL589" s="237">
        <v>353</v>
      </c>
    </row>
    <row r="590">
      <c r="A590" s="216"/>
      <c r="B590" s="217" t="s">
        <v>200</v>
      </c>
      <c r="C590" s="218" t="s">
        <v>235</v>
      </c>
      <c r="D590" s="219">
        <f t="shared" si="537"/>
      </c>
      <c r="E590" s="218">
        <v>2866.87</v>
      </c>
      <c r="F590" s="221">
        <v>7945.44</v>
      </c>
      <c r="G590" s="221">
        <v>0</v>
      </c>
      <c r="H590" s="221">
        <v>0</v>
      </c>
      <c r="I590" s="221">
        <f t="shared" si="424"/>
      </c>
      <c r="J590" s="222">
        <f>4683.96+970.92+716.04+1622.16+1290.6+1149.12</f>
      </c>
      <c r="K590" s="223">
        <f t="shared" si="309"/>
      </c>
      <c r="L590" s="223">
        <f t="shared" si="194"/>
      </c>
      <c r="M590" s="224">
        <f t="shared" si="90"/>
      </c>
      <c r="N590" s="225">
        <f t="shared" si="59"/>
      </c>
      <c r="O590" s="226">
        <f t="shared" si="28"/>
      </c>
      <c r="P590" s="227">
        <f t="shared" si="963"/>
      </c>
      <c r="Q590" s="227">
        <f t="shared" si="932"/>
      </c>
      <c r="R590" s="227">
        <f t="shared" si="901"/>
      </c>
      <c r="S590" s="228">
        <f t="shared" si="870"/>
      </c>
      <c r="T590" s="229">
        <f t="shared" si="808"/>
      </c>
      <c r="U590" s="227">
        <f t="shared" si="777"/>
      </c>
      <c r="V590" s="230">
        <f t="shared" si="839"/>
      </c>
      <c r="W590" s="230">
        <f t="shared" si="746"/>
      </c>
      <c r="X590" s="227">
        <f t="shared" si="715"/>
      </c>
      <c r="Y590" s="231">
        <f t="shared" si="642"/>
      </c>
      <c r="Z590" s="231">
        <v>7</v>
      </c>
      <c r="AA590" s="231">
        <v>14</v>
      </c>
      <c r="AB590" s="232">
        <v>19799.64</v>
      </c>
      <c r="AC590" s="232">
        <v>514</v>
      </c>
      <c r="AD590" s="228">
        <f t="shared" si="684"/>
      </c>
      <c r="AE590" s="233" t="s">
        <v>202</v>
      </c>
      <c r="AF590" s="234" t="s">
        <v>240</v>
      </c>
      <c r="AG590" s="235">
        <v>12</v>
      </c>
      <c r="AH590" s="236">
        <v>92646</v>
      </c>
      <c r="AI590" s="236">
        <v>2889</v>
      </c>
      <c r="AJ590" s="236">
        <v>3257</v>
      </c>
      <c r="AK590" s="237">
        <v>451</v>
      </c>
      <c r="AL590" s="237">
        <v>371</v>
      </c>
    </row>
    <row r="591">
      <c r="A591" s="216"/>
      <c r="B591" s="217" t="s">
        <v>200</v>
      </c>
      <c r="C591" s="218" t="s">
        <v>236</v>
      </c>
      <c r="D591" s="219">
        <f t="shared" si="537"/>
      </c>
      <c r="E591" s="218">
        <v>1986.45</v>
      </c>
      <c r="F591" s="218">
        <v>11773.67</v>
      </c>
      <c r="G591" s="221">
        <v>0</v>
      </c>
      <c r="H591" s="221">
        <v>0</v>
      </c>
      <c r="I591" s="221">
        <f t="shared" si="424"/>
      </c>
      <c r="J591" s="222">
        <v>0</v>
      </c>
      <c r="K591" s="223">
        <f t="shared" si="309"/>
      </c>
      <c r="L591" s="223">
        <f t="shared" si="194"/>
      </c>
      <c r="M591" s="224">
        <f t="shared" si="90"/>
      </c>
      <c r="N591" s="225">
        <f t="shared" si="59"/>
      </c>
      <c r="O591" s="226">
        <f t="shared" si="28"/>
      </c>
      <c r="P591" s="227">
        <f t="shared" si="963"/>
      </c>
      <c r="Q591" s="227">
        <f t="shared" si="932"/>
      </c>
      <c r="R591" s="227">
        <f t="shared" si="901"/>
      </c>
      <c r="S591" s="228">
        <f t="shared" si="870"/>
      </c>
      <c r="T591" s="229">
        <f t="shared" si="808"/>
      </c>
      <c r="U591" s="227">
        <f t="shared" si="777"/>
      </c>
      <c r="V591" s="230">
        <f t="shared" si="839"/>
      </c>
      <c r="W591" s="230">
        <f t="shared" si="746"/>
      </c>
      <c r="X591" s="227">
        <f t="shared" si="715"/>
      </c>
      <c r="Y591" s="231">
        <f t="shared" si="642"/>
      </c>
      <c r="Z591" s="231">
        <v>7</v>
      </c>
      <c r="AA591" s="231">
        <v>10</v>
      </c>
      <c r="AB591" s="232">
        <v>15254.879999999997</v>
      </c>
      <c r="AC591" s="232">
        <v>1223</v>
      </c>
      <c r="AD591" s="228">
        <f t="shared" si="684"/>
      </c>
      <c r="AE591" s="233" t="s">
        <v>202</v>
      </c>
      <c r="AF591" s="234" t="s">
        <v>240</v>
      </c>
      <c r="AG591" s="237">
        <v>7</v>
      </c>
      <c r="AH591" s="236">
        <v>130478</v>
      </c>
      <c r="AI591" s="236">
        <v>2937</v>
      </c>
      <c r="AJ591" s="236">
        <v>2891</v>
      </c>
      <c r="AK591" s="237">
        <v>523</v>
      </c>
      <c r="AL591" s="237">
        <v>476</v>
      </c>
    </row>
    <row r="592">
      <c r="A592" s="216"/>
      <c r="B592" s="217" t="s">
        <v>200</v>
      </c>
      <c r="C592" s="218" t="s">
        <v>216</v>
      </c>
      <c r="D592" s="219">
        <f t="shared" si="537"/>
      </c>
      <c r="E592" s="218">
        <v>1690.53</v>
      </c>
      <c r="F592" s="221">
        <v>8774.71</v>
      </c>
      <c r="G592" s="221">
        <v>0</v>
      </c>
      <c r="H592" s="221">
        <v>0</v>
      </c>
      <c r="I592" s="221">
        <f t="shared" si="424"/>
      </c>
      <c r="J592" s="222">
        <f>1736.64+4240.08</f>
      </c>
      <c r="K592" s="223">
        <f t="shared" si="309"/>
      </c>
      <c r="L592" s="223">
        <f t="shared" si="194"/>
      </c>
      <c r="M592" s="224">
        <f t="shared" si="90"/>
      </c>
      <c r="N592" s="225">
        <f t="shared" si="59"/>
      </c>
      <c r="O592" s="226">
        <f t="shared" si="28"/>
      </c>
      <c r="P592" s="227">
        <f t="shared" si="963"/>
      </c>
      <c r="Q592" s="227">
        <f t="shared" si="932"/>
      </c>
      <c r="R592" s="227">
        <f t="shared" si="901"/>
      </c>
      <c r="S592" s="228">
        <f t="shared" si="870"/>
      </c>
      <c r="T592" s="229">
        <f t="shared" si="808"/>
      </c>
      <c r="U592" s="227">
        <f t="shared" si="777"/>
      </c>
      <c r="V592" s="230">
        <f t="shared" si="839"/>
      </c>
      <c r="W592" s="230">
        <f t="shared" si="746"/>
      </c>
      <c r="X592" s="227">
        <f t="shared" si="715"/>
      </c>
      <c r="Y592" s="231">
        <f t="shared" si="642"/>
      </c>
      <c r="Z592" s="231">
        <v>1</v>
      </c>
      <c r="AA592" s="231">
        <v>8</v>
      </c>
      <c r="AB592" s="232">
        <v>16954.800000000003</v>
      </c>
      <c r="AC592" s="232">
        <v>1204</v>
      </c>
      <c r="AD592" s="228">
        <f t="shared" si="684"/>
      </c>
      <c r="AE592" s="233" t="s">
        <v>202</v>
      </c>
      <c r="AF592" s="234" t="s">
        <v>240</v>
      </c>
      <c r="AG592" s="235">
        <v>8</v>
      </c>
      <c r="AH592" s="236">
        <v>93015</v>
      </c>
      <c r="AI592" s="236">
        <v>2160</v>
      </c>
      <c r="AJ592" s="236">
        <v>2299</v>
      </c>
      <c r="AK592" s="237">
        <v>366</v>
      </c>
      <c r="AL592" s="237">
        <v>299</v>
      </c>
    </row>
    <row r="593">
      <c r="A593" s="216"/>
      <c r="B593" s="217" t="s">
        <v>200</v>
      </c>
      <c r="C593" s="218" t="s">
        <v>218</v>
      </c>
      <c r="D593" s="219">
        <f t="shared" si="537"/>
      </c>
      <c r="E593" s="220">
        <v>1087.75</v>
      </c>
      <c r="F593" s="221">
        <v>12127.95</v>
      </c>
      <c r="G593" s="221">
        <v>0</v>
      </c>
      <c r="H593" s="221">
        <v>0</v>
      </c>
      <c r="I593" s="221">
        <f t="shared" si="424"/>
      </c>
      <c r="J593" s="222">
        <v>0</v>
      </c>
      <c r="K593" s="223">
        <f t="shared" si="309"/>
      </c>
      <c r="L593" s="223">
        <f t="shared" si="194"/>
      </c>
      <c r="M593" s="224">
        <f t="shared" si="90"/>
      </c>
      <c r="N593" s="225">
        <f t="shared" si="59"/>
      </c>
      <c r="O593" s="226">
        <f t="shared" si="28"/>
      </c>
      <c r="P593" s="227">
        <f t="shared" si="963"/>
      </c>
      <c r="Q593" s="227">
        <f t="shared" si="932"/>
      </c>
      <c r="R593" s="227">
        <f t="shared" si="901"/>
      </c>
      <c r="S593" s="228">
        <f t="shared" si="870"/>
      </c>
      <c r="T593" s="229">
        <f t="shared" si="808"/>
      </c>
      <c r="U593" s="227">
        <f t="shared" si="777"/>
      </c>
      <c r="V593" s="230">
        <f t="shared" si="839"/>
      </c>
      <c r="W593" s="230">
        <f t="shared" si="746"/>
      </c>
      <c r="X593" s="227">
        <f t="shared" si="715"/>
      </c>
      <c r="Y593" s="231">
        <f t="shared" si="642"/>
      </c>
      <c r="Z593" s="231">
        <v>5</v>
      </c>
      <c r="AA593" s="231">
        <v>16</v>
      </c>
      <c r="AB593" s="232">
        <f>22503.96+3216.48</f>
      </c>
      <c r="AC593" s="232">
        <v>2055</v>
      </c>
      <c r="AD593" s="228">
        <f t="shared" si="684"/>
      </c>
      <c r="AE593" s="233" t="s">
        <v>202</v>
      </c>
      <c r="AF593" s="234" t="s">
        <v>240</v>
      </c>
      <c r="AG593" s="235">
        <v>13</v>
      </c>
      <c r="AH593" s="236">
        <v>116297</v>
      </c>
      <c r="AI593" s="236">
        <v>1911</v>
      </c>
      <c r="AJ593" s="236">
        <v>1900</v>
      </c>
      <c r="AK593" s="235">
        <v>370</v>
      </c>
      <c r="AL593" s="235">
        <v>396</v>
      </c>
    </row>
    <row r="594">
      <c r="A594" s="216"/>
      <c r="B594" s="239" t="s">
        <v>208</v>
      </c>
      <c r="C594" s="240">
        <v>5</v>
      </c>
      <c r="D594" s="241">
        <f>SUM(D589:D593)</f>
      </c>
      <c r="E594" s="241">
        <f>SUM(E589:E593)</f>
      </c>
      <c r="F594" s="241">
        <f>SUM(F589:F593)</f>
      </c>
      <c r="G594" s="241">
        <f>SUM(G589:G593)</f>
      </c>
      <c r="H594" s="241">
        <f>SUM(H589:H593)</f>
      </c>
      <c r="I594" s="241">
        <f>SUM(I589:I593)</f>
      </c>
      <c r="J594" s="241">
        <f>SUM(J589:J593)</f>
      </c>
      <c r="K594" s="241">
        <f>SUM(K589:K593)</f>
      </c>
      <c r="L594" s="241">
        <f>SUM(L589:L593)</f>
      </c>
      <c r="M594" s="242">
        <f t="shared" si="90"/>
      </c>
      <c r="N594" s="243">
        <f t="shared" si="59"/>
      </c>
      <c r="O594" s="243">
        <f t="shared" si="28"/>
      </c>
      <c r="P594" s="244">
        <f t="shared" si="963"/>
      </c>
      <c r="Q594" s="244">
        <f t="shared" si="932"/>
      </c>
      <c r="R594" s="244">
        <f t="shared" si="901"/>
      </c>
      <c r="S594" s="245">
        <f t="shared" si="870"/>
      </c>
      <c r="T594" s="245">
        <f t="shared" si="808"/>
      </c>
      <c r="U594" s="244">
        <f t="shared" si="777"/>
      </c>
      <c r="V594" s="245">
        <f t="shared" si="839"/>
      </c>
      <c r="W594" s="245">
        <f t="shared" si="746"/>
      </c>
      <c r="X594" s="244">
        <f t="shared" si="715"/>
      </c>
      <c r="Y594" s="241">
        <f>SUM(Y589:Y593)</f>
      </c>
      <c r="Z594" s="241">
        <f>SUM(Z589:Z593)</f>
      </c>
      <c r="AA594" s="241">
        <f>SUM(AA589:AA593)</f>
      </c>
      <c r="AB594" s="241">
        <f>SUM(AB589:AB593)</f>
      </c>
      <c r="AC594" s="241">
        <f>SUM(AC589:AC593)</f>
      </c>
      <c r="AD594" s="246">
        <f t="shared" si="684"/>
      </c>
      <c r="AE594" s="247"/>
      <c r="AF594" s="248"/>
      <c r="AG594" s="241">
        <f>SUM(AG589:AG593)</f>
      </c>
      <c r="AH594" s="241">
        <f>SUM(AH589:AH593)</f>
      </c>
      <c r="AI594" s="241">
        <f>SUM(AI589:AI593)</f>
      </c>
      <c r="AJ594" s="241">
        <f>SUM(AJ589:AJ593)</f>
      </c>
      <c r="AK594" s="241">
        <f>SUM(AK589:AK593)</f>
      </c>
      <c r="AL594" s="241">
        <f>SUM(AL589:AL593)</f>
      </c>
    </row>
    <row r="595">
      <c r="A595" s="216"/>
      <c r="B595" s="217" t="s">
        <v>209</v>
      </c>
      <c r="C595" s="218" t="s">
        <v>219</v>
      </c>
      <c r="D595" s="219">
        <f t="shared" ref="D595:D599" si="538">E595+F595+G595+H595</f>
      </c>
      <c r="E595" s="220">
        <v>1306.66</v>
      </c>
      <c r="F595" s="221">
        <v>11278.9</v>
      </c>
      <c r="G595" s="221">
        <v>0</v>
      </c>
      <c r="H595" s="221">
        <v>0</v>
      </c>
      <c r="I595" s="221">
        <f t="shared" ref="I595:I599" si="425">AB595+AC595</f>
      </c>
      <c r="J595" s="222">
        <f>1360.8+1245.24</f>
      </c>
      <c r="K595" s="223">
        <f t="shared" ref="K595:K599" si="310">I595-J595</f>
      </c>
      <c r="L595" s="223">
        <f t="shared" ref="L595:L599" si="195">(I595-AC595)/12+AC595</f>
      </c>
      <c r="M595" s="224">
        <f t="shared" si="90"/>
      </c>
      <c r="N595" s="225">
        <f t="shared" si="59"/>
      </c>
      <c r="O595" s="226">
        <f t="shared" si="28"/>
      </c>
      <c r="P595" s="227">
        <f t="shared" si="963"/>
      </c>
      <c r="Q595" s="227">
        <f t="shared" si="932"/>
      </c>
      <c r="R595" s="227">
        <f t="shared" si="901"/>
      </c>
      <c r="S595" s="228">
        <f t="shared" si="870"/>
      </c>
      <c r="T595" s="229">
        <f t="shared" si="808"/>
      </c>
      <c r="U595" s="227">
        <f t="shared" si="777"/>
      </c>
      <c r="V595" s="230">
        <f t="shared" si="839"/>
      </c>
      <c r="W595" s="230">
        <f t="shared" si="746"/>
      </c>
      <c r="X595" s="227">
        <f t="shared" si="715"/>
      </c>
      <c r="Y595" s="231">
        <f t="shared" ref="Y595:Y599" si="643">Z595+AA595</f>
      </c>
      <c r="Z595" s="231">
        <v>6</v>
      </c>
      <c r="AA595" s="231">
        <v>13</v>
      </c>
      <c r="AB595" s="232">
        <v>24399.960000000014</v>
      </c>
      <c r="AC595" s="232">
        <v>3797</v>
      </c>
      <c r="AD595" s="228">
        <f t="shared" si="684"/>
      </c>
      <c r="AE595" s="233" t="s">
        <v>202</v>
      </c>
      <c r="AF595" s="234" t="s">
        <v>240</v>
      </c>
      <c r="AG595" s="235">
        <v>12</v>
      </c>
      <c r="AH595" s="236">
        <v>127912</v>
      </c>
      <c r="AI595" s="236">
        <v>1610</v>
      </c>
      <c r="AJ595" s="236">
        <v>1645</v>
      </c>
      <c r="AK595" s="235">
        <v>318</v>
      </c>
      <c r="AL595" s="235">
        <v>324</v>
      </c>
    </row>
    <row r="596">
      <c r="A596" s="216"/>
      <c r="B596" s="217" t="s">
        <v>209</v>
      </c>
      <c r="C596" s="218" t="s">
        <v>220</v>
      </c>
      <c r="D596" s="219">
        <f t="shared" si="538"/>
      </c>
      <c r="E596" s="218">
        <v>885.44</v>
      </c>
      <c r="F596" s="221">
        <v>11266.93</v>
      </c>
      <c r="G596" s="221">
        <v>0</v>
      </c>
      <c r="H596" s="221">
        <v>0</v>
      </c>
      <c r="I596" s="221">
        <f t="shared" si="425"/>
      </c>
      <c r="J596" s="222">
        <f>628.56+752.76</f>
      </c>
      <c r="K596" s="223">
        <f t="shared" si="310"/>
      </c>
      <c r="L596" s="223">
        <f t="shared" si="195"/>
      </c>
      <c r="M596" s="224">
        <f t="shared" si="90"/>
      </c>
      <c r="N596" s="225">
        <f t="shared" si="59"/>
      </c>
      <c r="O596" s="226">
        <f t="shared" si="28"/>
      </c>
      <c r="P596" s="227">
        <f t="shared" si="963"/>
      </c>
      <c r="Q596" s="227">
        <f t="shared" si="932"/>
      </c>
      <c r="R596" s="227">
        <f t="shared" si="901"/>
      </c>
      <c r="S596" s="228">
        <f t="shared" si="870"/>
      </c>
      <c r="T596" s="229">
        <f t="shared" si="808"/>
      </c>
      <c r="U596" s="227">
        <f t="shared" si="777"/>
      </c>
      <c r="V596" s="230">
        <f t="shared" si="839"/>
      </c>
      <c r="W596" s="230">
        <f t="shared" si="746"/>
      </c>
      <c r="X596" s="227">
        <f t="shared" si="715"/>
      </c>
      <c r="Y596" s="231">
        <f t="shared" si="643"/>
      </c>
      <c r="Z596" s="231">
        <v>5</v>
      </c>
      <c r="AA596" s="231">
        <v>14</v>
      </c>
      <c r="AB596" s="232">
        <v>17199.000000000007</v>
      </c>
      <c r="AC596" s="232">
        <v>3050</v>
      </c>
      <c r="AD596" s="228">
        <f t="shared" si="684"/>
      </c>
      <c r="AE596" s="233" t="s">
        <v>202</v>
      </c>
      <c r="AF596" s="234" t="s">
        <v>240</v>
      </c>
      <c r="AG596" s="235">
        <v>9</v>
      </c>
      <c r="AH596" s="236">
        <v>113412</v>
      </c>
      <c r="AI596" s="236">
        <v>1556</v>
      </c>
      <c r="AJ596" s="236">
        <v>1560</v>
      </c>
      <c r="AK596" s="237">
        <v>310</v>
      </c>
      <c r="AL596" s="237">
        <v>342</v>
      </c>
    </row>
    <row r="597">
      <c r="A597" s="216"/>
      <c r="B597" s="217" t="s">
        <v>209</v>
      </c>
      <c r="C597" s="218" t="s">
        <v>221</v>
      </c>
      <c r="D597" s="219">
        <f t="shared" si="538"/>
      </c>
      <c r="E597" s="218">
        <v>892.89</v>
      </c>
      <c r="F597" s="218">
        <v>7667.26</v>
      </c>
      <c r="G597" s="221">
        <v>0</v>
      </c>
      <c r="H597" s="221">
        <v>0</v>
      </c>
      <c r="I597" s="221">
        <f t="shared" si="425"/>
      </c>
      <c r="J597" s="222">
        <v>0</v>
      </c>
      <c r="K597" s="223">
        <f t="shared" si="310"/>
      </c>
      <c r="L597" s="223">
        <f t="shared" si="195"/>
      </c>
      <c r="M597" s="224">
        <f t="shared" si="90"/>
      </c>
      <c r="N597" s="225">
        <f t="shared" si="59"/>
      </c>
      <c r="O597" s="226">
        <f t="shared" si="28"/>
      </c>
      <c r="P597" s="227">
        <f t="shared" si="963"/>
      </c>
      <c r="Q597" s="227">
        <f t="shared" si="932"/>
      </c>
      <c r="R597" s="227">
        <f t="shared" si="901"/>
      </c>
      <c r="S597" s="228">
        <f t="shared" si="870"/>
      </c>
      <c r="T597" s="229">
        <f t="shared" si="808"/>
      </c>
      <c r="U597" s="227">
        <f t="shared" si="777"/>
      </c>
      <c r="V597" s="230">
        <f t="shared" si="839"/>
      </c>
      <c r="W597" s="230">
        <f t="shared" si="746"/>
      </c>
      <c r="X597" s="227">
        <f t="shared" si="715"/>
      </c>
      <c r="Y597" s="231">
        <f t="shared" si="643"/>
      </c>
      <c r="Z597" s="231">
        <v>4</v>
      </c>
      <c r="AA597" s="231">
        <v>5</v>
      </c>
      <c r="AB597" s="232">
        <v>8379.83999999998</v>
      </c>
      <c r="AC597" s="232">
        <v>385</v>
      </c>
      <c r="AD597" s="228">
        <f t="shared" si="684"/>
      </c>
      <c r="AE597" s="233" t="s">
        <v>202</v>
      </c>
      <c r="AF597" s="234" t="s">
        <v>240</v>
      </c>
      <c r="AG597" s="237">
        <v>5</v>
      </c>
      <c r="AH597" s="236">
        <v>88448</v>
      </c>
      <c r="AI597" s="236">
        <v>1545</v>
      </c>
      <c r="AJ597" s="236">
        <v>1580</v>
      </c>
      <c r="AK597" s="237">
        <v>271</v>
      </c>
      <c r="AL597" s="237">
        <v>289</v>
      </c>
    </row>
    <row r="598">
      <c r="A598" s="216"/>
      <c r="B598" s="217" t="s">
        <v>209</v>
      </c>
      <c r="C598" s="218" t="s">
        <v>201</v>
      </c>
      <c r="D598" s="219">
        <f t="shared" si="538"/>
      </c>
      <c r="E598" s="218">
        <v>739.89</v>
      </c>
      <c r="F598" s="221">
        <v>5334.46</v>
      </c>
      <c r="G598" s="221">
        <v>0</v>
      </c>
      <c r="H598" s="221">
        <v>0</v>
      </c>
      <c r="I598" s="221">
        <f t="shared" si="425"/>
      </c>
      <c r="J598" s="222">
        <v>0</v>
      </c>
      <c r="K598" s="223">
        <f t="shared" si="310"/>
      </c>
      <c r="L598" s="223">
        <f t="shared" si="195"/>
      </c>
      <c r="M598" s="224">
        <f t="shared" si="90"/>
      </c>
      <c r="N598" s="225">
        <f t="shared" si="59"/>
      </c>
      <c r="O598" s="226">
        <f t="shared" si="28"/>
      </c>
      <c r="P598" s="227">
        <f t="shared" si="963"/>
      </c>
      <c r="Q598" s="227">
        <f t="shared" si="932"/>
      </c>
      <c r="R598" s="227">
        <f t="shared" si="901"/>
      </c>
      <c r="S598" s="228">
        <f t="shared" si="870"/>
      </c>
      <c r="T598" s="229">
        <f t="shared" si="808"/>
      </c>
      <c r="U598" s="227">
        <f t="shared" si="777"/>
      </c>
      <c r="V598" s="230">
        <f t="shared" si="839"/>
      </c>
      <c r="W598" s="230">
        <f t="shared" si="746"/>
      </c>
      <c r="X598" s="227">
        <f t="shared" si="715"/>
      </c>
      <c r="Y598" s="231">
        <f t="shared" si="643"/>
      </c>
      <c r="Z598" s="231">
        <v>3</v>
      </c>
      <c r="AA598" s="231">
        <v>5</v>
      </c>
      <c r="AB598" s="222">
        <f>2309.03999999999+1788.48</f>
      </c>
      <c r="AC598" s="232">
        <v>2018</v>
      </c>
      <c r="AD598" s="228">
        <f t="shared" si="684"/>
      </c>
      <c r="AE598" s="233" t="s">
        <v>202</v>
      </c>
      <c r="AF598" s="234" t="s">
        <v>240</v>
      </c>
      <c r="AG598" s="235">
        <v>4</v>
      </c>
      <c r="AH598" s="236">
        <v>47898</v>
      </c>
      <c r="AI598" s="236">
        <v>922</v>
      </c>
      <c r="AJ598" s="236">
        <v>950</v>
      </c>
      <c r="AK598" s="237">
        <v>157</v>
      </c>
      <c r="AL598" s="237">
        <v>188</v>
      </c>
    </row>
    <row r="599">
      <c r="A599" s="216"/>
      <c r="B599" s="217" t="s">
        <v>209</v>
      </c>
      <c r="C599" s="218" t="s">
        <v>204</v>
      </c>
      <c r="D599" s="219">
        <f t="shared" si="538"/>
      </c>
      <c r="E599" s="218">
        <v>811.93</v>
      </c>
      <c r="F599" s="249">
        <v>6557.79</v>
      </c>
      <c r="G599" s="221">
        <v>0</v>
      </c>
      <c r="H599" s="221">
        <v>0</v>
      </c>
      <c r="I599" s="221">
        <f t="shared" si="425"/>
      </c>
      <c r="J599" s="251">
        <v>1622.16</v>
      </c>
      <c r="K599" s="223">
        <f t="shared" si="310"/>
      </c>
      <c r="L599" s="223">
        <f t="shared" si="195"/>
      </c>
      <c r="M599" s="224">
        <f t="shared" si="90"/>
      </c>
      <c r="N599" s="225">
        <f t="shared" si="59"/>
      </c>
      <c r="O599" s="226">
        <f t="shared" si="28"/>
      </c>
      <c r="P599" s="227">
        <f t="shared" si="963"/>
      </c>
      <c r="Q599" s="227">
        <f t="shared" si="932"/>
      </c>
      <c r="R599" s="227">
        <f t="shared" si="901"/>
      </c>
      <c r="S599" s="228">
        <f t="shared" si="870"/>
      </c>
      <c r="T599" s="229">
        <f t="shared" si="808"/>
      </c>
      <c r="U599" s="227">
        <f t="shared" si="777"/>
      </c>
      <c r="V599" s="230">
        <f t="shared" si="839"/>
      </c>
      <c r="W599" s="230">
        <f t="shared" si="746"/>
      </c>
      <c r="X599" s="227">
        <f t="shared" si="715"/>
      </c>
      <c r="Y599" s="231">
        <f t="shared" si="643"/>
      </c>
      <c r="Z599" s="231">
        <v>7</v>
      </c>
      <c r="AA599" s="231">
        <v>7</v>
      </c>
      <c r="AB599" s="232">
        <v>12428.640000000021</v>
      </c>
      <c r="AC599" s="232">
        <v>1608</v>
      </c>
      <c r="AD599" s="228">
        <f t="shared" si="684"/>
      </c>
      <c r="AE599" s="233" t="s">
        <v>202</v>
      </c>
      <c r="AF599" s="234" t="s">
        <v>240</v>
      </c>
      <c r="AG599" s="235">
        <v>6</v>
      </c>
      <c r="AH599" s="236">
        <v>62341</v>
      </c>
      <c r="AI599" s="236">
        <v>963</v>
      </c>
      <c r="AJ599" s="236">
        <v>994</v>
      </c>
      <c r="AK599" s="237">
        <v>171</v>
      </c>
      <c r="AL599" s="237">
        <v>199</v>
      </c>
    </row>
    <row r="600">
      <c r="A600" s="216"/>
      <c r="B600" s="239" t="s">
        <v>208</v>
      </c>
      <c r="C600" s="240">
        <v>5</v>
      </c>
      <c r="D600" s="241">
        <f>SUM(D595:D599)</f>
      </c>
      <c r="E600" s="241">
        <f>SUM(E595:E599)</f>
      </c>
      <c r="F600" s="241">
        <f>SUM(F595:F599)</f>
      </c>
      <c r="G600" s="241">
        <f>SUM(G595:G599)</f>
      </c>
      <c r="H600" s="241">
        <f>SUM(H595:H599)</f>
      </c>
      <c r="I600" s="241">
        <f>SUM(I595:I599)</f>
      </c>
      <c r="J600" s="241">
        <f>SUM(J595:J599)</f>
      </c>
      <c r="K600" s="241">
        <f>SUM(K595:K599)</f>
      </c>
      <c r="L600" s="241">
        <f>SUM(L595:L599)</f>
      </c>
      <c r="M600" s="242">
        <f t="shared" si="90"/>
      </c>
      <c r="N600" s="243">
        <f t="shared" si="59"/>
      </c>
      <c r="O600" s="243">
        <f t="shared" si="28"/>
      </c>
      <c r="P600" s="244">
        <f t="shared" si="963"/>
      </c>
      <c r="Q600" s="244">
        <f t="shared" si="932"/>
      </c>
      <c r="R600" s="244">
        <f t="shared" si="901"/>
      </c>
      <c r="S600" s="245">
        <f t="shared" si="870"/>
      </c>
      <c r="T600" s="245">
        <f t="shared" si="808"/>
      </c>
      <c r="U600" s="244">
        <f t="shared" si="777"/>
      </c>
      <c r="V600" s="245">
        <f t="shared" si="839"/>
      </c>
      <c r="W600" s="245">
        <f t="shared" si="746"/>
      </c>
      <c r="X600" s="244">
        <f t="shared" si="715"/>
      </c>
      <c r="Y600" s="241">
        <f>SUM(Y595:Y599)</f>
      </c>
      <c r="Z600" s="241">
        <f>SUM(Z595:Z599)</f>
      </c>
      <c r="AA600" s="241">
        <f>SUM(AA595:AA599)</f>
      </c>
      <c r="AB600" s="241">
        <f>SUM(AB595:AB599)</f>
      </c>
      <c r="AC600" s="241">
        <f>SUM(AC595:AC599)</f>
      </c>
      <c r="AD600" s="246">
        <f t="shared" si="684"/>
      </c>
      <c r="AE600" s="247"/>
      <c r="AF600" s="248"/>
      <c r="AG600" s="241">
        <f>SUM(AG595:AG599)</f>
      </c>
      <c r="AH600" s="241">
        <f>SUM(AH595:AH599)</f>
      </c>
      <c r="AI600" s="241">
        <f>SUM(AI595:AI599)</f>
      </c>
      <c r="AJ600" s="241">
        <f>SUM(AJ595:AJ599)</f>
      </c>
      <c r="AK600" s="241">
        <f>SUM(AK595:AK599)</f>
      </c>
      <c r="AL600" s="241">
        <f>SUM(AL595:AL599)</f>
      </c>
    </row>
    <row r="601">
      <c r="A601" s="216"/>
      <c r="B601" s="217" t="s">
        <v>230</v>
      </c>
      <c r="C601" s="218" t="s">
        <v>205</v>
      </c>
      <c r="D601" s="219">
        <f t="shared" ref="D601:D602" si="539">E601+F601+G601+H601</f>
      </c>
      <c r="E601" s="218">
        <v>1310.71</v>
      </c>
      <c r="F601" s="249">
        <v>4600.33</v>
      </c>
      <c r="G601" s="221">
        <v>0</v>
      </c>
      <c r="H601" s="221">
        <v>0</v>
      </c>
      <c r="I601" s="221">
        <f t="shared" ref="I601:I602" si="426">AB601+AC601</f>
      </c>
      <c r="J601" s="251">
        <f>384.84+1306.08+995.4</f>
      </c>
      <c r="K601" s="223">
        <f t="shared" ref="K601:K602" si="311">I601-J601</f>
      </c>
      <c r="L601" s="223">
        <f t="shared" ref="L601:L602" si="196">(I601-AC601)/12+AC601</f>
      </c>
      <c r="M601" s="224">
        <f t="shared" si="90"/>
      </c>
      <c r="N601" s="225">
        <f t="shared" si="59"/>
      </c>
      <c r="O601" s="226">
        <f t="shared" si="28"/>
      </c>
      <c r="P601" s="227">
        <f t="shared" si="963"/>
      </c>
      <c r="Q601" s="227">
        <f t="shared" si="932"/>
      </c>
      <c r="R601" s="227">
        <f t="shared" si="901"/>
      </c>
      <c r="S601" s="228">
        <f t="shared" si="870"/>
      </c>
      <c r="T601" s="229">
        <f t="shared" si="808"/>
      </c>
      <c r="U601" s="227">
        <f t="shared" si="777"/>
      </c>
      <c r="V601" s="230">
        <f t="shared" si="839"/>
      </c>
      <c r="W601" s="230">
        <f t="shared" si="746"/>
      </c>
      <c r="X601" s="227">
        <f t="shared" si="715"/>
      </c>
      <c r="Y601" s="231">
        <f t="shared" ref="Y601:Y602" si="644">Z601+AA601</f>
      </c>
      <c r="Z601" s="231">
        <v>5</v>
      </c>
      <c r="AA601" s="231">
        <v>5</v>
      </c>
      <c r="AB601" s="232">
        <v>11026.679999999971</v>
      </c>
      <c r="AC601" s="232">
        <v>0</v>
      </c>
      <c r="AD601" s="228">
        <f t="shared" si="684"/>
      </c>
      <c r="AE601" s="233" t="s">
        <v>202</v>
      </c>
      <c r="AF601" s="233" t="s">
        <v>232</v>
      </c>
      <c r="AG601" s="235">
        <v>5</v>
      </c>
      <c r="AH601" s="236">
        <v>58156</v>
      </c>
      <c r="AI601" s="236">
        <v>1167</v>
      </c>
      <c r="AJ601" s="236">
        <v>1186</v>
      </c>
      <c r="AK601" s="237">
        <v>202</v>
      </c>
      <c r="AL601" s="237">
        <v>200</v>
      </c>
    </row>
    <row r="602">
      <c r="A602" s="216"/>
      <c r="B602" s="217" t="s">
        <v>230</v>
      </c>
      <c r="C602" s="218" t="s">
        <v>206</v>
      </c>
      <c r="D602" s="219">
        <f t="shared" si="539"/>
      </c>
      <c r="E602" s="252">
        <v>1970.74</v>
      </c>
      <c r="F602" s="268">
        <v>4738.7</v>
      </c>
      <c r="G602" s="221">
        <v>0</v>
      </c>
      <c r="H602" s="221">
        <v>0</v>
      </c>
      <c r="I602" s="221">
        <f t="shared" si="426"/>
      </c>
      <c r="J602" s="251">
        <v>0</v>
      </c>
      <c r="K602" s="223">
        <f t="shared" si="311"/>
      </c>
      <c r="L602" s="223">
        <f t="shared" si="196"/>
      </c>
      <c r="M602" s="224">
        <f t="shared" si="90"/>
      </c>
      <c r="N602" s="225">
        <f t="shared" si="59"/>
      </c>
      <c r="O602" s="226">
        <f t="shared" si="28"/>
      </c>
      <c r="P602" s="227">
        <f t="shared" si="963"/>
      </c>
      <c r="Q602" s="227">
        <f t="shared" si="932"/>
      </c>
      <c r="R602" s="227">
        <f t="shared" si="901"/>
      </c>
      <c r="S602" s="228">
        <f t="shared" si="870"/>
      </c>
      <c r="T602" s="229">
        <f t="shared" si="808"/>
      </c>
      <c r="U602" s="227">
        <f t="shared" si="777"/>
      </c>
      <c r="V602" s="230">
        <f t="shared" si="839"/>
      </c>
      <c r="W602" s="230">
        <f t="shared" si="746"/>
      </c>
      <c r="X602" s="227">
        <f t="shared" si="715"/>
      </c>
      <c r="Y602" s="231">
        <f t="shared" si="644"/>
      </c>
      <c r="Z602" s="231">
        <v>7</v>
      </c>
      <c r="AA602" s="231">
        <v>11</v>
      </c>
      <c r="AB602" s="232">
        <v>19643.76</v>
      </c>
      <c r="AC602" s="232">
        <v>3481.2</v>
      </c>
      <c r="AD602" s="228">
        <f t="shared" si="684"/>
      </c>
      <c r="AE602" s="233" t="s">
        <v>202</v>
      </c>
      <c r="AF602" s="233" t="s">
        <v>232</v>
      </c>
      <c r="AG602" s="237">
        <v>6</v>
      </c>
      <c r="AH602" s="236">
        <v>61795</v>
      </c>
      <c r="AI602" s="236">
        <v>1462</v>
      </c>
      <c r="AJ602" s="236">
        <v>1538</v>
      </c>
      <c r="AK602" s="237">
        <v>190</v>
      </c>
      <c r="AL602" s="237">
        <v>181</v>
      </c>
    </row>
    <row r="603">
      <c r="A603" s="216"/>
      <c r="B603" s="239" t="s">
        <v>208</v>
      </c>
      <c r="C603" s="240">
        <v>2</v>
      </c>
      <c r="D603" s="273">
        <f>SUM(D601:D602)</f>
      </c>
      <c r="E603" s="273">
        <f>SUM(E601:E602)</f>
      </c>
      <c r="F603" s="273">
        <f>SUM(F601:F602)</f>
      </c>
      <c r="G603" s="273">
        <f>SUM(G601:G602)</f>
      </c>
      <c r="H603" s="273">
        <f>SUM(H601:H602)</f>
      </c>
      <c r="I603" s="273">
        <f>SUM(I601:I602)</f>
      </c>
      <c r="J603" s="273">
        <f>SUM(J601:J602)</f>
      </c>
      <c r="K603" s="273">
        <f>SUM(K601:K602)</f>
      </c>
      <c r="L603" s="273">
        <f>SUM(L601:L602)</f>
      </c>
      <c r="M603" s="242">
        <f t="shared" si="90"/>
      </c>
      <c r="N603" s="243">
        <f t="shared" si="59"/>
      </c>
      <c r="O603" s="243">
        <f t="shared" si="28"/>
      </c>
      <c r="P603" s="244">
        <f t="shared" si="963"/>
      </c>
      <c r="Q603" s="244">
        <f t="shared" si="932"/>
      </c>
      <c r="R603" s="244">
        <f t="shared" si="901"/>
      </c>
      <c r="S603" s="245">
        <f t="shared" si="870"/>
      </c>
      <c r="T603" s="245">
        <f t="shared" si="808"/>
      </c>
      <c r="U603" s="244">
        <f t="shared" si="777"/>
      </c>
      <c r="V603" s="245">
        <f t="shared" si="839"/>
      </c>
      <c r="W603" s="245">
        <f t="shared" si="746"/>
      </c>
      <c r="X603" s="244">
        <f t="shared" si="715"/>
      </c>
      <c r="Y603" s="273">
        <f>SUM(Y601:Y602)</f>
      </c>
      <c r="Z603" s="273">
        <f>SUM(Z601:Z602)</f>
      </c>
      <c r="AA603" s="273">
        <f>SUM(AA601:AA602)</f>
      </c>
      <c r="AB603" s="273">
        <f>SUM(AB601:AB602)</f>
      </c>
      <c r="AC603" s="273">
        <f>SUM(AC601:AC602)</f>
      </c>
      <c r="AD603" s="246">
        <f t="shared" si="684"/>
      </c>
      <c r="AE603" s="247"/>
      <c r="AF603" s="248"/>
      <c r="AG603" s="273">
        <f>SUM(AG601:AG602)</f>
      </c>
      <c r="AH603" s="273">
        <f>SUM(AH601:AH602)</f>
      </c>
      <c r="AI603" s="273">
        <f>SUM(AI601:AI602)</f>
      </c>
      <c r="AJ603" s="273">
        <f>SUM(AJ601:AJ602)</f>
      </c>
      <c r="AK603" s="273">
        <f>SUM(AK601:AK602)</f>
      </c>
      <c r="AL603" s="273">
        <f>SUM(AL601:AL602)</f>
      </c>
    </row>
    <row r="604">
      <c r="A604" s="216"/>
      <c r="B604" s="274" t="s">
        <v>224</v>
      </c>
      <c r="C604" s="218" t="s">
        <v>207</v>
      </c>
      <c r="D604" s="219">
        <f t="shared" ref="D604:D606" si="540">E604+F604+G604+H604</f>
      </c>
      <c r="E604" s="218">
        <v>1776.97</v>
      </c>
      <c r="F604" s="249">
        <v>7335.97</v>
      </c>
      <c r="G604" s="221">
        <v>0</v>
      </c>
      <c r="H604" s="221">
        <v>0</v>
      </c>
      <c r="I604" s="221">
        <f t="shared" ref="I604:I606" si="427">AB604+AC604</f>
      </c>
      <c r="J604" s="251">
        <f>1084.8+1224.72</f>
      </c>
      <c r="K604" s="223">
        <f t="shared" ref="K604:K606" si="312">I604-J604</f>
      </c>
      <c r="L604" s="223">
        <f t="shared" ref="L604:L606" si="197">(I604-AC604)/12+AC604</f>
      </c>
      <c r="M604" s="224">
        <f t="shared" si="90"/>
      </c>
      <c r="N604" s="225">
        <f t="shared" si="59"/>
      </c>
      <c r="O604" s="226">
        <f t="shared" si="28"/>
      </c>
      <c r="P604" s="227">
        <f t="shared" si="963"/>
      </c>
      <c r="Q604" s="227">
        <f t="shared" si="932"/>
      </c>
      <c r="R604" s="227">
        <f t="shared" si="901"/>
      </c>
      <c r="S604" s="228">
        <f t="shared" si="870"/>
      </c>
      <c r="T604" s="229">
        <f t="shared" si="808"/>
      </c>
      <c r="U604" s="227">
        <f t="shared" si="777"/>
      </c>
      <c r="V604" s="230">
        <f t="shared" si="839"/>
      </c>
      <c r="W604" s="230">
        <f t="shared" si="746"/>
      </c>
      <c r="X604" s="227">
        <f t="shared" si="715"/>
      </c>
      <c r="Y604" s="231">
        <f t="shared" ref="Y604:Y606" si="645">Z604+AA604</f>
      </c>
      <c r="Z604" s="231">
        <v>7</v>
      </c>
      <c r="AA604" s="231">
        <v>9</v>
      </c>
      <c r="AB604" s="232">
        <v>7372.4399999999805</v>
      </c>
      <c r="AC604" s="232">
        <v>3963.5999999999985</v>
      </c>
      <c r="AD604" s="228">
        <f t="shared" si="684"/>
      </c>
      <c r="AE604" s="233" t="s">
        <v>202</v>
      </c>
      <c r="AF604" s="233" t="s">
        <v>232</v>
      </c>
      <c r="AG604" s="235">
        <v>8</v>
      </c>
      <c r="AH604" s="236">
        <v>113214</v>
      </c>
      <c r="AI604" s="236">
        <v>2136</v>
      </c>
      <c r="AJ604" s="236">
        <v>2202</v>
      </c>
      <c r="AK604" s="237">
        <v>282</v>
      </c>
      <c r="AL604" s="237">
        <v>263</v>
      </c>
    </row>
    <row r="605">
      <c r="A605" s="216"/>
      <c r="B605" s="274" t="s">
        <v>224</v>
      </c>
      <c r="C605" s="252" t="s">
        <v>210</v>
      </c>
      <c r="D605" s="219">
        <f t="shared" si="540"/>
      </c>
      <c r="E605" s="218">
        <v>1612.83</v>
      </c>
      <c r="F605" s="249">
        <v>7867.06</v>
      </c>
      <c r="G605" s="221">
        <v>0</v>
      </c>
      <c r="H605" s="221">
        <v>0</v>
      </c>
      <c r="I605" s="221">
        <f t="shared" si="427"/>
      </c>
      <c r="J605" s="251">
        <v>696.6</v>
      </c>
      <c r="K605" s="223">
        <f t="shared" si="312"/>
      </c>
      <c r="L605" s="223">
        <f t="shared" si="197"/>
      </c>
      <c r="M605" s="224">
        <f t="shared" si="90"/>
      </c>
      <c r="N605" s="225">
        <f t="shared" si="59"/>
      </c>
      <c r="O605" s="226">
        <f t="shared" si="28"/>
      </c>
      <c r="P605" s="227">
        <f t="shared" si="963"/>
      </c>
      <c r="Q605" s="227">
        <f t="shared" si="932"/>
      </c>
      <c r="R605" s="227">
        <f t="shared" si="901"/>
      </c>
      <c r="S605" s="228">
        <f t="shared" si="870"/>
      </c>
      <c r="T605" s="229">
        <f t="shared" si="808"/>
      </c>
      <c r="U605" s="227">
        <f t="shared" si="777"/>
      </c>
      <c r="V605" s="230">
        <f t="shared" si="839"/>
      </c>
      <c r="W605" s="230">
        <f t="shared" si="746"/>
      </c>
      <c r="X605" s="227">
        <f t="shared" si="715"/>
      </c>
      <c r="Y605" s="231">
        <f t="shared" si="645"/>
      </c>
      <c r="Z605" s="231">
        <v>7</v>
      </c>
      <c r="AA605" s="231">
        <v>7</v>
      </c>
      <c r="AB605" s="232">
        <v>11692.080000000024</v>
      </c>
      <c r="AC605" s="232">
        <v>1024</v>
      </c>
      <c r="AD605" s="228">
        <f t="shared" si="684"/>
      </c>
      <c r="AE605" s="233" t="s">
        <v>202</v>
      </c>
      <c r="AF605" s="233" t="s">
        <v>232</v>
      </c>
      <c r="AG605" s="235">
        <v>7</v>
      </c>
      <c r="AH605" s="236">
        <v>118991</v>
      </c>
      <c r="AI605" s="236">
        <v>2090</v>
      </c>
      <c r="AJ605" s="236">
        <v>2128</v>
      </c>
      <c r="AK605" s="237">
        <v>295</v>
      </c>
      <c r="AL605" s="237">
        <v>322</v>
      </c>
    </row>
    <row r="606">
      <c r="A606" s="216"/>
      <c r="B606" s="274" t="s">
        <v>224</v>
      </c>
      <c r="C606" s="252" t="s">
        <v>211</v>
      </c>
      <c r="D606" s="219">
        <f t="shared" si="540"/>
      </c>
      <c r="E606" s="218">
        <v>1003.72</v>
      </c>
      <c r="F606" s="249">
        <v>9130.92</v>
      </c>
      <c r="G606" s="221">
        <v>0</v>
      </c>
      <c r="H606" s="221">
        <v>0</v>
      </c>
      <c r="I606" s="221">
        <f t="shared" si="427"/>
      </c>
      <c r="J606" s="251">
        <v>864</v>
      </c>
      <c r="K606" s="223">
        <f t="shared" si="312"/>
      </c>
      <c r="L606" s="223">
        <f t="shared" si="197"/>
      </c>
      <c r="M606" s="224">
        <f t="shared" si="90"/>
      </c>
      <c r="N606" s="225">
        <f t="shared" si="59"/>
      </c>
      <c r="O606" s="226">
        <f t="shared" si="28"/>
      </c>
      <c r="P606" s="227">
        <f t="shared" si="963"/>
      </c>
      <c r="Q606" s="227">
        <f t="shared" si="932"/>
      </c>
      <c r="R606" s="227">
        <f t="shared" si="901"/>
      </c>
      <c r="S606" s="228">
        <f t="shared" si="870"/>
      </c>
      <c r="T606" s="229">
        <f t="shared" si="808"/>
      </c>
      <c r="U606" s="227">
        <f t="shared" si="777"/>
      </c>
      <c r="V606" s="230">
        <f t="shared" si="839"/>
      </c>
      <c r="W606" s="230">
        <f t="shared" si="746"/>
      </c>
      <c r="X606" s="227">
        <f t="shared" si="715"/>
      </c>
      <c r="Y606" s="231">
        <f t="shared" si="645"/>
      </c>
      <c r="Z606" s="231">
        <v>5</v>
      </c>
      <c r="AA606" s="231">
        <v>20</v>
      </c>
      <c r="AB606" s="232">
        <v>27250.56</v>
      </c>
      <c r="AC606" s="232">
        <v>420.0000000000018</v>
      </c>
      <c r="AD606" s="228">
        <f t="shared" si="684"/>
      </c>
      <c r="AE606" s="233" t="s">
        <v>202</v>
      </c>
      <c r="AF606" s="233" t="s">
        <v>232</v>
      </c>
      <c r="AG606" s="237">
        <v>13</v>
      </c>
      <c r="AH606" s="236">
        <v>115231</v>
      </c>
      <c r="AI606" s="236">
        <v>1666</v>
      </c>
      <c r="AJ606" s="236">
        <v>1650</v>
      </c>
      <c r="AK606" s="237">
        <v>295</v>
      </c>
      <c r="AL606" s="237">
        <v>287</v>
      </c>
    </row>
    <row r="607">
      <c r="A607" s="216"/>
      <c r="B607" s="239" t="s">
        <v>208</v>
      </c>
      <c r="C607" s="240">
        <v>3</v>
      </c>
      <c r="D607" s="241">
        <f>SUM(D604:D606)</f>
      </c>
      <c r="E607" s="241">
        <f>SUM(E604:E606)</f>
      </c>
      <c r="F607" s="241">
        <f>SUM(F604:F606)</f>
      </c>
      <c r="G607" s="241">
        <f>SUM(G604:G606)</f>
      </c>
      <c r="H607" s="241">
        <f>SUM(H604:H606)</f>
      </c>
      <c r="I607" s="241">
        <f>SUM(I604:I606)</f>
      </c>
      <c r="J607" s="241">
        <f>SUM(J604:J606)</f>
      </c>
      <c r="K607" s="241">
        <f>SUM(K604:K606)</f>
      </c>
      <c r="L607" s="241">
        <f>SUM(L604:L606)</f>
      </c>
      <c r="M607" s="242">
        <f t="shared" si="90"/>
      </c>
      <c r="N607" s="243">
        <f t="shared" si="59"/>
      </c>
      <c r="O607" s="243">
        <f t="shared" si="28"/>
      </c>
      <c r="P607" s="244">
        <f t="shared" si="963"/>
      </c>
      <c r="Q607" s="244">
        <f t="shared" si="932"/>
      </c>
      <c r="R607" s="244">
        <f t="shared" si="901"/>
      </c>
      <c r="S607" s="245">
        <f t="shared" si="870"/>
      </c>
      <c r="T607" s="245">
        <f t="shared" si="808"/>
      </c>
      <c r="U607" s="244">
        <f t="shared" si="777"/>
      </c>
      <c r="V607" s="245">
        <f t="shared" si="839"/>
      </c>
      <c r="W607" s="245">
        <f t="shared" si="746"/>
      </c>
      <c r="X607" s="244">
        <f t="shared" si="715"/>
      </c>
      <c r="Y607" s="241">
        <f>SUM(Y604:Y606)</f>
      </c>
      <c r="Z607" s="241">
        <f>SUM(Z604:Z606)</f>
      </c>
      <c r="AA607" s="241">
        <f>SUM(AA604:AA606)</f>
      </c>
      <c r="AB607" s="241">
        <f>SUM(AB604:AB606)</f>
      </c>
      <c r="AC607" s="241">
        <f>SUM(AC604:AC606)</f>
      </c>
      <c r="AD607" s="246">
        <f t="shared" si="684"/>
      </c>
      <c r="AE607" s="247"/>
      <c r="AF607" s="248"/>
      <c r="AG607" s="241">
        <f>SUM(AG604:AG606)</f>
      </c>
      <c r="AH607" s="241">
        <f>SUM(AH604:AH606)</f>
      </c>
      <c r="AI607" s="241">
        <f>SUM(AI604:AI606)</f>
      </c>
      <c r="AJ607" s="241">
        <f>SUM(AJ604:AJ606)</f>
      </c>
      <c r="AK607" s="241">
        <f>SUM(AK604:AK606)</f>
      </c>
      <c r="AL607" s="241">
        <f>SUM(AL604:AL606)</f>
      </c>
    </row>
    <row r="608">
      <c r="A608" s="216"/>
      <c r="B608" s="217" t="s">
        <v>223</v>
      </c>
      <c r="C608" s="252" t="s">
        <v>212</v>
      </c>
      <c r="D608" s="219">
        <f t="shared" ref="D608:D612" si="541">E608+F608+G608+H608</f>
      </c>
      <c r="E608" s="220">
        <v>1089.86</v>
      </c>
      <c r="F608" s="221">
        <v>24480.44</v>
      </c>
      <c r="G608" s="221">
        <v>0</v>
      </c>
      <c r="H608" s="221">
        <v>0</v>
      </c>
      <c r="I608" s="221">
        <f t="shared" ref="I608:I612" si="428">AB608+AC608</f>
      </c>
      <c r="J608" s="222">
        <v>3048.84</v>
      </c>
      <c r="K608" s="223">
        <f t="shared" ref="K608:K612" si="313">I608-J608</f>
      </c>
      <c r="L608" s="223">
        <f t="shared" ref="L608:L612" si="198">(I608-AC608)/12+AC608</f>
      </c>
      <c r="M608" s="224">
        <f t="shared" si="90"/>
      </c>
      <c r="N608" s="225">
        <f t="shared" si="59"/>
      </c>
      <c r="O608" s="226">
        <f t="shared" si="28"/>
      </c>
      <c r="P608" s="227">
        <f t="shared" si="963"/>
      </c>
      <c r="Q608" s="227">
        <f t="shared" si="932"/>
      </c>
      <c r="R608" s="227">
        <f t="shared" si="901"/>
      </c>
      <c r="S608" s="228">
        <f t="shared" si="870"/>
      </c>
      <c r="T608" s="229">
        <f t="shared" si="808"/>
      </c>
      <c r="U608" s="227">
        <f t="shared" si="777"/>
      </c>
      <c r="V608" s="230">
        <f t="shared" si="839"/>
      </c>
      <c r="W608" s="230">
        <f t="shared" si="746"/>
      </c>
      <c r="X608" s="227">
        <f t="shared" si="715"/>
      </c>
      <c r="Y608" s="231">
        <f t="shared" ref="Y608:Y612" si="646">Z608+AA608</f>
      </c>
      <c r="Z608" s="231">
        <v>18</v>
      </c>
      <c r="AA608" s="231">
        <v>24</v>
      </c>
      <c r="AB608" s="232">
        <v>45219.36000000002</v>
      </c>
      <c r="AC608" s="232">
        <v>854.9999999999964</v>
      </c>
      <c r="AD608" s="228">
        <f t="shared" si="684"/>
      </c>
      <c r="AE608" s="233" t="s">
        <v>202</v>
      </c>
      <c r="AF608" s="233" t="s">
        <v>232</v>
      </c>
      <c r="AG608" s="235">
        <v>23</v>
      </c>
      <c r="AH608" s="235">
        <v>319700</v>
      </c>
      <c r="AI608" s="236">
        <v>4266</v>
      </c>
      <c r="AJ608" s="236">
        <v>4162</v>
      </c>
      <c r="AK608" s="235">
        <v>544</v>
      </c>
      <c r="AL608" s="237">
        <v>600</v>
      </c>
    </row>
    <row r="609">
      <c r="A609" s="216"/>
      <c r="B609" s="217" t="s">
        <v>223</v>
      </c>
      <c r="C609" s="218" t="s">
        <v>213</v>
      </c>
      <c r="D609" s="219">
        <f t="shared" si="541"/>
      </c>
      <c r="E609" s="218">
        <v>1857.81</v>
      </c>
      <c r="F609" s="221">
        <v>29959.14</v>
      </c>
      <c r="G609" s="221">
        <v>0</v>
      </c>
      <c r="H609" s="221">
        <v>0</v>
      </c>
      <c r="I609" s="221">
        <f t="shared" si="428"/>
      </c>
      <c r="J609" s="222">
        <v>0</v>
      </c>
      <c r="K609" s="223">
        <f t="shared" si="313"/>
      </c>
      <c r="L609" s="223">
        <f t="shared" si="198"/>
      </c>
      <c r="M609" s="224">
        <f t="shared" si="90"/>
      </c>
      <c r="N609" s="225">
        <f t="shared" si="59"/>
      </c>
      <c r="O609" s="226">
        <f t="shared" si="28"/>
      </c>
      <c r="P609" s="227">
        <f t="shared" si="963"/>
      </c>
      <c r="Q609" s="227">
        <f t="shared" si="932"/>
      </c>
      <c r="R609" s="227">
        <f t="shared" si="901"/>
      </c>
      <c r="S609" s="228">
        <f t="shared" si="870"/>
      </c>
      <c r="T609" s="229">
        <f t="shared" si="808"/>
      </c>
      <c r="U609" s="227">
        <f t="shared" si="777"/>
      </c>
      <c r="V609" s="230">
        <f t="shared" si="839"/>
      </c>
      <c r="W609" s="230">
        <f t="shared" si="746"/>
      </c>
      <c r="X609" s="227">
        <f t="shared" si="715"/>
      </c>
      <c r="Y609" s="231">
        <f t="shared" si="646"/>
      </c>
      <c r="Z609" s="231">
        <v>29</v>
      </c>
      <c r="AA609" s="231">
        <v>30</v>
      </c>
      <c r="AB609" s="232">
        <v>40600.43999999998</v>
      </c>
      <c r="AC609" s="232">
        <v>5284</v>
      </c>
      <c r="AD609" s="228">
        <f t="shared" si="684"/>
      </c>
      <c r="AE609" s="233" t="s">
        <v>202</v>
      </c>
      <c r="AF609" s="233" t="s">
        <v>232</v>
      </c>
      <c r="AG609" s="235">
        <v>25</v>
      </c>
      <c r="AH609" s="236">
        <v>410818</v>
      </c>
      <c r="AI609" s="236">
        <v>6148</v>
      </c>
      <c r="AJ609" s="236">
        <v>6057</v>
      </c>
      <c r="AK609" s="237">
        <v>736</v>
      </c>
      <c r="AL609" s="237">
        <v>772</v>
      </c>
    </row>
    <row r="610">
      <c r="A610" s="216"/>
      <c r="B610" s="217" t="s">
        <v>223</v>
      </c>
      <c r="C610" s="252" t="s">
        <v>214</v>
      </c>
      <c r="D610" s="219">
        <f t="shared" si="541"/>
      </c>
      <c r="E610" s="218">
        <v>1749.55</v>
      </c>
      <c r="F610" s="218">
        <v>13688.22</v>
      </c>
      <c r="G610" s="221">
        <v>0</v>
      </c>
      <c r="H610" s="221">
        <v>0</v>
      </c>
      <c r="I610" s="221">
        <f t="shared" si="428"/>
      </c>
      <c r="J610" s="222">
        <v>0</v>
      </c>
      <c r="K610" s="223">
        <f t="shared" si="313"/>
      </c>
      <c r="L610" s="223">
        <f t="shared" si="198"/>
      </c>
      <c r="M610" s="224">
        <f t="shared" si="90"/>
      </c>
      <c r="N610" s="225">
        <f t="shared" si="59"/>
      </c>
      <c r="O610" s="226">
        <f t="shared" si="28"/>
      </c>
      <c r="P610" s="227">
        <f t="shared" si="963"/>
      </c>
      <c r="Q610" s="227">
        <f t="shared" si="932"/>
      </c>
      <c r="R610" s="227">
        <f t="shared" si="901"/>
      </c>
      <c r="S610" s="228">
        <f t="shared" si="870"/>
      </c>
      <c r="T610" s="229">
        <f t="shared" si="808"/>
      </c>
      <c r="U610" s="227">
        <f t="shared" si="777"/>
      </c>
      <c r="V610" s="230">
        <f t="shared" si="839"/>
      </c>
      <c r="W610" s="230">
        <f t="shared" si="746"/>
      </c>
      <c r="X610" s="227">
        <f t="shared" si="715"/>
      </c>
      <c r="Y610" s="231">
        <f t="shared" si="646"/>
      </c>
      <c r="Z610" s="231">
        <v>11</v>
      </c>
      <c r="AA610" s="231">
        <v>6</v>
      </c>
      <c r="AB610" s="232">
        <v>10705.68000000003</v>
      </c>
      <c r="AC610" s="232">
        <v>1161.0000000000036</v>
      </c>
      <c r="AD610" s="228">
        <f t="shared" si="684"/>
      </c>
      <c r="AE610" s="233" t="s">
        <v>202</v>
      </c>
      <c r="AF610" s="233" t="s">
        <v>232</v>
      </c>
      <c r="AG610" s="237">
        <v>6</v>
      </c>
      <c r="AH610" s="236">
        <v>196132</v>
      </c>
      <c r="AI610" s="236">
        <v>3332</v>
      </c>
      <c r="AJ610" s="236">
        <v>3326</v>
      </c>
      <c r="AK610" s="237">
        <v>334</v>
      </c>
      <c r="AL610" s="237">
        <v>370</v>
      </c>
    </row>
    <row r="611">
      <c r="A611" s="216"/>
      <c r="B611" s="217" t="s">
        <v>223</v>
      </c>
      <c r="C611" s="218" t="s">
        <v>237</v>
      </c>
      <c r="D611" s="219">
        <f t="shared" si="541"/>
      </c>
      <c r="E611" s="218">
        <v>1121.92</v>
      </c>
      <c r="F611" s="221">
        <v>13049.74</v>
      </c>
      <c r="G611" s="221">
        <v>0</v>
      </c>
      <c r="H611" s="221">
        <v>0</v>
      </c>
      <c r="I611" s="221">
        <f t="shared" si="428"/>
      </c>
      <c r="J611" s="222">
        <f>1024+435.24</f>
      </c>
      <c r="K611" s="223">
        <f t="shared" si="313"/>
      </c>
      <c r="L611" s="223">
        <f t="shared" si="198"/>
      </c>
      <c r="M611" s="224">
        <f t="shared" si="90"/>
      </c>
      <c r="N611" s="225">
        <f t="shared" si="59"/>
      </c>
      <c r="O611" s="226">
        <f t="shared" si="28"/>
      </c>
      <c r="P611" s="227">
        <f t="shared" si="963"/>
      </c>
      <c r="Q611" s="227">
        <f t="shared" si="932"/>
      </c>
      <c r="R611" s="227">
        <f t="shared" si="901"/>
      </c>
      <c r="S611" s="228">
        <f t="shared" si="870"/>
      </c>
      <c r="T611" s="229">
        <f t="shared" si="808"/>
      </c>
      <c r="U611" s="227">
        <f t="shared" si="777"/>
      </c>
      <c r="V611" s="230">
        <f t="shared" si="839"/>
      </c>
      <c r="W611" s="230">
        <f t="shared" si="746"/>
      </c>
      <c r="X611" s="227">
        <f t="shared" si="715"/>
      </c>
      <c r="Y611" s="231">
        <f t="shared" si="646"/>
      </c>
      <c r="Z611" s="231">
        <v>22</v>
      </c>
      <c r="AA611" s="231">
        <v>13</v>
      </c>
      <c r="AB611" s="232">
        <v>11503.08</v>
      </c>
      <c r="AC611" s="232">
        <v>12502</v>
      </c>
      <c r="AD611" s="228">
        <f t="shared" si="684"/>
      </c>
      <c r="AE611" s="233" t="s">
        <v>202</v>
      </c>
      <c r="AF611" s="233" t="s">
        <v>232</v>
      </c>
      <c r="AG611" s="235">
        <v>12</v>
      </c>
      <c r="AH611" s="236">
        <v>137561</v>
      </c>
      <c r="AI611" s="236">
        <v>4539</v>
      </c>
      <c r="AJ611" s="236">
        <v>4735</v>
      </c>
      <c r="AK611" s="237">
        <v>330</v>
      </c>
      <c r="AL611" s="237">
        <v>403</v>
      </c>
    </row>
    <row r="612">
      <c r="A612" s="216"/>
      <c r="B612" s="217" t="s">
        <v>223</v>
      </c>
      <c r="C612" s="218" t="s">
        <v>238</v>
      </c>
      <c r="D612" s="219">
        <f t="shared" si="541"/>
      </c>
      <c r="E612" s="220">
        <v>539.76</v>
      </c>
      <c r="F612" s="221">
        <v>4973.06</v>
      </c>
      <c r="G612" s="221">
        <v>0</v>
      </c>
      <c r="H612" s="221">
        <v>0</v>
      </c>
      <c r="I612" s="221">
        <f t="shared" si="428"/>
      </c>
      <c r="J612" s="222">
        <v>0</v>
      </c>
      <c r="K612" s="223">
        <f t="shared" si="313"/>
      </c>
      <c r="L612" s="223">
        <f t="shared" si="198"/>
      </c>
      <c r="M612" s="224">
        <f t="shared" si="90"/>
      </c>
      <c r="N612" s="225">
        <f t="shared" si="59"/>
      </c>
      <c r="O612" s="226">
        <f t="shared" si="28"/>
      </c>
      <c r="P612" s="227">
        <f t="shared" si="963"/>
      </c>
      <c r="Q612" s="227">
        <f t="shared" si="932"/>
      </c>
      <c r="R612" s="227">
        <f t="shared" si="901"/>
      </c>
      <c r="S612" s="228">
        <f t="shared" si="870"/>
      </c>
      <c r="T612" s="229">
        <f t="shared" si="808"/>
      </c>
      <c r="U612" s="227">
        <f t="shared" si="777"/>
      </c>
      <c r="V612" s="230">
        <f t="shared" si="839"/>
      </c>
      <c r="W612" s="230">
        <f t="shared" si="746"/>
      </c>
      <c r="X612" s="227">
        <f t="shared" si="715"/>
      </c>
      <c r="Y612" s="231">
        <f t="shared" si="646"/>
      </c>
      <c r="Z612" s="231">
        <v>2</v>
      </c>
      <c r="AA612" s="231">
        <v>7</v>
      </c>
      <c r="AB612" s="231">
        <v>13314.000000000002</v>
      </c>
      <c r="AC612" s="231">
        <v>1520</v>
      </c>
      <c r="AD612" s="228">
        <f t="shared" si="684"/>
      </c>
      <c r="AE612" s="233" t="s">
        <v>202</v>
      </c>
      <c r="AF612" s="233" t="s">
        <v>232</v>
      </c>
      <c r="AG612" s="235">
        <v>6</v>
      </c>
      <c r="AH612" s="236">
        <v>58863</v>
      </c>
      <c r="AI612" s="236">
        <v>2318</v>
      </c>
      <c r="AJ612" s="236">
        <v>2469</v>
      </c>
      <c r="AK612" s="235">
        <v>162</v>
      </c>
      <c r="AL612" s="235">
        <v>163</v>
      </c>
    </row>
    <row r="613">
      <c r="A613" s="216"/>
      <c r="B613" s="239" t="s">
        <v>208</v>
      </c>
      <c r="C613" s="240">
        <v>5</v>
      </c>
      <c r="D613" s="241">
        <f>SUM(D608:D612)</f>
      </c>
      <c r="E613" s="241">
        <f>SUM(E608:E612)</f>
      </c>
      <c r="F613" s="241">
        <f>SUM(F608:F612)</f>
      </c>
      <c r="G613" s="241">
        <f>SUM(G608:G612)</f>
      </c>
      <c r="H613" s="241">
        <f>SUM(H608:H612)</f>
      </c>
      <c r="I613" s="241">
        <f>SUM(I608:I612)</f>
      </c>
      <c r="J613" s="241">
        <f>SUM(J608:J612)</f>
      </c>
      <c r="K613" s="241">
        <f>SUM(K608:K612)</f>
      </c>
      <c r="L613" s="241">
        <f>SUM(L608:L612)</f>
      </c>
      <c r="M613" s="242">
        <f t="shared" si="90"/>
      </c>
      <c r="N613" s="243">
        <f t="shared" si="59"/>
      </c>
      <c r="O613" s="243">
        <f t="shared" si="28"/>
      </c>
      <c r="P613" s="244">
        <f t="shared" si="963"/>
      </c>
      <c r="Q613" s="244">
        <f t="shared" si="932"/>
      </c>
      <c r="R613" s="244">
        <f t="shared" si="901"/>
      </c>
      <c r="S613" s="245">
        <f t="shared" si="870"/>
      </c>
      <c r="T613" s="245">
        <f t="shared" si="808"/>
      </c>
      <c r="U613" s="244">
        <f t="shared" si="777"/>
      </c>
      <c r="V613" s="245">
        <f t="shared" si="839"/>
      </c>
      <c r="W613" s="245">
        <f t="shared" si="746"/>
      </c>
      <c r="X613" s="244">
        <f t="shared" si="715"/>
      </c>
      <c r="Y613" s="241">
        <f>SUM(Y608:Y612)</f>
      </c>
      <c r="Z613" s="241">
        <f>SUM(Z608:Z612)</f>
      </c>
      <c r="AA613" s="241">
        <f>SUM(AA608:AA612)</f>
      </c>
      <c r="AB613" s="241">
        <f>SUM(AB608:AB612)</f>
      </c>
      <c r="AC613" s="259">
        <f>SUM(AC608:AC612)</f>
      </c>
      <c r="AD613" s="275">
        <f t="shared" si="684"/>
      </c>
      <c r="AE613" s="276"/>
      <c r="AF613" s="248"/>
      <c r="AG613" s="241">
        <f>SUM(AG608:AG612)</f>
      </c>
      <c r="AH613" s="241">
        <f>SUM(AH608:AH612)</f>
      </c>
      <c r="AI613" s="241">
        <f>SUM(AI608:AI612)</f>
      </c>
      <c r="AJ613" s="241">
        <f>SUM(AJ608:AJ612)</f>
      </c>
      <c r="AK613" s="241">
        <f>SUM(AK608:AK612)</f>
      </c>
      <c r="AL613" s="241">
        <f>SUM(AL608:AL612)</f>
      </c>
    </row>
    <row r="614">
      <c r="A614" s="216"/>
      <c r="B614" s="253" t="s">
        <v>208</v>
      </c>
      <c r="C614" s="254">
        <f>C594+C600+C603+C607+C613</f>
      </c>
      <c r="D614" s="254">
        <f>D594+D600+D603+D607+D613</f>
      </c>
      <c r="E614" s="254">
        <f>E594+E600+E603+E607+E613</f>
      </c>
      <c r="F614" s="254">
        <f>F594+F600+F603+F607+F613</f>
      </c>
      <c r="G614" s="254">
        <f>G594+G600+G603+G607+G613</f>
      </c>
      <c r="H614" s="254">
        <f>H594+H600+H603+H607+H613</f>
      </c>
      <c r="I614" s="254">
        <f>I594+I600+I603+I607+I613</f>
      </c>
      <c r="J614" s="254">
        <f>J594+J600+J603+J607+J613</f>
      </c>
      <c r="K614" s="254">
        <f>K594+K600+K603+K607+K613</f>
      </c>
      <c r="L614" s="254">
        <f>L594+L600+L603+L607+L613</f>
      </c>
      <c r="M614" s="256">
        <f t="shared" si="90"/>
      </c>
      <c r="N614" s="256">
        <f t="shared" si="59"/>
      </c>
      <c r="O614" s="256">
        <f t="shared" si="28"/>
      </c>
      <c r="P614" s="256">
        <f t="shared" si="963"/>
      </c>
      <c r="Q614" s="256">
        <f t="shared" si="932"/>
      </c>
      <c r="R614" s="256">
        <f t="shared" si="901"/>
      </c>
      <c r="S614" s="257">
        <f t="shared" si="870"/>
      </c>
      <c r="T614" s="257">
        <f t="shared" si="808"/>
      </c>
      <c r="U614" s="256">
        <f t="shared" si="777"/>
      </c>
      <c r="V614" s="257">
        <f t="shared" si="839"/>
      </c>
      <c r="W614" s="257">
        <f t="shared" si="746"/>
      </c>
      <c r="X614" s="256">
        <f t="shared" si="715"/>
      </c>
      <c r="Y614" s="254">
        <f>Y594+Y600+Y603+Y607+Y613</f>
      </c>
      <c r="Z614" s="254">
        <f>Z594+Z600+Z603+Z607+Z613</f>
      </c>
      <c r="AA614" s="254">
        <f>AA594+AA600+AA603+AA607+AA613</f>
      </c>
      <c r="AB614" s="277">
        <f>AB594+AB600+AB603+AB607+AB613</f>
      </c>
      <c r="AC614" s="278">
        <f>AC594+AC600+AC603+AC607+AC613</f>
      </c>
      <c r="AD614" s="279">
        <f t="shared" si="684"/>
      </c>
      <c r="AE614" s="280"/>
      <c r="AF614" s="281"/>
      <c r="AG614" s="254">
        <f>AG594+AG600+AG603+AG607+AG613</f>
      </c>
      <c r="AH614" s="254">
        <f>AH594+AH600+AH603+AH607+AH613</f>
      </c>
      <c r="AI614" s="254">
        <f>AI594+AI600+AI603+AI607+AI613</f>
      </c>
      <c r="AJ614" s="254">
        <f>AJ594+AJ600+AJ603+AJ607+AJ613</f>
      </c>
      <c r="AK614" s="254">
        <f>AK594+AK600+AK603+AK607+AK613</f>
      </c>
      <c r="AL614" s="254">
        <f>AL594+AL600+AL603+AL607+AL613</f>
      </c>
    </row>
    <row r="615">
      <c r="A615" s="202" t="s">
        <v>162</v>
      </c>
      <c r="B615" s="203" t="s">
        <v>163</v>
      </c>
      <c r="C615" s="203" t="s">
        <v>164</v>
      </c>
      <c r="D615" s="204" t="s">
        <v>165</v>
      </c>
      <c r="E615" s="203" t="s">
        <v>166</v>
      </c>
      <c r="F615" s="203" t="s">
        <v>167</v>
      </c>
      <c r="G615" s="205" t="s">
        <v>168</v>
      </c>
      <c r="H615" s="205" t="s">
        <v>169</v>
      </c>
      <c r="I615" s="204" t="s">
        <v>170</v>
      </c>
      <c r="J615" s="206" t="s">
        <v>171</v>
      </c>
      <c r="K615" s="207" t="s">
        <v>172</v>
      </c>
      <c r="L615" s="207" t="s">
        <v>173</v>
      </c>
      <c r="M615" s="208" t="s">
        <v>174</v>
      </c>
      <c r="N615" s="207" t="s">
        <v>175</v>
      </c>
      <c r="O615" s="203" t="s">
        <v>176</v>
      </c>
      <c r="P615" s="208" t="s">
        <v>177</v>
      </c>
      <c r="Q615" s="209" t="s">
        <v>178</v>
      </c>
      <c r="R615" s="209" t="s">
        <v>179</v>
      </c>
      <c r="S615" s="204" t="s">
        <v>180</v>
      </c>
      <c r="T615" s="210" t="s">
        <v>181</v>
      </c>
      <c r="U615" s="208" t="s">
        <v>182</v>
      </c>
      <c r="V615" s="211" t="s">
        <v>183</v>
      </c>
      <c r="W615" s="212" t="s">
        <v>184</v>
      </c>
      <c r="X615" s="208" t="s">
        <v>185</v>
      </c>
      <c r="Y615" s="213" t="s">
        <v>186</v>
      </c>
      <c r="Z615" s="214" t="s">
        <v>187</v>
      </c>
      <c r="AA615" s="213" t="s">
        <v>188</v>
      </c>
      <c r="AB615" s="215" t="s">
        <v>189</v>
      </c>
      <c r="AC615" s="215" t="s">
        <v>190</v>
      </c>
      <c r="AD615" s="207" t="s">
        <v>191</v>
      </c>
      <c r="AE615" s="206" t="s">
        <v>192</v>
      </c>
      <c r="AF615" s="207" t="s">
        <v>193</v>
      </c>
      <c r="AG615" s="206" t="s">
        <v>194</v>
      </c>
      <c r="AH615" s="206" t="s">
        <v>195</v>
      </c>
      <c r="AI615" s="207" t="s">
        <v>196</v>
      </c>
      <c r="AJ615" s="206" t="s">
        <v>197</v>
      </c>
      <c r="AK615" s="207" t="s">
        <v>198</v>
      </c>
      <c r="AL615" s="206" t="s">
        <v>199</v>
      </c>
    </row>
    <row r="616">
      <c r="A616" s="216">
        <v>46264</v>
      </c>
      <c r="B616" s="217" t="s">
        <v>200</v>
      </c>
      <c r="C616" s="218" t="s">
        <v>234</v>
      </c>
      <c r="D616" s="219">
        <f t="shared" ref="D616:D620" si="542">E616+F616+G616+H616</f>
      </c>
      <c r="E616" s="220">
        <v>2954.63</v>
      </c>
      <c r="F616" s="221">
        <v>10577.88</v>
      </c>
      <c r="G616" s="221">
        <v>0</v>
      </c>
      <c r="H616" s="221">
        <v>0</v>
      </c>
      <c r="I616" s="221">
        <f t="shared" ref="I616:I620" si="429">AB616+AC616</f>
      </c>
      <c r="J616" s="222">
        <f>1735.56+1205.28</f>
      </c>
      <c r="K616" s="223">
        <f t="shared" ref="K616:K620" si="314">I616-J616</f>
      </c>
      <c r="L616" s="223">
        <f t="shared" ref="L616:L620" si="199">(I616-AC616)/12+AC616</f>
      </c>
      <c r="M616" s="224">
        <f t="shared" ref="M616:M640" si="91">I616/D616</f>
      </c>
      <c r="N616" s="225">
        <f t="shared" ref="N616:N640" si="60">(I616-J616)/D616</f>
      </c>
      <c r="O616" s="226">
        <f t="shared" ref="O616:O640" si="29">(AC616+AB616/12)/D616</f>
      </c>
      <c r="P616" s="227">
        <f t="shared" ref="P616:P640" si="964">I616/AA616</f>
      </c>
      <c r="Q616" s="227">
        <f t="shared" ref="Q616:Q640" si="933">D616/AA616</f>
      </c>
      <c r="R616" s="227">
        <f t="shared" ref="R616:R640" si="902">D616/AG616</f>
      </c>
      <c r="S616" s="228">
        <f t="shared" ref="S616:S640" si="871">AA616/Y616</f>
      </c>
      <c r="T616" s="229">
        <f t="shared" ref="T616:T640" si="809">AI616/AH616</f>
      </c>
      <c r="U616" s="227">
        <f t="shared" ref="U616:U640" si="778">D616/AJ616</f>
      </c>
      <c r="V616" s="230">
        <f t="shared" ref="V616:V640" si="840">AK616/AJ616</f>
      </c>
      <c r="W616" s="230">
        <f t="shared" ref="W616:W640" si="747">AL616/AJ616</f>
      </c>
      <c r="X616" s="227">
        <f t="shared" ref="X616:X640" si="716">D616/AL616</f>
      </c>
      <c r="Y616" s="231">
        <f t="shared" ref="Y616:Y620" si="647">Z616+AA616</f>
      </c>
      <c r="Z616" s="231">
        <v>8</v>
      </c>
      <c r="AA616" s="231">
        <v>12</v>
      </c>
      <c r="AB616" s="232">
        <v>18047.4</v>
      </c>
      <c r="AC616" s="232">
        <v>6685.8499999999985</v>
      </c>
      <c r="AD616" s="228">
        <f t="shared" ref="AD616:AD640" si="685">AC616/I616</f>
      </c>
      <c r="AE616" s="233" t="s">
        <v>202</v>
      </c>
      <c r="AF616" s="234" t="s">
        <v>240</v>
      </c>
      <c r="AG616" s="235">
        <v>11</v>
      </c>
      <c r="AH616" s="235">
        <v>133806</v>
      </c>
      <c r="AI616" s="236">
        <v>4364</v>
      </c>
      <c r="AJ616" s="236">
        <v>4711</v>
      </c>
      <c r="AK616" s="235">
        <v>454</v>
      </c>
      <c r="AL616" s="237">
        <v>459</v>
      </c>
    </row>
    <row r="617">
      <c r="A617" s="216"/>
      <c r="B617" s="217" t="s">
        <v>200</v>
      </c>
      <c r="C617" s="218" t="s">
        <v>235</v>
      </c>
      <c r="D617" s="219">
        <f t="shared" si="542"/>
      </c>
      <c r="E617" s="218">
        <v>2847.14</v>
      </c>
      <c r="F617" s="221">
        <v>18396.2</v>
      </c>
      <c r="G617" s="221">
        <v>0</v>
      </c>
      <c r="H617" s="221">
        <v>0</v>
      </c>
      <c r="I617" s="221">
        <f t="shared" si="429"/>
      </c>
      <c r="J617" s="222">
        <f>1797.12+657.72+3881.52+2603.88</f>
      </c>
      <c r="K617" s="223">
        <f t="shared" si="314"/>
      </c>
      <c r="L617" s="223">
        <f t="shared" si="199"/>
      </c>
      <c r="M617" s="224">
        <f t="shared" si="91"/>
      </c>
      <c r="N617" s="225">
        <f t="shared" si="60"/>
      </c>
      <c r="O617" s="226">
        <f t="shared" si="29"/>
      </c>
      <c r="P617" s="227">
        <f t="shared" si="964"/>
      </c>
      <c r="Q617" s="227">
        <f t="shared" si="933"/>
      </c>
      <c r="R617" s="227">
        <f t="shared" si="902"/>
      </c>
      <c r="S617" s="228">
        <f t="shared" si="871"/>
      </c>
      <c r="T617" s="229">
        <f t="shared" si="809"/>
      </c>
      <c r="U617" s="227">
        <f t="shared" si="778"/>
      </c>
      <c r="V617" s="230">
        <f t="shared" si="840"/>
      </c>
      <c r="W617" s="230">
        <f t="shared" si="747"/>
      </c>
      <c r="X617" s="227">
        <f t="shared" si="716"/>
      </c>
      <c r="Y617" s="231">
        <f t="shared" si="647"/>
      </c>
      <c r="Z617" s="231">
        <v>18</v>
      </c>
      <c r="AA617" s="231">
        <v>19</v>
      </c>
      <c r="AB617" s="232">
        <v>30462.480000000003</v>
      </c>
      <c r="AC617" s="232">
        <v>2345</v>
      </c>
      <c r="AD617" s="228">
        <f t="shared" si="685"/>
      </c>
      <c r="AE617" s="233" t="s">
        <v>202</v>
      </c>
      <c r="AF617" s="234" t="s">
        <v>240</v>
      </c>
      <c r="AG617" s="235">
        <v>16</v>
      </c>
      <c r="AH617" s="236">
        <v>188886</v>
      </c>
      <c r="AI617" s="236">
        <v>4480</v>
      </c>
      <c r="AJ617" s="236">
        <v>4717</v>
      </c>
      <c r="AK617" s="237">
        <v>553</v>
      </c>
      <c r="AL617" s="237">
        <v>587</v>
      </c>
    </row>
    <row r="618">
      <c r="A618" s="216"/>
      <c r="B618" s="217" t="s">
        <v>200</v>
      </c>
      <c r="C618" s="218" t="s">
        <v>236</v>
      </c>
      <c r="D618" s="219">
        <f t="shared" si="542"/>
      </c>
      <c r="E618" s="218">
        <v>1416.32</v>
      </c>
      <c r="F618" s="218">
        <v>10820.96</v>
      </c>
      <c r="G618" s="221">
        <v>0</v>
      </c>
      <c r="H618" s="221">
        <v>0</v>
      </c>
      <c r="I618" s="221">
        <f t="shared" si="429"/>
      </c>
      <c r="J618" s="222">
        <f>1797.12+1135.25+2819.88+1149.12</f>
      </c>
      <c r="K618" s="223">
        <f t="shared" si="314"/>
      </c>
      <c r="L618" s="223">
        <f t="shared" si="199"/>
      </c>
      <c r="M618" s="224">
        <f t="shared" si="91"/>
      </c>
      <c r="N618" s="225">
        <f t="shared" si="60"/>
      </c>
      <c r="O618" s="226">
        <f t="shared" si="29"/>
      </c>
      <c r="P618" s="227">
        <f t="shared" si="964"/>
      </c>
      <c r="Q618" s="227">
        <f t="shared" si="933"/>
      </c>
      <c r="R618" s="227">
        <f t="shared" si="902"/>
      </c>
      <c r="S618" s="228">
        <f t="shared" si="871"/>
      </c>
      <c r="T618" s="229">
        <f t="shared" si="809"/>
      </c>
      <c r="U618" s="227">
        <f t="shared" si="778"/>
      </c>
      <c r="V618" s="230">
        <f t="shared" si="840"/>
      </c>
      <c r="W618" s="230">
        <f t="shared" si="747"/>
      </c>
      <c r="X618" s="227">
        <f t="shared" si="716"/>
      </c>
      <c r="Y618" s="231">
        <f t="shared" si="647"/>
      </c>
      <c r="Z618" s="231">
        <v>10</v>
      </c>
      <c r="AA618" s="231">
        <v>11</v>
      </c>
      <c r="AB618" s="232">
        <v>13466.159999999989</v>
      </c>
      <c r="AC618" s="232">
        <v>1922.4000000000015</v>
      </c>
      <c r="AD618" s="228">
        <f t="shared" si="685"/>
      </c>
      <c r="AE618" s="233" t="s">
        <v>202</v>
      </c>
      <c r="AF618" s="234" t="s">
        <v>240</v>
      </c>
      <c r="AG618" s="237">
        <v>10</v>
      </c>
      <c r="AH618" s="236">
        <v>98295</v>
      </c>
      <c r="AI618" s="236">
        <v>1878</v>
      </c>
      <c r="AJ618" s="236">
        <v>1982</v>
      </c>
      <c r="AK618" s="237">
        <v>309</v>
      </c>
      <c r="AL618" s="237">
        <v>363</v>
      </c>
    </row>
    <row r="619">
      <c r="A619" s="216"/>
      <c r="B619" s="217" t="s">
        <v>200</v>
      </c>
      <c r="C619" s="218" t="s">
        <v>216</v>
      </c>
      <c r="D619" s="219">
        <f t="shared" si="542"/>
      </c>
      <c r="E619" s="218">
        <v>650.96</v>
      </c>
      <c r="F619" s="221">
        <v>6769.97</v>
      </c>
      <c r="G619" s="221">
        <v>0</v>
      </c>
      <c r="H619" s="221">
        <v>0</v>
      </c>
      <c r="I619" s="221">
        <f t="shared" si="429"/>
      </c>
      <c r="J619" s="222">
        <f>421.15+2918.16</f>
      </c>
      <c r="K619" s="223">
        <f t="shared" si="314"/>
      </c>
      <c r="L619" s="223">
        <f t="shared" si="199"/>
      </c>
      <c r="M619" s="224">
        <f t="shared" si="91"/>
      </c>
      <c r="N619" s="225">
        <f t="shared" si="60"/>
      </c>
      <c r="O619" s="226">
        <f t="shared" si="29"/>
      </c>
      <c r="P619" s="227">
        <f t="shared" si="964"/>
      </c>
      <c r="Q619" s="227">
        <f t="shared" si="933"/>
      </c>
      <c r="R619" s="227">
        <f t="shared" si="902"/>
      </c>
      <c r="S619" s="228">
        <f t="shared" si="871"/>
      </c>
      <c r="T619" s="229">
        <f t="shared" si="809"/>
      </c>
      <c r="U619" s="227">
        <f t="shared" si="778"/>
      </c>
      <c r="V619" s="230">
        <f t="shared" si="840"/>
      </c>
      <c r="W619" s="230">
        <f t="shared" si="747"/>
      </c>
      <c r="X619" s="227">
        <f t="shared" si="716"/>
      </c>
      <c r="Y619" s="231">
        <f t="shared" si="647"/>
      </c>
      <c r="Z619" s="231">
        <v>2</v>
      </c>
      <c r="AA619" s="231">
        <v>5</v>
      </c>
      <c r="AB619" s="232">
        <v>6353.400000000009</v>
      </c>
      <c r="AC619" s="232">
        <v>0</v>
      </c>
      <c r="AD619" s="228">
        <f t="shared" si="685"/>
      </c>
      <c r="AE619" s="233" t="s">
        <v>202</v>
      </c>
      <c r="AF619" s="234" t="s">
        <v>240</v>
      </c>
      <c r="AG619" s="235">
        <v>3</v>
      </c>
      <c r="AH619" s="236">
        <v>62431</v>
      </c>
      <c r="AI619" s="236">
        <v>977</v>
      </c>
      <c r="AJ619" s="236">
        <v>1098</v>
      </c>
      <c r="AK619" s="237">
        <v>183</v>
      </c>
      <c r="AL619" s="237">
        <v>211</v>
      </c>
    </row>
    <row r="620">
      <c r="A620" s="216"/>
      <c r="B620" s="217" t="s">
        <v>200</v>
      </c>
      <c r="C620" s="218" t="s">
        <v>218</v>
      </c>
      <c r="D620" s="219">
        <f t="shared" si="542"/>
      </c>
      <c r="E620" s="220">
        <v>2034.15</v>
      </c>
      <c r="F620" s="221">
        <v>6471.49</v>
      </c>
      <c r="G620" s="221">
        <v>0</v>
      </c>
      <c r="H620" s="221">
        <v>0</v>
      </c>
      <c r="I620" s="221">
        <f t="shared" si="429"/>
      </c>
      <c r="J620" s="222">
        <f>696.6+1749.72+1278.72</f>
      </c>
      <c r="K620" s="223">
        <f t="shared" si="314"/>
      </c>
      <c r="L620" s="223">
        <f t="shared" si="199"/>
      </c>
      <c r="M620" s="224">
        <f t="shared" si="91"/>
      </c>
      <c r="N620" s="225">
        <f t="shared" si="60"/>
      </c>
      <c r="O620" s="226">
        <f t="shared" si="29"/>
      </c>
      <c r="P620" s="227">
        <f t="shared" si="964"/>
      </c>
      <c r="Q620" s="227">
        <f t="shared" si="933"/>
      </c>
      <c r="R620" s="227">
        <f t="shared" si="902"/>
      </c>
      <c r="S620" s="228">
        <f t="shared" si="871"/>
      </c>
      <c r="T620" s="229">
        <f t="shared" si="809"/>
      </c>
      <c r="U620" s="227">
        <f t="shared" si="778"/>
      </c>
      <c r="V620" s="230">
        <f t="shared" si="840"/>
      </c>
      <c r="W620" s="230">
        <f t="shared" si="747"/>
      </c>
      <c r="X620" s="227">
        <f t="shared" si="716"/>
      </c>
      <c r="Y620" s="231">
        <f t="shared" si="647"/>
      </c>
      <c r="Z620" s="231">
        <v>3</v>
      </c>
      <c r="AA620" s="231">
        <v>8</v>
      </c>
      <c r="AB620" s="232">
        <v>15669.959999999992</v>
      </c>
      <c r="AC620" s="232">
        <v>0</v>
      </c>
      <c r="AD620" s="228">
        <f t="shared" si="685"/>
      </c>
      <c r="AE620" s="233" t="s">
        <v>202</v>
      </c>
      <c r="AF620" s="234" t="s">
        <v>240</v>
      </c>
      <c r="AG620" s="235">
        <v>8</v>
      </c>
      <c r="AH620" s="236">
        <v>62646</v>
      </c>
      <c r="AI620" s="236">
        <v>1306</v>
      </c>
      <c r="AJ620" s="236">
        <v>1501</v>
      </c>
      <c r="AK620" s="235">
        <v>171</v>
      </c>
      <c r="AL620" s="235">
        <v>195</v>
      </c>
    </row>
    <row r="621">
      <c r="A621" s="216"/>
      <c r="B621" s="239" t="s">
        <v>208</v>
      </c>
      <c r="C621" s="240">
        <v>5</v>
      </c>
      <c r="D621" s="241">
        <f>SUM(D616:D620)</f>
      </c>
      <c r="E621" s="241">
        <f>SUM(E616:E620)</f>
      </c>
      <c r="F621" s="241">
        <f>SUM(F616:F620)</f>
      </c>
      <c r="G621" s="241">
        <f>SUM(G616:G620)</f>
      </c>
      <c r="H621" s="241">
        <f>SUM(H616:H620)</f>
      </c>
      <c r="I621" s="241">
        <f>SUM(I616:I620)</f>
      </c>
      <c r="J621" s="241">
        <f>SUM(J616:J620)</f>
      </c>
      <c r="K621" s="241">
        <f>SUM(K616:K620)</f>
      </c>
      <c r="L621" s="241">
        <f>SUM(L616:L620)</f>
      </c>
      <c r="M621" s="242">
        <f t="shared" si="91"/>
      </c>
      <c r="N621" s="243">
        <f t="shared" si="60"/>
      </c>
      <c r="O621" s="243">
        <f t="shared" si="29"/>
      </c>
      <c r="P621" s="244">
        <f t="shared" si="964"/>
      </c>
      <c r="Q621" s="244">
        <f t="shared" si="933"/>
      </c>
      <c r="R621" s="244">
        <f t="shared" si="902"/>
      </c>
      <c r="S621" s="245">
        <f t="shared" si="871"/>
      </c>
      <c r="T621" s="245">
        <f t="shared" si="809"/>
      </c>
      <c r="U621" s="244">
        <f t="shared" si="778"/>
      </c>
      <c r="V621" s="245">
        <f t="shared" si="840"/>
      </c>
      <c r="W621" s="245">
        <f t="shared" si="747"/>
      </c>
      <c r="X621" s="244">
        <f t="shared" si="716"/>
      </c>
      <c r="Y621" s="241">
        <f>SUM(Y616:Y620)</f>
      </c>
      <c r="Z621" s="241">
        <f>SUM(Z616:Z620)</f>
      </c>
      <c r="AA621" s="241">
        <f>SUM(AA616:AA620)</f>
      </c>
      <c r="AB621" s="241">
        <f>SUM(AB616:AB620)</f>
      </c>
      <c r="AC621" s="241">
        <f>SUM(AC616:AC620)</f>
      </c>
      <c r="AD621" s="246">
        <f t="shared" si="685"/>
      </c>
      <c r="AE621" s="247"/>
      <c r="AF621" s="248"/>
      <c r="AG621" s="241">
        <f>SUM(AG616:AG620)</f>
      </c>
      <c r="AH621" s="241">
        <f>SUM(AH616:AH620)</f>
      </c>
      <c r="AI621" s="241">
        <f>SUM(AI616:AI620)</f>
      </c>
      <c r="AJ621" s="241">
        <f>SUM(AJ616:AJ620)</f>
      </c>
      <c r="AK621" s="241">
        <f>SUM(AK616:AK620)</f>
      </c>
      <c r="AL621" s="241">
        <f>SUM(AL616:AL620)</f>
      </c>
    </row>
    <row r="622">
      <c r="A622" s="216"/>
      <c r="B622" s="217" t="s">
        <v>224</v>
      </c>
      <c r="C622" s="218" t="s">
        <v>219</v>
      </c>
      <c r="D622" s="219">
        <f t="shared" ref="D622:D626" si="543">E622+F622+G622+H622</f>
      </c>
      <c r="E622" s="220">
        <v>1707.07</v>
      </c>
      <c r="F622" s="221">
        <v>8055.55</v>
      </c>
      <c r="G622" s="221">
        <v>0</v>
      </c>
      <c r="H622" s="221">
        <v>0</v>
      </c>
      <c r="I622" s="221">
        <f t="shared" ref="I622:I626" si="430">AB622+AC622</f>
      </c>
      <c r="J622" s="222">
        <v>676.08</v>
      </c>
      <c r="K622" s="223">
        <f t="shared" ref="K622:K626" si="315">I622-J622</f>
      </c>
      <c r="L622" s="223">
        <f t="shared" ref="L622:L626" si="200">(I622-AC622)/12+AC622</f>
      </c>
      <c r="M622" s="224">
        <f t="shared" si="91"/>
      </c>
      <c r="N622" s="225">
        <f t="shared" si="60"/>
      </c>
      <c r="O622" s="226">
        <f t="shared" si="29"/>
      </c>
      <c r="P622" s="227">
        <f t="shared" si="964"/>
      </c>
      <c r="Q622" s="227">
        <f t="shared" si="933"/>
      </c>
      <c r="R622" s="227">
        <f t="shared" si="902"/>
      </c>
      <c r="S622" s="228">
        <f t="shared" si="871"/>
      </c>
      <c r="T622" s="229">
        <f t="shared" si="809"/>
      </c>
      <c r="U622" s="227">
        <f t="shared" si="778"/>
      </c>
      <c r="V622" s="230">
        <f t="shared" si="840"/>
      </c>
      <c r="W622" s="230">
        <f t="shared" si="747"/>
      </c>
      <c r="X622" s="227">
        <f t="shared" si="716"/>
      </c>
      <c r="Y622" s="231">
        <f t="shared" ref="Y622:Y626" si="648">Z622+AA622</f>
      </c>
      <c r="Z622" s="231">
        <v>4</v>
      </c>
      <c r="AA622" s="231">
        <v>9</v>
      </c>
      <c r="AB622" s="232">
        <v>15280.080000000002</v>
      </c>
      <c r="AC622" s="232">
        <v>0</v>
      </c>
      <c r="AD622" s="228">
        <f t="shared" si="685"/>
      </c>
      <c r="AE622" s="233" t="s">
        <v>202</v>
      </c>
      <c r="AF622" s="234" t="s">
        <v>240</v>
      </c>
      <c r="AG622" s="235">
        <v>8</v>
      </c>
      <c r="AH622" s="236">
        <v>77649</v>
      </c>
      <c r="AI622" s="236">
        <v>1430</v>
      </c>
      <c r="AJ622" s="236">
        <v>1640</v>
      </c>
      <c r="AK622" s="235">
        <v>228</v>
      </c>
      <c r="AL622" s="235">
        <v>253</v>
      </c>
    </row>
    <row r="623">
      <c r="A623" s="216"/>
      <c r="B623" s="217" t="s">
        <v>224</v>
      </c>
      <c r="C623" s="218" t="s">
        <v>220</v>
      </c>
      <c r="D623" s="219">
        <f t="shared" si="543"/>
      </c>
      <c r="E623" s="218">
        <v>1148.32</v>
      </c>
      <c r="F623" s="221">
        <v>6847.19</v>
      </c>
      <c r="G623" s="221">
        <v>0</v>
      </c>
      <c r="H623" s="221">
        <v>0</v>
      </c>
      <c r="I623" s="221">
        <f t="shared" si="430"/>
      </c>
      <c r="J623" s="222">
        <v>0</v>
      </c>
      <c r="K623" s="223">
        <f t="shared" si="315"/>
      </c>
      <c r="L623" s="223">
        <f t="shared" si="200"/>
      </c>
      <c r="M623" s="224">
        <f t="shared" si="91"/>
      </c>
      <c r="N623" s="225">
        <f t="shared" si="60"/>
      </c>
      <c r="O623" s="226">
        <f t="shared" si="29"/>
      </c>
      <c r="P623" s="227">
        <f t="shared" si="964"/>
      </c>
      <c r="Q623" s="227">
        <f t="shared" si="933"/>
      </c>
      <c r="R623" s="227">
        <f t="shared" si="902"/>
      </c>
      <c r="S623" s="228">
        <f t="shared" si="871"/>
      </c>
      <c r="T623" s="229">
        <f t="shared" si="809"/>
      </c>
      <c r="U623" s="227">
        <f t="shared" si="778"/>
      </c>
      <c r="V623" s="230">
        <f t="shared" si="840"/>
      </c>
      <c r="W623" s="230">
        <f t="shared" si="747"/>
      </c>
      <c r="X623" s="227">
        <f t="shared" si="716"/>
      </c>
      <c r="Y623" s="231">
        <f t="shared" si="648"/>
      </c>
      <c r="Z623" s="231">
        <v>6</v>
      </c>
      <c r="AA623" s="231">
        <v>6</v>
      </c>
      <c r="AB623" s="232">
        <v>7013.880000000005</v>
      </c>
      <c r="AC623" s="232">
        <v>1398</v>
      </c>
      <c r="AD623" s="228">
        <f t="shared" si="685"/>
      </c>
      <c r="AE623" s="233" t="s">
        <v>202</v>
      </c>
      <c r="AF623" s="234" t="s">
        <v>240</v>
      </c>
      <c r="AG623" s="235">
        <v>4</v>
      </c>
      <c r="AH623" s="236">
        <v>78429</v>
      </c>
      <c r="AI623" s="236">
        <v>1422</v>
      </c>
      <c r="AJ623" s="236">
        <v>1546</v>
      </c>
      <c r="AK623" s="237">
        <v>188</v>
      </c>
      <c r="AL623" s="237">
        <v>203</v>
      </c>
    </row>
    <row r="624">
      <c r="A624" s="216"/>
      <c r="B624" s="217" t="s">
        <v>224</v>
      </c>
      <c r="C624" s="218" t="s">
        <v>221</v>
      </c>
      <c r="D624" s="219">
        <f t="shared" si="543"/>
      </c>
      <c r="E624" s="218">
        <v>696.34</v>
      </c>
      <c r="F624" s="218">
        <v>5443.01</v>
      </c>
      <c r="G624" s="221">
        <v>0</v>
      </c>
      <c r="H624" s="221">
        <v>0</v>
      </c>
      <c r="I624" s="221">
        <f t="shared" si="430"/>
      </c>
      <c r="J624" s="222">
        <f>2819.88+1735.56</f>
      </c>
      <c r="K624" s="223">
        <f t="shared" si="315"/>
      </c>
      <c r="L624" s="223">
        <f t="shared" si="200"/>
      </c>
      <c r="M624" s="224">
        <f t="shared" si="91"/>
      </c>
      <c r="N624" s="225">
        <f t="shared" si="60"/>
      </c>
      <c r="O624" s="226">
        <f t="shared" si="29"/>
      </c>
      <c r="P624" s="227">
        <f t="shared" si="964"/>
      </c>
      <c r="Q624" s="227">
        <f t="shared" si="933"/>
      </c>
      <c r="R624" s="227">
        <f t="shared" si="902"/>
      </c>
      <c r="S624" s="228">
        <f t="shared" si="871"/>
      </c>
      <c r="T624" s="229">
        <f t="shared" si="809"/>
      </c>
      <c r="U624" s="227">
        <f t="shared" si="778"/>
      </c>
      <c r="V624" s="230">
        <f t="shared" si="840"/>
      </c>
      <c r="W624" s="230">
        <f t="shared" si="747"/>
      </c>
      <c r="X624" s="227">
        <f t="shared" si="716"/>
      </c>
      <c r="Y624" s="231">
        <f t="shared" si="648"/>
      </c>
      <c r="Z624" s="231">
        <v>6</v>
      </c>
      <c r="AA624" s="231">
        <v>8</v>
      </c>
      <c r="AB624" s="232">
        <v>18919.440000000002</v>
      </c>
      <c r="AC624" s="232">
        <v>1786</v>
      </c>
      <c r="AD624" s="228">
        <f t="shared" si="685"/>
      </c>
      <c r="AE624" s="233" t="s">
        <v>202</v>
      </c>
      <c r="AF624" s="234" t="s">
        <v>240</v>
      </c>
      <c r="AG624" s="237">
        <v>6</v>
      </c>
      <c r="AH624" s="236">
        <v>59955</v>
      </c>
      <c r="AI624" s="236">
        <v>1469</v>
      </c>
      <c r="AJ624" s="236">
        <v>1588</v>
      </c>
      <c r="AK624" s="237">
        <v>172</v>
      </c>
      <c r="AL624" s="237">
        <v>186</v>
      </c>
    </row>
    <row r="625">
      <c r="A625" s="216"/>
      <c r="B625" s="217" t="s">
        <v>224</v>
      </c>
      <c r="C625" s="218" t="s">
        <v>201</v>
      </c>
      <c r="D625" s="219">
        <f t="shared" si="543"/>
      </c>
      <c r="E625" s="218">
        <v>913.55</v>
      </c>
      <c r="F625" s="221">
        <v>7009.39</v>
      </c>
      <c r="G625" s="221">
        <v>0</v>
      </c>
      <c r="H625" s="221">
        <v>0</v>
      </c>
      <c r="I625" s="221">
        <f t="shared" si="430"/>
      </c>
      <c r="J625" s="222">
        <v>1797.12</v>
      </c>
      <c r="K625" s="223">
        <f t="shared" si="315"/>
      </c>
      <c r="L625" s="223">
        <f t="shared" si="200"/>
      </c>
      <c r="M625" s="224">
        <f t="shared" si="91"/>
      </c>
      <c r="N625" s="225">
        <f t="shared" si="60"/>
      </c>
      <c r="O625" s="226">
        <f t="shared" si="29"/>
      </c>
      <c r="P625" s="227">
        <f t="shared" si="964"/>
      </c>
      <c r="Q625" s="227">
        <f t="shared" si="933"/>
      </c>
      <c r="R625" s="227">
        <f t="shared" si="902"/>
      </c>
      <c r="S625" s="228">
        <f t="shared" si="871"/>
      </c>
      <c r="T625" s="229">
        <f t="shared" si="809"/>
      </c>
      <c r="U625" s="227">
        <f t="shared" si="778"/>
      </c>
      <c r="V625" s="230">
        <f t="shared" si="840"/>
      </c>
      <c r="W625" s="230">
        <f t="shared" si="747"/>
      </c>
      <c r="X625" s="227">
        <f t="shared" si="716"/>
      </c>
      <c r="Y625" s="231">
        <f t="shared" si="648"/>
      </c>
      <c r="Z625" s="231">
        <v>11</v>
      </c>
      <c r="AA625" s="231">
        <v>5</v>
      </c>
      <c r="AB625" s="222">
        <v>6995.1600000000035</v>
      </c>
      <c r="AC625" s="232">
        <v>0</v>
      </c>
      <c r="AD625" s="228">
        <f t="shared" si="685"/>
      </c>
      <c r="AE625" s="233" t="s">
        <v>202</v>
      </c>
      <c r="AF625" s="234" t="s">
        <v>240</v>
      </c>
      <c r="AG625" s="235">
        <v>5</v>
      </c>
      <c r="AH625" s="236">
        <v>67232</v>
      </c>
      <c r="AI625" s="236">
        <v>1416</v>
      </c>
      <c r="AJ625" s="236">
        <v>1497</v>
      </c>
      <c r="AK625" s="237">
        <v>212</v>
      </c>
      <c r="AL625" s="237">
        <v>285</v>
      </c>
    </row>
    <row r="626">
      <c r="A626" s="216"/>
      <c r="B626" s="217" t="s">
        <v>224</v>
      </c>
      <c r="C626" s="218" t="s">
        <v>204</v>
      </c>
      <c r="D626" s="219">
        <f t="shared" si="543"/>
      </c>
      <c r="E626" s="218">
        <v>653.59</v>
      </c>
      <c r="F626" s="249">
        <v>13680.43</v>
      </c>
      <c r="G626" s="221">
        <v>0</v>
      </c>
      <c r="H626" s="221">
        <v>0</v>
      </c>
      <c r="I626" s="221">
        <f t="shared" si="430"/>
      </c>
      <c r="J626" s="251">
        <f>546.48+1652.4+4461.48+1300.32+2703.24+923.4</f>
      </c>
      <c r="K626" s="223">
        <f t="shared" si="315"/>
      </c>
      <c r="L626" s="223">
        <f t="shared" si="200"/>
      </c>
      <c r="M626" s="224">
        <f t="shared" si="91"/>
      </c>
      <c r="N626" s="225">
        <f t="shared" si="60"/>
      </c>
      <c r="O626" s="226">
        <f t="shared" si="29"/>
      </c>
      <c r="P626" s="227">
        <f t="shared" si="964"/>
      </c>
      <c r="Q626" s="227">
        <f t="shared" si="933"/>
      </c>
      <c r="R626" s="227">
        <f t="shared" si="902"/>
      </c>
      <c r="S626" s="228">
        <f t="shared" si="871"/>
      </c>
      <c r="T626" s="229">
        <f t="shared" si="809"/>
      </c>
      <c r="U626" s="227">
        <f t="shared" si="778"/>
      </c>
      <c r="V626" s="230">
        <f t="shared" si="840"/>
      </c>
      <c r="W626" s="230">
        <f t="shared" si="747"/>
      </c>
      <c r="X626" s="227">
        <f t="shared" si="716"/>
      </c>
      <c r="Y626" s="231">
        <f t="shared" si="648"/>
      </c>
      <c r="Z626" s="231">
        <v>13</v>
      </c>
      <c r="AA626" s="231">
        <v>21</v>
      </c>
      <c r="AB626" s="232">
        <v>41835.84</v>
      </c>
      <c r="AC626" s="232">
        <v>0</v>
      </c>
      <c r="AD626" s="228">
        <f t="shared" si="685"/>
      </c>
      <c r="AE626" s="233" t="s">
        <v>202</v>
      </c>
      <c r="AF626" s="234" t="s">
        <v>240</v>
      </c>
      <c r="AG626" s="235">
        <f>16+5</f>
      </c>
      <c r="AH626" s="236">
        <v>155556</v>
      </c>
      <c r="AI626" s="236">
        <v>2144</v>
      </c>
      <c r="AJ626" s="236">
        <v>2149</v>
      </c>
      <c r="AK626" s="237">
        <v>337</v>
      </c>
      <c r="AL626" s="237">
        <v>397</v>
      </c>
    </row>
    <row r="627">
      <c r="A627" s="216"/>
      <c r="B627" s="239" t="s">
        <v>208</v>
      </c>
      <c r="C627" s="240">
        <v>5</v>
      </c>
      <c r="D627" s="241">
        <f>SUM(D622:D626)</f>
      </c>
      <c r="E627" s="241">
        <f>SUM(E622:E626)</f>
      </c>
      <c r="F627" s="241">
        <f>SUM(F622:F626)</f>
      </c>
      <c r="G627" s="241">
        <f>SUM(G622:G626)</f>
      </c>
      <c r="H627" s="241">
        <f>SUM(H622:H626)</f>
      </c>
      <c r="I627" s="241">
        <f>SUM(I622:I626)</f>
      </c>
      <c r="J627" s="241">
        <f>SUM(J622:J626)</f>
      </c>
      <c r="K627" s="241">
        <f>SUM(K622:K626)</f>
      </c>
      <c r="L627" s="241">
        <f>SUM(L622:L626)</f>
      </c>
      <c r="M627" s="242">
        <f t="shared" si="91"/>
      </c>
      <c r="N627" s="243">
        <f t="shared" si="60"/>
      </c>
      <c r="O627" s="243">
        <f t="shared" si="29"/>
      </c>
      <c r="P627" s="244">
        <f t="shared" si="964"/>
      </c>
      <c r="Q627" s="244">
        <f t="shared" si="933"/>
      </c>
      <c r="R627" s="244">
        <f t="shared" si="902"/>
      </c>
      <c r="S627" s="245">
        <f t="shared" si="871"/>
      </c>
      <c r="T627" s="245">
        <f t="shared" si="809"/>
      </c>
      <c r="U627" s="244">
        <f t="shared" si="778"/>
      </c>
      <c r="V627" s="245">
        <f t="shared" si="840"/>
      </c>
      <c r="W627" s="245">
        <f t="shared" si="747"/>
      </c>
      <c r="X627" s="244">
        <f t="shared" si="716"/>
      </c>
      <c r="Y627" s="241">
        <f>SUM(Y622:Y626)</f>
      </c>
      <c r="Z627" s="241">
        <f>SUM(Z622:Z626)</f>
      </c>
      <c r="AA627" s="241">
        <f>SUM(AA622:AA626)</f>
      </c>
      <c r="AB627" s="241">
        <f>SUM(AB622:AB626)</f>
      </c>
      <c r="AC627" s="241">
        <f>SUM(AC622:AC626)</f>
      </c>
      <c r="AD627" s="246">
        <f t="shared" si="685"/>
      </c>
      <c r="AE627" s="247"/>
      <c r="AF627" s="248"/>
      <c r="AG627" s="241">
        <f>SUM(AG622:AG626)</f>
      </c>
      <c r="AH627" s="241">
        <f>SUM(AH622:AH626)</f>
      </c>
      <c r="AI627" s="241">
        <f>SUM(AI622:AI626)</f>
      </c>
      <c r="AJ627" s="241">
        <f>SUM(AJ622:AJ626)</f>
      </c>
      <c r="AK627" s="241">
        <f>SUM(AK622:AK626)</f>
      </c>
      <c r="AL627" s="241">
        <f>SUM(AL622:AL626)</f>
      </c>
    </row>
    <row r="628">
      <c r="A628" s="216"/>
      <c r="B628" s="217" t="s">
        <v>230</v>
      </c>
      <c r="C628" s="218" t="s">
        <v>205</v>
      </c>
      <c r="D628" s="219">
        <f t="shared" ref="D628:D632" si="544">E628+F628+G628+H628</f>
      </c>
      <c r="E628" s="218">
        <v>645.13</v>
      </c>
      <c r="F628" s="249">
        <v>12453.5</v>
      </c>
      <c r="G628" s="221">
        <v>0</v>
      </c>
      <c r="H628" s="221">
        <v>0</v>
      </c>
      <c r="I628" s="221">
        <f t="shared" ref="I628:I632" si="431">AB628+AC628</f>
      </c>
      <c r="J628" s="251">
        <f>2787.96+752.76+979.56</f>
      </c>
      <c r="K628" s="223">
        <f t="shared" ref="K628:K632" si="316">I628-J628</f>
      </c>
      <c r="L628" s="223">
        <f t="shared" ref="L628:L632" si="201">(I628-AC628)/12+AC628</f>
      </c>
      <c r="M628" s="224">
        <f t="shared" si="91"/>
      </c>
      <c r="N628" s="225">
        <f t="shared" si="60"/>
      </c>
      <c r="O628" s="226">
        <f t="shared" si="29"/>
      </c>
      <c r="P628" s="227">
        <f t="shared" si="964"/>
      </c>
      <c r="Q628" s="227">
        <f t="shared" si="933"/>
      </c>
      <c r="R628" s="227">
        <f t="shared" si="902"/>
      </c>
      <c r="S628" s="228">
        <f t="shared" si="871"/>
      </c>
      <c r="T628" s="229">
        <f t="shared" si="809"/>
      </c>
      <c r="U628" s="227">
        <f t="shared" si="778"/>
      </c>
      <c r="V628" s="230">
        <f t="shared" si="840"/>
      </c>
      <c r="W628" s="230">
        <f t="shared" si="747"/>
      </c>
      <c r="X628" s="227">
        <f t="shared" si="716"/>
      </c>
      <c r="Y628" s="231">
        <f t="shared" ref="Y628:Y632" si="649">Z628+AA628</f>
      </c>
      <c r="Z628" s="231">
        <v>13</v>
      </c>
      <c r="AA628" s="231">
        <v>14</v>
      </c>
      <c r="AB628" s="232">
        <v>15487.199999999997</v>
      </c>
      <c r="AC628" s="232">
        <v>7308</v>
      </c>
      <c r="AD628" s="228">
        <f t="shared" si="685"/>
      </c>
      <c r="AE628" s="233" t="s">
        <v>202</v>
      </c>
      <c r="AF628" s="234" t="s">
        <v>203</v>
      </c>
      <c r="AG628" s="235">
        <f>18-5</f>
      </c>
      <c r="AH628" s="236">
        <v>192147</v>
      </c>
      <c r="AI628" s="236">
        <v>2222</v>
      </c>
      <c r="AJ628" s="236">
        <v>2260</v>
      </c>
      <c r="AK628" s="237">
        <v>405</v>
      </c>
      <c r="AL628" s="237">
        <v>390</v>
      </c>
    </row>
    <row r="629">
      <c r="A629" s="216"/>
      <c r="B629" s="217" t="s">
        <v>230</v>
      </c>
      <c r="C629" s="218" t="s">
        <v>206</v>
      </c>
      <c r="D629" s="219">
        <f t="shared" si="544"/>
      </c>
      <c r="E629" s="252">
        <v>811.34</v>
      </c>
      <c r="F629" s="268">
        <v>13314.11</v>
      </c>
      <c r="G629" s="221">
        <v>0</v>
      </c>
      <c r="H629" s="221">
        <v>0</v>
      </c>
      <c r="I629" s="221">
        <f t="shared" si="431"/>
      </c>
      <c r="J629" s="251">
        <f>1547.64+1565.64</f>
      </c>
      <c r="K629" s="223">
        <f t="shared" si="316"/>
      </c>
      <c r="L629" s="223">
        <f t="shared" si="201"/>
      </c>
      <c r="M629" s="224">
        <f t="shared" si="91"/>
      </c>
      <c r="N629" s="225">
        <f t="shared" si="60"/>
      </c>
      <c r="O629" s="226">
        <f t="shared" si="29"/>
      </c>
      <c r="P629" s="227">
        <f t="shared" si="964"/>
      </c>
      <c r="Q629" s="227">
        <f t="shared" si="933"/>
      </c>
      <c r="R629" s="227">
        <f t="shared" si="902"/>
      </c>
      <c r="S629" s="228">
        <f t="shared" si="871"/>
      </c>
      <c r="T629" s="229">
        <f t="shared" si="809"/>
      </c>
      <c r="U629" s="227">
        <f t="shared" si="778"/>
      </c>
      <c r="V629" s="230">
        <f t="shared" si="840"/>
      </c>
      <c r="W629" s="230">
        <f t="shared" si="747"/>
      </c>
      <c r="X629" s="227">
        <f t="shared" si="716"/>
      </c>
      <c r="Y629" s="231">
        <f t="shared" si="649"/>
      </c>
      <c r="Z629" s="231">
        <v>7</v>
      </c>
      <c r="AA629" s="231">
        <v>8</v>
      </c>
      <c r="AB629" s="232">
        <v>12848.400000000009</v>
      </c>
      <c r="AC629" s="232">
        <v>0</v>
      </c>
      <c r="AD629" s="228">
        <f t="shared" si="685"/>
      </c>
      <c r="AE629" s="233" t="s">
        <v>202</v>
      </c>
      <c r="AF629" s="234" t="s">
        <v>203</v>
      </c>
      <c r="AG629" s="237">
        <v>7</v>
      </c>
      <c r="AH629" s="236">
        <v>173174</v>
      </c>
      <c r="AI629" s="236">
        <v>2091</v>
      </c>
      <c r="AJ629" s="236">
        <v>2075</v>
      </c>
      <c r="AK629" s="237">
        <v>298</v>
      </c>
      <c r="AL629" s="237">
        <v>371</v>
      </c>
    </row>
    <row r="630">
      <c r="A630" s="216"/>
      <c r="B630" s="217" t="s">
        <v>230</v>
      </c>
      <c r="C630" s="218" t="s">
        <v>207</v>
      </c>
      <c r="D630" s="219">
        <f t="shared" si="544"/>
      </c>
      <c r="E630" s="218">
        <v>882.79</v>
      </c>
      <c r="F630" s="249">
        <v>9519.35</v>
      </c>
      <c r="G630" s="221">
        <v>0</v>
      </c>
      <c r="H630" s="221">
        <v>0</v>
      </c>
      <c r="I630" s="221">
        <f t="shared" si="431"/>
      </c>
      <c r="J630" s="251">
        <v>1735.56</v>
      </c>
      <c r="K630" s="223">
        <f t="shared" si="316"/>
      </c>
      <c r="L630" s="223">
        <f t="shared" si="201"/>
      </c>
      <c r="M630" s="224">
        <f t="shared" si="91"/>
      </c>
      <c r="N630" s="225">
        <f t="shared" si="60"/>
      </c>
      <c r="O630" s="226">
        <f t="shared" si="29"/>
      </c>
      <c r="P630" s="227">
        <f t="shared" si="964"/>
      </c>
      <c r="Q630" s="227">
        <f t="shared" si="933"/>
      </c>
      <c r="R630" s="227">
        <f t="shared" si="902"/>
      </c>
      <c r="S630" s="228">
        <f t="shared" si="871"/>
      </c>
      <c r="T630" s="229">
        <f t="shared" si="809"/>
      </c>
      <c r="U630" s="227">
        <f t="shared" si="778"/>
      </c>
      <c r="V630" s="230">
        <f t="shared" si="840"/>
      </c>
      <c r="W630" s="230">
        <f t="shared" si="747"/>
      </c>
      <c r="X630" s="227">
        <f t="shared" si="716"/>
      </c>
      <c r="Y630" s="231">
        <f t="shared" si="649"/>
      </c>
      <c r="Z630" s="231">
        <v>5</v>
      </c>
      <c r="AA630" s="231">
        <v>11</v>
      </c>
      <c r="AB630" s="232">
        <v>14142.479999999996</v>
      </c>
      <c r="AC630" s="232">
        <v>1259.699999999997</v>
      </c>
      <c r="AD630" s="228">
        <f t="shared" si="685"/>
      </c>
      <c r="AE630" s="233" t="s">
        <v>202</v>
      </c>
      <c r="AF630" s="234" t="s">
        <v>203</v>
      </c>
      <c r="AG630" s="235">
        <v>10</v>
      </c>
      <c r="AH630" s="236">
        <v>141210</v>
      </c>
      <c r="AI630" s="236">
        <v>1551</v>
      </c>
      <c r="AJ630" s="236">
        <v>1534</v>
      </c>
      <c r="AK630" s="237">
        <v>251</v>
      </c>
      <c r="AL630" s="237">
        <v>288</v>
      </c>
    </row>
    <row r="631">
      <c r="A631" s="216"/>
      <c r="B631" s="217" t="s">
        <v>230</v>
      </c>
      <c r="C631" s="252" t="s">
        <v>210</v>
      </c>
      <c r="D631" s="219">
        <f t="shared" si="544"/>
      </c>
      <c r="E631" s="218">
        <v>981.13</v>
      </c>
      <c r="F631" s="249">
        <v>7939.53</v>
      </c>
      <c r="G631" s="221">
        <v>0</v>
      </c>
      <c r="H631" s="221">
        <v>0</v>
      </c>
      <c r="I631" s="221">
        <f t="shared" si="431"/>
      </c>
      <c r="J631" s="251">
        <v>0</v>
      </c>
      <c r="K631" s="223">
        <f t="shared" si="316"/>
      </c>
      <c r="L631" s="223">
        <f t="shared" si="201"/>
      </c>
      <c r="M631" s="224">
        <f t="shared" si="91"/>
      </c>
      <c r="N631" s="225">
        <f t="shared" si="60"/>
      </c>
      <c r="O631" s="226">
        <f t="shared" si="29"/>
      </c>
      <c r="P631" s="227">
        <f t="shared" si="964"/>
      </c>
      <c r="Q631" s="227">
        <f t="shared" si="933"/>
      </c>
      <c r="R631" s="227">
        <f t="shared" si="902"/>
      </c>
      <c r="S631" s="228">
        <f t="shared" si="871"/>
      </c>
      <c r="T631" s="229">
        <f t="shared" si="809"/>
      </c>
      <c r="U631" s="227">
        <f t="shared" si="778"/>
      </c>
      <c r="V631" s="230">
        <f t="shared" si="840"/>
      </c>
      <c r="W631" s="230">
        <f t="shared" si="747"/>
      </c>
      <c r="X631" s="227">
        <f t="shared" si="716"/>
      </c>
      <c r="Y631" s="231">
        <f t="shared" si="649"/>
      </c>
      <c r="Z631" s="231">
        <v>9</v>
      </c>
      <c r="AA631" s="231">
        <v>10</v>
      </c>
      <c r="AB631" s="232">
        <v>25976.63999999997</v>
      </c>
      <c r="AC631" s="232">
        <v>0</v>
      </c>
      <c r="AD631" s="228">
        <f t="shared" si="685"/>
      </c>
      <c r="AE631" s="233" t="s">
        <v>202</v>
      </c>
      <c r="AF631" s="234" t="s">
        <v>203</v>
      </c>
      <c r="AG631" s="235">
        <v>7</v>
      </c>
      <c r="AH631" s="236">
        <v>109236</v>
      </c>
      <c r="AI631" s="236">
        <v>1419</v>
      </c>
      <c r="AJ631" s="236">
        <v>1407</v>
      </c>
      <c r="AK631" s="237">
        <v>251</v>
      </c>
      <c r="AL631" s="237">
        <v>290</v>
      </c>
    </row>
    <row r="632">
      <c r="A632" s="216"/>
      <c r="B632" s="217" t="s">
        <v>230</v>
      </c>
      <c r="C632" s="252" t="s">
        <v>211</v>
      </c>
      <c r="D632" s="219">
        <f t="shared" si="544"/>
      </c>
      <c r="E632" s="218">
        <v>1287.89</v>
      </c>
      <c r="F632" s="249">
        <v>10128.76</v>
      </c>
      <c r="G632" s="221">
        <v>0</v>
      </c>
      <c r="H632" s="221">
        <v>0</v>
      </c>
      <c r="I632" s="221">
        <f t="shared" si="431"/>
      </c>
      <c r="J632" s="251">
        <v>3015.48</v>
      </c>
      <c r="K632" s="223">
        <f t="shared" si="316"/>
      </c>
      <c r="L632" s="223">
        <f t="shared" si="201"/>
      </c>
      <c r="M632" s="224">
        <f t="shared" si="91"/>
      </c>
      <c r="N632" s="225">
        <f t="shared" si="60"/>
      </c>
      <c r="O632" s="226">
        <f t="shared" si="29"/>
      </c>
      <c r="P632" s="227">
        <f t="shared" si="964"/>
      </c>
      <c r="Q632" s="227">
        <f t="shared" si="933"/>
      </c>
      <c r="R632" s="227">
        <f t="shared" si="902"/>
      </c>
      <c r="S632" s="228">
        <f t="shared" si="871"/>
      </c>
      <c r="T632" s="229">
        <f t="shared" si="809"/>
      </c>
      <c r="U632" s="227">
        <f t="shared" si="778"/>
      </c>
      <c r="V632" s="230">
        <f t="shared" si="840"/>
      </c>
      <c r="W632" s="230">
        <f t="shared" si="747"/>
      </c>
      <c r="X632" s="227">
        <f t="shared" si="716"/>
      </c>
      <c r="Y632" s="231">
        <f t="shared" si="649"/>
      </c>
      <c r="Z632" s="231">
        <v>14</v>
      </c>
      <c r="AA632" s="231">
        <v>11</v>
      </c>
      <c r="AB632" s="232">
        <v>24863.520000000033</v>
      </c>
      <c r="AC632" s="232">
        <v>5207.300000000003</v>
      </c>
      <c r="AD632" s="228">
        <f t="shared" si="685"/>
      </c>
      <c r="AE632" s="233" t="s">
        <v>202</v>
      </c>
      <c r="AF632" s="234" t="s">
        <v>203</v>
      </c>
      <c r="AG632" s="237">
        <v>9</v>
      </c>
      <c r="AH632" s="236">
        <v>148027</v>
      </c>
      <c r="AI632" s="236">
        <v>1843</v>
      </c>
      <c r="AJ632" s="236">
        <v>1855</v>
      </c>
      <c r="AK632" s="237">
        <v>280</v>
      </c>
      <c r="AL632" s="237">
        <v>309</v>
      </c>
    </row>
    <row r="633">
      <c r="A633" s="216"/>
      <c r="B633" s="239" t="s">
        <v>208</v>
      </c>
      <c r="C633" s="240">
        <v>5</v>
      </c>
      <c r="D633" s="241">
        <f>SUM(D628:D632)</f>
      </c>
      <c r="E633" s="259">
        <f>SUM(E628:E632)</f>
      </c>
      <c r="F633" s="259">
        <f>SUM(F628:F632)</f>
      </c>
      <c r="G633" s="241">
        <f>SUM(G628:G632)</f>
      </c>
      <c r="H633" s="241">
        <f>SUM(H628:H632)</f>
      </c>
      <c r="I633" s="241">
        <f>SUM(I628:I632)</f>
      </c>
      <c r="J633" s="241">
        <f>SUM(J628:J632)</f>
      </c>
      <c r="K633" s="241">
        <f>SUM(K628:K632)</f>
      </c>
      <c r="L633" s="241">
        <f>SUM(L628:L632)</f>
      </c>
      <c r="M633" s="242">
        <f t="shared" si="91"/>
      </c>
      <c r="N633" s="243">
        <f t="shared" si="60"/>
      </c>
      <c r="O633" s="243">
        <f t="shared" si="29"/>
      </c>
      <c r="P633" s="244">
        <f t="shared" si="964"/>
      </c>
      <c r="Q633" s="244">
        <f t="shared" si="933"/>
      </c>
      <c r="R633" s="244">
        <f t="shared" si="902"/>
      </c>
      <c r="S633" s="245">
        <f t="shared" si="871"/>
      </c>
      <c r="T633" s="245">
        <f t="shared" si="809"/>
      </c>
      <c r="U633" s="244">
        <f t="shared" si="778"/>
      </c>
      <c r="V633" s="245">
        <f t="shared" si="840"/>
      </c>
      <c r="W633" s="245">
        <f t="shared" si="747"/>
      </c>
      <c r="X633" s="244">
        <f t="shared" si="716"/>
      </c>
      <c r="Y633" s="241">
        <f>SUM(Y628:Y632)</f>
      </c>
      <c r="Z633" s="241">
        <f>SUM(Z628:Z632)</f>
      </c>
      <c r="AA633" s="241">
        <f>SUM(AA628:AA632)</f>
      </c>
      <c r="AB633" s="241">
        <f>SUM(AB628:AB632)</f>
      </c>
      <c r="AC633" s="241">
        <f>SUM(AC628:AC632)</f>
      </c>
      <c r="AD633" s="246">
        <f t="shared" si="685"/>
      </c>
      <c r="AE633" s="247"/>
      <c r="AF633" s="248"/>
      <c r="AG633" s="241">
        <f>SUM(AG628:AG632)</f>
      </c>
      <c r="AH633" s="241">
        <f>SUM(AH628:AH632)</f>
      </c>
      <c r="AI633" s="241">
        <f>SUM(AI628:AI632)</f>
      </c>
      <c r="AJ633" s="241">
        <f>SUM(AJ628:AJ632)</f>
      </c>
      <c r="AK633" s="241">
        <f>SUM(AK628:AK632)</f>
      </c>
      <c r="AL633" s="241">
        <f>SUM(AL628:AL632)</f>
      </c>
    </row>
    <row r="634">
      <c r="A634" s="216"/>
      <c r="B634" s="217" t="s">
        <v>223</v>
      </c>
      <c r="C634" s="252" t="s">
        <v>212</v>
      </c>
      <c r="D634" s="282">
        <f t="shared" ref="D634:D638" si="545">E634+F634+G634+H634</f>
      </c>
      <c r="E634" s="261">
        <v>2049.77</v>
      </c>
      <c r="F634" s="283">
        <v>19046.47</v>
      </c>
      <c r="G634" s="262">
        <v>0</v>
      </c>
      <c r="H634" s="221">
        <v>0</v>
      </c>
      <c r="I634" s="221">
        <f t="shared" ref="I634:I638" si="432">AB634+AC634</f>
      </c>
      <c r="J634" s="222">
        <v>657.72</v>
      </c>
      <c r="K634" s="223">
        <f t="shared" ref="K634:K638" si="317">I634-J634</f>
      </c>
      <c r="L634" s="223">
        <f t="shared" ref="L634:L638" si="202">(I634-AC634)/12+AC634</f>
      </c>
      <c r="M634" s="224">
        <f t="shared" si="91"/>
      </c>
      <c r="N634" s="225">
        <f t="shared" si="60"/>
      </c>
      <c r="O634" s="226">
        <f t="shared" si="29"/>
      </c>
      <c r="P634" s="227">
        <f t="shared" si="964"/>
      </c>
      <c r="Q634" s="227">
        <f t="shared" si="933"/>
      </c>
      <c r="R634" s="227">
        <f t="shared" si="902"/>
      </c>
      <c r="S634" s="228">
        <f t="shared" si="871"/>
      </c>
      <c r="T634" s="229">
        <f t="shared" si="809"/>
      </c>
      <c r="U634" s="227">
        <f t="shared" si="778"/>
      </c>
      <c r="V634" s="230">
        <f t="shared" si="840"/>
      </c>
      <c r="W634" s="230">
        <f t="shared" si="747"/>
      </c>
      <c r="X634" s="227">
        <f t="shared" si="716"/>
      </c>
      <c r="Y634" s="231">
        <f t="shared" ref="Y634:Y638" si="650">Z634+AA634</f>
      </c>
      <c r="Z634" s="231">
        <v>10</v>
      </c>
      <c r="AA634" s="231">
        <v>15</v>
      </c>
      <c r="AB634" s="232">
        <v>28412.64000000003</v>
      </c>
      <c r="AC634" s="232">
        <v>2196.4000000000015</v>
      </c>
      <c r="AD634" s="228">
        <f t="shared" si="685"/>
      </c>
      <c r="AE634" s="233" t="s">
        <v>202</v>
      </c>
      <c r="AF634" s="234" t="s">
        <v>203</v>
      </c>
      <c r="AG634" s="235">
        <v>14</v>
      </c>
      <c r="AH634" s="235">
        <v>233758</v>
      </c>
      <c r="AI634" s="236">
        <v>2997</v>
      </c>
      <c r="AJ634" s="236">
        <v>2946</v>
      </c>
      <c r="AK634" s="235">
        <v>441</v>
      </c>
      <c r="AL634" s="237">
        <v>555</v>
      </c>
    </row>
    <row r="635">
      <c r="A635" s="216"/>
      <c r="B635" s="217" t="s">
        <v>223</v>
      </c>
      <c r="C635" s="218" t="s">
        <v>213</v>
      </c>
      <c r="D635" s="282">
        <f t="shared" si="545"/>
      </c>
      <c r="E635" s="284">
        <v>3393.92</v>
      </c>
      <c r="F635" s="283">
        <v>8316.64</v>
      </c>
      <c r="G635" s="262">
        <v>0</v>
      </c>
      <c r="H635" s="221">
        <v>0</v>
      </c>
      <c r="I635" s="221">
        <f t="shared" si="432"/>
      </c>
      <c r="J635" s="222">
        <v>0</v>
      </c>
      <c r="K635" s="223">
        <f t="shared" si="317"/>
      </c>
      <c r="L635" s="223">
        <f t="shared" si="202"/>
      </c>
      <c r="M635" s="224">
        <f t="shared" si="91"/>
      </c>
      <c r="N635" s="225">
        <f t="shared" si="60"/>
      </c>
      <c r="O635" s="226">
        <f t="shared" si="29"/>
      </c>
      <c r="P635" s="227">
        <f t="shared" si="964"/>
      </c>
      <c r="Q635" s="227">
        <f t="shared" si="933"/>
      </c>
      <c r="R635" s="227">
        <f t="shared" si="902"/>
      </c>
      <c r="S635" s="228">
        <f t="shared" si="871"/>
      </c>
      <c r="T635" s="229">
        <f t="shared" si="809"/>
      </c>
      <c r="U635" s="227">
        <f t="shared" si="778"/>
      </c>
      <c r="V635" s="230">
        <f t="shared" si="840"/>
      </c>
      <c r="W635" s="230">
        <f t="shared" si="747"/>
      </c>
      <c r="X635" s="227">
        <f t="shared" si="716"/>
      </c>
      <c r="Y635" s="231">
        <f t="shared" si="650"/>
      </c>
      <c r="Z635" s="231">
        <v>4</v>
      </c>
      <c r="AA635" s="231">
        <v>5</v>
      </c>
      <c r="AB635" s="232">
        <v>6693.959999999977</v>
      </c>
      <c r="AC635" s="232">
        <v>713</v>
      </c>
      <c r="AD635" s="228">
        <f t="shared" si="685"/>
      </c>
      <c r="AE635" s="233" t="s">
        <v>202</v>
      </c>
      <c r="AF635" s="234" t="s">
        <v>203</v>
      </c>
      <c r="AG635" s="235">
        <v>4</v>
      </c>
      <c r="AH635" s="236">
        <v>116299</v>
      </c>
      <c r="AI635" s="236">
        <v>2352</v>
      </c>
      <c r="AJ635" s="236">
        <v>2487</v>
      </c>
      <c r="AK635" s="237">
        <v>227</v>
      </c>
      <c r="AL635" s="237">
        <v>302</v>
      </c>
    </row>
    <row r="636">
      <c r="A636" s="216"/>
      <c r="B636" s="217" t="s">
        <v>223</v>
      </c>
      <c r="C636" s="252" t="s">
        <v>214</v>
      </c>
      <c r="D636" s="282">
        <f t="shared" si="545"/>
      </c>
      <c r="E636" s="284">
        <v>2186.82</v>
      </c>
      <c r="F636" s="284">
        <v>6781.56</v>
      </c>
      <c r="G636" s="262">
        <v>0</v>
      </c>
      <c r="H636" s="221">
        <v>0</v>
      </c>
      <c r="I636" s="221">
        <f t="shared" si="432"/>
      </c>
      <c r="J636" s="222">
        <v>0</v>
      </c>
      <c r="K636" s="223">
        <f t="shared" si="317"/>
      </c>
      <c r="L636" s="223">
        <f t="shared" si="202"/>
      </c>
      <c r="M636" s="224">
        <f t="shared" si="91"/>
      </c>
      <c r="N636" s="225">
        <f t="shared" si="60"/>
      </c>
      <c r="O636" s="226">
        <f t="shared" si="29"/>
      </c>
      <c r="P636" s="227">
        <f t="shared" si="964"/>
      </c>
      <c r="Q636" s="227">
        <f t="shared" si="933"/>
      </c>
      <c r="R636" s="227">
        <f t="shared" si="902"/>
      </c>
      <c r="S636" s="228">
        <f t="shared" si="871"/>
      </c>
      <c r="T636" s="229">
        <f t="shared" si="809"/>
      </c>
      <c r="U636" s="227">
        <f t="shared" si="778"/>
      </c>
      <c r="V636" s="230">
        <f t="shared" si="840"/>
      </c>
      <c r="W636" s="230">
        <f t="shared" si="747"/>
      </c>
      <c r="X636" s="227">
        <f t="shared" si="716"/>
      </c>
      <c r="Y636" s="231">
        <f t="shared" si="650"/>
      </c>
      <c r="Z636" s="231">
        <v>10</v>
      </c>
      <c r="AA636" s="231">
        <v>9</v>
      </c>
      <c r="AB636" s="232">
        <v>11832.479999999996</v>
      </c>
      <c r="AC636" s="232">
        <v>1826.8499999999985</v>
      </c>
      <c r="AD636" s="228">
        <f t="shared" si="685"/>
      </c>
      <c r="AE636" s="233" t="s">
        <v>202</v>
      </c>
      <c r="AF636" s="234" t="s">
        <v>203</v>
      </c>
      <c r="AG636" s="237">
        <v>7</v>
      </c>
      <c r="AH636" s="236">
        <v>80588</v>
      </c>
      <c r="AI636" s="236">
        <v>1694</v>
      </c>
      <c r="AJ636" s="236">
        <v>1755</v>
      </c>
      <c r="AK636" s="237">
        <v>196</v>
      </c>
      <c r="AL636" s="237">
        <v>265</v>
      </c>
    </row>
    <row r="637">
      <c r="A637" s="216"/>
      <c r="B637" s="217" t="s">
        <v>223</v>
      </c>
      <c r="C637" s="218" t="s">
        <v>237</v>
      </c>
      <c r="D637" s="282">
        <f t="shared" si="545"/>
      </c>
      <c r="E637" s="284">
        <v>1995</v>
      </c>
      <c r="F637" s="283">
        <v>5302.22</v>
      </c>
      <c r="G637" s="262">
        <v>0</v>
      </c>
      <c r="H637" s="221">
        <v>0</v>
      </c>
      <c r="I637" s="221">
        <f t="shared" si="432"/>
      </c>
      <c r="J637" s="222">
        <v>1105.92</v>
      </c>
      <c r="K637" s="223">
        <f t="shared" si="317"/>
      </c>
      <c r="L637" s="223">
        <f t="shared" si="202"/>
      </c>
      <c r="M637" s="224">
        <f t="shared" si="91"/>
      </c>
      <c r="N637" s="225">
        <f t="shared" si="60"/>
      </c>
      <c r="O637" s="226">
        <f t="shared" si="29"/>
      </c>
      <c r="P637" s="227">
        <f t="shared" si="964"/>
      </c>
      <c r="Q637" s="227">
        <f t="shared" si="933"/>
      </c>
      <c r="R637" s="227">
        <f t="shared" si="902"/>
      </c>
      <c r="S637" s="228">
        <f t="shared" si="871"/>
      </c>
      <c r="T637" s="229">
        <f t="shared" si="809"/>
      </c>
      <c r="U637" s="227">
        <f t="shared" si="778"/>
      </c>
      <c r="V637" s="230">
        <f t="shared" si="840"/>
      </c>
      <c r="W637" s="230">
        <f t="shared" si="747"/>
      </c>
      <c r="X637" s="227">
        <f t="shared" si="716"/>
      </c>
      <c r="Y637" s="231">
        <f t="shared" si="650"/>
      </c>
      <c r="Z637" s="231">
        <v>13</v>
      </c>
      <c r="AA637" s="231">
        <v>5</v>
      </c>
      <c r="AB637" s="232">
        <v>7528.68</v>
      </c>
      <c r="AC637" s="232">
        <v>0</v>
      </c>
      <c r="AD637" s="228">
        <f t="shared" si="685"/>
      </c>
      <c r="AE637" s="233" t="s">
        <v>202</v>
      </c>
      <c r="AF637" s="234" t="s">
        <v>203</v>
      </c>
      <c r="AG637" s="235">
        <v>5</v>
      </c>
      <c r="AH637" s="236">
        <v>70235</v>
      </c>
      <c r="AI637" s="236">
        <v>2061</v>
      </c>
      <c r="AJ637" s="236">
        <v>2372</v>
      </c>
      <c r="AK637" s="237">
        <v>204</v>
      </c>
      <c r="AL637" s="237">
        <v>239</v>
      </c>
    </row>
    <row r="638">
      <c r="A638" s="216"/>
      <c r="B638" s="217" t="s">
        <v>223</v>
      </c>
      <c r="C638" s="218" t="s">
        <v>238</v>
      </c>
      <c r="D638" s="282">
        <f t="shared" si="545"/>
      </c>
      <c r="E638" s="261">
        <f>1071.48+19.07</f>
      </c>
      <c r="F638" s="283">
        <f>3229.67+1.53</f>
      </c>
      <c r="G638" s="262">
        <v>0</v>
      </c>
      <c r="H638" s="221">
        <v>0</v>
      </c>
      <c r="I638" s="221">
        <f t="shared" si="432"/>
      </c>
      <c r="J638" s="222">
        <v>0</v>
      </c>
      <c r="K638" s="223">
        <f t="shared" si="317"/>
      </c>
      <c r="L638" s="223">
        <f t="shared" si="202"/>
      </c>
      <c r="M638" s="224">
        <f t="shared" si="91"/>
      </c>
      <c r="N638" s="225">
        <f t="shared" si="60"/>
      </c>
      <c r="O638" s="226">
        <f t="shared" si="29"/>
      </c>
      <c r="P638" s="227">
        <f t="shared" si="964"/>
      </c>
      <c r="Q638" s="227">
        <f t="shared" si="933"/>
      </c>
      <c r="R638" s="227">
        <f t="shared" si="902"/>
      </c>
      <c r="S638" s="228">
        <f t="shared" si="871"/>
      </c>
      <c r="T638" s="229">
        <f t="shared" si="809"/>
      </c>
      <c r="U638" s="227">
        <f t="shared" si="778"/>
      </c>
      <c r="V638" s="230">
        <f t="shared" si="840"/>
      </c>
      <c r="W638" s="230">
        <f t="shared" si="747"/>
      </c>
      <c r="X638" s="227">
        <f t="shared" si="716"/>
      </c>
      <c r="Y638" s="231">
        <f t="shared" si="650"/>
      </c>
      <c r="Z638" s="231">
        <v>6</v>
      </c>
      <c r="AA638" s="231">
        <v>4</v>
      </c>
      <c r="AB638" s="232">
        <v>4682.879999999999</v>
      </c>
      <c r="AC638" s="232">
        <v>514</v>
      </c>
      <c r="AD638" s="228">
        <f t="shared" si="685"/>
      </c>
      <c r="AE638" s="233" t="s">
        <v>202</v>
      </c>
      <c r="AF638" s="234" t="s">
        <v>203</v>
      </c>
      <c r="AG638" s="235">
        <v>4</v>
      </c>
      <c r="AH638" s="236">
        <v>40474</v>
      </c>
      <c r="AI638" s="236">
        <v>1437</v>
      </c>
      <c r="AJ638" s="236">
        <v>1605</v>
      </c>
      <c r="AK638" s="235">
        <v>135</v>
      </c>
      <c r="AL638" s="235">
        <v>118</v>
      </c>
    </row>
    <row r="639">
      <c r="A639" s="216"/>
      <c r="B639" s="239" t="s">
        <v>208</v>
      </c>
      <c r="C639" s="240">
        <v>5</v>
      </c>
      <c r="D639" s="241">
        <f>SUM(D634:D638)</f>
      </c>
      <c r="E639" s="260">
        <f>SUM(E634:E638)</f>
      </c>
      <c r="F639" s="260">
        <f>SUM(F634:F638)</f>
      </c>
      <c r="G639" s="241">
        <f>SUM(G634:G638)</f>
      </c>
      <c r="H639" s="241">
        <f>SUM(H634:H638)</f>
      </c>
      <c r="I639" s="241">
        <f>SUM(I634:I638)</f>
      </c>
      <c r="J639" s="241">
        <f>SUM(J634:J638)</f>
      </c>
      <c r="K639" s="241">
        <f>SUM(K634:K638)</f>
      </c>
      <c r="L639" s="241">
        <f>SUM(L634:L638)</f>
      </c>
      <c r="M639" s="242">
        <f t="shared" si="91"/>
      </c>
      <c r="N639" s="243">
        <f t="shared" si="60"/>
      </c>
      <c r="O639" s="243">
        <f t="shared" si="29"/>
      </c>
      <c r="P639" s="244">
        <f t="shared" si="964"/>
      </c>
      <c r="Q639" s="244">
        <f t="shared" si="933"/>
      </c>
      <c r="R639" s="244">
        <f t="shared" si="902"/>
      </c>
      <c r="S639" s="245">
        <f t="shared" si="871"/>
      </c>
      <c r="T639" s="245">
        <f t="shared" si="809"/>
      </c>
      <c r="U639" s="244">
        <f t="shared" si="778"/>
      </c>
      <c r="V639" s="245">
        <f t="shared" si="840"/>
      </c>
      <c r="W639" s="245">
        <f t="shared" si="747"/>
      </c>
      <c r="X639" s="244">
        <f t="shared" si="716"/>
      </c>
      <c r="Y639" s="241">
        <f>SUM(Y634:Y638)</f>
      </c>
      <c r="Z639" s="241">
        <f>SUM(Z634:Z638)</f>
      </c>
      <c r="AA639" s="241">
        <f>SUM(AA634:AA638)</f>
      </c>
      <c r="AB639" s="241">
        <f>SUM(AB634:AB638)</f>
      </c>
      <c r="AC639" s="259">
        <f>SUM(AC634:AC638)</f>
      </c>
      <c r="AD639" s="275">
        <f t="shared" si="685"/>
      </c>
      <c r="AE639" s="276"/>
      <c r="AF639" s="248"/>
      <c r="AG639" s="241">
        <f>SUM(AG634:AG638)</f>
      </c>
      <c r="AH639" s="241">
        <f>SUM(AH634:AH638)</f>
      </c>
      <c r="AI639" s="241">
        <f>SUM(AI634:AI638)</f>
      </c>
      <c r="AJ639" s="241">
        <f>SUM(AJ634:AJ638)</f>
      </c>
      <c r="AK639" s="241">
        <f>SUM(AK634:AK638)</f>
      </c>
      <c r="AL639" s="241">
        <f>SUM(AL634:AL638)</f>
      </c>
    </row>
    <row r="640">
      <c r="A640" s="216"/>
      <c r="B640" s="253" t="s">
        <v>208</v>
      </c>
      <c r="C640" s="254">
        <f>C621+C627+C633+C639</f>
      </c>
      <c r="D640" s="254">
        <f>D621+D627+D633+D639</f>
      </c>
      <c r="E640" s="254">
        <f>E621+E627+E633+E639</f>
      </c>
      <c r="F640" s="254">
        <f>F621+F627+F633+F639</f>
      </c>
      <c r="G640" s="254">
        <f>G621+G627+G633+G639</f>
      </c>
      <c r="H640" s="254">
        <f>H621+H627+H633+H639</f>
      </c>
      <c r="I640" s="254">
        <f>I621+I627+I633+I639</f>
      </c>
      <c r="J640" s="254">
        <f>J621+J627+J633+J639</f>
      </c>
      <c r="K640" s="254">
        <f>K621+K627+K633+K639</f>
      </c>
      <c r="L640" s="254">
        <f>L621+L627+L633+L639</f>
      </c>
      <c r="M640" s="256">
        <f t="shared" si="91"/>
      </c>
      <c r="N640" s="256">
        <f t="shared" si="60"/>
      </c>
      <c r="O640" s="256">
        <f t="shared" si="29"/>
      </c>
      <c r="P640" s="256">
        <f t="shared" si="964"/>
      </c>
      <c r="Q640" s="256">
        <f t="shared" si="933"/>
      </c>
      <c r="R640" s="256">
        <f t="shared" si="902"/>
      </c>
      <c r="S640" s="257">
        <f t="shared" si="871"/>
      </c>
      <c r="T640" s="257">
        <f t="shared" si="809"/>
      </c>
      <c r="U640" s="256">
        <f t="shared" si="778"/>
      </c>
      <c r="V640" s="257">
        <f t="shared" si="840"/>
      </c>
      <c r="W640" s="257">
        <f t="shared" si="747"/>
      </c>
      <c r="X640" s="256">
        <f t="shared" si="716"/>
      </c>
      <c r="Y640" s="278">
        <f>Y621+Y627+Y633+Y639</f>
      </c>
      <c r="Z640" s="278">
        <f>Z621+Z627+Z633+Z639</f>
      </c>
      <c r="AA640" s="278">
        <f>AA621+AA627+AA633+AA639</f>
      </c>
      <c r="AB640" s="278">
        <f>AB621+AB627+AB633+AB639</f>
      </c>
      <c r="AC640" s="278">
        <f>AC621+AC627+AC633+AC639</f>
      </c>
      <c r="AD640" s="279">
        <f t="shared" si="685"/>
      </c>
      <c r="AE640" s="280"/>
      <c r="AF640" s="281"/>
      <c r="AG640" s="254">
        <f>AG621+AG627+AG633+AG639</f>
      </c>
      <c r="AH640" s="254">
        <f>AH621+AH627+AH633+AH639</f>
      </c>
      <c r="AI640" s="254">
        <f>AI621+AI627+AI633+AI639</f>
      </c>
      <c r="AJ640" s="254">
        <f>AJ621+AJ627+AJ633+AJ639</f>
      </c>
      <c r="AK640" s="254">
        <f>AK621+AK627+AK633+AK639</f>
      </c>
      <c r="AL640" s="254">
        <f>AL621+AL627+AL633+AL639</f>
      </c>
    </row>
    <row r="641">
      <c r="A641" s="202" t="s">
        <v>162</v>
      </c>
      <c r="B641" s="203" t="s">
        <v>163</v>
      </c>
      <c r="C641" s="203" t="s">
        <v>164</v>
      </c>
      <c r="D641" s="204" t="s">
        <v>165</v>
      </c>
      <c r="E641" s="203" t="s">
        <v>166</v>
      </c>
      <c r="F641" s="203" t="s">
        <v>167</v>
      </c>
      <c r="G641" s="205" t="s">
        <v>168</v>
      </c>
      <c r="H641" s="205" t="s">
        <v>169</v>
      </c>
      <c r="I641" s="204" t="s">
        <v>170</v>
      </c>
      <c r="J641" s="206" t="s">
        <v>171</v>
      </c>
      <c r="K641" s="207" t="s">
        <v>172</v>
      </c>
      <c r="L641" s="207" t="s">
        <v>173</v>
      </c>
      <c r="M641" s="208" t="s">
        <v>174</v>
      </c>
      <c r="N641" s="207" t="s">
        <v>175</v>
      </c>
      <c r="O641" s="203" t="s">
        <v>176</v>
      </c>
      <c r="P641" s="208" t="s">
        <v>177</v>
      </c>
      <c r="Q641" s="209" t="s">
        <v>178</v>
      </c>
      <c r="R641" s="209" t="s">
        <v>179</v>
      </c>
      <c r="S641" s="204" t="s">
        <v>180</v>
      </c>
      <c r="T641" s="210" t="s">
        <v>181</v>
      </c>
      <c r="U641" s="208" t="s">
        <v>182</v>
      </c>
      <c r="V641" s="211" t="s">
        <v>183</v>
      </c>
      <c r="W641" s="212" t="s">
        <v>184</v>
      </c>
      <c r="X641" s="208" t="s">
        <v>185</v>
      </c>
      <c r="Y641" s="213" t="s">
        <v>186</v>
      </c>
      <c r="Z641" s="214" t="s">
        <v>187</v>
      </c>
      <c r="AA641" s="213" t="s">
        <v>188</v>
      </c>
      <c r="AB641" s="215" t="s">
        <v>189</v>
      </c>
      <c r="AC641" s="215" t="s">
        <v>190</v>
      </c>
      <c r="AD641" s="207" t="s">
        <v>191</v>
      </c>
      <c r="AE641" s="206" t="s">
        <v>192</v>
      </c>
      <c r="AF641" s="207" t="s">
        <v>193</v>
      </c>
      <c r="AG641" s="206" t="s">
        <v>194</v>
      </c>
      <c r="AH641" s="206" t="s">
        <v>195</v>
      </c>
      <c r="AI641" s="207" t="s">
        <v>196</v>
      </c>
      <c r="AJ641" s="206" t="s">
        <v>197</v>
      </c>
      <c r="AK641" s="207" t="s">
        <v>198</v>
      </c>
      <c r="AL641" s="206" t="s">
        <v>199</v>
      </c>
    </row>
    <row r="642">
      <c r="A642" s="216">
        <v>46265</v>
      </c>
      <c r="B642" s="217" t="s">
        <v>200</v>
      </c>
      <c r="C642" s="218" t="s">
        <v>234</v>
      </c>
      <c r="D642" s="219">
        <f t="shared" ref="D642:D646" si="546">E642+F642+G642+H642</f>
      </c>
      <c r="E642" s="220">
        <v>1035.14</v>
      </c>
      <c r="F642" s="221">
        <v>6330.97</v>
      </c>
      <c r="G642" s="221">
        <v>0</v>
      </c>
      <c r="H642" s="221">
        <v>0</v>
      </c>
      <c r="I642" s="221">
        <f t="shared" ref="I642:I646" si="433">AB642+AC642</f>
      </c>
      <c r="J642" s="222">
        <v>630.72</v>
      </c>
      <c r="K642" s="223">
        <f t="shared" ref="K642:K646" si="318">I642-J642</f>
      </c>
      <c r="L642" s="223">
        <f t="shared" ref="L642:L646" si="203">(I642-AC642)/12+AC642</f>
      </c>
      <c r="M642" s="224">
        <f t="shared" ref="M642:M667" si="92">I642/D642</f>
      </c>
      <c r="N642" s="225">
        <f t="shared" ref="N642:N667" si="61">(I642-J642)/D642</f>
      </c>
      <c r="O642" s="226">
        <f t="shared" ref="O642:O667" si="30">(AC642+AB642/12)/D642</f>
      </c>
      <c r="P642" s="227">
        <f t="shared" ref="P642:P667" si="965">I642/AA642</f>
      </c>
      <c r="Q642" s="227">
        <f t="shared" ref="Q642:Q667" si="934">D642/AA642</f>
      </c>
      <c r="R642" s="227">
        <f t="shared" ref="R642:R667" si="903">D642/AG642</f>
      </c>
      <c r="S642" s="228">
        <f t="shared" ref="S642:S667" si="872">AA642/Y642</f>
      </c>
      <c r="T642" s="229">
        <f t="shared" ref="T642:T667" si="810">AI642/AH642</f>
      </c>
      <c r="U642" s="227">
        <f t="shared" ref="U642:U667" si="779">D642/AJ642</f>
      </c>
      <c r="V642" s="230">
        <f t="shared" ref="V642:V667" si="841">AK642/AJ642</f>
      </c>
      <c r="W642" s="230">
        <f t="shared" ref="W642:W667" si="748">AL642/AJ642</f>
      </c>
      <c r="X642" s="227">
        <f t="shared" ref="X642:X667" si="717">D642/AL642</f>
      </c>
      <c r="Y642" s="231">
        <f t="shared" ref="Y642:Y646" si="651">Z642+AA642</f>
      </c>
      <c r="Z642" s="231">
        <v>3</v>
      </c>
      <c r="AA642" s="231">
        <v>6</v>
      </c>
      <c r="AB642" s="232">
        <v>3450.6000000000004</v>
      </c>
      <c r="AC642" s="232">
        <v>1996</v>
      </c>
      <c r="AD642" s="228">
        <f t="shared" ref="AD642:AD667" si="686">AC642/I642</f>
      </c>
      <c r="AE642" s="233" t="s">
        <v>202</v>
      </c>
      <c r="AF642" s="234" t="s">
        <v>240</v>
      </c>
      <c r="AG642" s="235">
        <v>4</v>
      </c>
      <c r="AH642" s="235">
        <v>67128</v>
      </c>
      <c r="AI642" s="236">
        <v>2101</v>
      </c>
      <c r="AJ642" s="236">
        <v>2366</v>
      </c>
      <c r="AK642" s="235">
        <v>235</v>
      </c>
      <c r="AL642" s="237">
        <v>220</v>
      </c>
    </row>
    <row r="643">
      <c r="A643" s="216"/>
      <c r="B643" s="217" t="s">
        <v>200</v>
      </c>
      <c r="C643" s="218" t="s">
        <v>235</v>
      </c>
      <c r="D643" s="219">
        <f t="shared" si="546"/>
      </c>
      <c r="E643" s="218">
        <v>891.3</v>
      </c>
      <c r="F643" s="221">
        <v>4877.09</v>
      </c>
      <c r="G643" s="221">
        <v>0</v>
      </c>
      <c r="H643" s="221">
        <v>0</v>
      </c>
      <c r="I643" s="221">
        <f t="shared" si="433"/>
      </c>
      <c r="J643" s="285">
        <v>6712.08</v>
      </c>
      <c r="K643" s="223">
        <f t="shared" si="318"/>
      </c>
      <c r="L643" s="223">
        <f t="shared" si="203"/>
      </c>
      <c r="M643" s="224">
        <f t="shared" si="92"/>
      </c>
      <c r="N643" s="225">
        <f t="shared" si="61"/>
      </c>
      <c r="O643" s="226">
        <f t="shared" si="30"/>
      </c>
      <c r="P643" s="227">
        <f t="shared" si="965"/>
      </c>
      <c r="Q643" s="227">
        <f t="shared" si="934"/>
      </c>
      <c r="R643" s="227">
        <f t="shared" si="903"/>
      </c>
      <c r="S643" s="228">
        <f t="shared" si="872"/>
      </c>
      <c r="T643" s="229">
        <f t="shared" si="810"/>
      </c>
      <c r="U643" s="227">
        <f t="shared" si="779"/>
      </c>
      <c r="V643" s="230">
        <f t="shared" si="841"/>
      </c>
      <c r="W643" s="230">
        <f t="shared" si="748"/>
      </c>
      <c r="X643" s="227">
        <f t="shared" si="717"/>
      </c>
      <c r="Y643" s="231">
        <f t="shared" si="651"/>
      </c>
      <c r="Z643" s="231">
        <v>6</v>
      </c>
      <c r="AA643" s="231">
        <v>2</v>
      </c>
      <c r="AB643" s="232">
        <v>8382.840000000002</v>
      </c>
      <c r="AC643" s="232">
        <v>0</v>
      </c>
      <c r="AD643" s="228">
        <f t="shared" si="686"/>
      </c>
      <c r="AE643" s="233" t="s">
        <v>202</v>
      </c>
      <c r="AF643" s="234" t="s">
        <v>240</v>
      </c>
      <c r="AG643" s="235">
        <v>1</v>
      </c>
      <c r="AH643" s="236">
        <v>53992</v>
      </c>
      <c r="AI643" s="236">
        <v>1222</v>
      </c>
      <c r="AJ643" s="236">
        <v>1399</v>
      </c>
      <c r="AK643" s="237">
        <v>196</v>
      </c>
      <c r="AL643" s="237">
        <v>200</v>
      </c>
    </row>
    <row r="644">
      <c r="A644" s="216"/>
      <c r="B644" s="217" t="s">
        <v>200</v>
      </c>
      <c r="C644" s="218" t="s">
        <v>236</v>
      </c>
      <c r="D644" s="219">
        <f t="shared" si="546"/>
      </c>
      <c r="E644" s="218">
        <v>443.37</v>
      </c>
      <c r="F644" s="218">
        <v>3166.41</v>
      </c>
      <c r="G644" s="221">
        <v>0</v>
      </c>
      <c r="H644" s="221">
        <v>0</v>
      </c>
      <c r="I644" s="221">
        <f t="shared" si="433"/>
      </c>
      <c r="J644" s="222">
        <v>0</v>
      </c>
      <c r="K644" s="223">
        <f t="shared" si="318"/>
      </c>
      <c r="L644" s="223">
        <f t="shared" si="203"/>
      </c>
      <c r="M644" s="224">
        <f t="shared" si="92"/>
      </c>
      <c r="N644" s="225">
        <f t="shared" si="61"/>
      </c>
      <c r="O644" s="226">
        <f t="shared" si="30"/>
      </c>
      <c r="P644" s="227">
        <f t="shared" si="965"/>
      </c>
      <c r="Q644" s="227">
        <f t="shared" si="934"/>
      </c>
      <c r="R644" s="227">
        <f t="shared" si="903"/>
      </c>
      <c r="S644" s="228">
        <f t="shared" si="872"/>
      </c>
      <c r="T644" s="229">
        <f t="shared" si="810"/>
      </c>
      <c r="U644" s="227">
        <f t="shared" si="779"/>
      </c>
      <c r="V644" s="230">
        <f t="shared" si="841"/>
      </c>
      <c r="W644" s="230">
        <f t="shared" si="748"/>
      </c>
      <c r="X644" s="227">
        <f t="shared" si="717"/>
      </c>
      <c r="Y644" s="231">
        <f t="shared" si="651"/>
      </c>
      <c r="Z644" s="231">
        <v>3</v>
      </c>
      <c r="AA644" s="231">
        <v>1</v>
      </c>
      <c r="AB644" s="232">
        <v>1172.8799999999992</v>
      </c>
      <c r="AC644" s="232">
        <v>0</v>
      </c>
      <c r="AD644" s="228">
        <f t="shared" si="686"/>
      </c>
      <c r="AE644" s="233" t="s">
        <v>202</v>
      </c>
      <c r="AF644" s="234" t="s">
        <v>240</v>
      </c>
      <c r="AG644" s="237">
        <v>0</v>
      </c>
      <c r="AH644" s="236">
        <v>30003</v>
      </c>
      <c r="AI644" s="236">
        <v>765</v>
      </c>
      <c r="AJ644" s="236">
        <v>833</v>
      </c>
      <c r="AK644" s="237">
        <v>109</v>
      </c>
      <c r="AL644" s="237">
        <v>117</v>
      </c>
    </row>
    <row r="645">
      <c r="A645" s="216"/>
      <c r="B645" s="217" t="s">
        <v>200</v>
      </c>
      <c r="C645" s="218" t="s">
        <v>216</v>
      </c>
      <c r="D645" s="219">
        <f t="shared" si="546"/>
      </c>
      <c r="E645" s="218">
        <v>753.7</v>
      </c>
      <c r="F645" s="221">
        <v>2596.44</v>
      </c>
      <c r="G645" s="221">
        <v>0</v>
      </c>
      <c r="H645" s="221">
        <v>0</v>
      </c>
      <c r="I645" s="221">
        <f t="shared" si="433"/>
      </c>
      <c r="J645" s="222">
        <v>0</v>
      </c>
      <c r="K645" s="223">
        <f t="shared" si="318"/>
      </c>
      <c r="L645" s="223">
        <f t="shared" si="203"/>
      </c>
      <c r="M645" s="224">
        <f t="shared" si="92"/>
      </c>
      <c r="N645" s="225">
        <f t="shared" si="61"/>
      </c>
      <c r="O645" s="226">
        <f t="shared" si="30"/>
      </c>
      <c r="P645" s="227">
        <f t="shared" si="965"/>
      </c>
      <c r="Q645" s="227">
        <f t="shared" si="934"/>
      </c>
      <c r="R645" s="227">
        <f t="shared" si="903"/>
      </c>
      <c r="S645" s="228">
        <f t="shared" si="872"/>
      </c>
      <c r="T645" s="229">
        <f t="shared" si="810"/>
      </c>
      <c r="U645" s="227">
        <f t="shared" si="779"/>
      </c>
      <c r="V645" s="230">
        <f t="shared" si="841"/>
      </c>
      <c r="W645" s="230">
        <f t="shared" si="748"/>
      </c>
      <c r="X645" s="227">
        <f t="shared" si="717"/>
      </c>
      <c r="Y645" s="231">
        <f t="shared" si="651"/>
      </c>
      <c r="Z645" s="231">
        <v>1</v>
      </c>
      <c r="AA645" s="231">
        <v>1</v>
      </c>
      <c r="AB645" s="232">
        <v>1149.119999999999</v>
      </c>
      <c r="AC645" s="232">
        <v>0</v>
      </c>
      <c r="AD645" s="228">
        <f t="shared" si="686"/>
      </c>
      <c r="AE645" s="233" t="s">
        <v>202</v>
      </c>
      <c r="AF645" s="234" t="s">
        <v>240</v>
      </c>
      <c r="AG645" s="235">
        <v>1</v>
      </c>
      <c r="AH645" s="236">
        <v>23264</v>
      </c>
      <c r="AI645" s="236">
        <v>676</v>
      </c>
      <c r="AJ645" s="236">
        <v>791</v>
      </c>
      <c r="AK645" s="237">
        <v>92</v>
      </c>
      <c r="AL645" s="237">
        <v>92</v>
      </c>
    </row>
    <row r="646">
      <c r="A646" s="216"/>
      <c r="B646" s="217" t="s">
        <v>200</v>
      </c>
      <c r="C646" s="218" t="s">
        <v>218</v>
      </c>
      <c r="D646" s="219">
        <f t="shared" si="546"/>
      </c>
      <c r="E646" s="220">
        <v>729.72</v>
      </c>
      <c r="F646" s="221">
        <v>3434.16</v>
      </c>
      <c r="G646" s="221">
        <v>0</v>
      </c>
      <c r="H646" s="221">
        <v>0</v>
      </c>
      <c r="I646" s="221">
        <f t="shared" si="433"/>
      </c>
      <c r="J646" s="222">
        <f>5157+590.76</f>
      </c>
      <c r="K646" s="223">
        <f t="shared" si="318"/>
      </c>
      <c r="L646" s="223">
        <f t="shared" si="203"/>
      </c>
      <c r="M646" s="224">
        <f t="shared" si="92"/>
      </c>
      <c r="N646" s="225">
        <f t="shared" si="61"/>
      </c>
      <c r="O646" s="226">
        <f t="shared" si="30"/>
      </c>
      <c r="P646" s="227">
        <f t="shared" si="965"/>
      </c>
      <c r="Q646" s="227">
        <f t="shared" si="934"/>
      </c>
      <c r="R646" s="227">
        <f t="shared" si="903"/>
      </c>
      <c r="S646" s="228">
        <f t="shared" si="872"/>
      </c>
      <c r="T646" s="229">
        <f t="shared" si="810"/>
      </c>
      <c r="U646" s="227">
        <f t="shared" si="779"/>
      </c>
      <c r="V646" s="230">
        <f t="shared" si="841"/>
      </c>
      <c r="W646" s="230">
        <f t="shared" si="748"/>
      </c>
      <c r="X646" s="227">
        <f t="shared" si="717"/>
      </c>
      <c r="Y646" s="231">
        <f t="shared" si="651"/>
      </c>
      <c r="Z646" s="231">
        <v>5</v>
      </c>
      <c r="AA646" s="231">
        <v>6</v>
      </c>
      <c r="AB646" s="232">
        <f>5836.32+5157</f>
      </c>
      <c r="AC646" s="232">
        <v>874</v>
      </c>
      <c r="AD646" s="228">
        <f t="shared" si="686"/>
      </c>
      <c r="AE646" s="233" t="s">
        <v>202</v>
      </c>
      <c r="AF646" s="234" t="s">
        <v>240</v>
      </c>
      <c r="AG646" s="235">
        <v>6</v>
      </c>
      <c r="AH646" s="236">
        <v>29411</v>
      </c>
      <c r="AI646" s="236">
        <v>828</v>
      </c>
      <c r="AJ646" s="236">
        <v>960</v>
      </c>
      <c r="AK646" s="235">
        <v>109</v>
      </c>
      <c r="AL646" s="235">
        <v>140</v>
      </c>
    </row>
    <row r="647">
      <c r="A647" s="216"/>
      <c r="B647" s="239" t="s">
        <v>208</v>
      </c>
      <c r="C647" s="240">
        <v>5</v>
      </c>
      <c r="D647" s="241">
        <f>SUM(D642:D646)</f>
      </c>
      <c r="E647" s="241">
        <f>SUM(E642:E646)</f>
      </c>
      <c r="F647" s="241">
        <f>SUM(F642:F646)</f>
      </c>
      <c r="G647" s="241">
        <f>SUM(G642:G646)</f>
      </c>
      <c r="H647" s="241">
        <f>SUM(H642:H646)</f>
      </c>
      <c r="I647" s="241">
        <f>SUM(I642:I646)</f>
      </c>
      <c r="J647" s="241">
        <f>SUM(J642:J646)</f>
      </c>
      <c r="K647" s="241">
        <f>SUM(K642:K646)</f>
      </c>
      <c r="L647" s="241">
        <f>SUM(L642:L646)</f>
      </c>
      <c r="M647" s="242">
        <f t="shared" si="92"/>
      </c>
      <c r="N647" s="243">
        <f t="shared" si="61"/>
      </c>
      <c r="O647" s="243">
        <f t="shared" si="30"/>
      </c>
      <c r="P647" s="244">
        <f t="shared" si="965"/>
      </c>
      <c r="Q647" s="244">
        <f t="shared" si="934"/>
      </c>
      <c r="R647" s="244">
        <f t="shared" si="903"/>
      </c>
      <c r="S647" s="245">
        <f t="shared" si="872"/>
      </c>
      <c r="T647" s="245">
        <f t="shared" si="810"/>
      </c>
      <c r="U647" s="244">
        <f t="shared" si="779"/>
      </c>
      <c r="V647" s="245">
        <f t="shared" si="841"/>
      </c>
      <c r="W647" s="245">
        <f t="shared" si="748"/>
      </c>
      <c r="X647" s="244">
        <f t="shared" si="717"/>
      </c>
      <c r="Y647" s="241">
        <f>SUM(Y642:Y646)</f>
      </c>
      <c r="Z647" s="241">
        <f>SUM(Z642:Z646)</f>
      </c>
      <c r="AA647" s="241">
        <f>SUM(AA642:AA646)</f>
      </c>
      <c r="AB647" s="241">
        <f>SUM(AB642:AB646)</f>
      </c>
      <c r="AC647" s="241">
        <f>SUM(AC642:AC646)</f>
      </c>
      <c r="AD647" s="246">
        <f t="shared" si="686"/>
      </c>
      <c r="AE647" s="247"/>
      <c r="AF647" s="248"/>
      <c r="AG647" s="241">
        <f>SUM(AG642:AG646)</f>
      </c>
      <c r="AH647" s="241">
        <f>SUM(AH642:AH646)</f>
      </c>
      <c r="AI647" s="241">
        <f>SUM(AI642:AI646)</f>
      </c>
      <c r="AJ647" s="241">
        <f>SUM(AJ642:AJ646)</f>
      </c>
      <c r="AK647" s="241">
        <f>SUM(AK642:AK646)</f>
      </c>
      <c r="AL647" s="241">
        <f>SUM(AL642:AL646)</f>
      </c>
    </row>
    <row r="648">
      <c r="A648" s="216"/>
      <c r="B648" s="217" t="s">
        <v>209</v>
      </c>
      <c r="C648" s="218" t="s">
        <v>219</v>
      </c>
      <c r="D648" s="219">
        <f t="shared" ref="D648:D652" si="547">E648+F648+G648+H648</f>
      </c>
      <c r="E648" s="220">
        <v>718.45</v>
      </c>
      <c r="F648" s="221">
        <v>3929.99</v>
      </c>
      <c r="G648" s="221">
        <v>0</v>
      </c>
      <c r="H648" s="221">
        <v>0</v>
      </c>
      <c r="I648" s="221">
        <f t="shared" ref="I648:I652" si="434">AB648+AC648</f>
      </c>
      <c r="J648" s="222">
        <v>4725</v>
      </c>
      <c r="K648" s="223">
        <f t="shared" ref="K648:K652" si="319">I648-J648</f>
      </c>
      <c r="L648" s="223">
        <f t="shared" ref="L648:L652" si="204">(I648-AC648)/12+AC648</f>
      </c>
      <c r="M648" s="224">
        <f t="shared" si="92"/>
      </c>
      <c r="N648" s="225">
        <f t="shared" si="61"/>
      </c>
      <c r="O648" s="226">
        <f t="shared" si="30"/>
      </c>
      <c r="P648" s="227">
        <f t="shared" si="965"/>
      </c>
      <c r="Q648" s="227">
        <f t="shared" si="934"/>
      </c>
      <c r="R648" s="227">
        <f t="shared" si="903"/>
      </c>
      <c r="S648" s="228">
        <f t="shared" si="872"/>
      </c>
      <c r="T648" s="229">
        <f t="shared" si="810"/>
      </c>
      <c r="U648" s="227">
        <f t="shared" si="779"/>
      </c>
      <c r="V648" s="230">
        <f t="shared" si="841"/>
      </c>
      <c r="W648" s="230">
        <f t="shared" si="748"/>
      </c>
      <c r="X648" s="227">
        <f t="shared" si="717"/>
      </c>
      <c r="Y648" s="231">
        <f t="shared" ref="Y648:Y652" si="652">Z648+AA648</f>
      </c>
      <c r="Z648" s="231">
        <v>2</v>
      </c>
      <c r="AA648" s="231">
        <v>5</v>
      </c>
      <c r="AB648" s="232">
        <v>10221.12</v>
      </c>
      <c r="AC648" s="232">
        <v>855</v>
      </c>
      <c r="AD648" s="228">
        <f t="shared" si="686"/>
      </c>
      <c r="AE648" s="233" t="s">
        <v>202</v>
      </c>
      <c r="AF648" s="234" t="s">
        <v>240</v>
      </c>
      <c r="AG648" s="235">
        <v>5</v>
      </c>
      <c r="AH648" s="236">
        <v>36776</v>
      </c>
      <c r="AI648" s="236">
        <v>772</v>
      </c>
      <c r="AJ648" s="236">
        <v>855</v>
      </c>
      <c r="AK648" s="235">
        <v>110</v>
      </c>
      <c r="AL648" s="235">
        <v>127</v>
      </c>
    </row>
    <row r="649">
      <c r="A649" s="216"/>
      <c r="B649" s="217" t="s">
        <v>209</v>
      </c>
      <c r="C649" s="218" t="s">
        <v>220</v>
      </c>
      <c r="D649" s="219">
        <f t="shared" si="547"/>
      </c>
      <c r="E649" s="218">
        <v>614.91</v>
      </c>
      <c r="F649" s="221">
        <v>5895.66</v>
      </c>
      <c r="G649" s="221">
        <v>0</v>
      </c>
      <c r="H649" s="221">
        <v>0</v>
      </c>
      <c r="I649" s="221">
        <f t="shared" si="434"/>
      </c>
      <c r="J649" s="222">
        <f>435.24+2917.08</f>
      </c>
      <c r="K649" s="223">
        <f t="shared" si="319"/>
      </c>
      <c r="L649" s="223">
        <f t="shared" si="204"/>
      </c>
      <c r="M649" s="224">
        <f t="shared" si="92"/>
      </c>
      <c r="N649" s="225">
        <f t="shared" si="61"/>
      </c>
      <c r="O649" s="226">
        <f t="shared" si="30"/>
      </c>
      <c r="P649" s="227">
        <f t="shared" si="965"/>
      </c>
      <c r="Q649" s="227">
        <f t="shared" si="934"/>
      </c>
      <c r="R649" s="227">
        <f t="shared" si="903"/>
      </c>
      <c r="S649" s="228">
        <f t="shared" si="872"/>
      </c>
      <c r="T649" s="229">
        <f t="shared" si="810"/>
      </c>
      <c r="U649" s="227">
        <f t="shared" si="779"/>
      </c>
      <c r="V649" s="230">
        <f t="shared" si="841"/>
      </c>
      <c r="W649" s="230">
        <f t="shared" si="748"/>
      </c>
      <c r="X649" s="227">
        <f t="shared" si="717"/>
      </c>
      <c r="Y649" s="231">
        <f t="shared" si="652"/>
      </c>
      <c r="Z649" s="231">
        <v>3</v>
      </c>
      <c r="AA649" s="231">
        <v>4</v>
      </c>
      <c r="AB649" s="232">
        <v>9090.359999999999</v>
      </c>
      <c r="AC649" s="232">
        <v>0</v>
      </c>
      <c r="AD649" s="228">
        <f t="shared" si="686"/>
      </c>
      <c r="AE649" s="233" t="s">
        <v>202</v>
      </c>
      <c r="AF649" s="234" t="s">
        <v>240</v>
      </c>
      <c r="AG649" s="235">
        <v>3</v>
      </c>
      <c r="AH649" s="236">
        <v>59653</v>
      </c>
      <c r="AI649" s="236">
        <v>1218</v>
      </c>
      <c r="AJ649" s="236">
        <v>1277</v>
      </c>
      <c r="AK649" s="237">
        <v>143</v>
      </c>
      <c r="AL649" s="237">
        <v>173</v>
      </c>
    </row>
    <row r="650">
      <c r="A650" s="216"/>
      <c r="B650" s="217" t="s">
        <v>209</v>
      </c>
      <c r="C650" s="218" t="s">
        <v>221</v>
      </c>
      <c r="D650" s="219">
        <f t="shared" si="547"/>
      </c>
      <c r="E650" s="218">
        <v>609.04</v>
      </c>
      <c r="F650" s="218">
        <v>4888.09</v>
      </c>
      <c r="G650" s="221">
        <v>0</v>
      </c>
      <c r="H650" s="221">
        <v>0</v>
      </c>
      <c r="I650" s="221">
        <f t="shared" si="434"/>
      </c>
      <c r="J650" s="222">
        <v>1337.04</v>
      </c>
      <c r="K650" s="223">
        <f t="shared" si="319"/>
      </c>
      <c r="L650" s="223">
        <f t="shared" si="204"/>
      </c>
      <c r="M650" s="224">
        <f t="shared" si="92"/>
      </c>
      <c r="N650" s="225">
        <f t="shared" si="61"/>
      </c>
      <c r="O650" s="226">
        <f t="shared" si="30"/>
      </c>
      <c r="P650" s="227">
        <f t="shared" si="965"/>
      </c>
      <c r="Q650" s="227">
        <f t="shared" si="934"/>
      </c>
      <c r="R650" s="227">
        <f t="shared" si="903"/>
      </c>
      <c r="S650" s="228">
        <f t="shared" si="872"/>
      </c>
      <c r="T650" s="229">
        <f t="shared" si="810"/>
      </c>
      <c r="U650" s="227">
        <f t="shared" si="779"/>
      </c>
      <c r="V650" s="230">
        <f t="shared" si="841"/>
      </c>
      <c r="W650" s="230">
        <f t="shared" si="748"/>
      </c>
      <c r="X650" s="227">
        <f t="shared" si="717"/>
      </c>
      <c r="Y650" s="231">
        <f t="shared" si="652"/>
      </c>
      <c r="Z650" s="231">
        <v>5</v>
      </c>
      <c r="AA650" s="231">
        <v>4</v>
      </c>
      <c r="AB650" s="232">
        <v>6980.039999999992</v>
      </c>
      <c r="AC650" s="232">
        <v>0</v>
      </c>
      <c r="AD650" s="228">
        <f t="shared" si="686"/>
      </c>
      <c r="AE650" s="233" t="s">
        <v>202</v>
      </c>
      <c r="AF650" s="234" t="s">
        <v>240</v>
      </c>
      <c r="AG650" s="237">
        <v>4</v>
      </c>
      <c r="AH650" s="236">
        <v>58795</v>
      </c>
      <c r="AI650" s="236">
        <v>1125</v>
      </c>
      <c r="AJ650" s="236">
        <v>1180</v>
      </c>
      <c r="AK650" s="237">
        <v>160</v>
      </c>
      <c r="AL650" s="237">
        <v>164</v>
      </c>
    </row>
    <row r="651">
      <c r="A651" s="216"/>
      <c r="B651" s="217" t="s">
        <v>209</v>
      </c>
      <c r="C651" s="218" t="s">
        <v>201</v>
      </c>
      <c r="D651" s="219">
        <f t="shared" si="547"/>
      </c>
      <c r="E651" s="218">
        <v>484.76</v>
      </c>
      <c r="F651" s="221">
        <v>2950.99</v>
      </c>
      <c r="G651" s="221">
        <v>0</v>
      </c>
      <c r="H651" s="221">
        <v>0</v>
      </c>
      <c r="I651" s="221">
        <f t="shared" si="434"/>
      </c>
      <c r="J651" s="222">
        <v>0</v>
      </c>
      <c r="K651" s="223">
        <f t="shared" si="319"/>
      </c>
      <c r="L651" s="223">
        <f t="shared" si="204"/>
      </c>
      <c r="M651" s="224">
        <f t="shared" si="92"/>
      </c>
      <c r="N651" s="225">
        <f t="shared" si="61"/>
      </c>
      <c r="O651" s="226">
        <f t="shared" si="30"/>
      </c>
      <c r="P651" s="227">
        <f t="shared" si="965"/>
      </c>
      <c r="Q651" s="227">
        <f t="shared" si="934"/>
      </c>
      <c r="R651" s="227">
        <f t="shared" si="903"/>
      </c>
      <c r="S651" s="228">
        <f t="shared" si="872"/>
      </c>
      <c r="T651" s="229">
        <f t="shared" si="810"/>
      </c>
      <c r="U651" s="227">
        <f t="shared" si="779"/>
      </c>
      <c r="V651" s="230">
        <f t="shared" si="841"/>
      </c>
      <c r="W651" s="230">
        <f t="shared" si="748"/>
      </c>
      <c r="X651" s="227">
        <f t="shared" si="717"/>
      </c>
      <c r="Y651" s="231">
        <f t="shared" si="652"/>
      </c>
      <c r="Z651" s="231">
        <v>5</v>
      </c>
      <c r="AA651" s="231">
        <v>5</v>
      </c>
      <c r="AB651" s="222">
        <v>4404.48</v>
      </c>
      <c r="AC651" s="232">
        <v>0</v>
      </c>
      <c r="AD651" s="228">
        <f t="shared" si="686"/>
      </c>
      <c r="AE651" s="233" t="s">
        <v>202</v>
      </c>
      <c r="AF651" s="234" t="s">
        <v>240</v>
      </c>
      <c r="AG651" s="235">
        <v>3</v>
      </c>
      <c r="AH651" s="236">
        <v>28512</v>
      </c>
      <c r="AI651" s="236">
        <v>634</v>
      </c>
      <c r="AJ651" s="236">
        <v>700</v>
      </c>
      <c r="AK651" s="237">
        <v>87</v>
      </c>
      <c r="AL651" s="237">
        <v>98</v>
      </c>
    </row>
    <row r="652">
      <c r="A652" s="216"/>
      <c r="B652" s="217" t="s">
        <v>209</v>
      </c>
      <c r="C652" s="218" t="s">
        <v>204</v>
      </c>
      <c r="D652" s="219">
        <f t="shared" si="547"/>
      </c>
      <c r="E652" s="218">
        <v>575.18</v>
      </c>
      <c r="F652" s="249">
        <v>4513.57</v>
      </c>
      <c r="G652" s="221">
        <v>0</v>
      </c>
      <c r="H652" s="221">
        <v>0</v>
      </c>
      <c r="I652" s="221">
        <f t="shared" si="434"/>
      </c>
      <c r="J652" s="251">
        <v>5153.75</v>
      </c>
      <c r="K652" s="223">
        <f t="shared" si="319"/>
      </c>
      <c r="L652" s="223">
        <f t="shared" si="204"/>
      </c>
      <c r="M652" s="224">
        <f t="shared" si="92"/>
      </c>
      <c r="N652" s="225">
        <f t="shared" si="61"/>
      </c>
      <c r="O652" s="226">
        <f t="shared" si="30"/>
      </c>
      <c r="P652" s="227">
        <f t="shared" si="965"/>
      </c>
      <c r="Q652" s="227">
        <f t="shared" si="934"/>
      </c>
      <c r="R652" s="227">
        <f t="shared" si="903"/>
      </c>
      <c r="S652" s="228">
        <f t="shared" si="872"/>
      </c>
      <c r="T652" s="229">
        <f t="shared" si="810"/>
      </c>
      <c r="U652" s="227">
        <f t="shared" si="779"/>
      </c>
      <c r="V652" s="230">
        <f t="shared" si="841"/>
      </c>
      <c r="W652" s="230">
        <f t="shared" si="748"/>
      </c>
      <c r="X652" s="227">
        <f t="shared" si="717"/>
      </c>
      <c r="Y652" s="231">
        <f t="shared" si="652"/>
      </c>
      <c r="Z652" s="231">
        <v>0</v>
      </c>
      <c r="AA652" s="231">
        <v>5</v>
      </c>
      <c r="AB652" s="232">
        <v>7700.040000000006</v>
      </c>
      <c r="AC652" s="232">
        <v>6137.950000000001</v>
      </c>
      <c r="AD652" s="228">
        <f t="shared" si="686"/>
      </c>
      <c r="AE652" s="233" t="s">
        <v>202</v>
      </c>
      <c r="AF652" s="234" t="s">
        <v>240</v>
      </c>
      <c r="AG652" s="235">
        <v>5</v>
      </c>
      <c r="AH652" s="236">
        <v>41158</v>
      </c>
      <c r="AI652" s="236">
        <v>833</v>
      </c>
      <c r="AJ652" s="236">
        <v>853</v>
      </c>
      <c r="AK652" s="237">
        <v>114</v>
      </c>
      <c r="AL652" s="237">
        <v>137</v>
      </c>
    </row>
    <row r="653">
      <c r="A653" s="216"/>
      <c r="B653" s="239" t="s">
        <v>208</v>
      </c>
      <c r="C653" s="240">
        <v>5</v>
      </c>
      <c r="D653" s="241">
        <f>SUM(D648:D652)</f>
      </c>
      <c r="E653" s="241">
        <f>SUM(E648:E652)</f>
      </c>
      <c r="F653" s="241">
        <f>SUM(F648:F652)</f>
      </c>
      <c r="G653" s="241">
        <f>SUM(G648:G652)</f>
      </c>
      <c r="H653" s="241">
        <f>SUM(H648:H652)</f>
      </c>
      <c r="I653" s="241">
        <f>SUM(I648:I652)</f>
      </c>
      <c r="J653" s="241">
        <f>SUM(J648:J652)</f>
      </c>
      <c r="K653" s="241">
        <f>SUM(K648:K652)</f>
      </c>
      <c r="L653" s="241">
        <f>SUM(L648:L652)</f>
      </c>
      <c r="M653" s="242">
        <f t="shared" si="92"/>
      </c>
      <c r="N653" s="243">
        <f t="shared" si="61"/>
      </c>
      <c r="O653" s="243">
        <f t="shared" si="30"/>
      </c>
      <c r="P653" s="244">
        <f t="shared" si="965"/>
      </c>
      <c r="Q653" s="244">
        <f t="shared" si="934"/>
      </c>
      <c r="R653" s="244">
        <f t="shared" si="903"/>
      </c>
      <c r="S653" s="245">
        <f t="shared" si="872"/>
      </c>
      <c r="T653" s="245">
        <f t="shared" si="810"/>
      </c>
      <c r="U653" s="244">
        <f t="shared" si="779"/>
      </c>
      <c r="V653" s="245">
        <f t="shared" si="841"/>
      </c>
      <c r="W653" s="245">
        <f t="shared" si="748"/>
      </c>
      <c r="X653" s="244">
        <f t="shared" si="717"/>
      </c>
      <c r="Y653" s="241">
        <f>SUM(Y648:Y652)</f>
      </c>
      <c r="Z653" s="241">
        <f>SUM(Z648:Z652)</f>
      </c>
      <c r="AA653" s="241">
        <f>SUM(AA648:AA652)</f>
      </c>
      <c r="AB653" s="241">
        <f>SUM(AB648:AB652)</f>
      </c>
      <c r="AC653" s="241">
        <f>SUM(AC648:AC652)</f>
      </c>
      <c r="AD653" s="246">
        <f t="shared" si="686"/>
      </c>
      <c r="AE653" s="247"/>
      <c r="AF653" s="248"/>
      <c r="AG653" s="241">
        <f>SUM(AG648:AG652)</f>
      </c>
      <c r="AH653" s="241">
        <f>SUM(AH648:AH652)</f>
      </c>
      <c r="AI653" s="241">
        <f>SUM(AI648:AI652)</f>
      </c>
      <c r="AJ653" s="241">
        <f>SUM(AJ648:AJ652)</f>
      </c>
      <c r="AK653" s="241">
        <f>SUM(AK648:AK652)</f>
      </c>
      <c r="AL653" s="241">
        <f>SUM(AL648:AL652)</f>
      </c>
    </row>
    <row r="654">
      <c r="A654" s="216"/>
      <c r="B654" s="217" t="s">
        <v>225</v>
      </c>
      <c r="C654" s="218" t="s">
        <v>205</v>
      </c>
      <c r="D654" s="219">
        <f t="shared" ref="D654:D655" si="548">E654+F654+G654+H654</f>
      </c>
      <c r="E654" s="218">
        <v>643.85</v>
      </c>
      <c r="F654" s="249">
        <v>4904.97</v>
      </c>
      <c r="G654" s="221">
        <v>0</v>
      </c>
      <c r="H654" s="221">
        <v>0</v>
      </c>
      <c r="I654" s="221">
        <f t="shared" ref="I654:I655" si="435">AB654+AC654</f>
      </c>
      <c r="J654" s="251">
        <f>488.16+465.48</f>
      </c>
      <c r="K654" s="223">
        <f t="shared" ref="K654:K655" si="320">I654-J654</f>
      </c>
      <c r="L654" s="223">
        <f t="shared" ref="L654:L655" si="205">(I654-AC654)/12+AC654</f>
      </c>
      <c r="M654" s="224">
        <f t="shared" si="92"/>
      </c>
      <c r="N654" s="225">
        <f t="shared" si="61"/>
      </c>
      <c r="O654" s="226">
        <f t="shared" si="30"/>
      </c>
      <c r="P654" s="227">
        <f t="shared" si="965"/>
      </c>
      <c r="Q654" s="227">
        <f t="shared" si="934"/>
      </c>
      <c r="R654" s="227">
        <f t="shared" si="903"/>
      </c>
      <c r="S654" s="228">
        <f t="shared" si="872"/>
      </c>
      <c r="T654" s="229">
        <f t="shared" si="810"/>
      </c>
      <c r="U654" s="227">
        <f t="shared" si="779"/>
      </c>
      <c r="V654" s="230">
        <f t="shared" si="841"/>
      </c>
      <c r="W654" s="230">
        <f t="shared" si="748"/>
      </c>
      <c r="X654" s="227">
        <f t="shared" si="717"/>
      </c>
      <c r="Y654" s="231">
        <f t="shared" ref="Y654:Y655" si="653">Z654+AA654</f>
      </c>
      <c r="Z654" s="231">
        <v>2</v>
      </c>
      <c r="AA654" s="231">
        <v>5</v>
      </c>
      <c r="AB654" s="232">
        <v>3977.640000000005</v>
      </c>
      <c r="AC654" s="232">
        <v>0</v>
      </c>
      <c r="AD654" s="228">
        <f t="shared" si="686"/>
      </c>
      <c r="AE654" s="233" t="s">
        <v>202</v>
      </c>
      <c r="AF654" s="234" t="s">
        <v>203</v>
      </c>
      <c r="AG654" s="235">
        <v>4</v>
      </c>
      <c r="AH654" s="236">
        <v>51392</v>
      </c>
      <c r="AI654" s="236">
        <v>1069</v>
      </c>
      <c r="AJ654" s="236">
        <v>1099</v>
      </c>
      <c r="AK654" s="237">
        <v>133</v>
      </c>
      <c r="AL654" s="237">
        <v>170</v>
      </c>
    </row>
    <row r="655">
      <c r="A655" s="216"/>
      <c r="B655" s="217" t="s">
        <v>225</v>
      </c>
      <c r="C655" s="218" t="s">
        <v>206</v>
      </c>
      <c r="D655" s="219">
        <f t="shared" si="548"/>
      </c>
      <c r="E655" s="252">
        <v>455.02</v>
      </c>
      <c r="F655" s="268">
        <v>3343.74</v>
      </c>
      <c r="G655" s="221">
        <v>0</v>
      </c>
      <c r="H655" s="221">
        <v>0</v>
      </c>
      <c r="I655" s="221">
        <f t="shared" si="435"/>
      </c>
      <c r="J655" s="251">
        <v>2036.88</v>
      </c>
      <c r="K655" s="223">
        <f t="shared" si="320"/>
      </c>
      <c r="L655" s="223">
        <f t="shared" si="205"/>
      </c>
      <c r="M655" s="224">
        <f t="shared" si="92"/>
      </c>
      <c r="N655" s="225">
        <f t="shared" si="61"/>
      </c>
      <c r="O655" s="226">
        <f t="shared" si="30"/>
      </c>
      <c r="P655" s="227">
        <f t="shared" si="965"/>
      </c>
      <c r="Q655" s="227">
        <f t="shared" si="934"/>
      </c>
      <c r="R655" s="227">
        <f t="shared" si="903"/>
      </c>
      <c r="S655" s="228">
        <f t="shared" si="872"/>
      </c>
      <c r="T655" s="229">
        <f t="shared" si="810"/>
      </c>
      <c r="U655" s="227">
        <f t="shared" si="779"/>
      </c>
      <c r="V655" s="230">
        <f t="shared" si="841"/>
      </c>
      <c r="W655" s="230">
        <f t="shared" si="748"/>
      </c>
      <c r="X655" s="227">
        <f t="shared" si="717"/>
      </c>
      <c r="Y655" s="231">
        <f t="shared" si="653"/>
      </c>
      <c r="Z655" s="231">
        <v>4</v>
      </c>
      <c r="AA655" s="231">
        <v>3</v>
      </c>
      <c r="AB655" s="232">
        <v>3315.600000000004</v>
      </c>
      <c r="AC655" s="232">
        <v>4643</v>
      </c>
      <c r="AD655" s="228">
        <f t="shared" si="686"/>
      </c>
      <c r="AE655" s="233" t="s">
        <v>202</v>
      </c>
      <c r="AF655" s="234" t="s">
        <v>203</v>
      </c>
      <c r="AG655" s="237">
        <v>2</v>
      </c>
      <c r="AH655" s="236">
        <v>35527</v>
      </c>
      <c r="AI655" s="236">
        <v>880</v>
      </c>
      <c r="AJ655" s="236">
        <v>945</v>
      </c>
      <c r="AK655" s="237">
        <v>105</v>
      </c>
      <c r="AL655" s="237">
        <v>133</v>
      </c>
    </row>
    <row customHeight="true" ht="16.666666666666668" r="656">
      <c r="A656" s="216"/>
      <c r="B656" s="239" t="s">
        <v>208</v>
      </c>
      <c r="C656" s="240">
        <v>2</v>
      </c>
      <c r="D656" s="241">
        <f>SUM(D654:D655)</f>
      </c>
      <c r="E656" s="241">
        <f>SUM(E654:E655)</f>
      </c>
      <c r="F656" s="241">
        <f>SUM(F654:F655)</f>
      </c>
      <c r="G656" s="241">
        <f>SUM(G654:G655)</f>
      </c>
      <c r="H656" s="241">
        <f>SUM(H654:H655)</f>
      </c>
      <c r="I656" s="241">
        <f>SUM(I654:I655)</f>
      </c>
      <c r="J656" s="241">
        <f>SUM(J654:J655)</f>
      </c>
      <c r="K656" s="241">
        <f>SUM(K654:K655)</f>
      </c>
      <c r="L656" s="241">
        <f>SUM(L654:L655)</f>
      </c>
      <c r="M656" s="242">
        <f t="shared" si="92"/>
      </c>
      <c r="N656" s="243">
        <f t="shared" si="61"/>
      </c>
      <c r="O656" s="243">
        <f t="shared" si="30"/>
      </c>
      <c r="P656" s="244">
        <f t="shared" si="965"/>
      </c>
      <c r="Q656" s="244">
        <f t="shared" si="934"/>
      </c>
      <c r="R656" s="244">
        <f t="shared" si="903"/>
      </c>
      <c r="S656" s="245">
        <f t="shared" si="872"/>
      </c>
      <c r="T656" s="245">
        <f t="shared" si="810"/>
      </c>
      <c r="U656" s="244">
        <f t="shared" si="779"/>
      </c>
      <c r="V656" s="245">
        <f t="shared" si="841"/>
      </c>
      <c r="W656" s="245">
        <f t="shared" si="748"/>
      </c>
      <c r="X656" s="244">
        <f t="shared" si="717"/>
      </c>
      <c r="Y656" s="241">
        <f>SUM(Y654:Y655)</f>
      </c>
      <c r="Z656" s="241">
        <f>SUM(Z654:Z655)</f>
      </c>
      <c r="AA656" s="241">
        <f>SUM(AA654:AA655)</f>
      </c>
      <c r="AB656" s="241">
        <f>SUM(AB654:AB655)</f>
      </c>
      <c r="AC656" s="241">
        <f>SUM(AC654:AC655)</f>
      </c>
      <c r="AD656" s="246">
        <f t="shared" si="686"/>
      </c>
      <c r="AE656" s="247"/>
      <c r="AF656" s="248"/>
      <c r="AG656" s="241">
        <f>SUM(AG654:AG655)</f>
      </c>
      <c r="AH656" s="241">
        <f>SUM(AH654:AH655)</f>
      </c>
      <c r="AI656" s="241">
        <f>SUM(AI654:AI655)</f>
      </c>
      <c r="AJ656" s="241">
        <f>SUM(AJ654:AJ655)</f>
      </c>
      <c r="AK656" s="241">
        <f>SUM(AK654:AK655)</f>
      </c>
      <c r="AL656" s="241">
        <f>SUM(AL654:AL655)</f>
      </c>
    </row>
    <row r="657">
      <c r="A657" s="216"/>
      <c r="B657" s="217" t="s">
        <v>224</v>
      </c>
      <c r="C657" s="218" t="s">
        <v>207</v>
      </c>
      <c r="D657" s="219">
        <f t="shared" ref="D657:D659" si="549">E657+F657+G657+H657</f>
      </c>
      <c r="E657" s="218">
        <v>201.35</v>
      </c>
      <c r="F657" s="249">
        <v>3982.77</v>
      </c>
      <c r="G657" s="221">
        <v>0</v>
      </c>
      <c r="H657" s="221">
        <v>0</v>
      </c>
      <c r="I657" s="221">
        <f t="shared" ref="I657:I659" si="436">AB657+AC657</f>
      </c>
      <c r="J657" s="251">
        <v>3008.88</v>
      </c>
      <c r="K657" s="223">
        <f t="shared" ref="K657:K659" si="321">I657-J657</f>
      </c>
      <c r="L657" s="223">
        <f t="shared" ref="L657:L659" si="206">(I657-AC657)/12+AC657</f>
      </c>
      <c r="M657" s="224">
        <f t="shared" si="92"/>
      </c>
      <c r="N657" s="225">
        <f t="shared" si="61"/>
      </c>
      <c r="O657" s="226">
        <f t="shared" si="30"/>
      </c>
      <c r="P657" s="227">
        <f t="shared" si="965"/>
      </c>
      <c r="Q657" s="227">
        <f t="shared" si="934"/>
      </c>
      <c r="R657" s="227">
        <f t="shared" si="903"/>
      </c>
      <c r="S657" s="228">
        <f t="shared" si="872"/>
      </c>
      <c r="T657" s="229">
        <f t="shared" si="810"/>
      </c>
      <c r="U657" s="227">
        <f t="shared" si="779"/>
      </c>
      <c r="V657" s="230">
        <f t="shared" si="841"/>
      </c>
      <c r="W657" s="230">
        <f t="shared" si="748"/>
      </c>
      <c r="X657" s="227">
        <f t="shared" si="717"/>
      </c>
      <c r="Y657" s="231">
        <f t="shared" ref="Y657:Y659" si="654">Z657+AA657</f>
      </c>
      <c r="Z657" s="231">
        <v>1</v>
      </c>
      <c r="AA657" s="231">
        <v>7</v>
      </c>
      <c r="AB657" s="232">
        <v>8481.239999999989</v>
      </c>
      <c r="AC657" s="232">
        <v>547</v>
      </c>
      <c r="AD657" s="228">
        <f t="shared" si="686"/>
      </c>
      <c r="AE657" s="233" t="s">
        <v>202</v>
      </c>
      <c r="AF657" s="234" t="s">
        <v>203</v>
      </c>
      <c r="AG657" s="235">
        <v>7</v>
      </c>
      <c r="AH657" s="236">
        <v>42900</v>
      </c>
      <c r="AI657" s="236">
        <v>842</v>
      </c>
      <c r="AJ657" s="236">
        <v>850</v>
      </c>
      <c r="AK657" s="237">
        <v>110</v>
      </c>
      <c r="AL657" s="237">
        <v>141</v>
      </c>
    </row>
    <row r="658">
      <c r="A658" s="216"/>
      <c r="B658" s="217" t="s">
        <v>224</v>
      </c>
      <c r="C658" s="252" t="s">
        <v>210</v>
      </c>
      <c r="D658" s="219">
        <f t="shared" si="549"/>
      </c>
      <c r="E658" s="218">
        <v>379.1</v>
      </c>
      <c r="F658" s="249">
        <v>9625.46</v>
      </c>
      <c r="G658" s="221">
        <v>0</v>
      </c>
      <c r="H658" s="221">
        <v>0</v>
      </c>
      <c r="I658" s="221">
        <f t="shared" si="436"/>
      </c>
      <c r="J658" s="251">
        <v>0</v>
      </c>
      <c r="K658" s="223">
        <f t="shared" si="321"/>
      </c>
      <c r="L658" s="223">
        <f t="shared" si="206"/>
      </c>
      <c r="M658" s="224">
        <f t="shared" si="92"/>
      </c>
      <c r="N658" s="225">
        <f t="shared" si="61"/>
      </c>
      <c r="O658" s="226">
        <f t="shared" si="30"/>
      </c>
      <c r="P658" s="227">
        <f t="shared" si="965"/>
      </c>
      <c r="Q658" s="227">
        <f t="shared" si="934"/>
      </c>
      <c r="R658" s="227">
        <f t="shared" si="903"/>
      </c>
      <c r="S658" s="228">
        <f t="shared" si="872"/>
      </c>
      <c r="T658" s="229">
        <f t="shared" si="810"/>
      </c>
      <c r="U658" s="227">
        <f t="shared" si="779"/>
      </c>
      <c r="V658" s="230">
        <f t="shared" si="841"/>
      </c>
      <c r="W658" s="230">
        <f t="shared" si="748"/>
      </c>
      <c r="X658" s="227">
        <f t="shared" si="717"/>
      </c>
      <c r="Y658" s="231">
        <f t="shared" si="654"/>
      </c>
      <c r="Z658" s="231">
        <v>11</v>
      </c>
      <c r="AA658" s="231">
        <v>8</v>
      </c>
      <c r="AB658" s="232">
        <v>11851.920000000011</v>
      </c>
      <c r="AC658" s="232">
        <v>0</v>
      </c>
      <c r="AD658" s="228">
        <f t="shared" si="686"/>
      </c>
      <c r="AE658" s="233" t="s">
        <v>202</v>
      </c>
      <c r="AF658" s="234" t="s">
        <v>203</v>
      </c>
      <c r="AG658" s="235">
        <v>7</v>
      </c>
      <c r="AH658" s="236">
        <v>133127</v>
      </c>
      <c r="AI658" s="236">
        <v>1802</v>
      </c>
      <c r="AJ658" s="236">
        <v>1807</v>
      </c>
      <c r="AK658" s="237">
        <v>223</v>
      </c>
      <c r="AL658" s="237">
        <v>296</v>
      </c>
    </row>
    <row r="659">
      <c r="A659" s="216"/>
      <c r="B659" s="217" t="s">
        <v>224</v>
      </c>
      <c r="C659" s="252" t="s">
        <v>211</v>
      </c>
      <c r="D659" s="219">
        <f t="shared" si="549"/>
      </c>
      <c r="E659" s="218">
        <v>494.79</v>
      </c>
      <c r="F659" s="249">
        <v>9157.29</v>
      </c>
      <c r="G659" s="221">
        <v>0</v>
      </c>
      <c r="H659" s="221">
        <v>0</v>
      </c>
      <c r="I659" s="221">
        <f t="shared" si="436"/>
      </c>
      <c r="J659" s="251">
        <v>6913.08</v>
      </c>
      <c r="K659" s="223">
        <f t="shared" si="321"/>
      </c>
      <c r="L659" s="223">
        <f t="shared" si="206"/>
      </c>
      <c r="M659" s="224">
        <f t="shared" si="92"/>
      </c>
      <c r="N659" s="225">
        <f t="shared" si="61"/>
      </c>
      <c r="O659" s="226">
        <f t="shared" si="30"/>
      </c>
      <c r="P659" s="227">
        <f t="shared" si="965"/>
      </c>
      <c r="Q659" s="227">
        <f t="shared" si="934"/>
      </c>
      <c r="R659" s="227">
        <f t="shared" si="903"/>
      </c>
      <c r="S659" s="228">
        <f t="shared" si="872"/>
      </c>
      <c r="T659" s="229">
        <f t="shared" si="810"/>
      </c>
      <c r="U659" s="227">
        <f t="shared" si="779"/>
      </c>
      <c r="V659" s="230">
        <f t="shared" si="841"/>
      </c>
      <c r="W659" s="230">
        <f t="shared" si="748"/>
      </c>
      <c r="X659" s="227">
        <f t="shared" si="717"/>
      </c>
      <c r="Y659" s="231">
        <f t="shared" si="654"/>
      </c>
      <c r="Z659" s="231">
        <v>14</v>
      </c>
      <c r="AA659" s="231">
        <v>10</v>
      </c>
      <c r="AB659" s="232">
        <v>21542.76000000001</v>
      </c>
      <c r="AC659" s="232">
        <v>4222</v>
      </c>
      <c r="AD659" s="228">
        <f t="shared" si="686"/>
      </c>
      <c r="AE659" s="233" t="s">
        <v>202</v>
      </c>
      <c r="AF659" s="234" t="s">
        <v>203</v>
      </c>
      <c r="AG659" s="237">
        <v>8</v>
      </c>
      <c r="AH659" s="236">
        <v>154592</v>
      </c>
      <c r="AI659" s="236">
        <v>1786</v>
      </c>
      <c r="AJ659" s="236">
        <v>1736</v>
      </c>
      <c r="AK659" s="237">
        <v>219</v>
      </c>
      <c r="AL659" s="237">
        <v>308</v>
      </c>
    </row>
    <row r="660">
      <c r="A660" s="216"/>
      <c r="B660" s="239" t="s">
        <v>208</v>
      </c>
      <c r="C660" s="240">
        <v>3</v>
      </c>
      <c r="D660" s="241">
        <f>SUM(D657:D659)</f>
      </c>
      <c r="E660" s="241">
        <f>SUM(E657:E659)</f>
      </c>
      <c r="F660" s="241">
        <f>SUM(F657:F659)</f>
      </c>
      <c r="G660" s="241">
        <f>SUM(G657:G659)</f>
      </c>
      <c r="H660" s="241">
        <f>SUM(H657:H659)</f>
      </c>
      <c r="I660" s="241">
        <f>SUM(I657:I659)</f>
      </c>
      <c r="J660" s="241">
        <f>SUM(J657:J659)</f>
      </c>
      <c r="K660" s="241">
        <f>SUM(K657:K659)</f>
      </c>
      <c r="L660" s="241">
        <f>SUM(L657:L659)</f>
      </c>
      <c r="M660" s="242">
        <f t="shared" si="92"/>
      </c>
      <c r="N660" s="243">
        <f t="shared" si="61"/>
      </c>
      <c r="O660" s="243">
        <f t="shared" si="30"/>
      </c>
      <c r="P660" s="244">
        <f t="shared" si="965"/>
      </c>
      <c r="Q660" s="244">
        <f t="shared" si="934"/>
      </c>
      <c r="R660" s="244">
        <f t="shared" si="903"/>
      </c>
      <c r="S660" s="245">
        <f t="shared" si="872"/>
      </c>
      <c r="T660" s="245">
        <f t="shared" si="810"/>
      </c>
      <c r="U660" s="244">
        <f t="shared" si="779"/>
      </c>
      <c r="V660" s="245">
        <f t="shared" si="841"/>
      </c>
      <c r="W660" s="245">
        <f t="shared" si="748"/>
      </c>
      <c r="X660" s="244">
        <f t="shared" si="717"/>
      </c>
      <c r="Y660" s="241">
        <f>SUM(Y657:Y659)</f>
      </c>
      <c r="Z660" s="241">
        <f>SUM(Z657:Z659)</f>
      </c>
      <c r="AA660" s="241">
        <f>SUM(AA657:AA659)</f>
      </c>
      <c r="AB660" s="241">
        <f>SUM(AB657:AB659)</f>
      </c>
      <c r="AC660" s="241">
        <f>SUM(AC657:AC659)</f>
      </c>
      <c r="AD660" s="246">
        <f t="shared" si="686"/>
      </c>
      <c r="AE660" s="247"/>
      <c r="AF660" s="248"/>
      <c r="AG660" s="241">
        <f>SUM(AG657:AG659)</f>
      </c>
      <c r="AH660" s="241">
        <f>SUM(AH657:AH659)</f>
      </c>
      <c r="AI660" s="241">
        <f>SUM(AI657:AI659)</f>
      </c>
      <c r="AJ660" s="241">
        <f>SUM(AJ657:AJ659)</f>
      </c>
      <c r="AK660" s="241">
        <f>SUM(AK657:AK659)</f>
      </c>
      <c r="AL660" s="241">
        <f>SUM(AL657:AL659)</f>
      </c>
    </row>
    <row r="661">
      <c r="A661" s="216"/>
      <c r="B661" s="217" t="s">
        <v>223</v>
      </c>
      <c r="C661" s="252" t="s">
        <v>212</v>
      </c>
      <c r="D661" s="282">
        <f t="shared" ref="D661:D665" si="550">E661+F661+G661+H661</f>
      </c>
      <c r="E661" s="261">
        <v>821.54</v>
      </c>
      <c r="F661" s="283">
        <v>6680.91</v>
      </c>
      <c r="G661" s="262">
        <v>0</v>
      </c>
      <c r="H661" s="221">
        <v>0</v>
      </c>
      <c r="I661" s="221">
        <f t="shared" ref="I661:I665" si="437">AB661+AC661</f>
      </c>
      <c r="J661" s="222">
        <v>0</v>
      </c>
      <c r="K661" s="223">
        <f t="shared" ref="K661:K665" si="322">I661-J661</f>
      </c>
      <c r="L661" s="223">
        <f t="shared" ref="L661:L665" si="207">(I661-AC661)/12+AC661</f>
      </c>
      <c r="M661" s="224">
        <f t="shared" si="92"/>
      </c>
      <c r="N661" s="225">
        <f t="shared" si="61"/>
      </c>
      <c r="O661" s="226">
        <f t="shared" si="30"/>
      </c>
      <c r="P661" s="227">
        <f t="shared" si="965"/>
      </c>
      <c r="Q661" s="227">
        <f t="shared" si="934"/>
      </c>
      <c r="R661" s="227">
        <f t="shared" si="903"/>
      </c>
      <c r="S661" s="228">
        <f t="shared" si="872"/>
      </c>
      <c r="T661" s="229">
        <f t="shared" si="810"/>
      </c>
      <c r="U661" s="227">
        <f t="shared" si="779"/>
      </c>
      <c r="V661" s="230">
        <f t="shared" si="841"/>
      </c>
      <c r="W661" s="230">
        <f t="shared" si="748"/>
      </c>
      <c r="X661" s="227">
        <f t="shared" si="717"/>
      </c>
      <c r="Y661" s="231">
        <f t="shared" ref="Y661:Y665" si="655">Z661+AA661</f>
      </c>
      <c r="Z661" s="231">
        <v>6</v>
      </c>
      <c r="AA661" s="231">
        <v>5</v>
      </c>
      <c r="AB661" s="232">
        <v>12724.439999999986</v>
      </c>
      <c r="AC661" s="232">
        <v>0</v>
      </c>
      <c r="AD661" s="228">
        <f t="shared" si="686"/>
      </c>
      <c r="AE661" s="233" t="s">
        <v>202</v>
      </c>
      <c r="AF661" s="234" t="s">
        <v>203</v>
      </c>
      <c r="AG661" s="235">
        <v>4</v>
      </c>
      <c r="AH661" s="235">
        <v>94375</v>
      </c>
      <c r="AI661" s="236">
        <v>1416</v>
      </c>
      <c r="AJ661" s="236">
        <v>1472</v>
      </c>
      <c r="AK661" s="235">
        <v>172</v>
      </c>
      <c r="AL661" s="237">
        <v>210</v>
      </c>
    </row>
    <row r="662">
      <c r="A662" s="216"/>
      <c r="B662" s="217" t="s">
        <v>223</v>
      </c>
      <c r="C662" s="218" t="s">
        <v>213</v>
      </c>
      <c r="D662" s="282">
        <f t="shared" si="550"/>
      </c>
      <c r="E662" s="284">
        <v>798.16</v>
      </c>
      <c r="F662" s="283">
        <v>6437.38</v>
      </c>
      <c r="G662" s="262">
        <v>0</v>
      </c>
      <c r="H662" s="221">
        <v>0</v>
      </c>
      <c r="I662" s="221">
        <f t="shared" si="437"/>
      </c>
      <c r="J662" s="222">
        <v>0</v>
      </c>
      <c r="K662" s="223">
        <f t="shared" si="322"/>
      </c>
      <c r="L662" s="223">
        <f t="shared" si="207"/>
      </c>
      <c r="M662" s="224">
        <f t="shared" si="92"/>
      </c>
      <c r="N662" s="225">
        <f t="shared" si="61"/>
      </c>
      <c r="O662" s="226">
        <f t="shared" si="30"/>
      </c>
      <c r="P662" s="227">
        <f t="shared" si="965"/>
      </c>
      <c r="Q662" s="227">
        <f t="shared" si="934"/>
      </c>
      <c r="R662" s="227">
        <f t="shared" si="903"/>
      </c>
      <c r="S662" s="228">
        <f t="shared" si="872"/>
      </c>
      <c r="T662" s="229">
        <f t="shared" si="810"/>
      </c>
      <c r="U662" s="227">
        <f t="shared" si="779"/>
      </c>
      <c r="V662" s="230">
        <f t="shared" si="841"/>
      </c>
      <c r="W662" s="230">
        <f t="shared" si="748"/>
      </c>
      <c r="X662" s="227">
        <f t="shared" si="717"/>
      </c>
      <c r="Y662" s="231">
        <f t="shared" si="655"/>
      </c>
      <c r="Z662" s="231">
        <v>9</v>
      </c>
      <c r="AA662" s="231">
        <v>6</v>
      </c>
      <c r="AB662" s="232">
        <v>7382.399999999992</v>
      </c>
      <c r="AC662" s="232">
        <v>1530</v>
      </c>
      <c r="AD662" s="228">
        <f t="shared" si="686"/>
      </c>
      <c r="AE662" s="233" t="s">
        <v>202</v>
      </c>
      <c r="AF662" s="234" t="s">
        <v>203</v>
      </c>
      <c r="AG662" s="235">
        <v>6</v>
      </c>
      <c r="AH662" s="236">
        <v>97316</v>
      </c>
      <c r="AI662" s="236">
        <v>1445</v>
      </c>
      <c r="AJ662" s="236">
        <v>1461</v>
      </c>
      <c r="AK662" s="237">
        <v>178</v>
      </c>
      <c r="AL662" s="237">
        <v>214</v>
      </c>
    </row>
    <row r="663">
      <c r="A663" s="216"/>
      <c r="B663" s="217" t="s">
        <v>223</v>
      </c>
      <c r="C663" s="252" t="s">
        <v>214</v>
      </c>
      <c r="D663" s="282">
        <f t="shared" si="550"/>
      </c>
      <c r="E663" s="284">
        <v>401.15</v>
      </c>
      <c r="F663" s="284">
        <v>11154.89</v>
      </c>
      <c r="G663" s="262">
        <v>0</v>
      </c>
      <c r="H663" s="221">
        <v>0</v>
      </c>
      <c r="I663" s="221">
        <f t="shared" si="437"/>
      </c>
      <c r="J663" s="222">
        <f>2918.16+3110.4</f>
      </c>
      <c r="K663" s="223">
        <f t="shared" si="322"/>
      </c>
      <c r="L663" s="223">
        <f t="shared" si="207"/>
      </c>
      <c r="M663" s="224">
        <f t="shared" si="92"/>
      </c>
      <c r="N663" s="225">
        <f t="shared" si="61"/>
      </c>
      <c r="O663" s="226">
        <f t="shared" si="30"/>
      </c>
      <c r="P663" s="227">
        <f t="shared" si="965"/>
      </c>
      <c r="Q663" s="227">
        <f t="shared" si="934"/>
      </c>
      <c r="R663" s="227">
        <f t="shared" si="903"/>
      </c>
      <c r="S663" s="228">
        <f t="shared" si="872"/>
      </c>
      <c r="T663" s="229">
        <f t="shared" si="810"/>
      </c>
      <c r="U663" s="227">
        <f t="shared" si="779"/>
      </c>
      <c r="V663" s="230">
        <f t="shared" si="841"/>
      </c>
      <c r="W663" s="230">
        <f t="shared" si="748"/>
      </c>
      <c r="X663" s="227">
        <f t="shared" si="717"/>
      </c>
      <c r="Y663" s="231">
        <f t="shared" si="655"/>
      </c>
      <c r="Z663" s="231">
        <v>14</v>
      </c>
      <c r="AA663" s="231">
        <v>13</v>
      </c>
      <c r="AB663" s="232">
        <v>16763.160000000003</v>
      </c>
      <c r="AC663" s="232">
        <v>0</v>
      </c>
      <c r="AD663" s="228">
        <f t="shared" si="686"/>
      </c>
      <c r="AE663" s="233" t="s">
        <v>202</v>
      </c>
      <c r="AF663" s="234" t="s">
        <v>203</v>
      </c>
      <c r="AG663" s="237">
        <v>12</v>
      </c>
      <c r="AH663" s="236">
        <v>160784</v>
      </c>
      <c r="AI663" s="236">
        <v>2263</v>
      </c>
      <c r="AJ663" s="236">
        <v>2484</v>
      </c>
      <c r="AK663" s="237">
        <v>271</v>
      </c>
      <c r="AL663" s="237">
        <v>307</v>
      </c>
    </row>
    <row r="664">
      <c r="A664" s="216"/>
      <c r="B664" s="217" t="s">
        <v>223</v>
      </c>
      <c r="C664" s="218" t="s">
        <v>237</v>
      </c>
      <c r="D664" s="282">
        <f t="shared" si="550"/>
      </c>
      <c r="E664" s="284">
        <v>879.97</v>
      </c>
      <c r="F664" s="283">
        <v>9154.27</v>
      </c>
      <c r="G664" s="262">
        <v>0</v>
      </c>
      <c r="H664" s="221">
        <v>0</v>
      </c>
      <c r="I664" s="221">
        <f t="shared" si="437"/>
      </c>
      <c r="J664" s="222">
        <v>4729.32</v>
      </c>
      <c r="K664" s="223">
        <f t="shared" si="322"/>
      </c>
      <c r="L664" s="223">
        <f t="shared" si="207"/>
      </c>
      <c r="M664" s="224">
        <f t="shared" si="92"/>
      </c>
      <c r="N664" s="225">
        <f t="shared" si="61"/>
      </c>
      <c r="O664" s="226">
        <f t="shared" si="30"/>
      </c>
      <c r="P664" s="227">
        <f t="shared" si="965"/>
      </c>
      <c r="Q664" s="227">
        <f t="shared" si="934"/>
      </c>
      <c r="R664" s="227">
        <f t="shared" si="903"/>
      </c>
      <c r="S664" s="228">
        <f t="shared" si="872"/>
      </c>
      <c r="T664" s="229">
        <f t="shared" si="810"/>
      </c>
      <c r="U664" s="227">
        <f t="shared" si="779"/>
      </c>
      <c r="V664" s="230">
        <f t="shared" si="841"/>
      </c>
      <c r="W664" s="230">
        <f t="shared" si="748"/>
      </c>
      <c r="X664" s="227">
        <f t="shared" si="717"/>
      </c>
      <c r="Y664" s="231">
        <f t="shared" si="655"/>
      </c>
      <c r="Z664" s="231">
        <v>14</v>
      </c>
      <c r="AA664" s="231">
        <v>16</v>
      </c>
      <c r="AB664" s="232">
        <v>32392.56</v>
      </c>
      <c r="AC664" s="232">
        <v>0</v>
      </c>
      <c r="AD664" s="228">
        <f t="shared" si="686"/>
      </c>
      <c r="AE664" s="233" t="s">
        <v>202</v>
      </c>
      <c r="AF664" s="234" t="s">
        <v>203</v>
      </c>
      <c r="AG664" s="235">
        <v>14</v>
      </c>
      <c r="AH664" s="236">
        <v>147850</v>
      </c>
      <c r="AI664" s="236">
        <v>2385</v>
      </c>
      <c r="AJ664" s="236">
        <v>2586</v>
      </c>
      <c r="AK664" s="237">
        <v>242</v>
      </c>
      <c r="AL664" s="237">
        <v>256</v>
      </c>
    </row>
    <row r="665">
      <c r="A665" s="216"/>
      <c r="B665" s="217" t="s">
        <v>223</v>
      </c>
      <c r="C665" s="218" t="s">
        <v>238</v>
      </c>
      <c r="D665" s="282">
        <f t="shared" si="550"/>
      </c>
      <c r="E665" s="261">
        <v>399.02</v>
      </c>
      <c r="F665" s="283">
        <v>6136.29</v>
      </c>
      <c r="G665" s="262">
        <v>0</v>
      </c>
      <c r="H665" s="221">
        <v>0</v>
      </c>
      <c r="I665" s="221">
        <f t="shared" si="437"/>
      </c>
      <c r="J665" s="222">
        <v>0</v>
      </c>
      <c r="K665" s="223">
        <f t="shared" si="322"/>
      </c>
      <c r="L665" s="223">
        <f t="shared" si="207"/>
      </c>
      <c r="M665" s="224">
        <f t="shared" si="92"/>
      </c>
      <c r="N665" s="225">
        <f t="shared" si="61"/>
      </c>
      <c r="O665" s="226">
        <f t="shared" si="30"/>
      </c>
      <c r="P665" s="227">
        <f t="shared" si="965"/>
      </c>
      <c r="Q665" s="227">
        <f t="shared" si="934"/>
      </c>
      <c r="R665" s="227">
        <f t="shared" si="903"/>
      </c>
      <c r="S665" s="228">
        <f t="shared" si="872"/>
      </c>
      <c r="T665" s="229">
        <f t="shared" si="810"/>
      </c>
      <c r="U665" s="227">
        <f t="shared" si="779"/>
      </c>
      <c r="V665" s="230">
        <f t="shared" si="841"/>
      </c>
      <c r="W665" s="230">
        <f t="shared" si="748"/>
      </c>
      <c r="X665" s="227">
        <f t="shared" si="717"/>
      </c>
      <c r="Y665" s="231">
        <f t="shared" si="655"/>
      </c>
      <c r="Z665" s="231">
        <v>6</v>
      </c>
      <c r="AA665" s="231">
        <v>7</v>
      </c>
      <c r="AB665" s="232">
        <v>8924.52</v>
      </c>
      <c r="AC665" s="232">
        <v>0</v>
      </c>
      <c r="AD665" s="228">
        <f t="shared" si="686"/>
      </c>
      <c r="AE665" s="233" t="s">
        <v>202</v>
      </c>
      <c r="AF665" s="234" t="s">
        <v>203</v>
      </c>
      <c r="AG665" s="235">
        <v>4</v>
      </c>
      <c r="AH665" s="236">
        <v>87769</v>
      </c>
      <c r="AI665" s="236">
        <v>1792</v>
      </c>
      <c r="AJ665" s="236">
        <v>1949</v>
      </c>
      <c r="AK665" s="235">
        <v>160</v>
      </c>
      <c r="AL665" s="235">
        <v>176</v>
      </c>
    </row>
    <row r="666">
      <c r="A666" s="216"/>
      <c r="B666" s="239" t="s">
        <v>208</v>
      </c>
      <c r="C666" s="240">
        <v>5</v>
      </c>
      <c r="D666" s="241">
        <f>SUM(D661:D665)</f>
      </c>
      <c r="E666" s="260">
        <f>SUM(E661:E665)</f>
      </c>
      <c r="F666" s="260">
        <f>SUM(F661:F665)</f>
      </c>
      <c r="G666" s="241">
        <f>SUM(G661:G665)</f>
      </c>
      <c r="H666" s="241">
        <f>SUM(H661:H665)</f>
      </c>
      <c r="I666" s="241">
        <f>SUM(I661:I665)</f>
      </c>
      <c r="J666" s="241">
        <f>SUM(J661:J665)</f>
      </c>
      <c r="K666" s="241">
        <f>SUM(K661:K665)</f>
      </c>
      <c r="L666" s="241">
        <f>SUM(L661:L665)</f>
      </c>
      <c r="M666" s="242">
        <f t="shared" si="92"/>
      </c>
      <c r="N666" s="243">
        <f t="shared" si="61"/>
      </c>
      <c r="O666" s="243">
        <f t="shared" si="30"/>
      </c>
      <c r="P666" s="244">
        <f t="shared" si="965"/>
      </c>
      <c r="Q666" s="244">
        <f t="shared" si="934"/>
      </c>
      <c r="R666" s="244">
        <f t="shared" si="903"/>
      </c>
      <c r="S666" s="245">
        <f t="shared" si="872"/>
      </c>
      <c r="T666" s="245">
        <f t="shared" si="810"/>
      </c>
      <c r="U666" s="244">
        <f t="shared" si="779"/>
      </c>
      <c r="V666" s="245">
        <f t="shared" si="841"/>
      </c>
      <c r="W666" s="245">
        <f t="shared" si="748"/>
      </c>
      <c r="X666" s="244">
        <f t="shared" si="717"/>
      </c>
      <c r="Y666" s="241">
        <f>SUM(Y661:Y665)</f>
      </c>
      <c r="Z666" s="241">
        <f>SUM(Z661:Z665)</f>
      </c>
      <c r="AA666" s="241">
        <f>SUM(AA661:AA665)</f>
      </c>
      <c r="AB666" s="241">
        <f>SUM(AB661:AB665)</f>
      </c>
      <c r="AC666" s="259">
        <f>SUM(AC661:AC665)</f>
      </c>
      <c r="AD666" s="275">
        <f t="shared" si="686"/>
      </c>
      <c r="AE666" s="276"/>
      <c r="AF666" s="248"/>
      <c r="AG666" s="241">
        <f>SUM(AG661:AG665)</f>
      </c>
      <c r="AH666" s="241">
        <f>SUM(AH661:AH665)</f>
      </c>
      <c r="AI666" s="241">
        <f>SUM(AI661:AI665)</f>
      </c>
      <c r="AJ666" s="241">
        <f>SUM(AJ661:AJ665)</f>
      </c>
      <c r="AK666" s="241">
        <f>SUM(AK661:AK665)</f>
      </c>
      <c r="AL666" s="241">
        <f>SUM(AL661:AL665)</f>
      </c>
    </row>
    <row r="667">
      <c r="A667" s="216"/>
      <c r="B667" s="253" t="s">
        <v>208</v>
      </c>
      <c r="C667" s="254">
        <f>C647+C653+C660+C666+C656</f>
      </c>
      <c r="D667" s="254">
        <f>D647+D653+D660+D666+D656</f>
      </c>
      <c r="E667" s="254">
        <f>E647+E653+E660+E666+E656</f>
      </c>
      <c r="F667" s="254">
        <f>F647+F653+F660+F666+F656</f>
      </c>
      <c r="G667" s="254">
        <f>G647+G653+G660+G666+G656</f>
      </c>
      <c r="H667" s="254">
        <f>H647+H653+H660+H666+H656</f>
      </c>
      <c r="I667" s="254">
        <f>I647+I653+I660+I666+I656</f>
      </c>
      <c r="J667" s="254">
        <f>J647+J653+J660+J666+J656</f>
      </c>
      <c r="K667" s="254">
        <f>K647+K653+K660+K666+K656</f>
      </c>
      <c r="L667" s="254">
        <f>L647+L653+L660+L666+L656</f>
      </c>
      <c r="M667" s="256">
        <f t="shared" si="92"/>
      </c>
      <c r="N667" s="256">
        <f t="shared" si="61"/>
      </c>
      <c r="O667" s="256">
        <f t="shared" si="30"/>
      </c>
      <c r="P667" s="256">
        <f t="shared" si="965"/>
      </c>
      <c r="Q667" s="256">
        <f t="shared" si="934"/>
      </c>
      <c r="R667" s="256">
        <f t="shared" si="903"/>
      </c>
      <c r="S667" s="257">
        <f t="shared" si="872"/>
      </c>
      <c r="T667" s="257">
        <f t="shared" si="810"/>
      </c>
      <c r="U667" s="256">
        <f t="shared" si="779"/>
      </c>
      <c r="V667" s="257">
        <f t="shared" si="841"/>
      </c>
      <c r="W667" s="257">
        <f t="shared" si="748"/>
      </c>
      <c r="X667" s="256">
        <f t="shared" si="717"/>
      </c>
      <c r="Y667" s="278">
        <f>Y647+Y653+Y660+Y666+Y656</f>
      </c>
      <c r="Z667" s="278">
        <f>Z647+Z653+Z660+Z666+Z656</f>
      </c>
      <c r="AA667" s="278">
        <f>AA647+AA653+AA660+AA666+AA656</f>
      </c>
      <c r="AB667" s="278">
        <f>AB647+AB653+AB660+AB666+AB656</f>
      </c>
      <c r="AC667" s="278">
        <f>AC647+AC653+AC660+AC666+AC656</f>
      </c>
      <c r="AD667" s="279">
        <f t="shared" si="686"/>
      </c>
      <c r="AE667" s="280"/>
      <c r="AF667" s="281"/>
      <c r="AG667" s="254">
        <f>AG647+AG653+AG660+AG666+AG656</f>
      </c>
      <c r="AH667" s="254">
        <f>AH647+AH653+AH660+AH666+AH656</f>
      </c>
      <c r="AI667" s="254">
        <f>AI647+AI653+AI660+AI666+AI656</f>
      </c>
      <c r="AJ667" s="254">
        <f>AJ647+AJ653+AJ660+AJ666+AJ656</f>
      </c>
      <c r="AK667" s="254">
        <f>AK647+AK653+AK660+AK666+AK656</f>
      </c>
      <c r="AL667" s="254">
        <f>AL647+AL653+AL660+AL666+AL656</f>
      </c>
    </row>
    <row r="668">
      <c r="J668" s="286">
        <f>J669-J667-K669</f>
      </c>
      <c r="K668" s="287" t="s">
        <v>241</v>
      </c>
      <c r="Y668" s="288" t="s">
        <v>242</v>
      </c>
      <c r="Z668">
        <f>Z669-Z667-Z670</f>
      </c>
      <c r="AA668">
        <f>AA669-AA667-AA670</f>
      </c>
      <c r="AB668" s="289">
        <f>AB669-AB667-AB670</f>
      </c>
      <c r="AC668">
        <f>AC669-AC667-AC670</f>
      </c>
      <c r="AD668" s="289"/>
      <c r="AE668" s="289"/>
    </row>
    <row r="669">
      <c r="A669" s="289"/>
      <c r="B669" s="290"/>
      <c r="C669" s="288"/>
      <c r="F669" s="288"/>
      <c r="G669" s="288"/>
      <c r="H669" s="288"/>
      <c r="I669" s="288" t="s">
        <v>243</v>
      </c>
      <c r="J669" s="291">
        <v>48219.63</v>
      </c>
      <c r="K669" s="287">
        <f>1105.92+514</f>
      </c>
      <c r="Y669" s="292" t="s">
        <v>244</v>
      </c>
      <c r="Z669" s="293">
        <v>113</v>
      </c>
      <c r="AA669" s="293">
        <v>105</v>
      </c>
      <c r="AB669" s="293">
        <v>161795.52</v>
      </c>
      <c r="AC669" s="294">
        <v>21318.95</v>
      </c>
      <c r="AE669" s="288"/>
    </row>
    <row r="670">
      <c r="G670" s="288"/>
      <c r="Y670" s="288" t="s">
        <v>245</v>
      </c>
      <c r="Z670" s="287">
        <v>19</v>
      </c>
      <c r="AA670" s="287">
        <v>9</v>
      </c>
      <c r="AB670" s="287">
        <v>12211.56</v>
      </c>
      <c r="AC670" s="295">
        <v>514</v>
      </c>
    </row>
    <row r="671">
      <c r="A671" s="289"/>
      <c r="B671" s="289"/>
      <c r="C671" s="289"/>
      <c r="D671" s="289"/>
      <c r="G671" s="288"/>
      <c r="Z671" s="214" t="s">
        <v>187</v>
      </c>
      <c r="AA671" s="213" t="s">
        <v>188</v>
      </c>
      <c r="AB671" s="215" t="s">
        <v>189</v>
      </c>
      <c r="AC671" s="215" t="s">
        <v>190</v>
      </c>
    </row>
    <row r="672">
      <c r="A672" s="289"/>
      <c r="B672" s="289"/>
      <c r="C672" s="289"/>
      <c r="D672" s="289"/>
      <c r="Z672" s="288"/>
      <c r="AA672" s="288"/>
    </row>
    <row r="673">
      <c r="A673" s="289"/>
      <c r="B673" s="289"/>
      <c r="C673" s="289"/>
      <c r="D673" s="289"/>
    </row>
    <row r="674">
      <c r="A674" s="289"/>
      <c r="B674" s="289"/>
      <c r="C674" s="289"/>
      <c r="D674" s="289"/>
    </row>
    <row r="675">
      <c r="A675" s="288"/>
      <c r="B675" s="289"/>
      <c r="C675" s="289"/>
      <c r="D675" s="289"/>
    </row>
    <row r="676">
      <c r="A676" s="289"/>
      <c r="B676" s="289"/>
      <c r="C676" s="289"/>
      <c r="D676" s="289"/>
    </row>
    <row r="677">
      <c r="A677" s="289"/>
      <c r="B677" s="289"/>
      <c r="C677" s="289"/>
      <c r="D677" s="289"/>
    </row>
    <row r="678">
      <c r="A678" s="289"/>
      <c r="B678" s="289"/>
      <c r="C678" s="289"/>
      <c r="D678" s="289"/>
    </row>
    <row r="679">
      <c r="A679" s="289"/>
      <c r="B679" s="289"/>
      <c r="C679" s="289"/>
      <c r="D679" s="289"/>
    </row>
    <row r="680">
      <c r="A680" s="289"/>
      <c r="B680" s="289"/>
      <c r="C680" s="289"/>
      <c r="D680" s="289"/>
    </row>
    <row r="681">
      <c r="A681" s="289"/>
      <c r="B681" s="289"/>
      <c r="C681" s="289"/>
      <c r="D681" s="289"/>
    </row>
    <row r="682">
      <c r="C682" s="296"/>
    </row>
  </sheetData>
  <autoFilter ref="A1:AN763"/>
  <mergeCells>
    <mergeCell ref="A642:A667"/>
    <mergeCell ref="A400:A425"/>
    <mergeCell ref="A373:A398"/>
    <mergeCell ref="A346:A371"/>
    <mergeCell ref="A319:A344"/>
    <mergeCell ref="A277:A296"/>
    <mergeCell ref="A256:A275"/>
    <mergeCell ref="A235:A254"/>
    <mergeCell ref="A174:A192"/>
    <mergeCell ref="A154:A172"/>
    <mergeCell ref="A140:A152"/>
    <mergeCell ref="A2:A14"/>
    <mergeCell ref="A16:A28"/>
    <mergeCell ref="A30:A42"/>
    <mergeCell ref="A44:A56"/>
    <mergeCell ref="A58:A70"/>
    <mergeCell ref="A72:A84"/>
    <mergeCell ref="A86:A104"/>
    <mergeCell ref="A106:A124"/>
    <mergeCell ref="A126:A138"/>
    <mergeCell ref="A194:A212"/>
    <mergeCell ref="A214:A233"/>
    <mergeCell ref="A298:A317"/>
    <mergeCell ref="A427:A452"/>
    <mergeCell ref="A454:A479"/>
    <mergeCell ref="A481:A506"/>
    <mergeCell ref="A508:A533"/>
    <mergeCell ref="A535:A560"/>
    <mergeCell ref="A562:A587"/>
    <mergeCell ref="A589:A614"/>
    <mergeCell ref="A616:A640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9" min="29" style="0" width="11.211267605633802"/>
  </cols>
  <sheetData>
    <row r="1">
      <c r="A1" s="297" t="s">
        <v>246</v>
      </c>
      <c r="B1" s="298" t="s">
        <v>247</v>
      </c>
      <c r="C1" s="298" t="s">
        <v>248</v>
      </c>
      <c r="D1" s="299" t="s">
        <v>249</v>
      </c>
      <c r="E1" s="298" t="s">
        <v>250</v>
      </c>
      <c r="F1" s="298" t="s">
        <v>251</v>
      </c>
      <c r="G1" s="299" t="s">
        <v>252</v>
      </c>
      <c r="H1" s="300" t="s">
        <v>253</v>
      </c>
      <c r="I1" s="301" t="s">
        <v>254</v>
      </c>
      <c r="J1" s="301" t="s">
        <v>255</v>
      </c>
      <c r="K1" s="302" t="s">
        <v>256</v>
      </c>
      <c r="L1" s="301" t="s">
        <v>257</v>
      </c>
      <c r="M1" s="298" t="s">
        <v>258</v>
      </c>
      <c r="N1" s="302" t="s">
        <v>259</v>
      </c>
      <c r="O1" s="303" t="s">
        <v>260</v>
      </c>
      <c r="P1" s="303" t="s">
        <v>261</v>
      </c>
      <c r="Q1" s="299" t="s">
        <v>262</v>
      </c>
      <c r="R1" s="304" t="s">
        <v>263</v>
      </c>
      <c r="S1" s="302" t="s">
        <v>264</v>
      </c>
      <c r="T1" s="305" t="s">
        <v>265</v>
      </c>
      <c r="U1" s="306" t="s">
        <v>266</v>
      </c>
      <c r="V1" s="302" t="s">
        <v>267</v>
      </c>
      <c r="W1" s="307" t="s">
        <v>268</v>
      </c>
      <c r="X1" s="308" t="s">
        <v>269</v>
      </c>
      <c r="Y1" s="307" t="s">
        <v>270</v>
      </c>
      <c r="Z1" s="309" t="s">
        <v>271</v>
      </c>
      <c r="AA1" s="309" t="s">
        <v>272</v>
      </c>
      <c r="AB1" s="301" t="s">
        <v>273</v>
      </c>
      <c r="AC1" s="300" t="s">
        <v>274</v>
      </c>
      <c r="AD1" s="301" t="s">
        <v>275</v>
      </c>
      <c r="AE1" s="300" t="s">
        <v>276</v>
      </c>
      <c r="AF1" s="300" t="s">
        <v>277</v>
      </c>
      <c r="AG1" s="301" t="s">
        <v>278</v>
      </c>
      <c r="AH1" s="300" t="s">
        <v>279</v>
      </c>
      <c r="AI1" s="301" t="s">
        <v>280</v>
      </c>
      <c r="AJ1" s="300" t="s">
        <v>281</v>
      </c>
    </row>
    <row r="2">
      <c r="A2" s="310">
        <v>46204</v>
      </c>
      <c r="B2" s="311" t="s">
        <v>282</v>
      </c>
      <c r="C2" s="312" t="s">
        <v>283</v>
      </c>
      <c r="D2" s="313">
        <f t="shared" ref="D2:D6" si="180">E2+F2</f>
      </c>
      <c r="E2" s="312">
        <v>1463.83</v>
      </c>
      <c r="F2" s="314">
        <v>3852.8</v>
      </c>
      <c r="G2" s="315">
        <v>2923.28</v>
      </c>
      <c r="H2" s="315">
        <v>0</v>
      </c>
      <c r="I2" s="316">
        <f t="shared" ref="I2:I6" si="339">G2-H2</f>
      </c>
      <c r="J2" s="316">
        <f t="shared" ref="J2:J6" si="501">(G2-AA2)/12+AA2</f>
      </c>
      <c r="K2" s="317">
        <f t="shared" ref="K2:K8" si="60">G2/D2</f>
      </c>
      <c r="L2" s="318">
        <f t="shared" ref="L2:L8" si="90">(G2-H2)/D2</f>
      </c>
      <c r="M2" s="319">
        <f t="shared" ref="M2:M8" si="226">(AA2+Z2/12)/D2</f>
      </c>
      <c r="N2" s="320">
        <f t="shared" ref="N2:N8" si="381">G2/Y2</f>
      </c>
      <c r="O2" s="320">
        <f t="shared" ref="O2:O8" si="0">D2/Y2</f>
      </c>
      <c r="P2" s="320">
        <f t="shared" ref="P2:P8" si="120">D2/AE2</f>
      </c>
      <c r="Q2" s="321">
        <f t="shared" ref="Q2:Q8" si="256">Y2/W2</f>
      </c>
      <c r="R2" s="322">
        <f t="shared" ref="R2:R8" si="411">AG2/AF2</f>
      </c>
      <c r="S2" s="320">
        <f t="shared" ref="S2:S8" si="30">D2/AH2</f>
      </c>
      <c r="T2" s="323">
        <f t="shared" ref="T2:T8" si="441">AI2/AH2</f>
      </c>
      <c r="U2" s="323">
        <f t="shared" ref="U2:U8" si="150">AJ2/AH2</f>
      </c>
      <c r="V2" s="320">
        <f t="shared" ref="V2:V8" si="286">D2/AJ2</f>
      </c>
      <c r="W2" s="324">
        <f t="shared" ref="W2:W6" si="222">X2+Y2</f>
      </c>
      <c r="X2" s="325">
        <v>3</v>
      </c>
      <c r="Y2" s="325">
        <v>2</v>
      </c>
      <c r="Z2" s="326">
        <v>1016.28</v>
      </c>
      <c r="AA2" s="326">
        <v>1907</v>
      </c>
      <c r="AB2" s="321">
        <f t="shared" ref="AB2:AB8" si="471">AA2/G2</f>
      </c>
      <c r="AC2" s="327" t="s">
        <v>284</v>
      </c>
      <c r="AD2" s="328" t="s">
        <v>285</v>
      </c>
      <c r="AE2" s="329">
        <v>2</v>
      </c>
      <c r="AF2" s="330">
        <v>48407</v>
      </c>
      <c r="AG2" s="330">
        <v>563</v>
      </c>
      <c r="AH2" s="330">
        <v>666</v>
      </c>
      <c r="AI2" s="329">
        <v>103</v>
      </c>
      <c r="AJ2" s="331">
        <v>95</v>
      </c>
    </row>
    <row r="3">
      <c r="A3" s="310"/>
      <c r="B3" s="311" t="s">
        <v>282</v>
      </c>
      <c r="C3" s="332" t="s">
        <v>286</v>
      </c>
      <c r="D3" s="313">
        <f t="shared" si="180"/>
      </c>
      <c r="E3" s="312">
        <v>2305.51</v>
      </c>
      <c r="F3" s="314">
        <v>3002.2</v>
      </c>
      <c r="G3" s="315">
        <v>0</v>
      </c>
      <c r="H3" s="315">
        <v>0</v>
      </c>
      <c r="I3" s="316">
        <f t="shared" si="339"/>
      </c>
      <c r="J3" s="316">
        <f t="shared" si="501"/>
      </c>
      <c r="K3" s="317">
        <f t="shared" si="60"/>
      </c>
      <c r="L3" s="318">
        <f t="shared" si="90"/>
      </c>
      <c r="M3" s="319">
        <f t="shared" si="226"/>
      </c>
      <c r="N3" s="320">
        <f t="shared" si="381"/>
      </c>
      <c r="O3" s="320">
        <f t="shared" si="0"/>
      </c>
      <c r="P3" s="320">
        <f t="shared" si="120"/>
      </c>
      <c r="Q3" s="321">
        <f t="shared" si="256"/>
      </c>
      <c r="R3" s="322">
        <f t="shared" si="411"/>
      </c>
      <c r="S3" s="320">
        <f t="shared" si="30"/>
      </c>
      <c r="T3" s="323">
        <f t="shared" si="441"/>
      </c>
      <c r="U3" s="323">
        <f t="shared" si="150"/>
      </c>
      <c r="V3" s="320">
        <f t="shared" si="286"/>
      </c>
      <c r="W3" s="324">
        <f t="shared" si="222"/>
      </c>
      <c r="X3" s="325">
        <v>2</v>
      </c>
      <c r="Y3" s="325">
        <v>0</v>
      </c>
      <c r="Z3" s="326">
        <v>0</v>
      </c>
      <c r="AA3" s="326">
        <v>0</v>
      </c>
      <c r="AB3" s="321">
        <f t="shared" si="471"/>
      </c>
      <c r="AC3" s="327" t="s">
        <v>284</v>
      </c>
      <c r="AD3" s="328" t="s">
        <v>285</v>
      </c>
      <c r="AE3" s="329">
        <v>0</v>
      </c>
      <c r="AF3" s="330">
        <v>40923</v>
      </c>
      <c r="AG3" s="330">
        <v>982</v>
      </c>
      <c r="AH3" s="330">
        <v>1093</v>
      </c>
      <c r="AI3" s="331">
        <v>116</v>
      </c>
      <c r="AJ3" s="331">
        <v>130</v>
      </c>
    </row>
    <row r="4">
      <c r="A4" s="310"/>
      <c r="B4" s="311" t="s">
        <v>282</v>
      </c>
      <c r="C4" s="332" t="s">
        <v>287</v>
      </c>
      <c r="D4" s="313">
        <f t="shared" si="180"/>
      </c>
      <c r="E4" s="312">
        <v>1529.27</v>
      </c>
      <c r="F4" s="314">
        <v>2651.89</v>
      </c>
      <c r="G4" s="315">
        <v>733.32</v>
      </c>
      <c r="H4" s="315">
        <v>0</v>
      </c>
      <c r="I4" s="316">
        <f t="shared" si="339"/>
      </c>
      <c r="J4" s="316">
        <f t="shared" si="501"/>
      </c>
      <c r="K4" s="317">
        <f t="shared" si="60"/>
      </c>
      <c r="L4" s="318">
        <f t="shared" si="90"/>
      </c>
      <c r="M4" s="319">
        <f t="shared" si="226"/>
      </c>
      <c r="N4" s="320">
        <f t="shared" si="381"/>
      </c>
      <c r="O4" s="320">
        <f t="shared" si="0"/>
      </c>
      <c r="P4" s="320">
        <f t="shared" si="120"/>
      </c>
      <c r="Q4" s="321">
        <f t="shared" si="256"/>
      </c>
      <c r="R4" s="322">
        <f t="shared" si="411"/>
      </c>
      <c r="S4" s="320">
        <f t="shared" si="30"/>
      </c>
      <c r="T4" s="323">
        <f t="shared" si="441"/>
      </c>
      <c r="U4" s="323">
        <f t="shared" si="150"/>
      </c>
      <c r="V4" s="320">
        <f t="shared" si="286"/>
      </c>
      <c r="W4" s="324">
        <f t="shared" si="222"/>
      </c>
      <c r="X4" s="325">
        <v>1</v>
      </c>
      <c r="Y4" s="325">
        <v>1</v>
      </c>
      <c r="Z4" s="326">
        <v>733.32</v>
      </c>
      <c r="AA4" s="326">
        <v>0</v>
      </c>
      <c r="AB4" s="321">
        <f t="shared" si="471"/>
      </c>
      <c r="AC4" s="327" t="s">
        <v>284</v>
      </c>
      <c r="AD4" s="328" t="s">
        <v>285</v>
      </c>
      <c r="AE4" s="331">
        <v>1</v>
      </c>
      <c r="AF4" s="330">
        <v>29169</v>
      </c>
      <c r="AG4" s="330">
        <v>843</v>
      </c>
      <c r="AH4" s="330">
        <v>909</v>
      </c>
      <c r="AI4" s="331">
        <v>96</v>
      </c>
      <c r="AJ4" s="331">
        <v>114</v>
      </c>
    </row>
    <row r="5">
      <c r="A5" s="310"/>
      <c r="B5" s="311" t="s">
        <v>282</v>
      </c>
      <c r="C5" s="312" t="s">
        <v>288</v>
      </c>
      <c r="D5" s="313">
        <f t="shared" si="180"/>
      </c>
      <c r="E5" s="312">
        <v>961.68</v>
      </c>
      <c r="F5" s="314">
        <v>3496.21</v>
      </c>
      <c r="G5" s="315">
        <v>584</v>
      </c>
      <c r="H5" s="315">
        <v>0</v>
      </c>
      <c r="I5" s="316">
        <f t="shared" si="339"/>
      </c>
      <c r="J5" s="316">
        <f t="shared" si="501"/>
      </c>
      <c r="K5" s="317">
        <f t="shared" si="60"/>
      </c>
      <c r="L5" s="318">
        <f t="shared" si="90"/>
      </c>
      <c r="M5" s="319">
        <f t="shared" si="226"/>
      </c>
      <c r="N5" s="320">
        <f t="shared" si="381"/>
      </c>
      <c r="O5" s="320">
        <f t="shared" si="0"/>
      </c>
      <c r="P5" s="320">
        <f t="shared" si="120"/>
      </c>
      <c r="Q5" s="321">
        <f t="shared" si="256"/>
      </c>
      <c r="R5" s="322">
        <f t="shared" si="411"/>
      </c>
      <c r="S5" s="320">
        <f t="shared" si="30"/>
      </c>
      <c r="T5" s="323">
        <f t="shared" si="441"/>
      </c>
      <c r="U5" s="323">
        <f t="shared" si="150"/>
      </c>
      <c r="V5" s="320">
        <f t="shared" si="286"/>
      </c>
      <c r="W5" s="324">
        <f t="shared" si="222"/>
      </c>
      <c r="X5" s="325">
        <v>3</v>
      </c>
      <c r="Y5" s="325">
        <v>1</v>
      </c>
      <c r="Z5" s="326">
        <v>584</v>
      </c>
      <c r="AA5" s="326">
        <v>0</v>
      </c>
      <c r="AB5" s="321">
        <f t="shared" si="471"/>
      </c>
      <c r="AC5" s="327" t="s">
        <v>284</v>
      </c>
      <c r="AD5" s="328" t="s">
        <v>285</v>
      </c>
      <c r="AE5" s="329">
        <v>1</v>
      </c>
      <c r="AF5" s="330">
        <v>28397</v>
      </c>
      <c r="AG5" s="330">
        <v>879</v>
      </c>
      <c r="AH5" s="330">
        <v>941</v>
      </c>
      <c r="AI5" s="331">
        <v>73</v>
      </c>
      <c r="AJ5" s="331">
        <v>95</v>
      </c>
    </row>
    <row r="6">
      <c r="A6" s="310"/>
      <c r="B6" s="311" t="s">
        <v>282</v>
      </c>
      <c r="C6" s="332" t="s">
        <v>289</v>
      </c>
      <c r="D6" s="313">
        <f t="shared" si="180"/>
      </c>
      <c r="E6" s="312">
        <v>678.14</v>
      </c>
      <c r="F6" s="314">
        <v>1996.9</v>
      </c>
      <c r="G6" s="315">
        <v>2307.96</v>
      </c>
      <c r="H6" s="315">
        <v>0</v>
      </c>
      <c r="I6" s="316">
        <f t="shared" si="339"/>
      </c>
      <c r="J6" s="316">
        <f t="shared" si="501"/>
      </c>
      <c r="K6" s="317">
        <f t="shared" si="60"/>
      </c>
      <c r="L6" s="318">
        <f t="shared" si="90"/>
      </c>
      <c r="M6" s="319">
        <f t="shared" si="226"/>
      </c>
      <c r="N6" s="320">
        <f t="shared" si="381"/>
      </c>
      <c r="O6" s="320">
        <f t="shared" si="0"/>
      </c>
      <c r="P6" s="320">
        <f t="shared" si="120"/>
      </c>
      <c r="Q6" s="321">
        <f t="shared" si="256"/>
      </c>
      <c r="R6" s="322">
        <f t="shared" si="411"/>
      </c>
      <c r="S6" s="320">
        <f t="shared" si="30"/>
      </c>
      <c r="T6" s="323">
        <f t="shared" si="441"/>
      </c>
      <c r="U6" s="323">
        <f t="shared" si="150"/>
      </c>
      <c r="V6" s="320">
        <f t="shared" si="286"/>
      </c>
      <c r="W6" s="324">
        <f t="shared" si="222"/>
      </c>
      <c r="X6" s="325">
        <v>1</v>
      </c>
      <c r="Y6" s="325">
        <v>2</v>
      </c>
      <c r="Z6" s="326">
        <v>2307.96</v>
      </c>
      <c r="AA6" s="326">
        <v>0</v>
      </c>
      <c r="AB6" s="321">
        <f t="shared" si="471"/>
      </c>
      <c r="AC6" s="327" t="s">
        <v>284</v>
      </c>
      <c r="AD6" s="328" t="s">
        <v>285</v>
      </c>
      <c r="AE6" s="329">
        <v>1</v>
      </c>
      <c r="AF6" s="330">
        <v>16286</v>
      </c>
      <c r="AG6" s="330">
        <v>386</v>
      </c>
      <c r="AH6" s="330">
        <v>513</v>
      </c>
      <c r="AI6" s="331">
        <v>53</v>
      </c>
      <c r="AJ6" s="331">
        <v>61</v>
      </c>
    </row>
    <row r="7">
      <c r="A7" s="310"/>
      <c r="B7" s="333" t="s">
        <v>290</v>
      </c>
      <c r="C7" s="334">
        <v>5</v>
      </c>
      <c r="D7" s="335">
        <f>SUM(D2:D6)</f>
      </c>
      <c r="E7" s="335">
        <f>SUM(E2:E6)</f>
      </c>
      <c r="F7" s="335">
        <f>SUM(F2:F6)</f>
      </c>
      <c r="G7" s="335">
        <f>SUM(G2:G6)</f>
      </c>
      <c r="H7" s="335">
        <f>SUM(H2:H6)</f>
      </c>
      <c r="I7" s="335">
        <f>SUM(I2:I6)</f>
      </c>
      <c r="J7" s="335">
        <f>SUM(J2:J6)</f>
      </c>
      <c r="K7" s="336">
        <f t="shared" si="60"/>
      </c>
      <c r="L7" s="337">
        <f t="shared" si="90"/>
      </c>
      <c r="M7" s="337">
        <f t="shared" si="226"/>
      </c>
      <c r="N7" s="338">
        <f t="shared" si="381"/>
      </c>
      <c r="O7" s="338">
        <f t="shared" si="0"/>
      </c>
      <c r="P7" s="338">
        <f t="shared" si="120"/>
      </c>
      <c r="Q7" s="339">
        <f t="shared" si="256"/>
      </c>
      <c r="R7" s="339">
        <f t="shared" si="411"/>
      </c>
      <c r="S7" s="338">
        <f t="shared" si="30"/>
      </c>
      <c r="T7" s="339">
        <f t="shared" si="441"/>
      </c>
      <c r="U7" s="339">
        <f t="shared" si="150"/>
      </c>
      <c r="V7" s="338">
        <f t="shared" si="286"/>
      </c>
      <c r="W7" s="335">
        <f>SUM(W2:W6)</f>
      </c>
      <c r="X7" s="335">
        <f>SUM(X2:X6)</f>
      </c>
      <c r="Y7" s="335">
        <f>SUM(Y2:Y6)</f>
      </c>
      <c r="Z7" s="335">
        <f>SUM(Z2:Z6)</f>
      </c>
      <c r="AA7" s="335">
        <f>SUM(AA2:AA6)</f>
      </c>
      <c r="AB7" s="340">
        <f t="shared" si="471"/>
      </c>
      <c r="AC7" s="341"/>
      <c r="AD7" s="342"/>
      <c r="AE7" s="335">
        <f>SUM(AE2:AE6)</f>
      </c>
      <c r="AF7" s="335">
        <f>SUM(AF2:AF6)</f>
      </c>
      <c r="AG7" s="335">
        <f>SUM(AG2:AG6)</f>
      </c>
      <c r="AH7" s="335">
        <f>SUM(AH2:AH6)</f>
      </c>
      <c r="AI7" s="335">
        <f>SUM(AI2:AI6)</f>
      </c>
      <c r="AJ7" s="335">
        <f>SUM(AJ2:AJ6)</f>
      </c>
    </row>
    <row r="8">
      <c r="A8" s="310"/>
      <c r="B8" s="343" t="s">
        <v>290</v>
      </c>
      <c r="C8" s="344">
        <v>5</v>
      </c>
      <c r="D8" s="343">
        <f>D7</f>
      </c>
      <c r="E8" s="343">
        <f>E7</f>
      </c>
      <c r="F8" s="343">
        <f>F7</f>
      </c>
      <c r="G8" s="345">
        <f>G7</f>
      </c>
      <c r="H8" s="345">
        <f>H7</f>
      </c>
      <c r="I8" s="345">
        <f>I7</f>
      </c>
      <c r="J8" s="345">
        <f>J7</f>
      </c>
      <c r="K8" s="346">
        <f t="shared" si="60"/>
      </c>
      <c r="L8" s="346">
        <f t="shared" si="90"/>
      </c>
      <c r="M8" s="346">
        <f t="shared" si="226"/>
      </c>
      <c r="N8" s="346">
        <f t="shared" si="381"/>
      </c>
      <c r="O8" s="346">
        <f t="shared" si="0"/>
      </c>
      <c r="P8" s="346">
        <f t="shared" si="120"/>
      </c>
      <c r="Q8" s="347">
        <f t="shared" si="256"/>
      </c>
      <c r="R8" s="347">
        <f t="shared" si="411"/>
      </c>
      <c r="S8" s="346">
        <f t="shared" si="30"/>
      </c>
      <c r="T8" s="347">
        <f t="shared" si="441"/>
      </c>
      <c r="U8" s="347">
        <f t="shared" si="150"/>
      </c>
      <c r="V8" s="346">
        <f t="shared" si="286"/>
      </c>
      <c r="W8" s="348">
        <f>W7</f>
      </c>
      <c r="X8" s="348">
        <f>X7</f>
      </c>
      <c r="Y8" s="348">
        <f>Y7</f>
      </c>
      <c r="Z8" s="349">
        <f>Z7</f>
      </c>
      <c r="AA8" s="348">
        <f>AA7</f>
      </c>
      <c r="AB8" s="350">
        <f t="shared" si="471"/>
      </c>
      <c r="AC8" s="343"/>
      <c r="AD8" s="343"/>
      <c r="AE8" s="343">
        <f>AE7</f>
      </c>
      <c r="AF8" s="343">
        <f>AF7</f>
      </c>
      <c r="AG8" s="343">
        <f>AG7</f>
      </c>
      <c r="AH8" s="343">
        <f>AH7</f>
      </c>
      <c r="AI8" s="343">
        <f>AI7</f>
      </c>
      <c r="AJ8" s="343">
        <f>AJ7</f>
      </c>
    </row>
    <row r="9">
      <c r="A9" s="297" t="s">
        <v>246</v>
      </c>
      <c r="B9" s="298" t="s">
        <v>247</v>
      </c>
      <c r="C9" s="298" t="s">
        <v>248</v>
      </c>
      <c r="D9" s="299" t="s">
        <v>249</v>
      </c>
      <c r="E9" s="298" t="s">
        <v>250</v>
      </c>
      <c r="F9" s="298" t="s">
        <v>251</v>
      </c>
      <c r="G9" s="299" t="s">
        <v>252</v>
      </c>
      <c r="H9" s="300" t="s">
        <v>253</v>
      </c>
      <c r="I9" s="301" t="s">
        <v>254</v>
      </c>
      <c r="J9" s="301" t="s">
        <v>255</v>
      </c>
      <c r="K9" s="302" t="s">
        <v>256</v>
      </c>
      <c r="L9" s="301" t="s">
        <v>257</v>
      </c>
      <c r="M9" s="298" t="s">
        <v>258</v>
      </c>
      <c r="N9" s="302" t="s">
        <v>259</v>
      </c>
      <c r="O9" s="303" t="s">
        <v>260</v>
      </c>
      <c r="P9" s="303" t="s">
        <v>261</v>
      </c>
      <c r="Q9" s="299" t="s">
        <v>262</v>
      </c>
      <c r="R9" s="304" t="s">
        <v>263</v>
      </c>
      <c r="S9" s="302" t="s">
        <v>264</v>
      </c>
      <c r="T9" s="305" t="s">
        <v>265</v>
      </c>
      <c r="U9" s="306" t="s">
        <v>266</v>
      </c>
      <c r="V9" s="302" t="s">
        <v>267</v>
      </c>
      <c r="W9" s="307" t="s">
        <v>268</v>
      </c>
      <c r="X9" s="308" t="s">
        <v>269</v>
      </c>
      <c r="Y9" s="307" t="s">
        <v>270</v>
      </c>
      <c r="Z9" s="309" t="s">
        <v>271</v>
      </c>
      <c r="AA9" s="309" t="s">
        <v>272</v>
      </c>
      <c r="AB9" s="301" t="s">
        <v>273</v>
      </c>
      <c r="AC9" s="300" t="s">
        <v>274</v>
      </c>
      <c r="AD9" s="301" t="s">
        <v>275</v>
      </c>
      <c r="AE9" s="300" t="s">
        <v>276</v>
      </c>
      <c r="AF9" s="300" t="s">
        <v>277</v>
      </c>
      <c r="AG9" s="301" t="s">
        <v>278</v>
      </c>
      <c r="AH9" s="300" t="s">
        <v>279</v>
      </c>
      <c r="AI9" s="301" t="s">
        <v>280</v>
      </c>
      <c r="AJ9" s="300" t="s">
        <v>281</v>
      </c>
    </row>
    <row r="10">
      <c r="A10" s="310">
        <v>46205</v>
      </c>
      <c r="B10" s="311" t="s">
        <v>282</v>
      </c>
      <c r="C10" s="312" t="s">
        <v>283</v>
      </c>
      <c r="D10" s="313">
        <f t="shared" ref="D10:D14" si="181">E10+F10</f>
      </c>
      <c r="E10" s="312">
        <v>1153.66</v>
      </c>
      <c r="F10" s="314">
        <v>2000</v>
      </c>
      <c r="G10" s="315">
        <v>7326.72</v>
      </c>
      <c r="H10" s="315">
        <v>3881.52</v>
      </c>
      <c r="I10" s="316">
        <f t="shared" ref="I10:I14" si="340">G10-H10</f>
      </c>
      <c r="J10" s="316">
        <f t="shared" ref="J10:J14" si="502">(G10-AA10)/12+AA10</f>
      </c>
      <c r="K10" s="317">
        <f t="shared" ref="K10:K16" si="61">G10/D10</f>
      </c>
      <c r="L10" s="318">
        <f t="shared" ref="L10:L16" si="91">(G10-H10)/D10</f>
      </c>
      <c r="M10" s="319">
        <f t="shared" ref="M10:M16" si="227">(AA10+Z10/12)/D10</f>
      </c>
      <c r="N10" s="320">
        <f t="shared" ref="N10:N16" si="382">G10/Y10</f>
      </c>
      <c r="O10" s="320">
        <f t="shared" ref="O10:O16" si="1">D10/Y10</f>
      </c>
      <c r="P10" s="320">
        <f t="shared" ref="P10:P16" si="121">D10/AE10</f>
      </c>
      <c r="Q10" s="321">
        <f t="shared" ref="Q10:Q16" si="257">Y10/W10</f>
      </c>
      <c r="R10" s="322">
        <f t="shared" ref="R10:R16" si="412">AG10/AF10</f>
      </c>
      <c r="S10" s="320">
        <f t="shared" ref="S10:S16" si="31">D10/AH10</f>
      </c>
      <c r="T10" s="323">
        <f t="shared" ref="T10:T16" si="442">AI10/AH10</f>
      </c>
      <c r="U10" s="323">
        <f t="shared" ref="U10:U16" si="151">AJ10/AH10</f>
      </c>
      <c r="V10" s="320">
        <f t="shared" ref="V10:V16" si="287">D10/AJ10</f>
      </c>
      <c r="W10" s="324">
        <f t="shared" ref="W10:W14" si="223">X10+Y10</f>
      </c>
      <c r="X10" s="325">
        <v>6</v>
      </c>
      <c r="Y10" s="325">
        <v>4</v>
      </c>
      <c r="Z10" s="326">
        <v>7326.72</v>
      </c>
      <c r="AA10" s="326">
        <v>0</v>
      </c>
      <c r="AB10" s="321">
        <f t="shared" ref="AB10:AB16" si="472">AA10/G10</f>
      </c>
      <c r="AC10" s="327" t="s">
        <v>284</v>
      </c>
      <c r="AD10" s="328" t="s">
        <v>285</v>
      </c>
      <c r="AE10" s="329">
        <v>4</v>
      </c>
      <c r="AF10" s="330">
        <v>16593</v>
      </c>
      <c r="AG10" s="330">
        <v>488</v>
      </c>
      <c r="AH10" s="330">
        <v>581</v>
      </c>
      <c r="AI10" s="329">
        <v>72</v>
      </c>
      <c r="AJ10" s="331">
        <v>95</v>
      </c>
    </row>
    <row r="11">
      <c r="A11" s="310"/>
      <c r="B11" s="311" t="s">
        <v>282</v>
      </c>
      <c r="C11" s="332" t="s">
        <v>286</v>
      </c>
      <c r="D11" s="313">
        <f t="shared" si="181"/>
      </c>
      <c r="E11" s="312">
        <v>2506.85</v>
      </c>
      <c r="F11" s="314">
        <v>2000</v>
      </c>
      <c r="G11" s="315">
        <v>5154.72</v>
      </c>
      <c r="H11" s="315">
        <v>0</v>
      </c>
      <c r="I11" s="316">
        <f t="shared" si="340"/>
      </c>
      <c r="J11" s="316">
        <f t="shared" si="502"/>
      </c>
      <c r="K11" s="317">
        <f t="shared" si="61"/>
      </c>
      <c r="L11" s="318">
        <f t="shared" si="91"/>
      </c>
      <c r="M11" s="319">
        <f t="shared" si="227"/>
      </c>
      <c r="N11" s="320">
        <f t="shared" si="382"/>
      </c>
      <c r="O11" s="320">
        <f t="shared" si="1"/>
      </c>
      <c r="P11" s="320">
        <f t="shared" si="121"/>
      </c>
      <c r="Q11" s="321">
        <f t="shared" si="257"/>
      </c>
      <c r="R11" s="322">
        <f t="shared" si="412"/>
      </c>
      <c r="S11" s="320">
        <f t="shared" si="31"/>
      </c>
      <c r="T11" s="323">
        <f t="shared" si="442"/>
      </c>
      <c r="U11" s="323">
        <f t="shared" si="151"/>
      </c>
      <c r="V11" s="320">
        <f t="shared" si="287"/>
      </c>
      <c r="W11" s="324">
        <f t="shared" si="223"/>
      </c>
      <c r="X11" s="325">
        <v>1</v>
      </c>
      <c r="Y11" s="325">
        <v>4</v>
      </c>
      <c r="Z11" s="326">
        <v>5154.72</v>
      </c>
      <c r="AA11" s="326">
        <v>0</v>
      </c>
      <c r="AB11" s="321">
        <f t="shared" si="472"/>
      </c>
      <c r="AC11" s="327" t="s">
        <v>284</v>
      </c>
      <c r="AD11" s="328" t="s">
        <v>285</v>
      </c>
      <c r="AE11" s="329">
        <v>4</v>
      </c>
      <c r="AF11" s="330">
        <v>40032</v>
      </c>
      <c r="AG11" s="330">
        <v>791</v>
      </c>
      <c r="AH11" s="330">
        <v>891</v>
      </c>
      <c r="AI11" s="331">
        <v>101</v>
      </c>
      <c r="AJ11" s="331">
        <v>105</v>
      </c>
    </row>
    <row r="12">
      <c r="A12" s="310"/>
      <c r="B12" s="311" t="s">
        <v>282</v>
      </c>
      <c r="C12" s="332" t="s">
        <v>287</v>
      </c>
      <c r="D12" s="313">
        <f t="shared" si="181"/>
      </c>
      <c r="E12" s="312">
        <v>4289.56</v>
      </c>
      <c r="F12" s="314">
        <v>2987.85</v>
      </c>
      <c r="G12" s="315">
        <v>7340.76</v>
      </c>
      <c r="H12" s="315">
        <v>0</v>
      </c>
      <c r="I12" s="316">
        <f t="shared" si="340"/>
      </c>
      <c r="J12" s="316">
        <f t="shared" si="502"/>
      </c>
      <c r="K12" s="317">
        <f t="shared" si="61"/>
      </c>
      <c r="L12" s="318">
        <f t="shared" si="91"/>
      </c>
      <c r="M12" s="319">
        <f t="shared" si="227"/>
      </c>
      <c r="N12" s="320">
        <f t="shared" si="382"/>
      </c>
      <c r="O12" s="320">
        <f t="shared" si="1"/>
      </c>
      <c r="P12" s="320">
        <f t="shared" si="121"/>
      </c>
      <c r="Q12" s="321">
        <f t="shared" si="257"/>
      </c>
      <c r="R12" s="322">
        <f t="shared" si="412"/>
      </c>
      <c r="S12" s="320">
        <f t="shared" si="31"/>
      </c>
      <c r="T12" s="323">
        <f t="shared" si="442"/>
      </c>
      <c r="U12" s="323">
        <f t="shared" si="151"/>
      </c>
      <c r="V12" s="320">
        <f t="shared" si="287"/>
      </c>
      <c r="W12" s="324">
        <f t="shared" si="223"/>
      </c>
      <c r="X12" s="325">
        <v>3</v>
      </c>
      <c r="Y12" s="325">
        <v>3</v>
      </c>
      <c r="Z12" s="326">
        <v>7340.76</v>
      </c>
      <c r="AA12" s="326">
        <v>0</v>
      </c>
      <c r="AB12" s="321">
        <f t="shared" si="472"/>
      </c>
      <c r="AC12" s="327" t="s">
        <v>284</v>
      </c>
      <c r="AD12" s="328" t="s">
        <v>285</v>
      </c>
      <c r="AE12" s="331">
        <v>3</v>
      </c>
      <c r="AF12" s="330">
        <v>88878</v>
      </c>
      <c r="AG12" s="330">
        <v>1730</v>
      </c>
      <c r="AH12" s="330">
        <v>1835</v>
      </c>
      <c r="AI12" s="331">
        <v>169</v>
      </c>
      <c r="AJ12" s="331">
        <v>216</v>
      </c>
    </row>
    <row r="13">
      <c r="A13" s="310"/>
      <c r="B13" s="311" t="s">
        <v>282</v>
      </c>
      <c r="C13" s="312" t="s">
        <v>288</v>
      </c>
      <c r="D13" s="313">
        <f t="shared" si="181"/>
      </c>
      <c r="E13" s="312">
        <v>2086.19</v>
      </c>
      <c r="F13" s="314">
        <v>2567.15</v>
      </c>
      <c r="G13" s="315">
        <v>2634.56</v>
      </c>
      <c r="H13" s="315">
        <v>0</v>
      </c>
      <c r="I13" s="316">
        <f t="shared" si="340"/>
      </c>
      <c r="J13" s="316">
        <f t="shared" si="502"/>
      </c>
      <c r="K13" s="317">
        <f t="shared" si="61"/>
      </c>
      <c r="L13" s="318">
        <f t="shared" si="91"/>
      </c>
      <c r="M13" s="319">
        <f t="shared" si="227"/>
      </c>
      <c r="N13" s="320">
        <f t="shared" si="382"/>
      </c>
      <c r="O13" s="320">
        <f t="shared" si="1"/>
      </c>
      <c r="P13" s="320">
        <f t="shared" si="121"/>
      </c>
      <c r="Q13" s="321">
        <f t="shared" si="257"/>
      </c>
      <c r="R13" s="322">
        <f t="shared" si="412"/>
      </c>
      <c r="S13" s="320">
        <f t="shared" si="31"/>
      </c>
      <c r="T13" s="323">
        <f t="shared" si="442"/>
      </c>
      <c r="U13" s="323">
        <f t="shared" si="151"/>
      </c>
      <c r="V13" s="320">
        <f t="shared" si="287"/>
      </c>
      <c r="W13" s="324">
        <f t="shared" si="223"/>
      </c>
      <c r="X13" s="325">
        <v>3</v>
      </c>
      <c r="Y13" s="325">
        <v>2</v>
      </c>
      <c r="Z13" s="326">
        <v>1735.56</v>
      </c>
      <c r="AA13" s="326">
        <v>899</v>
      </c>
      <c r="AB13" s="321">
        <f t="shared" si="472"/>
      </c>
      <c r="AC13" s="327" t="s">
        <v>284</v>
      </c>
      <c r="AD13" s="328" t="s">
        <v>285</v>
      </c>
      <c r="AE13" s="329">
        <v>2</v>
      </c>
      <c r="AF13" s="330">
        <v>61898</v>
      </c>
      <c r="AG13" s="330">
        <v>988</v>
      </c>
      <c r="AH13" s="330">
        <v>1083</v>
      </c>
      <c r="AI13" s="331">
        <v>126</v>
      </c>
      <c r="AJ13" s="331">
        <v>163</v>
      </c>
    </row>
    <row r="14">
      <c r="A14" s="310"/>
      <c r="B14" s="311" t="s">
        <v>282</v>
      </c>
      <c r="C14" s="332" t="s">
        <v>289</v>
      </c>
      <c r="D14" s="313">
        <f t="shared" si="181"/>
      </c>
      <c r="E14" s="312">
        <v>1261.01</v>
      </c>
      <c r="F14" s="314">
        <v>1932.55</v>
      </c>
      <c r="G14" s="315">
        <v>1591.92</v>
      </c>
      <c r="H14" s="315">
        <v>0</v>
      </c>
      <c r="I14" s="316">
        <f t="shared" si="340"/>
      </c>
      <c r="J14" s="316">
        <f t="shared" si="502"/>
      </c>
      <c r="K14" s="317">
        <f t="shared" si="61"/>
      </c>
      <c r="L14" s="318">
        <f t="shared" si="91"/>
      </c>
      <c r="M14" s="319">
        <f t="shared" si="227"/>
      </c>
      <c r="N14" s="320">
        <f t="shared" si="382"/>
      </c>
      <c r="O14" s="320">
        <f t="shared" si="1"/>
      </c>
      <c r="P14" s="320">
        <f t="shared" si="121"/>
      </c>
      <c r="Q14" s="321">
        <f t="shared" si="257"/>
      </c>
      <c r="R14" s="322">
        <f t="shared" si="412"/>
      </c>
      <c r="S14" s="320">
        <f t="shared" si="31"/>
      </c>
      <c r="T14" s="323">
        <f t="shared" si="442"/>
      </c>
      <c r="U14" s="323">
        <f t="shared" si="151"/>
      </c>
      <c r="V14" s="320">
        <f t="shared" si="287"/>
      </c>
      <c r="W14" s="324">
        <f t="shared" si="223"/>
      </c>
      <c r="X14" s="325">
        <v>5</v>
      </c>
      <c r="Y14" s="325">
        <v>1</v>
      </c>
      <c r="Z14" s="326">
        <v>1591.92</v>
      </c>
      <c r="AA14" s="326">
        <v>0</v>
      </c>
      <c r="AB14" s="321">
        <f t="shared" si="472"/>
      </c>
      <c r="AC14" s="327" t="s">
        <v>284</v>
      </c>
      <c r="AD14" s="328" t="s">
        <v>285</v>
      </c>
      <c r="AE14" s="329">
        <v>1</v>
      </c>
      <c r="AF14" s="330">
        <v>36116</v>
      </c>
      <c r="AG14" s="330">
        <v>516</v>
      </c>
      <c r="AH14" s="330">
        <v>554</v>
      </c>
      <c r="AI14" s="331">
        <v>64</v>
      </c>
      <c r="AJ14" s="331">
        <v>88</v>
      </c>
    </row>
    <row r="15">
      <c r="A15" s="310"/>
      <c r="B15" s="333" t="s">
        <v>290</v>
      </c>
      <c r="C15" s="334">
        <v>5</v>
      </c>
      <c r="D15" s="335">
        <f>SUM(D10:D14)</f>
      </c>
      <c r="E15" s="335">
        <f>SUM(E10:E14)</f>
      </c>
      <c r="F15" s="335">
        <f>SUM(F10:F14)</f>
      </c>
      <c r="G15" s="335">
        <f>SUM(G10:G14)</f>
      </c>
      <c r="H15" s="335">
        <f>SUM(H10:H14)</f>
      </c>
      <c r="I15" s="335">
        <f>SUM(I10:I14)</f>
      </c>
      <c r="J15" s="335">
        <f>SUM(J10:J14)</f>
      </c>
      <c r="K15" s="336">
        <f t="shared" si="61"/>
      </c>
      <c r="L15" s="337">
        <f t="shared" si="91"/>
      </c>
      <c r="M15" s="337">
        <f t="shared" si="227"/>
      </c>
      <c r="N15" s="338">
        <f t="shared" si="382"/>
      </c>
      <c r="O15" s="338">
        <f t="shared" si="1"/>
      </c>
      <c r="P15" s="338">
        <f t="shared" si="121"/>
      </c>
      <c r="Q15" s="339">
        <f t="shared" si="257"/>
      </c>
      <c r="R15" s="339">
        <f t="shared" si="412"/>
      </c>
      <c r="S15" s="338">
        <f t="shared" si="31"/>
      </c>
      <c r="T15" s="339">
        <f t="shared" si="442"/>
      </c>
      <c r="U15" s="339">
        <f t="shared" si="151"/>
      </c>
      <c r="V15" s="338">
        <f t="shared" si="287"/>
      </c>
      <c r="W15" s="335">
        <f>SUM(W10:W14)</f>
      </c>
      <c r="X15" s="335">
        <f>SUM(X10:X14)</f>
      </c>
      <c r="Y15" s="335">
        <f>SUM(Y10:Y14)</f>
      </c>
      <c r="Z15" s="335">
        <f>SUM(Z10:Z14)</f>
      </c>
      <c r="AA15" s="335">
        <f>SUM(AA10:AA14)</f>
      </c>
      <c r="AB15" s="340">
        <f t="shared" si="472"/>
      </c>
      <c r="AC15" s="341"/>
      <c r="AD15" s="342"/>
      <c r="AE15" s="335">
        <f>SUM(AE10:AE14)</f>
      </c>
      <c r="AF15" s="335">
        <f>SUM(AF10:AF14)</f>
      </c>
      <c r="AG15" s="335">
        <f>SUM(AG10:AG14)</f>
      </c>
      <c r="AH15" s="335">
        <f>SUM(AH10:AH14)</f>
      </c>
      <c r="AI15" s="335">
        <f>SUM(AI10:AI14)</f>
      </c>
      <c r="AJ15" s="335">
        <f>SUM(AJ10:AJ14)</f>
      </c>
    </row>
    <row r="16">
      <c r="A16" s="310"/>
      <c r="B16" s="343" t="s">
        <v>290</v>
      </c>
      <c r="C16" s="344">
        <v>5</v>
      </c>
      <c r="D16" s="343">
        <f>D15</f>
      </c>
      <c r="E16" s="343">
        <f>E15</f>
      </c>
      <c r="F16" s="343">
        <f>F15</f>
      </c>
      <c r="G16" s="345">
        <f>G15</f>
      </c>
      <c r="H16" s="345">
        <f>H15</f>
      </c>
      <c r="I16" s="345">
        <f>I15</f>
      </c>
      <c r="J16" s="345">
        <f>J15</f>
      </c>
      <c r="K16" s="346">
        <f t="shared" si="61"/>
      </c>
      <c r="L16" s="346">
        <f t="shared" si="91"/>
      </c>
      <c r="M16" s="346">
        <f t="shared" si="227"/>
      </c>
      <c r="N16" s="346">
        <f t="shared" si="382"/>
      </c>
      <c r="O16" s="346">
        <f t="shared" si="1"/>
      </c>
      <c r="P16" s="346">
        <f t="shared" si="121"/>
      </c>
      <c r="Q16" s="347">
        <f t="shared" si="257"/>
      </c>
      <c r="R16" s="347">
        <f t="shared" si="412"/>
      </c>
      <c r="S16" s="346">
        <f t="shared" si="31"/>
      </c>
      <c r="T16" s="347">
        <f t="shared" si="442"/>
      </c>
      <c r="U16" s="347">
        <f t="shared" si="151"/>
      </c>
      <c r="V16" s="346">
        <f t="shared" si="287"/>
      </c>
      <c r="W16" s="348">
        <f>W15</f>
      </c>
      <c r="X16" s="348">
        <f>X15</f>
      </c>
      <c r="Y16" s="348">
        <f>Y15</f>
      </c>
      <c r="Z16" s="349">
        <f>Z15</f>
      </c>
      <c r="AA16" s="348">
        <f>AA15</f>
      </c>
      <c r="AB16" s="350">
        <f t="shared" si="472"/>
      </c>
      <c r="AC16" s="343"/>
      <c r="AD16" s="343"/>
      <c r="AE16" s="343">
        <f>AE15</f>
      </c>
      <c r="AF16" s="343">
        <f>AF15</f>
      </c>
      <c r="AG16" s="343">
        <f>AG15</f>
      </c>
      <c r="AH16" s="343">
        <f>AH15</f>
      </c>
      <c r="AI16" s="343">
        <f>AI15</f>
      </c>
      <c r="AJ16" s="343">
        <f>AJ15</f>
      </c>
    </row>
    <row customHeight="true" ht="18.912337662337652" r="17">
      <c r="A17" s="297" t="s">
        <v>246</v>
      </c>
      <c r="B17" s="298" t="s">
        <v>247</v>
      </c>
      <c r="C17" s="298" t="s">
        <v>248</v>
      </c>
      <c r="D17" s="299" t="s">
        <v>249</v>
      </c>
      <c r="E17" s="298" t="s">
        <v>250</v>
      </c>
      <c r="F17" s="298" t="s">
        <v>251</v>
      </c>
      <c r="G17" s="299" t="s">
        <v>252</v>
      </c>
      <c r="H17" s="300" t="s">
        <v>253</v>
      </c>
      <c r="I17" s="301" t="s">
        <v>254</v>
      </c>
      <c r="J17" s="301" t="s">
        <v>255</v>
      </c>
      <c r="K17" s="302" t="s">
        <v>256</v>
      </c>
      <c r="L17" s="301" t="s">
        <v>257</v>
      </c>
      <c r="M17" s="298" t="s">
        <v>258</v>
      </c>
      <c r="N17" s="302" t="s">
        <v>259</v>
      </c>
      <c r="O17" s="303" t="s">
        <v>260</v>
      </c>
      <c r="P17" s="303" t="s">
        <v>261</v>
      </c>
      <c r="Q17" s="299" t="s">
        <v>262</v>
      </c>
      <c r="R17" s="304" t="s">
        <v>263</v>
      </c>
      <c r="S17" s="302" t="s">
        <v>264</v>
      </c>
      <c r="T17" s="305" t="s">
        <v>265</v>
      </c>
      <c r="U17" s="306" t="s">
        <v>266</v>
      </c>
      <c r="V17" s="302" t="s">
        <v>267</v>
      </c>
      <c r="W17" s="307" t="s">
        <v>268</v>
      </c>
      <c r="X17" s="308" t="s">
        <v>269</v>
      </c>
      <c r="Y17" s="307" t="s">
        <v>270</v>
      </c>
      <c r="Z17" s="309" t="s">
        <v>271</v>
      </c>
      <c r="AA17" s="309" t="s">
        <v>272</v>
      </c>
      <c r="AB17" s="301" t="s">
        <v>273</v>
      </c>
      <c r="AC17" s="300" t="s">
        <v>274</v>
      </c>
      <c r="AD17" s="301" t="s">
        <v>275</v>
      </c>
      <c r="AE17" s="300" t="s">
        <v>276</v>
      </c>
      <c r="AF17" s="300" t="s">
        <v>277</v>
      </c>
      <c r="AG17" s="301" t="s">
        <v>278</v>
      </c>
      <c r="AH17" s="300" t="s">
        <v>279</v>
      </c>
      <c r="AI17" s="301" t="s">
        <v>280</v>
      </c>
      <c r="AJ17" s="300" t="s">
        <v>281</v>
      </c>
    </row>
    <row r="18">
      <c r="A18" s="310">
        <v>46206</v>
      </c>
      <c r="B18" s="311" t="s">
        <v>282</v>
      </c>
      <c r="C18" s="312" t="s">
        <v>283</v>
      </c>
      <c r="D18" s="313">
        <f t="shared" ref="D18:D22" si="182">E18+F18</f>
      </c>
      <c r="E18" s="312">
        <v>1304.03</v>
      </c>
      <c r="F18" s="314">
        <v>2111</v>
      </c>
      <c r="G18" s="315">
        <v>4245.96</v>
      </c>
      <c r="H18" s="315">
        <v>0</v>
      </c>
      <c r="I18" s="316">
        <f t="shared" ref="I18:I22" si="341">G18-H18</f>
      </c>
      <c r="J18" s="316">
        <f t="shared" ref="J18:J22" si="503">(G18-AA18)/12+AA18</f>
      </c>
      <c r="K18" s="317">
        <f t="shared" ref="K18:K24" si="62">G18/D18</f>
      </c>
      <c r="L18" s="318">
        <f t="shared" ref="L18:L24" si="92">(G18-H18)/D18</f>
      </c>
      <c r="M18" s="319">
        <f t="shared" ref="M18:M24" si="228">(AA18+Z18/12)/D18</f>
      </c>
      <c r="N18" s="320">
        <f t="shared" ref="N18:N24" si="383">G18/Y18</f>
      </c>
      <c r="O18" s="320">
        <f t="shared" ref="O18:O24" si="2">D18/Y18</f>
      </c>
      <c r="P18" s="320">
        <f t="shared" ref="P18:P24" si="122">D18/AE18</f>
      </c>
      <c r="Q18" s="321">
        <f t="shared" ref="Q18:Q24" si="258">Y18/W18</f>
      </c>
      <c r="R18" s="322">
        <f t="shared" ref="R18:R24" si="413">AG18/AF18</f>
      </c>
      <c r="S18" s="320">
        <f t="shared" ref="S18:S24" si="32">D18/AH18</f>
      </c>
      <c r="T18" s="323">
        <f t="shared" ref="T18:T24" si="443">AI18/AH18</f>
      </c>
      <c r="U18" s="323">
        <f t="shared" ref="U18:U24" si="152">AJ18/AH18</f>
      </c>
      <c r="V18" s="320">
        <f t="shared" ref="V18:V24" si="288">D18/AJ18</f>
      </c>
      <c r="W18" s="324">
        <f t="shared" ref="W18:W22" si="224">X18+Y18</f>
      </c>
      <c r="X18" s="325">
        <v>1</v>
      </c>
      <c r="Y18" s="325">
        <v>3</v>
      </c>
      <c r="Z18" s="326">
        <v>4245.96</v>
      </c>
      <c r="AA18" s="326">
        <v>0</v>
      </c>
      <c r="AB18" s="321">
        <f t="shared" ref="AB18:AB24" si="473">AA18/G18</f>
      </c>
      <c r="AC18" s="327" t="s">
        <v>284</v>
      </c>
      <c r="AD18" s="328" t="s">
        <v>285</v>
      </c>
      <c r="AE18" s="329">
        <v>3</v>
      </c>
      <c r="AF18" s="330">
        <v>22363</v>
      </c>
      <c r="AG18" s="330">
        <v>472</v>
      </c>
      <c r="AH18" s="330">
        <v>548</v>
      </c>
      <c r="AI18" s="329">
        <v>72</v>
      </c>
      <c r="AJ18" s="331">
        <v>96</v>
      </c>
    </row>
    <row r="19">
      <c r="A19" s="310"/>
      <c r="B19" s="311" t="s">
        <v>282</v>
      </c>
      <c r="C19" s="332" t="s">
        <v>286</v>
      </c>
      <c r="D19" s="313">
        <f t="shared" si="182"/>
      </c>
      <c r="E19" s="312">
        <v>1534.14</v>
      </c>
      <c r="F19" s="314">
        <v>1977.26</v>
      </c>
      <c r="G19" s="315">
        <v>1539</v>
      </c>
      <c r="H19" s="315">
        <v>0</v>
      </c>
      <c r="I19" s="316">
        <f t="shared" si="341"/>
      </c>
      <c r="J19" s="316">
        <f t="shared" si="503"/>
      </c>
      <c r="K19" s="317">
        <f t="shared" si="62"/>
      </c>
      <c r="L19" s="318">
        <f t="shared" si="92"/>
      </c>
      <c r="M19" s="319">
        <f t="shared" si="228"/>
      </c>
      <c r="N19" s="320">
        <f t="shared" si="383"/>
      </c>
      <c r="O19" s="320">
        <f t="shared" si="2"/>
      </c>
      <c r="P19" s="320">
        <f t="shared" si="122"/>
      </c>
      <c r="Q19" s="321">
        <f t="shared" si="258"/>
      </c>
      <c r="R19" s="322">
        <f t="shared" si="413"/>
      </c>
      <c r="S19" s="320">
        <f t="shared" si="32"/>
      </c>
      <c r="T19" s="323">
        <f t="shared" si="443"/>
      </c>
      <c r="U19" s="323">
        <f t="shared" si="152"/>
      </c>
      <c r="V19" s="320">
        <f t="shared" si="288"/>
      </c>
      <c r="W19" s="324">
        <f t="shared" si="224"/>
      </c>
      <c r="X19" s="325">
        <v>3</v>
      </c>
      <c r="Y19" s="325">
        <v>2</v>
      </c>
      <c r="Z19" s="326">
        <v>1539</v>
      </c>
      <c r="AA19" s="326">
        <v>0</v>
      </c>
      <c r="AB19" s="321">
        <f t="shared" si="473"/>
      </c>
      <c r="AC19" s="327" t="s">
        <v>284</v>
      </c>
      <c r="AD19" s="328" t="s">
        <v>285</v>
      </c>
      <c r="AE19" s="329">
        <v>2</v>
      </c>
      <c r="AF19" s="330">
        <v>30906</v>
      </c>
      <c r="AG19" s="330">
        <v>666</v>
      </c>
      <c r="AH19" s="330">
        <v>709</v>
      </c>
      <c r="AI19" s="331">
        <v>85</v>
      </c>
      <c r="AJ19" s="331">
        <v>115</v>
      </c>
    </row>
    <row r="20">
      <c r="A20" s="310"/>
      <c r="B20" s="311" t="s">
        <v>282</v>
      </c>
      <c r="C20" s="332" t="s">
        <v>287</v>
      </c>
      <c r="D20" s="313">
        <f t="shared" si="182"/>
      </c>
      <c r="E20" s="312">
        <v>1638.68</v>
      </c>
      <c r="F20" s="314">
        <v>2022.74</v>
      </c>
      <c r="G20" s="315">
        <v>1159.92</v>
      </c>
      <c r="H20" s="315">
        <v>0</v>
      </c>
      <c r="I20" s="316">
        <f t="shared" si="341"/>
      </c>
      <c r="J20" s="316">
        <f t="shared" si="503"/>
      </c>
      <c r="K20" s="317">
        <f t="shared" si="62"/>
      </c>
      <c r="L20" s="318">
        <f t="shared" si="92"/>
      </c>
      <c r="M20" s="319">
        <f t="shared" si="228"/>
      </c>
      <c r="N20" s="320">
        <f t="shared" si="383"/>
      </c>
      <c r="O20" s="320">
        <f t="shared" si="2"/>
      </c>
      <c r="P20" s="320">
        <f t="shared" si="122"/>
      </c>
      <c r="Q20" s="321">
        <f t="shared" si="258"/>
      </c>
      <c r="R20" s="322">
        <f t="shared" si="413"/>
      </c>
      <c r="S20" s="320">
        <f t="shared" si="32"/>
      </c>
      <c r="T20" s="323">
        <f t="shared" si="443"/>
      </c>
      <c r="U20" s="323">
        <f t="shared" si="152"/>
      </c>
      <c r="V20" s="320">
        <f t="shared" si="288"/>
      </c>
      <c r="W20" s="324">
        <f t="shared" si="224"/>
      </c>
      <c r="X20" s="325">
        <v>1</v>
      </c>
      <c r="Y20" s="325">
        <v>1</v>
      </c>
      <c r="Z20" s="326">
        <v>1159.92</v>
      </c>
      <c r="AA20" s="326">
        <v>0</v>
      </c>
      <c r="AB20" s="321">
        <f t="shared" si="473"/>
      </c>
      <c r="AC20" s="327" t="s">
        <v>284</v>
      </c>
      <c r="AD20" s="328" t="s">
        <v>285</v>
      </c>
      <c r="AE20" s="331">
        <v>1</v>
      </c>
      <c r="AF20" s="330">
        <v>55576</v>
      </c>
      <c r="AG20" s="330">
        <v>754</v>
      </c>
      <c r="AH20" s="330">
        <v>786</v>
      </c>
      <c r="AI20" s="331">
        <v>112</v>
      </c>
      <c r="AJ20" s="331">
        <v>127</v>
      </c>
    </row>
    <row r="21">
      <c r="A21" s="310"/>
      <c r="B21" s="311" t="s">
        <v>282</v>
      </c>
      <c r="C21" s="312" t="s">
        <v>288</v>
      </c>
      <c r="D21" s="313">
        <f t="shared" si="182"/>
      </c>
      <c r="E21" s="312">
        <v>1326.34</v>
      </c>
      <c r="F21" s="314">
        <v>2000</v>
      </c>
      <c r="G21" s="315">
        <v>1763.64</v>
      </c>
      <c r="H21" s="315">
        <v>0</v>
      </c>
      <c r="I21" s="316">
        <f t="shared" si="341"/>
      </c>
      <c r="J21" s="316">
        <f t="shared" si="503"/>
      </c>
      <c r="K21" s="317">
        <f t="shared" si="62"/>
      </c>
      <c r="L21" s="318">
        <f t="shared" si="92"/>
      </c>
      <c r="M21" s="319">
        <f t="shared" si="228"/>
      </c>
      <c r="N21" s="320">
        <f t="shared" si="383"/>
      </c>
      <c r="O21" s="320">
        <f t="shared" si="2"/>
      </c>
      <c r="P21" s="320">
        <f t="shared" si="122"/>
      </c>
      <c r="Q21" s="321">
        <f t="shared" si="258"/>
      </c>
      <c r="R21" s="322">
        <f t="shared" si="413"/>
      </c>
      <c r="S21" s="320">
        <f t="shared" si="32"/>
      </c>
      <c r="T21" s="323">
        <f t="shared" si="443"/>
      </c>
      <c r="U21" s="323">
        <f t="shared" si="152"/>
      </c>
      <c r="V21" s="320">
        <f t="shared" si="288"/>
      </c>
      <c r="W21" s="324">
        <f t="shared" si="224"/>
      </c>
      <c r="X21" s="325">
        <v>3</v>
      </c>
      <c r="Y21" s="325">
        <v>2</v>
      </c>
      <c r="Z21" s="315">
        <v>1763.64</v>
      </c>
      <c r="AA21" s="326">
        <v>0</v>
      </c>
      <c r="AB21" s="321">
        <f t="shared" si="473"/>
      </c>
      <c r="AC21" s="327" t="s">
        <v>284</v>
      </c>
      <c r="AD21" s="328" t="s">
        <v>285</v>
      </c>
      <c r="AE21" s="329">
        <v>2</v>
      </c>
      <c r="AF21" s="330">
        <v>39176</v>
      </c>
      <c r="AG21" s="330">
        <v>758</v>
      </c>
      <c r="AH21" s="330">
        <v>843</v>
      </c>
      <c r="AI21" s="331">
        <v>89</v>
      </c>
      <c r="AJ21" s="331">
        <v>123</v>
      </c>
    </row>
    <row r="22">
      <c r="A22" s="310"/>
      <c r="B22" s="311" t="s">
        <v>282</v>
      </c>
      <c r="C22" s="332" t="s">
        <v>289</v>
      </c>
      <c r="D22" s="313">
        <f t="shared" si="182"/>
      </c>
      <c r="E22" s="312">
        <v>1612.44</v>
      </c>
      <c r="F22" s="314">
        <v>1889</v>
      </c>
      <c r="G22" s="315">
        <v>5317.92</v>
      </c>
      <c r="H22" s="315">
        <v>0</v>
      </c>
      <c r="I22" s="316">
        <f t="shared" si="341"/>
      </c>
      <c r="J22" s="316">
        <f t="shared" si="503"/>
      </c>
      <c r="K22" s="317">
        <f t="shared" si="62"/>
      </c>
      <c r="L22" s="318">
        <f t="shared" si="92"/>
      </c>
      <c r="M22" s="319">
        <f t="shared" si="228"/>
      </c>
      <c r="N22" s="320">
        <f t="shared" si="383"/>
      </c>
      <c r="O22" s="320">
        <f t="shared" si="2"/>
      </c>
      <c r="P22" s="320">
        <f t="shared" si="122"/>
      </c>
      <c r="Q22" s="321">
        <f t="shared" si="258"/>
      </c>
      <c r="R22" s="322">
        <f t="shared" si="413"/>
      </c>
      <c r="S22" s="320">
        <f t="shared" si="32"/>
      </c>
      <c r="T22" s="323">
        <f t="shared" si="443"/>
      </c>
      <c r="U22" s="323">
        <f t="shared" si="152"/>
      </c>
      <c r="V22" s="320">
        <f t="shared" si="288"/>
      </c>
      <c r="W22" s="324">
        <f t="shared" si="224"/>
      </c>
      <c r="X22" s="325">
        <v>3</v>
      </c>
      <c r="Y22" s="325">
        <v>3</v>
      </c>
      <c r="Z22" s="326">
        <v>5317.92</v>
      </c>
      <c r="AA22" s="326">
        <v>0</v>
      </c>
      <c r="AB22" s="321">
        <f t="shared" si="473"/>
      </c>
      <c r="AC22" s="327" t="s">
        <v>284</v>
      </c>
      <c r="AD22" s="328" t="s">
        <v>285</v>
      </c>
      <c r="AE22" s="329">
        <v>3</v>
      </c>
      <c r="AF22" s="330">
        <v>43877</v>
      </c>
      <c r="AG22" s="330">
        <v>780</v>
      </c>
      <c r="AH22" s="330">
        <v>845</v>
      </c>
      <c r="AI22" s="331">
        <v>79</v>
      </c>
      <c r="AJ22" s="331">
        <v>109</v>
      </c>
    </row>
    <row r="23">
      <c r="A23" s="310"/>
      <c r="B23" s="333" t="s">
        <v>290</v>
      </c>
      <c r="C23" s="334">
        <v>5</v>
      </c>
      <c r="D23" s="335">
        <f>SUM(D18:D22)</f>
      </c>
      <c r="E23" s="335">
        <f>SUM(E18:E22)</f>
      </c>
      <c r="F23" s="335">
        <f>SUM(F18:F22)</f>
      </c>
      <c r="G23" s="335">
        <f>SUM(G18:G22)</f>
      </c>
      <c r="H23" s="335">
        <f>SUM(H18:H22)</f>
      </c>
      <c r="I23" s="335">
        <f>SUM(I18:I22)</f>
      </c>
      <c r="J23" s="335">
        <f>SUM(J18:J22)</f>
      </c>
      <c r="K23" s="336">
        <f t="shared" si="62"/>
      </c>
      <c r="L23" s="337">
        <f t="shared" si="92"/>
      </c>
      <c r="M23" s="337">
        <f t="shared" si="228"/>
      </c>
      <c r="N23" s="338">
        <f t="shared" si="383"/>
      </c>
      <c r="O23" s="338">
        <f t="shared" si="2"/>
      </c>
      <c r="P23" s="338">
        <f t="shared" si="122"/>
      </c>
      <c r="Q23" s="339">
        <f t="shared" si="258"/>
      </c>
      <c r="R23" s="339">
        <f t="shared" si="413"/>
      </c>
      <c r="S23" s="338">
        <f t="shared" si="32"/>
      </c>
      <c r="T23" s="339">
        <f t="shared" si="443"/>
      </c>
      <c r="U23" s="339">
        <f t="shared" si="152"/>
      </c>
      <c r="V23" s="338">
        <f t="shared" si="288"/>
      </c>
      <c r="W23" s="335">
        <f>SUM(W18:W22)</f>
      </c>
      <c r="X23" s="335">
        <f>SUM(X18:X22)</f>
      </c>
      <c r="Y23" s="335">
        <f>SUM(Y18:Y22)</f>
      </c>
      <c r="Z23" s="335">
        <f>SUM(Z18:Z22)</f>
      </c>
      <c r="AA23" s="335">
        <f>SUM(AA18:AA22)</f>
      </c>
      <c r="AB23" s="340">
        <f t="shared" si="473"/>
      </c>
      <c r="AC23" s="341"/>
      <c r="AD23" s="342"/>
      <c r="AE23" s="335">
        <f>SUM(AE18:AE22)</f>
      </c>
      <c r="AF23" s="335">
        <f>SUM(AF18:AF22)</f>
      </c>
      <c r="AG23" s="335">
        <f>SUM(AG18:AG22)</f>
      </c>
      <c r="AH23" s="335">
        <f>SUM(AH18:AH22)</f>
      </c>
      <c r="AI23" s="335">
        <f>SUM(AI18:AI22)</f>
      </c>
      <c r="AJ23" s="335">
        <f>SUM(AJ18:AJ22)</f>
      </c>
    </row>
    <row r="24">
      <c r="A24" s="310"/>
      <c r="B24" s="343" t="s">
        <v>290</v>
      </c>
      <c r="C24" s="344">
        <v>5</v>
      </c>
      <c r="D24" s="343">
        <f>D23</f>
      </c>
      <c r="E24" s="343">
        <f>E23</f>
      </c>
      <c r="F24" s="343">
        <f>F23</f>
      </c>
      <c r="G24" s="345">
        <f>G23</f>
      </c>
      <c r="H24" s="345">
        <f>H23</f>
      </c>
      <c r="I24" s="345">
        <f>I23</f>
      </c>
      <c r="J24" s="345">
        <f>J23</f>
      </c>
      <c r="K24" s="346">
        <f t="shared" si="62"/>
      </c>
      <c r="L24" s="346">
        <f t="shared" si="92"/>
      </c>
      <c r="M24" s="346">
        <f t="shared" si="228"/>
      </c>
      <c r="N24" s="346">
        <f t="shared" si="383"/>
      </c>
      <c r="O24" s="346">
        <f t="shared" si="2"/>
      </c>
      <c r="P24" s="346">
        <f t="shared" si="122"/>
      </c>
      <c r="Q24" s="347">
        <f t="shared" si="258"/>
      </c>
      <c r="R24" s="347">
        <f t="shared" si="413"/>
      </c>
      <c r="S24" s="346">
        <f t="shared" si="32"/>
      </c>
      <c r="T24" s="347">
        <f t="shared" si="443"/>
      </c>
      <c r="U24" s="347">
        <f t="shared" si="152"/>
      </c>
      <c r="V24" s="346">
        <f t="shared" si="288"/>
      </c>
      <c r="W24" s="348">
        <f>W23</f>
      </c>
      <c r="X24" s="348">
        <f>X23</f>
      </c>
      <c r="Y24" s="348">
        <f>Y23</f>
      </c>
      <c r="Z24" s="349">
        <f>Z23</f>
      </c>
      <c r="AA24" s="348">
        <f>AA23</f>
      </c>
      <c r="AB24" s="350">
        <f t="shared" si="473"/>
      </c>
      <c r="AC24" s="343"/>
      <c r="AD24" s="343"/>
      <c r="AE24" s="343">
        <f>AE23</f>
      </c>
      <c r="AF24" s="343">
        <f>AF23</f>
      </c>
      <c r="AG24" s="343">
        <f>AG23</f>
      </c>
      <c r="AH24" s="343">
        <f>AH23</f>
      </c>
      <c r="AI24" s="343">
        <f>AI23</f>
      </c>
      <c r="AJ24" s="343">
        <f>AJ23</f>
      </c>
    </row>
    <row r="25">
      <c r="A25" s="297" t="s">
        <v>246</v>
      </c>
      <c r="B25" s="298" t="s">
        <v>247</v>
      </c>
      <c r="C25" s="298" t="s">
        <v>248</v>
      </c>
      <c r="D25" s="299" t="s">
        <v>249</v>
      </c>
      <c r="E25" s="298" t="s">
        <v>250</v>
      </c>
      <c r="F25" s="298" t="s">
        <v>251</v>
      </c>
      <c r="G25" s="299" t="s">
        <v>252</v>
      </c>
      <c r="H25" s="300" t="s">
        <v>253</v>
      </c>
      <c r="I25" s="301" t="s">
        <v>254</v>
      </c>
      <c r="J25" s="301" t="s">
        <v>255</v>
      </c>
      <c r="K25" s="302" t="s">
        <v>256</v>
      </c>
      <c r="L25" s="301" t="s">
        <v>257</v>
      </c>
      <c r="M25" s="298" t="s">
        <v>258</v>
      </c>
      <c r="N25" s="302" t="s">
        <v>259</v>
      </c>
      <c r="O25" s="303" t="s">
        <v>260</v>
      </c>
      <c r="P25" s="303" t="s">
        <v>261</v>
      </c>
      <c r="Q25" s="299" t="s">
        <v>262</v>
      </c>
      <c r="R25" s="304" t="s">
        <v>263</v>
      </c>
      <c r="S25" s="302" t="s">
        <v>264</v>
      </c>
      <c r="T25" s="305" t="s">
        <v>265</v>
      </c>
      <c r="U25" s="306" t="s">
        <v>266</v>
      </c>
      <c r="V25" s="302" t="s">
        <v>267</v>
      </c>
      <c r="W25" s="307" t="s">
        <v>268</v>
      </c>
      <c r="X25" s="308" t="s">
        <v>269</v>
      </c>
      <c r="Y25" s="307" t="s">
        <v>270</v>
      </c>
      <c r="Z25" s="309" t="s">
        <v>271</v>
      </c>
      <c r="AA25" s="309" t="s">
        <v>272</v>
      </c>
      <c r="AB25" s="301" t="s">
        <v>273</v>
      </c>
      <c r="AC25" s="300" t="s">
        <v>274</v>
      </c>
      <c r="AD25" s="301" t="s">
        <v>275</v>
      </c>
      <c r="AE25" s="300" t="s">
        <v>276</v>
      </c>
      <c r="AF25" s="300" t="s">
        <v>277</v>
      </c>
      <c r="AG25" s="301" t="s">
        <v>278</v>
      </c>
      <c r="AH25" s="300" t="s">
        <v>279</v>
      </c>
      <c r="AI25" s="301" t="s">
        <v>280</v>
      </c>
      <c r="AJ25" s="300" t="s">
        <v>281</v>
      </c>
    </row>
    <row r="26">
      <c r="A26" s="310">
        <v>46207</v>
      </c>
      <c r="B26" s="311" t="s">
        <v>282</v>
      </c>
      <c r="C26" s="312" t="s">
        <v>283</v>
      </c>
      <c r="D26" s="313">
        <f t="shared" ref="D26:D30" si="183">E26+F26</f>
      </c>
      <c r="E26" s="312">
        <v>1105.01</v>
      </c>
      <c r="F26" s="314">
        <v>2111</v>
      </c>
      <c r="G26" s="351">
        <v>1480.68</v>
      </c>
      <c r="H26" s="315">
        <v>1480.68</v>
      </c>
      <c r="I26" s="316">
        <f t="shared" ref="I26:I30" si="342">G26-H26</f>
      </c>
      <c r="J26" s="316">
        <f t="shared" ref="J26:J30" si="504">(G26-AA26)/12+AA26</f>
      </c>
      <c r="K26" s="317">
        <f t="shared" ref="K26:K32" si="63">G26/D26</f>
      </c>
      <c r="L26" s="318">
        <f t="shared" ref="L26:L32" si="93">(G26-H26)/D26</f>
      </c>
      <c r="M26" s="319">
        <f t="shared" ref="M26:M32" si="229">(AA26+Z26/12)/D26</f>
      </c>
      <c r="N26" s="320">
        <f t="shared" ref="N26:N32" si="384">G26/Y26</f>
      </c>
      <c r="O26" s="320">
        <f t="shared" ref="O26:O32" si="3">D26/Y26</f>
      </c>
      <c r="P26" s="320">
        <f t="shared" ref="P26:P32" si="123">D26/AE26</f>
      </c>
      <c r="Q26" s="321">
        <f t="shared" ref="Q26:Q32" si="259">Y26/W26</f>
      </c>
      <c r="R26" s="322">
        <f t="shared" ref="R26:R32" si="414">AG26/AF26</f>
      </c>
      <c r="S26" s="320">
        <f t="shared" ref="S26:S32" si="33">D26/AH26</f>
      </c>
      <c r="T26" s="323">
        <f t="shared" ref="T26:T32" si="444">AI26/AH26</f>
      </c>
      <c r="U26" s="323">
        <f t="shared" ref="U26:U32" si="153">AJ26/AH26</f>
      </c>
      <c r="V26" s="320">
        <f t="shared" ref="V26:V32" si="289">D26/AJ26</f>
      </c>
      <c r="W26" s="324">
        <f t="shared" ref="W26:W27" si="225">X26+Y26</f>
      </c>
      <c r="X26" s="325">
        <v>1</v>
      </c>
      <c r="Y26" s="325">
        <v>1</v>
      </c>
      <c r="Z26" s="326">
        <v>1480.68</v>
      </c>
      <c r="AA26" s="326">
        <v>0</v>
      </c>
      <c r="AB26" s="321">
        <f t="shared" ref="AB26:AB32" si="474">AA26/G26</f>
      </c>
      <c r="AC26" s="327" t="s">
        <v>284</v>
      </c>
      <c r="AD26" s="328" t="s">
        <v>285</v>
      </c>
      <c r="AE26" s="329">
        <v>1</v>
      </c>
      <c r="AF26" s="330">
        <v>23779</v>
      </c>
      <c r="AG26" s="330">
        <v>409</v>
      </c>
      <c r="AH26" s="330">
        <v>439</v>
      </c>
      <c r="AI26" s="329">
        <v>40</v>
      </c>
      <c r="AJ26" s="331">
        <v>75</v>
      </c>
    </row>
    <row r="27">
      <c r="A27" s="310"/>
      <c r="B27" s="311" t="s">
        <v>282</v>
      </c>
      <c r="C27" s="332" t="s">
        <v>286</v>
      </c>
      <c r="D27" s="313">
        <f t="shared" si="183"/>
      </c>
      <c r="E27" s="312">
        <v>664.52</v>
      </c>
      <c r="F27" s="314">
        <v>1940.21</v>
      </c>
      <c r="G27" s="315">
        <v>2188.08</v>
      </c>
      <c r="H27" s="315">
        <v>0</v>
      </c>
      <c r="I27" s="316">
        <f t="shared" si="342"/>
      </c>
      <c r="J27" s="316">
        <f t="shared" si="504"/>
      </c>
      <c r="K27" s="317">
        <f t="shared" si="63"/>
      </c>
      <c r="L27" s="318">
        <f t="shared" si="93"/>
      </c>
      <c r="M27" s="319">
        <f t="shared" si="229"/>
      </c>
      <c r="N27" s="320">
        <f t="shared" si="384"/>
      </c>
      <c r="O27" s="320">
        <f t="shared" si="3"/>
      </c>
      <c r="P27" s="320">
        <f t="shared" si="123"/>
      </c>
      <c r="Q27" s="321">
        <f t="shared" si="259"/>
      </c>
      <c r="R27" s="322">
        <f t="shared" si="414"/>
      </c>
      <c r="S27" s="320">
        <f t="shared" si="33"/>
      </c>
      <c r="T27" s="323">
        <f t="shared" si="444"/>
      </c>
      <c r="U27" s="323">
        <f t="shared" si="153"/>
      </c>
      <c r="V27" s="320">
        <f t="shared" si="289"/>
      </c>
      <c r="W27" s="324">
        <f t="shared" si="225"/>
      </c>
      <c r="X27" s="325">
        <v>3</v>
      </c>
      <c r="Y27" s="325">
        <v>1</v>
      </c>
      <c r="Z27" s="326">
        <v>2188.08</v>
      </c>
      <c r="AA27" s="326">
        <v>0</v>
      </c>
      <c r="AB27" s="321">
        <f t="shared" si="474"/>
      </c>
      <c r="AC27" s="327" t="s">
        <v>284</v>
      </c>
      <c r="AD27" s="328" t="s">
        <v>285</v>
      </c>
      <c r="AE27" s="329">
        <v>1</v>
      </c>
      <c r="AF27" s="330">
        <v>17873</v>
      </c>
      <c r="AG27" s="330">
        <v>388</v>
      </c>
      <c r="AH27" s="330">
        <v>419</v>
      </c>
      <c r="AI27" s="331">
        <v>46</v>
      </c>
      <c r="AJ27" s="331">
        <v>63</v>
      </c>
    </row>
    <row r="28">
      <c r="A28" s="310"/>
      <c r="B28" s="311" t="s">
        <v>282</v>
      </c>
      <c r="C28" s="332" t="s">
        <v>287</v>
      </c>
      <c r="D28" s="313">
        <f t="shared" si="183"/>
      </c>
      <c r="E28" s="312">
        <v>846.78</v>
      </c>
      <c r="F28" s="314">
        <v>2059.79</v>
      </c>
      <c r="G28" s="315">
        <v>3428.04</v>
      </c>
      <c r="H28" s="315">
        <v>0</v>
      </c>
      <c r="I28" s="316">
        <f t="shared" si="342"/>
      </c>
      <c r="J28" s="316">
        <f t="shared" si="504"/>
      </c>
      <c r="K28" s="317">
        <f t="shared" si="63"/>
      </c>
      <c r="L28" s="318">
        <f t="shared" si="93"/>
      </c>
      <c r="M28" s="319">
        <f t="shared" si="229"/>
      </c>
      <c r="N28" s="320">
        <f t="shared" si="384"/>
      </c>
      <c r="O28" s="320">
        <f t="shared" si="3"/>
      </c>
      <c r="P28" s="320">
        <f t="shared" si="123"/>
      </c>
      <c r="Q28" s="321">
        <f t="shared" si="259"/>
      </c>
      <c r="R28" s="322">
        <f t="shared" si="414"/>
      </c>
      <c r="S28" s="320">
        <f t="shared" si="33"/>
      </c>
      <c r="T28" s="323">
        <f t="shared" si="444"/>
      </c>
      <c r="U28" s="323">
        <f t="shared" si="153"/>
      </c>
      <c r="V28" s="320">
        <f t="shared" si="289"/>
      </c>
      <c r="W28" s="325">
        <v>2</v>
      </c>
      <c r="X28" s="325">
        <v>0</v>
      </c>
      <c r="Y28" s="325">
        <v>1</v>
      </c>
      <c r="Z28" s="326">
        <v>3428.04</v>
      </c>
      <c r="AA28" s="326">
        <v>0</v>
      </c>
      <c r="AB28" s="321">
        <f t="shared" si="474"/>
      </c>
      <c r="AC28" s="327" t="s">
        <v>284</v>
      </c>
      <c r="AD28" s="328" t="s">
        <v>285</v>
      </c>
      <c r="AE28" s="331">
        <v>1</v>
      </c>
      <c r="AF28" s="330">
        <v>20420</v>
      </c>
      <c r="AG28" s="330">
        <v>375</v>
      </c>
      <c r="AH28" s="330">
        <v>371</v>
      </c>
      <c r="AI28" s="331">
        <v>46</v>
      </c>
      <c r="AJ28" s="331">
        <v>71</v>
      </c>
    </row>
    <row r="29">
      <c r="A29" s="310"/>
      <c r="B29" s="311" t="s">
        <v>282</v>
      </c>
      <c r="C29" s="312" t="s">
        <v>288</v>
      </c>
      <c r="D29" s="313">
        <f t="shared" si="183"/>
      </c>
      <c r="E29" s="312">
        <v>1007.81</v>
      </c>
      <c r="F29" s="314">
        <v>1981.57</v>
      </c>
      <c r="G29" s="315">
        <v>970.92</v>
      </c>
      <c r="H29" s="315">
        <v>0</v>
      </c>
      <c r="I29" s="316">
        <f t="shared" si="342"/>
      </c>
      <c r="J29" s="316">
        <f t="shared" si="504"/>
      </c>
      <c r="K29" s="317">
        <f t="shared" si="63"/>
      </c>
      <c r="L29" s="318">
        <f t="shared" si="93"/>
      </c>
      <c r="M29" s="319">
        <f t="shared" si="229"/>
      </c>
      <c r="N29" s="320">
        <f t="shared" si="384"/>
      </c>
      <c r="O29" s="320">
        <f t="shared" si="3"/>
      </c>
      <c r="P29" s="320">
        <f t="shared" si="123"/>
      </c>
      <c r="Q29" s="321">
        <f t="shared" si="259"/>
      </c>
      <c r="R29" s="322">
        <f t="shared" si="414"/>
      </c>
      <c r="S29" s="320">
        <f t="shared" si="33"/>
      </c>
      <c r="T29" s="323">
        <f t="shared" si="444"/>
      </c>
      <c r="U29" s="323">
        <f t="shared" si="153"/>
      </c>
      <c r="V29" s="320">
        <f t="shared" si="289"/>
      </c>
      <c r="W29" s="325">
        <v>3</v>
      </c>
      <c r="X29" s="325">
        <v>0</v>
      </c>
      <c r="Y29" s="325">
        <v>1</v>
      </c>
      <c r="Z29" s="315">
        <v>970.92</v>
      </c>
      <c r="AA29" s="326">
        <v>0</v>
      </c>
      <c r="AB29" s="321">
        <f t="shared" si="474"/>
      </c>
      <c r="AC29" s="327" t="s">
        <v>284</v>
      </c>
      <c r="AD29" s="328" t="s">
        <v>285</v>
      </c>
      <c r="AE29" s="329">
        <v>1</v>
      </c>
      <c r="AF29" s="330">
        <v>19590</v>
      </c>
      <c r="AG29" s="330">
        <v>436</v>
      </c>
      <c r="AH29" s="330">
        <v>464</v>
      </c>
      <c r="AI29" s="331">
        <v>60</v>
      </c>
      <c r="AJ29" s="331">
        <v>78</v>
      </c>
    </row>
    <row r="30">
      <c r="A30" s="310"/>
      <c r="B30" s="311" t="s">
        <v>282</v>
      </c>
      <c r="C30" s="332" t="s">
        <v>289</v>
      </c>
      <c r="D30" s="313">
        <f t="shared" si="183"/>
      </c>
      <c r="E30" s="312">
        <v>792.15</v>
      </c>
      <c r="F30" s="314">
        <v>749.93</v>
      </c>
      <c r="G30" s="315">
        <v>0</v>
      </c>
      <c r="H30" s="315">
        <v>0</v>
      </c>
      <c r="I30" s="316">
        <f t="shared" si="342"/>
      </c>
      <c r="J30" s="316">
        <f t="shared" si="504"/>
      </c>
      <c r="K30" s="317">
        <f t="shared" si="63"/>
      </c>
      <c r="L30" s="318">
        <f t="shared" si="93"/>
      </c>
      <c r="M30" s="319">
        <f t="shared" si="229"/>
      </c>
      <c r="N30" s="320">
        <f t="shared" si="384"/>
      </c>
      <c r="O30" s="320">
        <f t="shared" si="3"/>
      </c>
      <c r="P30" s="320">
        <f t="shared" si="123"/>
      </c>
      <c r="Q30" s="321">
        <f t="shared" si="259"/>
      </c>
      <c r="R30" s="322">
        <f t="shared" si="414"/>
      </c>
      <c r="S30" s="320">
        <f t="shared" si="33"/>
      </c>
      <c r="T30" s="323">
        <f t="shared" si="444"/>
      </c>
      <c r="U30" s="323">
        <f t="shared" si="153"/>
      </c>
      <c r="V30" s="320">
        <f t="shared" si="289"/>
      </c>
      <c r="W30" s="324">
        <f>X30+Y30</f>
      </c>
      <c r="X30" s="325">
        <v>2</v>
      </c>
      <c r="Y30" s="325">
        <v>0</v>
      </c>
      <c r="Z30" s="326">
        <v>0</v>
      </c>
      <c r="AA30" s="326">
        <v>0</v>
      </c>
      <c r="AB30" s="321">
        <f t="shared" si="474"/>
      </c>
      <c r="AC30" s="327" t="s">
        <v>284</v>
      </c>
      <c r="AD30" s="328" t="s">
        <v>285</v>
      </c>
      <c r="AE30" s="329">
        <v>0</v>
      </c>
      <c r="AF30" s="330">
        <v>13322</v>
      </c>
      <c r="AG30" s="330">
        <v>308</v>
      </c>
      <c r="AH30" s="330">
        <v>325</v>
      </c>
      <c r="AI30" s="331">
        <v>39</v>
      </c>
      <c r="AJ30" s="331">
        <v>50</v>
      </c>
    </row>
    <row r="31">
      <c r="A31" s="310"/>
      <c r="B31" s="333" t="s">
        <v>290</v>
      </c>
      <c r="C31" s="334">
        <v>5</v>
      </c>
      <c r="D31" s="335">
        <f>SUM(D26:D30)</f>
      </c>
      <c r="E31" s="335">
        <f>SUM(E26:E30)</f>
      </c>
      <c r="F31" s="335">
        <f>SUM(F26:F30)</f>
      </c>
      <c r="G31" s="335">
        <f>SUM(G26:G30)</f>
      </c>
      <c r="H31" s="335">
        <f>SUM(H26:H30)</f>
      </c>
      <c r="I31" s="335">
        <f>SUM(I26:I30)</f>
      </c>
      <c r="J31" s="335">
        <f>SUM(J26:J30)</f>
      </c>
      <c r="K31" s="336">
        <f t="shared" si="63"/>
      </c>
      <c r="L31" s="337">
        <f t="shared" si="93"/>
      </c>
      <c r="M31" s="337">
        <f t="shared" si="229"/>
      </c>
      <c r="N31" s="338">
        <f t="shared" si="384"/>
      </c>
      <c r="O31" s="338">
        <f t="shared" si="3"/>
      </c>
      <c r="P31" s="338">
        <f t="shared" si="123"/>
      </c>
      <c r="Q31" s="339">
        <f t="shared" si="259"/>
      </c>
      <c r="R31" s="339">
        <f t="shared" si="414"/>
      </c>
      <c r="S31" s="338">
        <f t="shared" si="33"/>
      </c>
      <c r="T31" s="339">
        <f t="shared" si="444"/>
      </c>
      <c r="U31" s="339">
        <f t="shared" si="153"/>
      </c>
      <c r="V31" s="338">
        <f t="shared" si="289"/>
      </c>
      <c r="W31" s="335">
        <f>SUM(W26:W30)</f>
      </c>
      <c r="X31" s="335">
        <f>SUM(X26:X30)</f>
      </c>
      <c r="Y31" s="335">
        <f>SUM(Y26:Y30)</f>
      </c>
      <c r="Z31" s="335">
        <f>SUM(Z26:Z30)</f>
      </c>
      <c r="AA31" s="335">
        <f>SUM(AA26:AA30)</f>
      </c>
      <c r="AB31" s="340">
        <f t="shared" si="474"/>
      </c>
      <c r="AC31" s="341"/>
      <c r="AD31" s="342"/>
      <c r="AE31" s="335">
        <f>SUM(AE26:AE30)</f>
      </c>
      <c r="AF31" s="335">
        <f>SUM(AF26:AF30)</f>
      </c>
      <c r="AG31" s="335">
        <f>SUM(AG26:AG30)</f>
      </c>
      <c r="AH31" s="335">
        <f>SUM(AH26:AH30)</f>
      </c>
      <c r="AI31" s="335">
        <f>SUM(AI26:AI30)</f>
      </c>
      <c r="AJ31" s="335">
        <f>SUM(AJ26:AJ30)</f>
      </c>
    </row>
    <row r="32">
      <c r="A32" s="310"/>
      <c r="B32" s="343" t="s">
        <v>290</v>
      </c>
      <c r="C32" s="344">
        <v>5</v>
      </c>
      <c r="D32" s="343">
        <f>D31</f>
      </c>
      <c r="E32" s="343">
        <f>E31</f>
      </c>
      <c r="F32" s="343">
        <f>F31</f>
      </c>
      <c r="G32" s="345">
        <f>G31</f>
      </c>
      <c r="H32" s="345">
        <f>H31</f>
      </c>
      <c r="I32" s="345">
        <f>I31</f>
      </c>
      <c r="J32" s="345">
        <f>J31</f>
      </c>
      <c r="K32" s="346">
        <f t="shared" si="63"/>
      </c>
      <c r="L32" s="346">
        <f t="shared" si="93"/>
      </c>
      <c r="M32" s="346">
        <f t="shared" si="229"/>
      </c>
      <c r="N32" s="346">
        <f t="shared" si="384"/>
      </c>
      <c r="O32" s="346">
        <f t="shared" si="3"/>
      </c>
      <c r="P32" s="346">
        <f t="shared" si="123"/>
      </c>
      <c r="Q32" s="347">
        <f t="shared" si="259"/>
      </c>
      <c r="R32" s="347">
        <f t="shared" si="414"/>
      </c>
      <c r="S32" s="346">
        <f t="shared" si="33"/>
      </c>
      <c r="T32" s="347">
        <f t="shared" si="444"/>
      </c>
      <c r="U32" s="347">
        <f t="shared" si="153"/>
      </c>
      <c r="V32" s="346">
        <f t="shared" si="289"/>
      </c>
      <c r="W32" s="348">
        <f>W31</f>
      </c>
      <c r="X32" s="348">
        <f>X31</f>
      </c>
      <c r="Y32" s="348">
        <f>Y31</f>
      </c>
      <c r="Z32" s="349">
        <f>Z31</f>
      </c>
      <c r="AA32" s="348">
        <f>AA31</f>
      </c>
      <c r="AB32" s="350">
        <f t="shared" si="474"/>
      </c>
      <c r="AC32" s="343"/>
      <c r="AD32" s="343"/>
      <c r="AE32" s="343">
        <f>AE31</f>
      </c>
      <c r="AF32" s="343">
        <f>AF31</f>
      </c>
      <c r="AG32" s="343">
        <f>AG31</f>
      </c>
      <c r="AH32" s="343">
        <f>AH31</f>
      </c>
      <c r="AI32" s="343">
        <f>AI31</f>
      </c>
      <c r="AJ32" s="343">
        <f>AJ31</f>
      </c>
    </row>
    <row r="33">
      <c r="A33" s="297" t="s">
        <v>246</v>
      </c>
      <c r="B33" s="298" t="s">
        <v>247</v>
      </c>
      <c r="C33" s="298" t="s">
        <v>248</v>
      </c>
      <c r="D33" s="299" t="s">
        <v>249</v>
      </c>
      <c r="E33" s="298" t="s">
        <v>250</v>
      </c>
      <c r="F33" s="298" t="s">
        <v>251</v>
      </c>
      <c r="G33" s="299" t="s">
        <v>252</v>
      </c>
      <c r="H33" s="300" t="s">
        <v>253</v>
      </c>
      <c r="I33" s="301" t="s">
        <v>254</v>
      </c>
      <c r="J33" s="301" t="s">
        <v>255</v>
      </c>
      <c r="K33" s="302" t="s">
        <v>256</v>
      </c>
      <c r="L33" s="301" t="s">
        <v>257</v>
      </c>
      <c r="M33" s="298" t="s">
        <v>258</v>
      </c>
      <c r="N33" s="302" t="s">
        <v>259</v>
      </c>
      <c r="O33" s="303" t="s">
        <v>260</v>
      </c>
      <c r="P33" s="303" t="s">
        <v>261</v>
      </c>
      <c r="Q33" s="299" t="s">
        <v>262</v>
      </c>
      <c r="R33" s="304" t="s">
        <v>263</v>
      </c>
      <c r="S33" s="302" t="s">
        <v>264</v>
      </c>
      <c r="T33" s="305" t="s">
        <v>265</v>
      </c>
      <c r="U33" s="306" t="s">
        <v>266</v>
      </c>
      <c r="V33" s="302" t="s">
        <v>267</v>
      </c>
      <c r="W33" s="307" t="s">
        <v>268</v>
      </c>
      <c r="X33" s="308" t="s">
        <v>269</v>
      </c>
      <c r="Y33" s="307" t="s">
        <v>270</v>
      </c>
      <c r="Z33" s="309" t="s">
        <v>271</v>
      </c>
      <c r="AA33" s="309" t="s">
        <v>272</v>
      </c>
      <c r="AB33" s="301" t="s">
        <v>273</v>
      </c>
      <c r="AC33" s="300" t="s">
        <v>274</v>
      </c>
      <c r="AD33" s="301" t="s">
        <v>275</v>
      </c>
      <c r="AE33" s="300" t="s">
        <v>276</v>
      </c>
      <c r="AF33" s="300" t="s">
        <v>277</v>
      </c>
      <c r="AG33" s="301" t="s">
        <v>278</v>
      </c>
      <c r="AH33" s="300" t="s">
        <v>279</v>
      </c>
      <c r="AI33" s="301" t="s">
        <v>280</v>
      </c>
      <c r="AJ33" s="300" t="s">
        <v>281</v>
      </c>
    </row>
    <row r="34">
      <c r="A34" s="310">
        <v>46208</v>
      </c>
      <c r="B34" s="311" t="s">
        <v>282</v>
      </c>
      <c r="C34" s="312" t="s">
        <v>283</v>
      </c>
      <c r="D34" s="313">
        <f t="shared" ref="D34:D38" si="184">E34+F34</f>
      </c>
      <c r="E34" s="312">
        <v>658.88</v>
      </c>
      <c r="F34" s="314">
        <v>1555</v>
      </c>
      <c r="G34" s="352">
        <v>0</v>
      </c>
      <c r="H34" s="315">
        <v>0</v>
      </c>
      <c r="I34" s="316">
        <f t="shared" ref="I34:I38" si="343">G34-H34</f>
      </c>
      <c r="J34" s="316">
        <f t="shared" ref="J34:J38" si="505">(G34-AA34)/12+AA34</f>
      </c>
      <c r="K34" s="317">
        <f t="shared" ref="K34:K40" si="64">G34/D34</f>
      </c>
      <c r="L34" s="318">
        <f t="shared" ref="L34:L40" si="94">(G34-H34)/D34</f>
      </c>
      <c r="M34" s="319">
        <f t="shared" ref="M34:M40" si="230">(AA34+Z34/12)/D34</f>
      </c>
      <c r="N34" s="320">
        <f t="shared" ref="N34:N40" si="385">G34/Y34</f>
      </c>
      <c r="O34" s="320">
        <f t="shared" ref="O34:O40" si="4">D34/Y34</f>
      </c>
      <c r="P34" s="320">
        <f t="shared" ref="P34:P40" si="124">D34/AE34</f>
      </c>
      <c r="Q34" s="321">
        <f t="shared" ref="Q34:Q40" si="260">Y34/W34</f>
      </c>
      <c r="R34" s="322">
        <f t="shared" ref="R34:R40" si="415">AG34/AF34</f>
      </c>
      <c r="S34" s="320">
        <f t="shared" ref="S34:S40" si="34">D34/AH34</f>
      </c>
      <c r="T34" s="323">
        <f t="shared" ref="T34:T40" si="445">AI34/AH34</f>
      </c>
      <c r="U34" s="323">
        <f t="shared" ref="U34:U40" si="154">AJ34/AH34</f>
      </c>
      <c r="V34" s="320">
        <f t="shared" ref="V34:V40" si="290">D34/AJ34</f>
      </c>
      <c r="W34" s="325">
        <v>1</v>
      </c>
      <c r="X34" s="325">
        <v>1</v>
      </c>
      <c r="Y34" s="325">
        <v>0</v>
      </c>
      <c r="Z34" s="326">
        <v>0</v>
      </c>
      <c r="AA34" s="326">
        <v>0</v>
      </c>
      <c r="AB34" s="321">
        <f t="shared" ref="AB34:AB40" si="475">AA34/G34</f>
      </c>
      <c r="AC34" s="327" t="s">
        <v>284</v>
      </c>
      <c r="AD34" s="328" t="s">
        <v>285</v>
      </c>
      <c r="AE34" s="329">
        <v>0</v>
      </c>
      <c r="AF34" s="330">
        <v>19075</v>
      </c>
      <c r="AG34" s="330">
        <v>292</v>
      </c>
      <c r="AH34" s="330">
        <v>317</v>
      </c>
      <c r="AI34" s="329">
        <v>36</v>
      </c>
      <c r="AJ34" s="331">
        <v>61</v>
      </c>
    </row>
    <row r="35">
      <c r="A35" s="310"/>
      <c r="B35" s="311" t="s">
        <v>282</v>
      </c>
      <c r="C35" s="332" t="s">
        <v>286</v>
      </c>
      <c r="D35" s="313">
        <f t="shared" si="184"/>
      </c>
      <c r="E35" s="312">
        <v>813.18</v>
      </c>
      <c r="F35" s="314">
        <v>1979.72</v>
      </c>
      <c r="G35" s="315">
        <v>6983.28</v>
      </c>
      <c r="H35" s="315">
        <v>4390.2</v>
      </c>
      <c r="I35" s="316">
        <f t="shared" si="343"/>
      </c>
      <c r="J35" s="316">
        <f t="shared" si="505"/>
      </c>
      <c r="K35" s="317">
        <f t="shared" si="64"/>
      </c>
      <c r="L35" s="318">
        <f t="shared" si="94"/>
      </c>
      <c r="M35" s="319">
        <f t="shared" si="230"/>
      </c>
      <c r="N35" s="320">
        <f t="shared" si="385"/>
      </c>
      <c r="O35" s="320">
        <f t="shared" si="4"/>
      </c>
      <c r="P35" s="320">
        <f t="shared" si="124"/>
      </c>
      <c r="Q35" s="321">
        <f t="shared" si="260"/>
      </c>
      <c r="R35" s="322">
        <f t="shared" si="415"/>
      </c>
      <c r="S35" s="320">
        <f t="shared" si="34"/>
      </c>
      <c r="T35" s="323">
        <f t="shared" si="445"/>
      </c>
      <c r="U35" s="323">
        <f t="shared" si="154"/>
      </c>
      <c r="V35" s="320">
        <f t="shared" si="290"/>
      </c>
      <c r="W35" s="325">
        <v>10</v>
      </c>
      <c r="X35" s="325">
        <v>0</v>
      </c>
      <c r="Y35" s="325">
        <v>4</v>
      </c>
      <c r="Z35" s="326">
        <v>6983.28</v>
      </c>
      <c r="AA35" s="326">
        <v>0</v>
      </c>
      <c r="AB35" s="321">
        <f t="shared" si="475"/>
      </c>
      <c r="AC35" s="327" t="s">
        <v>284</v>
      </c>
      <c r="AD35" s="328" t="s">
        <v>285</v>
      </c>
      <c r="AE35" s="329">
        <v>4</v>
      </c>
      <c r="AF35" s="330">
        <v>26232</v>
      </c>
      <c r="AG35" s="330">
        <v>382</v>
      </c>
      <c r="AH35" s="330">
        <v>400</v>
      </c>
      <c r="AI35" s="331">
        <v>91</v>
      </c>
      <c r="AJ35" s="331">
        <v>115</v>
      </c>
    </row>
    <row r="36">
      <c r="A36" s="310"/>
      <c r="B36" s="311" t="s">
        <v>282</v>
      </c>
      <c r="C36" s="332" t="s">
        <v>287</v>
      </c>
      <c r="D36" s="313">
        <f t="shared" si="184"/>
      </c>
      <c r="E36" s="312">
        <v>1112.25</v>
      </c>
      <c r="F36" s="314">
        <v>2002.71</v>
      </c>
      <c r="G36" s="315">
        <v>2878.2</v>
      </c>
      <c r="H36" s="315">
        <v>0</v>
      </c>
      <c r="I36" s="316">
        <f t="shared" si="343"/>
      </c>
      <c r="J36" s="316">
        <f t="shared" si="505"/>
      </c>
      <c r="K36" s="317">
        <f t="shared" si="64"/>
      </c>
      <c r="L36" s="318">
        <f t="shared" si="94"/>
      </c>
      <c r="M36" s="319">
        <f t="shared" si="230"/>
      </c>
      <c r="N36" s="320">
        <f t="shared" si="385"/>
      </c>
      <c r="O36" s="320">
        <f t="shared" si="4"/>
      </c>
      <c r="P36" s="320">
        <f t="shared" si="124"/>
      </c>
      <c r="Q36" s="321">
        <f t="shared" si="260"/>
      </c>
      <c r="R36" s="322">
        <f t="shared" si="415"/>
      </c>
      <c r="S36" s="320">
        <f t="shared" si="34"/>
      </c>
      <c r="T36" s="323">
        <f t="shared" si="445"/>
      </c>
      <c r="U36" s="323">
        <f t="shared" si="154"/>
      </c>
      <c r="V36" s="320">
        <f t="shared" si="290"/>
      </c>
      <c r="W36" s="325">
        <v>8</v>
      </c>
      <c r="X36" s="325">
        <v>2</v>
      </c>
      <c r="Y36" s="325">
        <v>3</v>
      </c>
      <c r="Z36" s="326">
        <v>2878.2</v>
      </c>
      <c r="AA36" s="326">
        <v>0</v>
      </c>
      <c r="AB36" s="321">
        <f t="shared" si="475"/>
      </c>
      <c r="AC36" s="327" t="s">
        <v>284</v>
      </c>
      <c r="AD36" s="328" t="s">
        <v>285</v>
      </c>
      <c r="AE36" s="331">
        <v>3</v>
      </c>
      <c r="AF36" s="330">
        <v>43080</v>
      </c>
      <c r="AG36" s="330">
        <v>455</v>
      </c>
      <c r="AH36" s="330">
        <v>465</v>
      </c>
      <c r="AI36" s="331">
        <v>69</v>
      </c>
      <c r="AJ36" s="331">
        <v>103</v>
      </c>
    </row>
    <row r="37">
      <c r="A37" s="310"/>
      <c r="B37" s="311" t="s">
        <v>282</v>
      </c>
      <c r="C37" s="312" t="s">
        <v>288</v>
      </c>
      <c r="D37" s="313">
        <f t="shared" si="184"/>
      </c>
      <c r="E37" s="312">
        <v>1195.41</v>
      </c>
      <c r="F37" s="314">
        <v>2462.57</v>
      </c>
      <c r="G37" s="315">
        <v>15876.36</v>
      </c>
      <c r="H37" s="315">
        <v>0</v>
      </c>
      <c r="I37" s="316">
        <f t="shared" si="343"/>
      </c>
      <c r="J37" s="316">
        <f t="shared" si="505"/>
      </c>
      <c r="K37" s="317">
        <f t="shared" si="64"/>
      </c>
      <c r="L37" s="318">
        <f t="shared" si="94"/>
      </c>
      <c r="M37" s="319">
        <f t="shared" si="230"/>
      </c>
      <c r="N37" s="320">
        <f t="shared" si="385"/>
      </c>
      <c r="O37" s="320">
        <f t="shared" si="4"/>
      </c>
      <c r="P37" s="320">
        <f t="shared" si="124"/>
      </c>
      <c r="Q37" s="321">
        <f t="shared" si="260"/>
      </c>
      <c r="R37" s="322">
        <f t="shared" si="415"/>
      </c>
      <c r="S37" s="320">
        <f t="shared" si="34"/>
      </c>
      <c r="T37" s="323">
        <f t="shared" si="445"/>
      </c>
      <c r="U37" s="323">
        <f t="shared" si="154"/>
      </c>
      <c r="V37" s="320">
        <f t="shared" si="290"/>
      </c>
      <c r="W37" s="325">
        <v>7</v>
      </c>
      <c r="X37" s="325">
        <v>2</v>
      </c>
      <c r="Y37" s="325">
        <v>5</v>
      </c>
      <c r="Z37" s="315">
        <v>15876.36</v>
      </c>
      <c r="AA37" s="326">
        <v>0</v>
      </c>
      <c r="AB37" s="321">
        <f t="shared" si="475"/>
      </c>
      <c r="AC37" s="327" t="s">
        <v>284</v>
      </c>
      <c r="AD37" s="328" t="s">
        <v>285</v>
      </c>
      <c r="AE37" s="329">
        <v>5</v>
      </c>
      <c r="AF37" s="330">
        <v>56049</v>
      </c>
      <c r="AG37" s="330">
        <v>494</v>
      </c>
      <c r="AH37" s="330">
        <v>490</v>
      </c>
      <c r="AI37" s="331">
        <v>65</v>
      </c>
      <c r="AJ37" s="331">
        <v>102</v>
      </c>
    </row>
    <row r="38">
      <c r="A38" s="310"/>
      <c r="B38" s="311" t="s">
        <v>282</v>
      </c>
      <c r="C38" s="332" t="s">
        <v>289</v>
      </c>
      <c r="D38" s="313">
        <f t="shared" si="184"/>
      </c>
      <c r="E38" s="312">
        <v>821.14</v>
      </c>
      <c r="F38" s="314">
        <v>3000</v>
      </c>
      <c r="G38" s="315">
        <v>5553.36</v>
      </c>
      <c r="H38" s="315">
        <v>0</v>
      </c>
      <c r="I38" s="316">
        <f t="shared" si="343"/>
      </c>
      <c r="J38" s="316">
        <f t="shared" si="505"/>
      </c>
      <c r="K38" s="317">
        <f t="shared" si="64"/>
      </c>
      <c r="L38" s="318">
        <f t="shared" si="94"/>
      </c>
      <c r="M38" s="319">
        <f t="shared" si="230"/>
      </c>
      <c r="N38" s="320">
        <f t="shared" si="385"/>
      </c>
      <c r="O38" s="320">
        <f t="shared" si="4"/>
      </c>
      <c r="P38" s="320">
        <f t="shared" si="124"/>
      </c>
      <c r="Q38" s="321">
        <f t="shared" si="260"/>
      </c>
      <c r="R38" s="322">
        <f t="shared" si="415"/>
      </c>
      <c r="S38" s="320">
        <f t="shared" si="34"/>
      </c>
      <c r="T38" s="323">
        <f t="shared" si="445"/>
      </c>
      <c r="U38" s="323">
        <f t="shared" si="154"/>
      </c>
      <c r="V38" s="320">
        <f t="shared" si="290"/>
      </c>
      <c r="W38" s="325">
        <v>13</v>
      </c>
      <c r="X38" s="325">
        <v>5</v>
      </c>
      <c r="Y38" s="325">
        <v>4</v>
      </c>
      <c r="Z38" s="326">
        <v>5553.36</v>
      </c>
      <c r="AA38" s="326">
        <v>0</v>
      </c>
      <c r="AB38" s="321">
        <f t="shared" si="475"/>
      </c>
      <c r="AC38" s="327" t="s">
        <v>284</v>
      </c>
      <c r="AD38" s="328" t="s">
        <v>285</v>
      </c>
      <c r="AE38" s="329">
        <v>4</v>
      </c>
      <c r="AF38" s="330">
        <v>52156</v>
      </c>
      <c r="AG38" s="330">
        <v>478</v>
      </c>
      <c r="AH38" s="330">
        <v>487</v>
      </c>
      <c r="AI38" s="331">
        <v>67</v>
      </c>
      <c r="AJ38" s="331">
        <v>91</v>
      </c>
    </row>
    <row r="39">
      <c r="A39" s="310"/>
      <c r="B39" s="333" t="s">
        <v>290</v>
      </c>
      <c r="C39" s="334">
        <v>5</v>
      </c>
      <c r="D39" s="335">
        <f>SUM(D34:D38)</f>
      </c>
      <c r="E39" s="335">
        <f>SUM(E34:E38)</f>
      </c>
      <c r="F39" s="335">
        <f>SUM(F34:F38)</f>
      </c>
      <c r="G39" s="335">
        <f>SUM(G34:G38)</f>
      </c>
      <c r="H39" s="335">
        <f>SUM(H34:H38)</f>
      </c>
      <c r="I39" s="335">
        <f>SUM(I34:I38)</f>
      </c>
      <c r="J39" s="335">
        <f>SUM(J34:J38)</f>
      </c>
      <c r="K39" s="336">
        <f t="shared" si="64"/>
      </c>
      <c r="L39" s="337">
        <f t="shared" si="94"/>
      </c>
      <c r="M39" s="337">
        <f t="shared" si="230"/>
      </c>
      <c r="N39" s="338">
        <f t="shared" si="385"/>
      </c>
      <c r="O39" s="338">
        <f t="shared" si="4"/>
      </c>
      <c r="P39" s="338">
        <f t="shared" si="124"/>
      </c>
      <c r="Q39" s="339">
        <f t="shared" si="260"/>
      </c>
      <c r="R39" s="339">
        <f t="shared" si="415"/>
      </c>
      <c r="S39" s="338">
        <f t="shared" si="34"/>
      </c>
      <c r="T39" s="339">
        <f t="shared" si="445"/>
      </c>
      <c r="U39" s="339">
        <f t="shared" si="154"/>
      </c>
      <c r="V39" s="338">
        <f t="shared" si="290"/>
      </c>
      <c r="W39" s="335">
        <f>SUM(W34:W38)</f>
      </c>
      <c r="X39" s="335">
        <f>SUM(X34:X38)</f>
      </c>
      <c r="Y39" s="335">
        <f>SUM(Y34:Y38)</f>
      </c>
      <c r="Z39" s="335">
        <f>SUM(Z34:Z38)</f>
      </c>
      <c r="AA39" s="335">
        <f>SUM(AA34:AA38)</f>
      </c>
      <c r="AB39" s="340">
        <f t="shared" si="475"/>
      </c>
      <c r="AC39" s="341"/>
      <c r="AD39" s="342"/>
      <c r="AE39" s="335">
        <f>SUM(AE34:AE38)</f>
      </c>
      <c r="AF39" s="335">
        <f>SUM(AF34:AF38)</f>
      </c>
      <c r="AG39" s="335">
        <f>SUM(AG34:AG38)</f>
      </c>
      <c r="AH39" s="335">
        <f>SUM(AH34:AH38)</f>
      </c>
      <c r="AI39" s="335">
        <f>SUM(AI34:AI38)</f>
      </c>
      <c r="AJ39" s="335">
        <f>SUM(AJ34:AJ38)</f>
      </c>
    </row>
    <row r="40">
      <c r="A40" s="310"/>
      <c r="B40" s="343" t="s">
        <v>290</v>
      </c>
      <c r="C40" s="344">
        <v>5</v>
      </c>
      <c r="D40" s="343">
        <f>D39</f>
      </c>
      <c r="E40" s="343">
        <f>E39</f>
      </c>
      <c r="F40" s="343">
        <f>F39</f>
      </c>
      <c r="G40" s="345">
        <f>G39</f>
      </c>
      <c r="H40" s="345">
        <f>H39</f>
      </c>
      <c r="I40" s="345">
        <f>I39</f>
      </c>
      <c r="J40" s="345">
        <f>J39</f>
      </c>
      <c r="K40" s="346">
        <f t="shared" si="64"/>
      </c>
      <c r="L40" s="346">
        <f t="shared" si="94"/>
      </c>
      <c r="M40" s="346">
        <f t="shared" si="230"/>
      </c>
      <c r="N40" s="346">
        <f t="shared" si="385"/>
      </c>
      <c r="O40" s="346">
        <f t="shared" si="4"/>
      </c>
      <c r="P40" s="346">
        <f t="shared" si="124"/>
      </c>
      <c r="Q40" s="347">
        <f t="shared" si="260"/>
      </c>
      <c r="R40" s="347">
        <f t="shared" si="415"/>
      </c>
      <c r="S40" s="346">
        <f t="shared" si="34"/>
      </c>
      <c r="T40" s="347">
        <f t="shared" si="445"/>
      </c>
      <c r="U40" s="347">
        <f t="shared" si="154"/>
      </c>
      <c r="V40" s="346">
        <f t="shared" si="290"/>
      </c>
      <c r="W40" s="348">
        <f>W39</f>
      </c>
      <c r="X40" s="348">
        <f>X39</f>
      </c>
      <c r="Y40" s="348">
        <f>Y39</f>
      </c>
      <c r="Z40" s="349">
        <f>Z39</f>
      </c>
      <c r="AA40" s="348">
        <f>AA39</f>
      </c>
      <c r="AB40" s="350">
        <f t="shared" si="475"/>
      </c>
      <c r="AC40" s="343"/>
      <c r="AD40" s="343"/>
      <c r="AE40" s="343">
        <f>AE39</f>
      </c>
      <c r="AF40" s="343">
        <f>AF39</f>
      </c>
      <c r="AG40" s="343">
        <f>AG39</f>
      </c>
      <c r="AH40" s="343">
        <f>AH39</f>
      </c>
      <c r="AI40" s="343">
        <f>AI39</f>
      </c>
      <c r="AJ40" s="343">
        <f>AJ39</f>
      </c>
    </row>
    <row r="41">
      <c r="A41" s="297" t="s">
        <v>246</v>
      </c>
      <c r="B41" s="298" t="s">
        <v>247</v>
      </c>
      <c r="C41" s="298" t="s">
        <v>248</v>
      </c>
      <c r="D41" s="299" t="s">
        <v>249</v>
      </c>
      <c r="E41" s="298" t="s">
        <v>250</v>
      </c>
      <c r="F41" s="298" t="s">
        <v>251</v>
      </c>
      <c r="G41" s="299" t="s">
        <v>252</v>
      </c>
      <c r="H41" s="300" t="s">
        <v>253</v>
      </c>
      <c r="I41" s="301" t="s">
        <v>254</v>
      </c>
      <c r="J41" s="301" t="s">
        <v>255</v>
      </c>
      <c r="K41" s="302" t="s">
        <v>256</v>
      </c>
      <c r="L41" s="301" t="s">
        <v>257</v>
      </c>
      <c r="M41" s="298" t="s">
        <v>258</v>
      </c>
      <c r="N41" s="302" t="s">
        <v>259</v>
      </c>
      <c r="O41" s="303" t="s">
        <v>260</v>
      </c>
      <c r="P41" s="303" t="s">
        <v>261</v>
      </c>
      <c r="Q41" s="299" t="s">
        <v>262</v>
      </c>
      <c r="R41" s="304" t="s">
        <v>263</v>
      </c>
      <c r="S41" s="302" t="s">
        <v>264</v>
      </c>
      <c r="T41" s="305" t="s">
        <v>265</v>
      </c>
      <c r="U41" s="306" t="s">
        <v>266</v>
      </c>
      <c r="V41" s="302" t="s">
        <v>267</v>
      </c>
      <c r="W41" s="307" t="s">
        <v>268</v>
      </c>
      <c r="X41" s="308" t="s">
        <v>269</v>
      </c>
      <c r="Y41" s="307" t="s">
        <v>270</v>
      </c>
      <c r="Z41" s="309" t="s">
        <v>271</v>
      </c>
      <c r="AA41" s="309" t="s">
        <v>272</v>
      </c>
      <c r="AB41" s="301" t="s">
        <v>273</v>
      </c>
      <c r="AC41" s="300" t="s">
        <v>274</v>
      </c>
      <c r="AD41" s="301" t="s">
        <v>275</v>
      </c>
      <c r="AE41" s="300" t="s">
        <v>276</v>
      </c>
      <c r="AF41" s="300" t="s">
        <v>277</v>
      </c>
      <c r="AG41" s="301" t="s">
        <v>278</v>
      </c>
      <c r="AH41" s="300" t="s">
        <v>279</v>
      </c>
      <c r="AI41" s="301" t="s">
        <v>280</v>
      </c>
      <c r="AJ41" s="300" t="s">
        <v>281</v>
      </c>
    </row>
    <row r="42">
      <c r="A42" s="310">
        <v>46209</v>
      </c>
      <c r="B42" s="311" t="s">
        <v>282</v>
      </c>
      <c r="C42" s="312" t="s">
        <v>283</v>
      </c>
      <c r="D42" s="313">
        <f t="shared" ref="D42:D46" si="185">E42+F42</f>
      </c>
      <c r="E42" s="312">
        <v>830.28</v>
      </c>
      <c r="F42" s="314">
        <v>1936.12</v>
      </c>
      <c r="G42" s="352">
        <v>9058.68</v>
      </c>
      <c r="H42" s="315">
        <v>8400.96</v>
      </c>
      <c r="I42" s="316">
        <f t="shared" ref="I42:I46" si="344">G42-H42</f>
      </c>
      <c r="J42" s="316">
        <f t="shared" ref="J42:J46" si="506">(G42-AA42)/12+AA42</f>
      </c>
      <c r="K42" s="317">
        <f t="shared" ref="K42:K48" si="65">G42/D42</f>
      </c>
      <c r="L42" s="318">
        <f t="shared" ref="L42:L48" si="95">(G42-H42)/D42</f>
      </c>
      <c r="M42" s="319">
        <f t="shared" ref="M42:M48" si="231">(AA42+Z42/12)/D42</f>
      </c>
      <c r="N42" s="320">
        <f t="shared" ref="N42:N48" si="386">G42/Y42</f>
      </c>
      <c r="O42" s="320">
        <f t="shared" ref="O42:O48" si="5">D42/Y42</f>
      </c>
      <c r="P42" s="320">
        <f t="shared" ref="P42:P48" si="125">D42/AE42</f>
      </c>
      <c r="Q42" s="321">
        <f t="shared" ref="Q42:Q48" si="261">Y42/W42</f>
      </c>
      <c r="R42" s="322">
        <f t="shared" ref="R42:R48" si="416">AG42/AF42</f>
      </c>
      <c r="S42" s="320">
        <f t="shared" ref="S42:S48" si="35">D42/AH42</f>
      </c>
      <c r="T42" s="323">
        <f t="shared" ref="T42:T48" si="446">AI42/AH42</f>
      </c>
      <c r="U42" s="323">
        <f t="shared" ref="U42:U48" si="155">AJ42/AH42</f>
      </c>
      <c r="V42" s="320">
        <f t="shared" ref="V42:V48" si="291">D42/AJ42</f>
      </c>
      <c r="W42" s="325">
        <v>6</v>
      </c>
      <c r="X42" s="325">
        <v>4</v>
      </c>
      <c r="Y42" s="325">
        <v>3</v>
      </c>
      <c r="Z42" s="326">
        <v>9058.68</v>
      </c>
      <c r="AA42" s="326">
        <v>0</v>
      </c>
      <c r="AB42" s="321">
        <f t="shared" ref="AB42:AB48" si="476">AA42/G42</f>
      </c>
      <c r="AC42" s="327" t="s">
        <v>284</v>
      </c>
      <c r="AD42" s="328" t="s">
        <v>285</v>
      </c>
      <c r="AE42" s="329">
        <v>3</v>
      </c>
      <c r="AF42" s="330">
        <v>40092</v>
      </c>
      <c r="AG42" s="330">
        <v>382</v>
      </c>
      <c r="AH42" s="330">
        <v>400</v>
      </c>
      <c r="AI42" s="329">
        <v>53</v>
      </c>
      <c r="AJ42" s="331">
        <v>76</v>
      </c>
    </row>
    <row r="43">
      <c r="A43" s="310"/>
      <c r="B43" s="311" t="s">
        <v>282</v>
      </c>
      <c r="C43" s="332" t="s">
        <v>286</v>
      </c>
      <c r="D43" s="313">
        <f t="shared" si="185"/>
      </c>
      <c r="E43" s="312">
        <v>887.89</v>
      </c>
      <c r="F43" s="314">
        <v>1951.88</v>
      </c>
      <c r="G43" s="315">
        <v>6247.16</v>
      </c>
      <c r="H43" s="315">
        <v>3198.32</v>
      </c>
      <c r="I43" s="316">
        <f t="shared" si="344"/>
      </c>
      <c r="J43" s="316">
        <f t="shared" si="506"/>
      </c>
      <c r="K43" s="317">
        <f t="shared" si="65"/>
      </c>
      <c r="L43" s="318">
        <f t="shared" si="95"/>
      </c>
      <c r="M43" s="319">
        <f t="shared" si="231"/>
      </c>
      <c r="N43" s="320">
        <f t="shared" si="386"/>
      </c>
      <c r="O43" s="320">
        <f t="shared" si="5"/>
      </c>
      <c r="P43" s="320">
        <f t="shared" si="125"/>
      </c>
      <c r="Q43" s="321">
        <f t="shared" si="261"/>
      </c>
      <c r="R43" s="322">
        <f t="shared" si="416"/>
      </c>
      <c r="S43" s="320">
        <f t="shared" si="35"/>
      </c>
      <c r="T43" s="323">
        <f t="shared" si="446"/>
      </c>
      <c r="U43" s="323">
        <f t="shared" si="155"/>
      </c>
      <c r="V43" s="320">
        <f t="shared" si="291"/>
      </c>
      <c r="W43" s="325">
        <v>8</v>
      </c>
      <c r="X43" s="325">
        <v>1</v>
      </c>
      <c r="Y43" s="325">
        <v>6</v>
      </c>
      <c r="Z43" s="326">
        <v>6247.16</v>
      </c>
      <c r="AA43" s="326">
        <v>0</v>
      </c>
      <c r="AB43" s="321">
        <f t="shared" si="476"/>
      </c>
      <c r="AC43" s="327" t="s">
        <v>284</v>
      </c>
      <c r="AD43" s="328" t="s">
        <v>285</v>
      </c>
      <c r="AE43" s="329">
        <v>3</v>
      </c>
      <c r="AF43" s="330">
        <v>46974</v>
      </c>
      <c r="AG43" s="330">
        <v>441</v>
      </c>
      <c r="AH43" s="330">
        <v>462</v>
      </c>
      <c r="AI43" s="331">
        <v>72</v>
      </c>
      <c r="AJ43" s="331">
        <v>70</v>
      </c>
    </row>
    <row r="44">
      <c r="A44" s="310"/>
      <c r="B44" s="311" t="s">
        <v>282</v>
      </c>
      <c r="C44" s="332" t="s">
        <v>287</v>
      </c>
      <c r="D44" s="313">
        <f t="shared" si="185"/>
      </c>
      <c r="E44" s="312">
        <v>1360.41</v>
      </c>
      <c r="F44" s="314">
        <v>3667</v>
      </c>
      <c r="G44" s="315">
        <v>9654.12</v>
      </c>
      <c r="H44" s="315">
        <v>0</v>
      </c>
      <c r="I44" s="316">
        <f t="shared" si="344"/>
      </c>
      <c r="J44" s="316">
        <f t="shared" si="506"/>
      </c>
      <c r="K44" s="317">
        <f t="shared" si="65"/>
      </c>
      <c r="L44" s="318">
        <f t="shared" si="95"/>
      </c>
      <c r="M44" s="319">
        <f t="shared" si="231"/>
      </c>
      <c r="N44" s="320">
        <f t="shared" si="386"/>
      </c>
      <c r="O44" s="320">
        <f t="shared" si="5"/>
      </c>
      <c r="P44" s="320">
        <f t="shared" si="125"/>
      </c>
      <c r="Q44" s="321">
        <f t="shared" si="261"/>
      </c>
      <c r="R44" s="322">
        <f t="shared" si="416"/>
      </c>
      <c r="S44" s="320">
        <f t="shared" si="35"/>
      </c>
      <c r="T44" s="323">
        <f t="shared" si="446"/>
      </c>
      <c r="U44" s="323">
        <f t="shared" si="155"/>
      </c>
      <c r="V44" s="320">
        <f t="shared" si="291"/>
      </c>
      <c r="W44" s="325">
        <v>13</v>
      </c>
      <c r="X44" s="325">
        <v>6</v>
      </c>
      <c r="Y44" s="325">
        <v>3</v>
      </c>
      <c r="Z44" s="326">
        <v>9654.12</v>
      </c>
      <c r="AA44" s="326">
        <v>0</v>
      </c>
      <c r="AB44" s="321">
        <f t="shared" si="476"/>
      </c>
      <c r="AC44" s="327" t="s">
        <v>284</v>
      </c>
      <c r="AD44" s="328" t="s">
        <v>285</v>
      </c>
      <c r="AE44" s="331">
        <v>4</v>
      </c>
      <c r="AF44" s="330">
        <v>93868</v>
      </c>
      <c r="AG44" s="330">
        <v>691</v>
      </c>
      <c r="AH44" s="330">
        <v>686</v>
      </c>
      <c r="AI44" s="331">
        <v>97</v>
      </c>
      <c r="AJ44" s="331">
        <v>117</v>
      </c>
    </row>
    <row r="45">
      <c r="A45" s="310"/>
      <c r="B45" s="311" t="s">
        <v>282</v>
      </c>
      <c r="C45" s="312" t="s">
        <v>288</v>
      </c>
      <c r="D45" s="313">
        <f t="shared" si="185"/>
      </c>
      <c r="E45" s="312">
        <v>1630.52</v>
      </c>
      <c r="F45" s="314">
        <v>4939.08</v>
      </c>
      <c r="G45" s="315">
        <v>9509.64</v>
      </c>
      <c r="H45" s="315">
        <v>0</v>
      </c>
      <c r="I45" s="316">
        <f t="shared" si="344"/>
      </c>
      <c r="J45" s="316">
        <f t="shared" si="506"/>
      </c>
      <c r="K45" s="317">
        <f t="shared" si="65"/>
      </c>
      <c r="L45" s="318">
        <f t="shared" si="95"/>
      </c>
      <c r="M45" s="319">
        <f t="shared" si="231"/>
      </c>
      <c r="N45" s="320">
        <f t="shared" si="386"/>
      </c>
      <c r="O45" s="320">
        <f t="shared" si="5"/>
      </c>
      <c r="P45" s="320">
        <f t="shared" si="125"/>
      </c>
      <c r="Q45" s="321">
        <f t="shared" si="261"/>
      </c>
      <c r="R45" s="322">
        <f t="shared" si="416"/>
      </c>
      <c r="S45" s="320">
        <f t="shared" si="35"/>
      </c>
      <c r="T45" s="323">
        <f t="shared" si="446"/>
      </c>
      <c r="U45" s="323">
        <f t="shared" si="155"/>
      </c>
      <c r="V45" s="320">
        <f t="shared" si="291"/>
      </c>
      <c r="W45" s="325">
        <v>16</v>
      </c>
      <c r="X45" s="325">
        <v>5</v>
      </c>
      <c r="Y45" s="325">
        <v>7</v>
      </c>
      <c r="Z45" s="315">
        <v>9509.64</v>
      </c>
      <c r="AA45" s="326">
        <v>0</v>
      </c>
      <c r="AB45" s="321">
        <f t="shared" si="476"/>
      </c>
      <c r="AC45" s="327" t="s">
        <v>284</v>
      </c>
      <c r="AD45" s="328" t="s">
        <v>285</v>
      </c>
      <c r="AE45" s="329">
        <v>7</v>
      </c>
      <c r="AF45" s="330">
        <v>105230</v>
      </c>
      <c r="AG45" s="330">
        <v>761</v>
      </c>
      <c r="AH45" s="330">
        <v>745</v>
      </c>
      <c r="AI45" s="331">
        <v>112</v>
      </c>
      <c r="AJ45" s="331">
        <v>166</v>
      </c>
    </row>
    <row r="46">
      <c r="A46" s="310"/>
      <c r="B46" s="311" t="s">
        <v>282</v>
      </c>
      <c r="C46" s="332" t="s">
        <v>289</v>
      </c>
      <c r="D46" s="313">
        <f t="shared" si="185"/>
      </c>
      <c r="E46" s="312">
        <v>972.14</v>
      </c>
      <c r="F46" s="314">
        <v>4060.92</v>
      </c>
      <c r="G46" s="315">
        <v>3581.04</v>
      </c>
      <c r="H46" s="315">
        <v>0</v>
      </c>
      <c r="I46" s="316">
        <f t="shared" si="344"/>
      </c>
      <c r="J46" s="316">
        <f t="shared" si="506"/>
      </c>
      <c r="K46" s="317">
        <f t="shared" si="65"/>
      </c>
      <c r="L46" s="318">
        <f t="shared" si="95"/>
      </c>
      <c r="M46" s="319">
        <f t="shared" si="231"/>
      </c>
      <c r="N46" s="320">
        <f t="shared" si="386"/>
      </c>
      <c r="O46" s="320">
        <f t="shared" si="5"/>
      </c>
      <c r="P46" s="320">
        <f t="shared" si="125"/>
      </c>
      <c r="Q46" s="321">
        <f t="shared" si="261"/>
      </c>
      <c r="R46" s="322">
        <f t="shared" si="416"/>
      </c>
      <c r="S46" s="320">
        <f t="shared" si="35"/>
      </c>
      <c r="T46" s="323">
        <f t="shared" si="446"/>
      </c>
      <c r="U46" s="323">
        <f t="shared" si="155"/>
      </c>
      <c r="V46" s="320">
        <f t="shared" si="291"/>
      </c>
      <c r="W46" s="325">
        <v>11</v>
      </c>
      <c r="X46" s="325">
        <v>4</v>
      </c>
      <c r="Y46" s="325">
        <v>2</v>
      </c>
      <c r="Z46" s="326">
        <v>3581.04</v>
      </c>
      <c r="AA46" s="326">
        <v>0</v>
      </c>
      <c r="AB46" s="321">
        <f t="shared" si="476"/>
      </c>
      <c r="AC46" s="327" t="s">
        <v>284</v>
      </c>
      <c r="AD46" s="328" t="s">
        <v>285</v>
      </c>
      <c r="AE46" s="329">
        <v>2</v>
      </c>
      <c r="AF46" s="330">
        <v>85220</v>
      </c>
      <c r="AG46" s="330">
        <v>531</v>
      </c>
      <c r="AH46" s="330">
        <v>503</v>
      </c>
      <c r="AI46" s="331">
        <v>71</v>
      </c>
      <c r="AJ46" s="331">
        <v>107</v>
      </c>
    </row>
    <row r="47">
      <c r="A47" s="310"/>
      <c r="B47" s="333" t="s">
        <v>290</v>
      </c>
      <c r="C47" s="334">
        <v>5</v>
      </c>
      <c r="D47" s="335">
        <f>SUM(D42:D46)</f>
      </c>
      <c r="E47" s="335">
        <f>SUM(E42:E46)</f>
      </c>
      <c r="F47" s="335">
        <f>SUM(F42:F46)</f>
      </c>
      <c r="G47" s="335">
        <f>SUM(G42:G46)</f>
      </c>
      <c r="H47" s="335">
        <f>SUM(H42:H46)</f>
      </c>
      <c r="I47" s="335">
        <f>SUM(I42:I46)</f>
      </c>
      <c r="J47" s="335">
        <f>SUM(J42:J46)</f>
      </c>
      <c r="K47" s="336">
        <f t="shared" si="65"/>
      </c>
      <c r="L47" s="337">
        <f t="shared" si="95"/>
      </c>
      <c r="M47" s="337">
        <f t="shared" si="231"/>
      </c>
      <c r="N47" s="338">
        <f t="shared" si="386"/>
      </c>
      <c r="O47" s="338">
        <f t="shared" si="5"/>
      </c>
      <c r="P47" s="338">
        <f t="shared" si="125"/>
      </c>
      <c r="Q47" s="339">
        <f t="shared" si="261"/>
      </c>
      <c r="R47" s="339">
        <f t="shared" si="416"/>
      </c>
      <c r="S47" s="338">
        <f t="shared" si="35"/>
      </c>
      <c r="T47" s="339">
        <f t="shared" si="446"/>
      </c>
      <c r="U47" s="339">
        <f t="shared" si="155"/>
      </c>
      <c r="V47" s="338">
        <f t="shared" si="291"/>
      </c>
      <c r="W47" s="335">
        <f>SUM(W42:W46)</f>
      </c>
      <c r="X47" s="335">
        <f>SUM(X42:X46)</f>
      </c>
      <c r="Y47" s="335">
        <f>SUM(Y42:Y46)</f>
      </c>
      <c r="Z47" s="335">
        <f>SUM(Z42:Z46)</f>
      </c>
      <c r="AA47" s="335">
        <f>SUM(AA42:AA46)</f>
      </c>
      <c r="AB47" s="340">
        <f t="shared" si="476"/>
      </c>
      <c r="AC47" s="341"/>
      <c r="AD47" s="342"/>
      <c r="AE47" s="335">
        <f>SUM(AE42:AE46)</f>
      </c>
      <c r="AF47" s="335">
        <f>SUM(AF42:AF46)</f>
      </c>
      <c r="AG47" s="335">
        <f>SUM(AG42:AG46)</f>
      </c>
      <c r="AH47" s="335">
        <f>SUM(AH42:AH46)</f>
      </c>
      <c r="AI47" s="335">
        <f>SUM(AI42:AI46)</f>
      </c>
      <c r="AJ47" s="335">
        <f>SUM(AJ42:AJ46)</f>
      </c>
    </row>
    <row r="48">
      <c r="A48" s="310"/>
      <c r="B48" s="343" t="s">
        <v>290</v>
      </c>
      <c r="C48" s="344">
        <v>5</v>
      </c>
      <c r="D48" s="343">
        <f>D47</f>
      </c>
      <c r="E48" s="343">
        <f>E47</f>
      </c>
      <c r="F48" s="343">
        <f>F47</f>
      </c>
      <c r="G48" s="345">
        <f>G47</f>
      </c>
      <c r="H48" s="345">
        <f>H47</f>
      </c>
      <c r="I48" s="345">
        <f>I47</f>
      </c>
      <c r="J48" s="345">
        <f>J47</f>
      </c>
      <c r="K48" s="346">
        <f t="shared" si="65"/>
      </c>
      <c r="L48" s="346">
        <f t="shared" si="95"/>
      </c>
      <c r="M48" s="346">
        <f t="shared" si="231"/>
      </c>
      <c r="N48" s="346">
        <f t="shared" si="386"/>
      </c>
      <c r="O48" s="346">
        <f t="shared" si="5"/>
      </c>
      <c r="P48" s="346">
        <f t="shared" si="125"/>
      </c>
      <c r="Q48" s="347">
        <f t="shared" si="261"/>
      </c>
      <c r="R48" s="347">
        <f t="shared" si="416"/>
      </c>
      <c r="S48" s="346">
        <f t="shared" si="35"/>
      </c>
      <c r="T48" s="347">
        <f t="shared" si="446"/>
      </c>
      <c r="U48" s="347">
        <f t="shared" si="155"/>
      </c>
      <c r="V48" s="346">
        <f t="shared" si="291"/>
      </c>
      <c r="W48" s="348">
        <f>W47</f>
      </c>
      <c r="X48" s="348">
        <f>X47</f>
      </c>
      <c r="Y48" s="348">
        <f>Y47</f>
      </c>
      <c r="Z48" s="349">
        <f>Z47</f>
      </c>
      <c r="AA48" s="348">
        <f>AA47</f>
      </c>
      <c r="AB48" s="350">
        <f t="shared" si="476"/>
      </c>
      <c r="AC48" s="343"/>
      <c r="AD48" s="343"/>
      <c r="AE48" s="343">
        <f>AE47</f>
      </c>
      <c r="AF48" s="343">
        <f>AF47</f>
      </c>
      <c r="AG48" s="343">
        <f>AG47</f>
      </c>
      <c r="AH48" s="343">
        <f>AH47</f>
      </c>
      <c r="AI48" s="343">
        <f>AI47</f>
      </c>
      <c r="AJ48" s="343">
        <f>AJ47</f>
      </c>
    </row>
    <row r="49">
      <c r="A49" s="297" t="s">
        <v>246</v>
      </c>
      <c r="B49" s="298" t="s">
        <v>247</v>
      </c>
      <c r="C49" s="298" t="s">
        <v>248</v>
      </c>
      <c r="D49" s="299" t="s">
        <v>249</v>
      </c>
      <c r="E49" s="298" t="s">
        <v>250</v>
      </c>
      <c r="F49" s="298" t="s">
        <v>251</v>
      </c>
      <c r="G49" s="299" t="s">
        <v>252</v>
      </c>
      <c r="H49" s="300" t="s">
        <v>253</v>
      </c>
      <c r="I49" s="301" t="s">
        <v>254</v>
      </c>
      <c r="J49" s="301" t="s">
        <v>255</v>
      </c>
      <c r="K49" s="302" t="s">
        <v>256</v>
      </c>
      <c r="L49" s="301" t="s">
        <v>257</v>
      </c>
      <c r="M49" s="298" t="s">
        <v>258</v>
      </c>
      <c r="N49" s="302" t="s">
        <v>259</v>
      </c>
      <c r="O49" s="303" t="s">
        <v>260</v>
      </c>
      <c r="P49" s="303" t="s">
        <v>261</v>
      </c>
      <c r="Q49" s="299" t="s">
        <v>262</v>
      </c>
      <c r="R49" s="304" t="s">
        <v>263</v>
      </c>
      <c r="S49" s="302" t="s">
        <v>264</v>
      </c>
      <c r="T49" s="305" t="s">
        <v>265</v>
      </c>
      <c r="U49" s="306" t="s">
        <v>266</v>
      </c>
      <c r="V49" s="302" t="s">
        <v>267</v>
      </c>
      <c r="W49" s="307" t="s">
        <v>268</v>
      </c>
      <c r="X49" s="308" t="s">
        <v>269</v>
      </c>
      <c r="Y49" s="307" t="s">
        <v>270</v>
      </c>
      <c r="Z49" s="309" t="s">
        <v>271</v>
      </c>
      <c r="AA49" s="309" t="s">
        <v>272</v>
      </c>
      <c r="AB49" s="301" t="s">
        <v>273</v>
      </c>
      <c r="AC49" s="300" t="s">
        <v>274</v>
      </c>
      <c r="AD49" s="301" t="s">
        <v>275</v>
      </c>
      <c r="AE49" s="300" t="s">
        <v>276</v>
      </c>
      <c r="AF49" s="300" t="s">
        <v>277</v>
      </c>
      <c r="AG49" s="301" t="s">
        <v>278</v>
      </c>
      <c r="AH49" s="300" t="s">
        <v>279</v>
      </c>
      <c r="AI49" s="301" t="s">
        <v>280</v>
      </c>
      <c r="AJ49" s="300" t="s">
        <v>281</v>
      </c>
    </row>
    <row r="50">
      <c r="A50" s="310">
        <v>46210</v>
      </c>
      <c r="B50" s="311" t="s">
        <v>282</v>
      </c>
      <c r="C50" s="312" t="s">
        <v>283</v>
      </c>
      <c r="D50" s="313">
        <f t="shared" ref="D50:D54" si="186">E50+F50</f>
      </c>
      <c r="E50" s="312">
        <v>1395.42</v>
      </c>
      <c r="F50" s="314">
        <v>1888</v>
      </c>
      <c r="G50" s="352">
        <v>6073.44</v>
      </c>
      <c r="H50" s="315">
        <v>5426.52</v>
      </c>
      <c r="I50" s="316">
        <f t="shared" ref="I50:I54" si="345">G50-H50</f>
      </c>
      <c r="J50" s="316">
        <f t="shared" ref="J50:J54" si="507">(G50-AA50)/12+AA50</f>
      </c>
      <c r="K50" s="317">
        <f t="shared" ref="K50:K56" si="66">G50/D50</f>
      </c>
      <c r="L50" s="318">
        <f t="shared" ref="L50:L56" si="96">(G50-H50)/D50</f>
      </c>
      <c r="M50" s="319">
        <f t="shared" ref="M50:M56" si="232">(AA50+Z50/12)/D50</f>
      </c>
      <c r="N50" s="320">
        <f t="shared" ref="N50:N56" si="387">G50/Y50</f>
      </c>
      <c r="O50" s="320">
        <f t="shared" ref="O50:O56" si="6">D50/Y50</f>
      </c>
      <c r="P50" s="320">
        <f t="shared" ref="P50:P56" si="126">D50/AE50</f>
      </c>
      <c r="Q50" s="321">
        <f t="shared" ref="Q50:Q56" si="262">Y50/W50</f>
      </c>
      <c r="R50" s="322">
        <f t="shared" ref="R50:R56" si="417">AG50/AF50</f>
      </c>
      <c r="S50" s="320">
        <f t="shared" ref="S50:S56" si="36">D50/AH50</f>
      </c>
      <c r="T50" s="323">
        <f t="shared" ref="T50:T56" si="447">AI50/AH50</f>
      </c>
      <c r="U50" s="323">
        <f t="shared" ref="U50:U56" si="156">AJ50/AH50</f>
      </c>
      <c r="V50" s="320">
        <f t="shared" ref="V50:V56" si="292">D50/AJ50</f>
      </c>
      <c r="W50" s="325">
        <v>11</v>
      </c>
      <c r="X50" s="325">
        <v>4</v>
      </c>
      <c r="Y50" s="325">
        <v>2</v>
      </c>
      <c r="Z50" s="326">
        <v>6073.44</v>
      </c>
      <c r="AA50" s="326">
        <v>0</v>
      </c>
      <c r="AB50" s="321">
        <f t="shared" ref="AB50:AB56" si="477">AA50/G50</f>
      </c>
      <c r="AC50" s="327" t="s">
        <v>284</v>
      </c>
      <c r="AD50" s="328" t="s">
        <v>285</v>
      </c>
      <c r="AE50" s="329">
        <v>2</v>
      </c>
      <c r="AF50" s="330">
        <v>58513</v>
      </c>
      <c r="AG50" s="330">
        <v>459</v>
      </c>
      <c r="AH50" s="330">
        <v>483</v>
      </c>
      <c r="AI50" s="329">
        <v>62</v>
      </c>
      <c r="AJ50" s="331">
        <v>87</v>
      </c>
    </row>
    <row r="51">
      <c r="A51" s="310"/>
      <c r="B51" s="311" t="s">
        <v>282</v>
      </c>
      <c r="C51" s="332" t="s">
        <v>286</v>
      </c>
      <c r="D51" s="313">
        <f t="shared" si="186"/>
      </c>
      <c r="E51" s="312">
        <v>1133.4</v>
      </c>
      <c r="F51" s="314">
        <v>2650.33</v>
      </c>
      <c r="G51" s="315">
        <v>13212.72</v>
      </c>
      <c r="H51" s="315">
        <v>1360.8</v>
      </c>
      <c r="I51" s="316">
        <f t="shared" si="345"/>
      </c>
      <c r="J51" s="316">
        <f t="shared" si="507"/>
      </c>
      <c r="K51" s="317">
        <f t="shared" si="66"/>
      </c>
      <c r="L51" s="318">
        <f t="shared" si="96"/>
      </c>
      <c r="M51" s="319">
        <f t="shared" si="232"/>
      </c>
      <c r="N51" s="320">
        <f t="shared" si="387"/>
      </c>
      <c r="O51" s="320">
        <f t="shared" si="6"/>
      </c>
      <c r="P51" s="320">
        <f t="shared" si="126"/>
      </c>
      <c r="Q51" s="321">
        <f t="shared" si="262"/>
      </c>
      <c r="R51" s="322">
        <f t="shared" si="417"/>
      </c>
      <c r="S51" s="320">
        <f t="shared" si="36"/>
      </c>
      <c r="T51" s="323">
        <f t="shared" si="447"/>
      </c>
      <c r="U51" s="323">
        <f t="shared" si="156"/>
      </c>
      <c r="V51" s="320">
        <f t="shared" si="292"/>
      </c>
      <c r="W51" s="325">
        <v>9</v>
      </c>
      <c r="X51" s="325">
        <v>3</v>
      </c>
      <c r="Y51" s="325">
        <v>6</v>
      </c>
      <c r="Z51" s="326">
        <v>13212.72</v>
      </c>
      <c r="AA51" s="326">
        <v>0</v>
      </c>
      <c r="AB51" s="321">
        <f t="shared" si="477"/>
      </c>
      <c r="AC51" s="327" t="s">
        <v>284</v>
      </c>
      <c r="AD51" s="328" t="s">
        <v>285</v>
      </c>
      <c r="AE51" s="329">
        <v>5</v>
      </c>
      <c r="AF51" s="330">
        <v>63435</v>
      </c>
      <c r="AG51" s="330">
        <v>456</v>
      </c>
      <c r="AH51" s="330">
        <v>435</v>
      </c>
      <c r="AI51" s="331">
        <v>70</v>
      </c>
      <c r="AJ51" s="331">
        <v>105</v>
      </c>
    </row>
    <row r="52">
      <c r="A52" s="310"/>
      <c r="B52" s="311" t="s">
        <v>282</v>
      </c>
      <c r="C52" s="332" t="s">
        <v>287</v>
      </c>
      <c r="D52" s="313">
        <f t="shared" si="186"/>
      </c>
      <c r="E52" s="312">
        <v>936.13</v>
      </c>
      <c r="F52" s="314">
        <v>4016.67</v>
      </c>
      <c r="G52" s="315">
        <v>2733.48</v>
      </c>
      <c r="H52" s="315">
        <v>2036.88</v>
      </c>
      <c r="I52" s="316">
        <f t="shared" si="345"/>
      </c>
      <c r="J52" s="316">
        <f t="shared" si="507"/>
      </c>
      <c r="K52" s="317">
        <f t="shared" si="66"/>
      </c>
      <c r="L52" s="318">
        <f t="shared" si="96"/>
      </c>
      <c r="M52" s="319">
        <f t="shared" si="232"/>
      </c>
      <c r="N52" s="320">
        <f t="shared" si="387"/>
      </c>
      <c r="O52" s="320">
        <f t="shared" si="6"/>
      </c>
      <c r="P52" s="320">
        <f t="shared" si="126"/>
      </c>
      <c r="Q52" s="321">
        <f t="shared" si="262"/>
      </c>
      <c r="R52" s="322">
        <f t="shared" si="417"/>
      </c>
      <c r="S52" s="320">
        <f t="shared" si="36"/>
      </c>
      <c r="T52" s="323">
        <f t="shared" si="447"/>
      </c>
      <c r="U52" s="323">
        <f t="shared" si="156"/>
      </c>
      <c r="V52" s="320">
        <f t="shared" si="292"/>
      </c>
      <c r="W52" s="325">
        <v>5</v>
      </c>
      <c r="X52" s="325">
        <v>3</v>
      </c>
      <c r="Y52" s="325">
        <v>2</v>
      </c>
      <c r="Z52" s="326">
        <v>2733.48</v>
      </c>
      <c r="AA52" s="326">
        <v>0</v>
      </c>
      <c r="AB52" s="321">
        <f t="shared" si="477"/>
      </c>
      <c r="AC52" s="327" t="s">
        <v>284</v>
      </c>
      <c r="AD52" s="328" t="s">
        <v>285</v>
      </c>
      <c r="AE52" s="331">
        <v>2</v>
      </c>
      <c r="AF52" s="330">
        <v>79113</v>
      </c>
      <c r="AG52" s="330">
        <v>457</v>
      </c>
      <c r="AH52" s="330">
        <v>423</v>
      </c>
      <c r="AI52" s="331">
        <v>73</v>
      </c>
      <c r="AJ52" s="331">
        <v>101</v>
      </c>
    </row>
    <row r="53">
      <c r="A53" s="310"/>
      <c r="B53" s="311" t="s">
        <v>282</v>
      </c>
      <c r="C53" s="312" t="s">
        <v>288</v>
      </c>
      <c r="D53" s="313">
        <f t="shared" si="186"/>
      </c>
      <c r="E53" s="312">
        <v>2405.46</v>
      </c>
      <c r="F53" s="314">
        <v>2936.47</v>
      </c>
      <c r="G53" s="315">
        <v>5166.72</v>
      </c>
      <c r="H53" s="315">
        <v>0</v>
      </c>
      <c r="I53" s="316">
        <f t="shared" si="345"/>
      </c>
      <c r="J53" s="316">
        <f t="shared" si="507"/>
      </c>
      <c r="K53" s="317">
        <f t="shared" si="66"/>
      </c>
      <c r="L53" s="318">
        <f t="shared" si="96"/>
      </c>
      <c r="M53" s="319">
        <f t="shared" si="232"/>
      </c>
      <c r="N53" s="320">
        <f t="shared" si="387"/>
      </c>
      <c r="O53" s="320">
        <f t="shared" si="6"/>
      </c>
      <c r="P53" s="320">
        <f t="shared" si="126"/>
      </c>
      <c r="Q53" s="321">
        <f t="shared" si="262"/>
      </c>
      <c r="R53" s="322">
        <f t="shared" si="417"/>
      </c>
      <c r="S53" s="320">
        <f t="shared" si="36"/>
      </c>
      <c r="T53" s="323">
        <f t="shared" si="447"/>
      </c>
      <c r="U53" s="323">
        <f t="shared" si="156"/>
      </c>
      <c r="V53" s="320">
        <f t="shared" si="292"/>
      </c>
      <c r="W53" s="325">
        <v>6</v>
      </c>
      <c r="X53" s="325">
        <v>4</v>
      </c>
      <c r="Y53" s="325">
        <v>4</v>
      </c>
      <c r="Z53" s="315">
        <v>5166.72</v>
      </c>
      <c r="AA53" s="326">
        <v>0</v>
      </c>
      <c r="AB53" s="321">
        <f t="shared" si="477"/>
      </c>
      <c r="AC53" s="327" t="s">
        <v>284</v>
      </c>
      <c r="AD53" s="328" t="s">
        <v>285</v>
      </c>
      <c r="AE53" s="329">
        <v>3</v>
      </c>
      <c r="AF53" s="330">
        <v>78688</v>
      </c>
      <c r="AG53" s="330">
        <v>825</v>
      </c>
      <c r="AH53" s="330">
        <v>835</v>
      </c>
      <c r="AI53" s="331">
        <v>98</v>
      </c>
      <c r="AJ53" s="331">
        <v>136</v>
      </c>
    </row>
    <row r="54">
      <c r="A54" s="310"/>
      <c r="B54" s="311" t="s">
        <v>282</v>
      </c>
      <c r="C54" s="332" t="s">
        <v>289</v>
      </c>
      <c r="D54" s="313">
        <f t="shared" si="186"/>
      </c>
      <c r="E54" s="312">
        <v>976.8</v>
      </c>
      <c r="F54" s="314">
        <v>2380.24</v>
      </c>
      <c r="G54" s="315">
        <v>6324.48</v>
      </c>
      <c r="H54" s="315">
        <v>0</v>
      </c>
      <c r="I54" s="316">
        <f t="shared" si="345"/>
      </c>
      <c r="J54" s="316">
        <f t="shared" si="507"/>
      </c>
      <c r="K54" s="317">
        <f t="shared" si="66"/>
      </c>
      <c r="L54" s="318">
        <f t="shared" si="96"/>
      </c>
      <c r="M54" s="319">
        <f t="shared" si="232"/>
      </c>
      <c r="N54" s="320">
        <f t="shared" si="387"/>
      </c>
      <c r="O54" s="320">
        <f t="shared" si="6"/>
      </c>
      <c r="P54" s="320">
        <f t="shared" si="126"/>
      </c>
      <c r="Q54" s="321">
        <f t="shared" si="262"/>
      </c>
      <c r="R54" s="322">
        <f t="shared" si="417"/>
      </c>
      <c r="S54" s="320">
        <f t="shared" si="36"/>
      </c>
      <c r="T54" s="323">
        <f t="shared" si="447"/>
      </c>
      <c r="U54" s="323">
        <f t="shared" si="156"/>
      </c>
      <c r="V54" s="320">
        <f t="shared" si="292"/>
      </c>
      <c r="W54" s="325">
        <v>10</v>
      </c>
      <c r="X54" s="325">
        <v>1</v>
      </c>
      <c r="Y54" s="325">
        <v>5</v>
      </c>
      <c r="Z54" s="326">
        <v>6324.48</v>
      </c>
      <c r="AA54" s="326">
        <v>0</v>
      </c>
      <c r="AB54" s="321">
        <f t="shared" si="477"/>
      </c>
      <c r="AC54" s="327" t="s">
        <v>284</v>
      </c>
      <c r="AD54" s="328" t="s">
        <v>285</v>
      </c>
      <c r="AE54" s="329">
        <v>5</v>
      </c>
      <c r="AF54" s="330">
        <v>46351</v>
      </c>
      <c r="AG54" s="330">
        <v>641</v>
      </c>
      <c r="AH54" s="330">
        <v>696</v>
      </c>
      <c r="AI54" s="331">
        <v>70</v>
      </c>
      <c r="AJ54" s="331">
        <v>103</v>
      </c>
    </row>
    <row r="55">
      <c r="A55" s="310"/>
      <c r="B55" s="333" t="s">
        <v>290</v>
      </c>
      <c r="C55" s="334">
        <v>5</v>
      </c>
      <c r="D55" s="335">
        <f>SUM(D50:D54)</f>
      </c>
      <c r="E55" s="335">
        <f>SUM(E50:E54)</f>
      </c>
      <c r="F55" s="335">
        <f>SUM(F50:F54)</f>
      </c>
      <c r="G55" s="335">
        <f>SUM(G50:G54)</f>
      </c>
      <c r="H55" s="335">
        <f>SUM(H50:H54)</f>
      </c>
      <c r="I55" s="335">
        <f>SUM(I50:I54)</f>
      </c>
      <c r="J55" s="335">
        <f>SUM(J50:J54)</f>
      </c>
      <c r="K55" s="336">
        <f t="shared" si="66"/>
      </c>
      <c r="L55" s="337">
        <f t="shared" si="96"/>
      </c>
      <c r="M55" s="337">
        <f t="shared" si="232"/>
      </c>
      <c r="N55" s="338">
        <f t="shared" si="387"/>
      </c>
      <c r="O55" s="338">
        <f t="shared" si="6"/>
      </c>
      <c r="P55" s="338">
        <f t="shared" si="126"/>
      </c>
      <c r="Q55" s="339">
        <f t="shared" si="262"/>
      </c>
      <c r="R55" s="339">
        <f t="shared" si="417"/>
      </c>
      <c r="S55" s="338">
        <f t="shared" si="36"/>
      </c>
      <c r="T55" s="339">
        <f t="shared" si="447"/>
      </c>
      <c r="U55" s="339">
        <f t="shared" si="156"/>
      </c>
      <c r="V55" s="338">
        <f t="shared" si="292"/>
      </c>
      <c r="W55" s="335">
        <f>SUM(W50:W54)</f>
      </c>
      <c r="X55" s="335">
        <f>SUM(X50:X54)</f>
      </c>
      <c r="Y55" s="335">
        <f>SUM(Y50:Y54)</f>
      </c>
      <c r="Z55" s="335">
        <f>SUM(Z50:Z54)</f>
      </c>
      <c r="AA55" s="335">
        <f>SUM(AA50:AA54)</f>
      </c>
      <c r="AB55" s="340">
        <f t="shared" si="477"/>
      </c>
      <c r="AC55" s="341"/>
      <c r="AD55" s="342"/>
      <c r="AE55" s="335">
        <f>SUM(AE50:AE54)</f>
      </c>
      <c r="AF55" s="335">
        <f>SUM(AF50:AF54)</f>
      </c>
      <c r="AG55" s="335">
        <f>SUM(AG50:AG54)</f>
      </c>
      <c r="AH55" s="335">
        <f>SUM(AH50:AH54)</f>
      </c>
      <c r="AI55" s="335">
        <f>SUM(AI50:AI54)</f>
      </c>
      <c r="AJ55" s="335">
        <f>SUM(AJ50:AJ54)</f>
      </c>
    </row>
    <row r="56">
      <c r="A56" s="310"/>
      <c r="B56" s="343" t="s">
        <v>290</v>
      </c>
      <c r="C56" s="344">
        <v>5</v>
      </c>
      <c r="D56" s="343">
        <f>D55</f>
      </c>
      <c r="E56" s="343">
        <f>E55</f>
      </c>
      <c r="F56" s="343">
        <f>F55</f>
      </c>
      <c r="G56" s="345">
        <f>G55</f>
      </c>
      <c r="H56" s="345">
        <f>H55</f>
      </c>
      <c r="I56" s="345">
        <f>I55</f>
      </c>
      <c r="J56" s="345">
        <f>J55</f>
      </c>
      <c r="K56" s="346">
        <f t="shared" si="66"/>
      </c>
      <c r="L56" s="346">
        <f t="shared" si="96"/>
      </c>
      <c r="M56" s="346">
        <f t="shared" si="232"/>
      </c>
      <c r="N56" s="346">
        <f t="shared" si="387"/>
      </c>
      <c r="O56" s="346">
        <f t="shared" si="6"/>
      </c>
      <c r="P56" s="346">
        <f t="shared" si="126"/>
      </c>
      <c r="Q56" s="347">
        <f t="shared" si="262"/>
      </c>
      <c r="R56" s="347">
        <f t="shared" si="417"/>
      </c>
      <c r="S56" s="346">
        <f t="shared" si="36"/>
      </c>
      <c r="T56" s="347">
        <f t="shared" si="447"/>
      </c>
      <c r="U56" s="347">
        <f t="shared" si="156"/>
      </c>
      <c r="V56" s="346">
        <f t="shared" si="292"/>
      </c>
      <c r="W56" s="348">
        <f>W55</f>
      </c>
      <c r="X56" s="348">
        <f>X55</f>
      </c>
      <c r="Y56" s="348">
        <f>Y55</f>
      </c>
      <c r="Z56" s="349">
        <f>Z55</f>
      </c>
      <c r="AA56" s="348">
        <f>AA55</f>
      </c>
      <c r="AB56" s="350">
        <f t="shared" si="477"/>
      </c>
      <c r="AC56" s="343"/>
      <c r="AD56" s="343"/>
      <c r="AE56" s="343">
        <f>AE55</f>
      </c>
      <c r="AF56" s="343">
        <f>AF55</f>
      </c>
      <c r="AG56" s="343">
        <f>AG55</f>
      </c>
      <c r="AH56" s="343">
        <f>AH55</f>
      </c>
      <c r="AI56" s="343">
        <f>AI55</f>
      </c>
      <c r="AJ56" s="343">
        <f>AJ55</f>
      </c>
    </row>
    <row r="57">
      <c r="A57" s="297" t="s">
        <v>246</v>
      </c>
      <c r="B57" s="298" t="s">
        <v>247</v>
      </c>
      <c r="C57" s="298" t="s">
        <v>248</v>
      </c>
      <c r="D57" s="299" t="s">
        <v>249</v>
      </c>
      <c r="E57" s="298" t="s">
        <v>250</v>
      </c>
      <c r="F57" s="298" t="s">
        <v>251</v>
      </c>
      <c r="G57" s="299" t="s">
        <v>252</v>
      </c>
      <c r="H57" s="300" t="s">
        <v>253</v>
      </c>
      <c r="I57" s="301" t="s">
        <v>254</v>
      </c>
      <c r="J57" s="301" t="s">
        <v>255</v>
      </c>
      <c r="K57" s="302" t="s">
        <v>256</v>
      </c>
      <c r="L57" s="301" t="s">
        <v>257</v>
      </c>
      <c r="M57" s="298" t="s">
        <v>258</v>
      </c>
      <c r="N57" s="302" t="s">
        <v>259</v>
      </c>
      <c r="O57" s="303" t="s">
        <v>260</v>
      </c>
      <c r="P57" s="303" t="s">
        <v>261</v>
      </c>
      <c r="Q57" s="299" t="s">
        <v>262</v>
      </c>
      <c r="R57" s="304" t="s">
        <v>263</v>
      </c>
      <c r="S57" s="302" t="s">
        <v>264</v>
      </c>
      <c r="T57" s="305" t="s">
        <v>265</v>
      </c>
      <c r="U57" s="306" t="s">
        <v>266</v>
      </c>
      <c r="V57" s="302" t="s">
        <v>267</v>
      </c>
      <c r="W57" s="307" t="s">
        <v>268</v>
      </c>
      <c r="X57" s="308" t="s">
        <v>269</v>
      </c>
      <c r="Y57" s="307" t="s">
        <v>270</v>
      </c>
      <c r="Z57" s="309" t="s">
        <v>271</v>
      </c>
      <c r="AA57" s="309" t="s">
        <v>272</v>
      </c>
      <c r="AB57" s="301" t="s">
        <v>273</v>
      </c>
      <c r="AC57" s="300" t="s">
        <v>274</v>
      </c>
      <c r="AD57" s="301" t="s">
        <v>275</v>
      </c>
      <c r="AE57" s="300" t="s">
        <v>276</v>
      </c>
      <c r="AF57" s="300" t="s">
        <v>277</v>
      </c>
      <c r="AG57" s="301" t="s">
        <v>278</v>
      </c>
      <c r="AH57" s="300" t="s">
        <v>279</v>
      </c>
      <c r="AI57" s="301" t="s">
        <v>280</v>
      </c>
      <c r="AJ57" s="300" t="s">
        <v>281</v>
      </c>
    </row>
    <row r="58">
      <c r="A58" s="310">
        <v>46211</v>
      </c>
      <c r="B58" s="311" t="s">
        <v>282</v>
      </c>
      <c r="C58" s="312" t="s">
        <v>283</v>
      </c>
      <c r="D58" s="313">
        <f t="shared" ref="D58:D62" si="187">E58+F58</f>
      </c>
      <c r="E58" s="312">
        <v>2000</v>
      </c>
      <c r="F58" s="314">
        <v>1888.36</v>
      </c>
      <c r="G58" s="352">
        <v>2319.84</v>
      </c>
      <c r="H58" s="315">
        <v>0</v>
      </c>
      <c r="I58" s="316">
        <f t="shared" ref="I58:I62" si="346">G58-H58</f>
      </c>
      <c r="J58" s="316">
        <f t="shared" ref="J58:J62" si="508">(G58-AA58)/12+AA58</f>
      </c>
      <c r="K58" s="317">
        <f t="shared" ref="K58:K64" si="67">G58/D58</f>
      </c>
      <c r="L58" s="318">
        <f t="shared" ref="L58:L64" si="97">(G58-H58)/D58</f>
      </c>
      <c r="M58" s="319">
        <f t="shared" ref="M58:M64" si="233">(AA58+Z58/12)/D58</f>
      </c>
      <c r="N58" s="320">
        <f t="shared" ref="N58:N64" si="388">G58/Y58</f>
      </c>
      <c r="O58" s="320">
        <f t="shared" ref="O58:O64" si="7">D58/Y58</f>
      </c>
      <c r="P58" s="320">
        <f t="shared" ref="P58:P64" si="127">D58/AE58</f>
      </c>
      <c r="Q58" s="321">
        <f t="shared" ref="Q58:Q64" si="263">Y58/W58</f>
      </c>
      <c r="R58" s="322">
        <f t="shared" ref="R58:R64" si="418">AG58/AF58</f>
      </c>
      <c r="S58" s="320">
        <f t="shared" ref="S58:S64" si="37">D58/AH58</f>
      </c>
      <c r="T58" s="323">
        <f t="shared" ref="T58:T64" si="448">AI58/AH58</f>
      </c>
      <c r="U58" s="323">
        <f t="shared" ref="U58:U64" si="157">AJ58/AH58</f>
      </c>
      <c r="V58" s="320">
        <f t="shared" ref="V58:V64" si="293">D58/AJ58</f>
      </c>
      <c r="W58" s="325">
        <v>5</v>
      </c>
      <c r="X58" s="325">
        <v>0</v>
      </c>
      <c r="Y58" s="325">
        <v>3</v>
      </c>
      <c r="Z58" s="326">
        <v>2319.84</v>
      </c>
      <c r="AA58" s="326">
        <v>0</v>
      </c>
      <c r="AB58" s="321">
        <f t="shared" ref="AB58:AB64" si="478">AA58/G58</f>
      </c>
      <c r="AC58" s="327" t="s">
        <v>284</v>
      </c>
      <c r="AD58" s="328" t="s">
        <v>285</v>
      </c>
      <c r="AE58" s="329">
        <v>2</v>
      </c>
      <c r="AF58" s="330">
        <v>51493</v>
      </c>
      <c r="AG58" s="330">
        <v>730</v>
      </c>
      <c r="AH58" s="330">
        <v>728</v>
      </c>
      <c r="AI58" s="329">
        <v>86</v>
      </c>
      <c r="AJ58" s="331">
        <v>113</v>
      </c>
    </row>
    <row r="59">
      <c r="A59" s="310"/>
      <c r="B59" s="311" t="s">
        <v>282</v>
      </c>
      <c r="C59" s="332" t="s">
        <v>286</v>
      </c>
      <c r="D59" s="313">
        <f t="shared" si="187"/>
      </c>
      <c r="E59" s="312">
        <v>1064.48</v>
      </c>
      <c r="F59" s="314">
        <v>2000</v>
      </c>
      <c r="G59" s="315">
        <v>6938.36</v>
      </c>
      <c r="H59" s="315">
        <v>1871.64</v>
      </c>
      <c r="I59" s="316">
        <f t="shared" si="346"/>
      </c>
      <c r="J59" s="316">
        <f t="shared" si="508"/>
      </c>
      <c r="K59" s="317">
        <f t="shared" si="67"/>
      </c>
      <c r="L59" s="318">
        <f t="shared" si="97"/>
      </c>
      <c r="M59" s="319">
        <f t="shared" si="233"/>
      </c>
      <c r="N59" s="320">
        <f t="shared" si="388"/>
      </c>
      <c r="O59" s="320">
        <f t="shared" si="7"/>
      </c>
      <c r="P59" s="320">
        <f t="shared" si="127"/>
      </c>
      <c r="Q59" s="321">
        <f t="shared" si="263"/>
      </c>
      <c r="R59" s="322">
        <f t="shared" si="418"/>
      </c>
      <c r="S59" s="320">
        <f t="shared" si="37"/>
      </c>
      <c r="T59" s="323">
        <f t="shared" si="448"/>
      </c>
      <c r="U59" s="323">
        <f t="shared" si="157"/>
      </c>
      <c r="V59" s="320">
        <f t="shared" si="293"/>
      </c>
      <c r="W59" s="325">
        <v>7</v>
      </c>
      <c r="X59" s="325">
        <v>2</v>
      </c>
      <c r="Y59" s="325">
        <v>5</v>
      </c>
      <c r="Z59" s="326">
        <v>6938.36</v>
      </c>
      <c r="AA59" s="326">
        <v>0</v>
      </c>
      <c r="AB59" s="321">
        <f t="shared" si="478"/>
      </c>
      <c r="AC59" s="327" t="s">
        <v>284</v>
      </c>
      <c r="AD59" s="328" t="s">
        <v>285</v>
      </c>
      <c r="AE59" s="329">
        <v>3</v>
      </c>
      <c r="AF59" s="330">
        <v>51694</v>
      </c>
      <c r="AG59" s="330">
        <v>419</v>
      </c>
      <c r="AH59" s="330">
        <v>422</v>
      </c>
      <c r="AI59" s="331">
        <v>62</v>
      </c>
      <c r="AJ59" s="331">
        <v>91</v>
      </c>
    </row>
    <row r="60">
      <c r="A60" s="310"/>
      <c r="B60" s="311" t="s">
        <v>282</v>
      </c>
      <c r="C60" s="332" t="s">
        <v>287</v>
      </c>
      <c r="D60" s="313">
        <f t="shared" si="187"/>
      </c>
      <c r="E60" s="312">
        <v>863.77</v>
      </c>
      <c r="F60" s="314">
        <v>2555</v>
      </c>
      <c r="G60" s="315">
        <v>4170.96</v>
      </c>
      <c r="H60" s="315">
        <v>0</v>
      </c>
      <c r="I60" s="316">
        <f t="shared" si="346"/>
      </c>
      <c r="J60" s="316">
        <f t="shared" si="508"/>
      </c>
      <c r="K60" s="317">
        <f t="shared" si="67"/>
      </c>
      <c r="L60" s="318">
        <f t="shared" si="97"/>
      </c>
      <c r="M60" s="319">
        <f t="shared" si="233"/>
      </c>
      <c r="N60" s="320">
        <f t="shared" si="388"/>
      </c>
      <c r="O60" s="320">
        <f t="shared" si="7"/>
      </c>
      <c r="P60" s="320">
        <f t="shared" si="127"/>
      </c>
      <c r="Q60" s="321">
        <f t="shared" si="263"/>
      </c>
      <c r="R60" s="322">
        <f t="shared" si="418"/>
      </c>
      <c r="S60" s="320">
        <f t="shared" si="37"/>
      </c>
      <c r="T60" s="323">
        <f t="shared" si="448"/>
      </c>
      <c r="U60" s="323">
        <f t="shared" si="157"/>
      </c>
      <c r="V60" s="320">
        <f t="shared" si="293"/>
      </c>
      <c r="W60" s="325">
        <v>4</v>
      </c>
      <c r="X60" s="325">
        <v>0</v>
      </c>
      <c r="Y60" s="325">
        <v>2</v>
      </c>
      <c r="Z60" s="326">
        <v>4170.96</v>
      </c>
      <c r="AA60" s="326">
        <v>0</v>
      </c>
      <c r="AB60" s="321">
        <f t="shared" si="478"/>
      </c>
      <c r="AC60" s="327" t="s">
        <v>284</v>
      </c>
      <c r="AD60" s="328" t="s">
        <v>285</v>
      </c>
      <c r="AE60" s="331">
        <v>2</v>
      </c>
      <c r="AF60" s="330">
        <v>53272</v>
      </c>
      <c r="AG60" s="330">
        <v>389</v>
      </c>
      <c r="AH60" s="330">
        <v>380</v>
      </c>
      <c r="AI60" s="331">
        <v>44</v>
      </c>
      <c r="AJ60" s="331">
        <v>80</v>
      </c>
    </row>
    <row r="61">
      <c r="A61" s="310"/>
      <c r="B61" s="311" t="s">
        <v>282</v>
      </c>
      <c r="C61" s="312" t="s">
        <v>288</v>
      </c>
      <c r="D61" s="313">
        <f t="shared" si="187"/>
      </c>
      <c r="E61" s="312">
        <v>2138.26</v>
      </c>
      <c r="F61" s="314">
        <v>2445</v>
      </c>
      <c r="G61" s="315">
        <v>15334.92</v>
      </c>
      <c r="H61" s="315">
        <v>2917.08</v>
      </c>
      <c r="I61" s="316">
        <f t="shared" si="346"/>
      </c>
      <c r="J61" s="316">
        <f t="shared" si="508"/>
      </c>
      <c r="K61" s="317">
        <f t="shared" si="67"/>
      </c>
      <c r="L61" s="318">
        <f t="shared" si="97"/>
      </c>
      <c r="M61" s="319">
        <f t="shared" si="233"/>
      </c>
      <c r="N61" s="320">
        <f t="shared" si="388"/>
      </c>
      <c r="O61" s="320">
        <f t="shared" si="7"/>
      </c>
      <c r="P61" s="320">
        <f t="shared" si="127"/>
      </c>
      <c r="Q61" s="321">
        <f t="shared" si="263"/>
      </c>
      <c r="R61" s="322">
        <f t="shared" si="418"/>
      </c>
      <c r="S61" s="320">
        <f t="shared" si="37"/>
      </c>
      <c r="T61" s="323">
        <f t="shared" si="448"/>
      </c>
      <c r="U61" s="323">
        <f t="shared" si="157"/>
      </c>
      <c r="V61" s="320">
        <f t="shared" si="293"/>
      </c>
      <c r="W61" s="325">
        <v>9</v>
      </c>
      <c r="X61" s="325">
        <v>6</v>
      </c>
      <c r="Y61" s="325">
        <v>7</v>
      </c>
      <c r="Z61" s="315">
        <v>15334.92</v>
      </c>
      <c r="AA61" s="326">
        <v>0</v>
      </c>
      <c r="AB61" s="321">
        <f t="shared" si="478"/>
      </c>
      <c r="AC61" s="327" t="s">
        <v>284</v>
      </c>
      <c r="AD61" s="328" t="s">
        <v>285</v>
      </c>
      <c r="AE61" s="329">
        <v>5</v>
      </c>
      <c r="AF61" s="330">
        <v>71913</v>
      </c>
      <c r="AG61" s="330">
        <v>739</v>
      </c>
      <c r="AH61" s="330">
        <v>765</v>
      </c>
      <c r="AI61" s="331">
        <v>83</v>
      </c>
      <c r="AJ61" s="331">
        <v>102</v>
      </c>
    </row>
    <row r="62">
      <c r="A62" s="310"/>
      <c r="B62" s="311" t="s">
        <v>282</v>
      </c>
      <c r="C62" s="332" t="s">
        <v>289</v>
      </c>
      <c r="D62" s="313">
        <f t="shared" si="187"/>
      </c>
      <c r="E62" s="312">
        <v>1123.59</v>
      </c>
      <c r="F62" s="314">
        <v>3555</v>
      </c>
      <c r="G62" s="315">
        <v>10911.36</v>
      </c>
      <c r="H62" s="315">
        <v>0</v>
      </c>
      <c r="I62" s="316">
        <f t="shared" si="346"/>
      </c>
      <c r="J62" s="316">
        <f t="shared" si="508"/>
      </c>
      <c r="K62" s="317">
        <f t="shared" si="67"/>
      </c>
      <c r="L62" s="318">
        <f t="shared" si="97"/>
      </c>
      <c r="M62" s="319">
        <f t="shared" si="233"/>
      </c>
      <c r="N62" s="320">
        <f t="shared" si="388"/>
      </c>
      <c r="O62" s="320">
        <f t="shared" si="7"/>
      </c>
      <c r="P62" s="320">
        <f t="shared" si="127"/>
      </c>
      <c r="Q62" s="321">
        <f t="shared" si="263"/>
      </c>
      <c r="R62" s="322">
        <f t="shared" si="418"/>
      </c>
      <c r="S62" s="320">
        <f t="shared" si="37"/>
      </c>
      <c r="T62" s="323">
        <f t="shared" si="448"/>
      </c>
      <c r="U62" s="323">
        <f t="shared" si="157"/>
      </c>
      <c r="V62" s="320">
        <f t="shared" si="293"/>
      </c>
      <c r="W62" s="325">
        <v>15</v>
      </c>
      <c r="X62" s="325">
        <v>7</v>
      </c>
      <c r="Y62" s="325">
        <v>5</v>
      </c>
      <c r="Z62" s="326">
        <v>10911.36</v>
      </c>
      <c r="AA62" s="326">
        <v>0</v>
      </c>
      <c r="AB62" s="321">
        <f t="shared" si="478"/>
      </c>
      <c r="AC62" s="327" t="s">
        <v>284</v>
      </c>
      <c r="AD62" s="328" t="s">
        <v>285</v>
      </c>
      <c r="AE62" s="329">
        <v>4</v>
      </c>
      <c r="AF62" s="330">
        <v>73979</v>
      </c>
      <c r="AG62" s="330">
        <v>594</v>
      </c>
      <c r="AH62" s="330">
        <v>600</v>
      </c>
      <c r="AI62" s="331">
        <v>75</v>
      </c>
      <c r="AJ62" s="331">
        <v>97</v>
      </c>
    </row>
    <row r="63">
      <c r="A63" s="310"/>
      <c r="B63" s="333" t="s">
        <v>290</v>
      </c>
      <c r="C63" s="334">
        <v>5</v>
      </c>
      <c r="D63" s="335">
        <f>SUM(D58:D62)</f>
      </c>
      <c r="E63" s="335">
        <f>SUM(E58:E62)</f>
      </c>
      <c r="F63" s="335">
        <f>SUM(F58:F62)</f>
      </c>
      <c r="G63" s="335">
        <f>SUM(G58:G62)</f>
      </c>
      <c r="H63" s="335">
        <f>SUM(H58:H62)</f>
      </c>
      <c r="I63" s="335">
        <f>SUM(I58:I62)</f>
      </c>
      <c r="J63" s="335">
        <f>SUM(J58:J62)</f>
      </c>
      <c r="K63" s="336">
        <f t="shared" si="67"/>
      </c>
      <c r="L63" s="337">
        <f t="shared" si="97"/>
      </c>
      <c r="M63" s="337">
        <f t="shared" si="233"/>
      </c>
      <c r="N63" s="338">
        <f t="shared" si="388"/>
      </c>
      <c r="O63" s="338">
        <f t="shared" si="7"/>
      </c>
      <c r="P63" s="338">
        <f t="shared" si="127"/>
      </c>
      <c r="Q63" s="339">
        <f t="shared" si="263"/>
      </c>
      <c r="R63" s="339">
        <f t="shared" si="418"/>
      </c>
      <c r="S63" s="338">
        <f t="shared" si="37"/>
      </c>
      <c r="T63" s="339">
        <f t="shared" si="448"/>
      </c>
      <c r="U63" s="339">
        <f t="shared" si="157"/>
      </c>
      <c r="V63" s="338">
        <f t="shared" si="293"/>
      </c>
      <c r="W63" s="335">
        <f>SUM(W58:W62)</f>
      </c>
      <c r="X63" s="335">
        <f>SUM(X58:X62)</f>
      </c>
      <c r="Y63" s="335">
        <f>SUM(Y58:Y62)</f>
      </c>
      <c r="Z63" s="335">
        <f>SUM(Z58:Z62)</f>
      </c>
      <c r="AA63" s="335">
        <f>SUM(AA58:AA62)</f>
      </c>
      <c r="AB63" s="340">
        <f t="shared" si="478"/>
      </c>
      <c r="AC63" s="341"/>
      <c r="AD63" s="342"/>
      <c r="AE63" s="335">
        <f>SUM(AE58:AE62)</f>
      </c>
      <c r="AF63" s="335">
        <f>SUM(AF58:AF62)</f>
      </c>
      <c r="AG63" s="335">
        <f>SUM(AG58:AG62)</f>
      </c>
      <c r="AH63" s="335">
        <f>SUM(AH58:AH62)</f>
      </c>
      <c r="AI63" s="335">
        <f>SUM(AI58:AI62)</f>
      </c>
      <c r="AJ63" s="335">
        <f>SUM(AJ58:AJ62)</f>
      </c>
    </row>
    <row r="64">
      <c r="A64" s="310"/>
      <c r="B64" s="343" t="s">
        <v>290</v>
      </c>
      <c r="C64" s="344">
        <v>5</v>
      </c>
      <c r="D64" s="343">
        <f>D63</f>
      </c>
      <c r="E64" s="343">
        <f>E63</f>
      </c>
      <c r="F64" s="343">
        <f>F63</f>
      </c>
      <c r="G64" s="345">
        <f>G63</f>
      </c>
      <c r="H64" s="345">
        <f>H63</f>
      </c>
      <c r="I64" s="345">
        <f>I63</f>
      </c>
      <c r="J64" s="345">
        <f>J63</f>
      </c>
      <c r="K64" s="346">
        <f t="shared" si="67"/>
      </c>
      <c r="L64" s="346">
        <f t="shared" si="97"/>
      </c>
      <c r="M64" s="346">
        <f t="shared" si="233"/>
      </c>
      <c r="N64" s="346">
        <f t="shared" si="388"/>
      </c>
      <c r="O64" s="346">
        <f t="shared" si="7"/>
      </c>
      <c r="P64" s="346">
        <f t="shared" si="127"/>
      </c>
      <c r="Q64" s="347">
        <f t="shared" si="263"/>
      </c>
      <c r="R64" s="347">
        <f t="shared" si="418"/>
      </c>
      <c r="S64" s="346">
        <f t="shared" si="37"/>
      </c>
      <c r="T64" s="347">
        <f t="shared" si="448"/>
      </c>
      <c r="U64" s="347">
        <f t="shared" si="157"/>
      </c>
      <c r="V64" s="346">
        <f t="shared" si="293"/>
      </c>
      <c r="W64" s="348">
        <f>W63</f>
      </c>
      <c r="X64" s="348">
        <f>X63</f>
      </c>
      <c r="Y64" s="348">
        <f>Y63</f>
      </c>
      <c r="Z64" s="349">
        <f>Z63</f>
      </c>
      <c r="AA64" s="348">
        <f>AA63</f>
      </c>
      <c r="AB64" s="350">
        <f t="shared" si="478"/>
      </c>
      <c r="AC64" s="343"/>
      <c r="AD64" s="343"/>
      <c r="AE64" s="343">
        <f>AE63</f>
      </c>
      <c r="AF64" s="343">
        <f>AF63</f>
      </c>
      <c r="AG64" s="343">
        <f>AG63</f>
      </c>
      <c r="AH64" s="343">
        <f>AH63</f>
      </c>
      <c r="AI64" s="343">
        <f>AI63</f>
      </c>
      <c r="AJ64" s="343">
        <f>AJ63</f>
      </c>
    </row>
    <row r="65">
      <c r="A65" s="297" t="s">
        <v>246</v>
      </c>
      <c r="B65" s="298" t="s">
        <v>247</v>
      </c>
      <c r="C65" s="298" t="s">
        <v>248</v>
      </c>
      <c r="D65" s="299" t="s">
        <v>249</v>
      </c>
      <c r="E65" s="298" t="s">
        <v>250</v>
      </c>
      <c r="F65" s="298" t="s">
        <v>251</v>
      </c>
      <c r="G65" s="299" t="s">
        <v>252</v>
      </c>
      <c r="H65" s="300" t="s">
        <v>253</v>
      </c>
      <c r="I65" s="301" t="s">
        <v>254</v>
      </c>
      <c r="J65" s="301" t="s">
        <v>255</v>
      </c>
      <c r="K65" s="302" t="s">
        <v>256</v>
      </c>
      <c r="L65" s="301" t="s">
        <v>257</v>
      </c>
      <c r="M65" s="298" t="s">
        <v>258</v>
      </c>
      <c r="N65" s="302" t="s">
        <v>259</v>
      </c>
      <c r="O65" s="303" t="s">
        <v>260</v>
      </c>
      <c r="P65" s="303" t="s">
        <v>261</v>
      </c>
      <c r="Q65" s="299" t="s">
        <v>262</v>
      </c>
      <c r="R65" s="304" t="s">
        <v>263</v>
      </c>
      <c r="S65" s="302" t="s">
        <v>264</v>
      </c>
      <c r="T65" s="305" t="s">
        <v>265</v>
      </c>
      <c r="U65" s="306" t="s">
        <v>266</v>
      </c>
      <c r="V65" s="302" t="s">
        <v>267</v>
      </c>
      <c r="W65" s="307" t="s">
        <v>268</v>
      </c>
      <c r="X65" s="308" t="s">
        <v>269</v>
      </c>
      <c r="Y65" s="307" t="s">
        <v>270</v>
      </c>
      <c r="Z65" s="309" t="s">
        <v>271</v>
      </c>
      <c r="AA65" s="309" t="s">
        <v>272</v>
      </c>
      <c r="AB65" s="301" t="s">
        <v>273</v>
      </c>
      <c r="AC65" s="300" t="s">
        <v>274</v>
      </c>
      <c r="AD65" s="301" t="s">
        <v>275</v>
      </c>
      <c r="AE65" s="300" t="s">
        <v>276</v>
      </c>
      <c r="AF65" s="300" t="s">
        <v>277</v>
      </c>
      <c r="AG65" s="301" t="s">
        <v>278</v>
      </c>
      <c r="AH65" s="300" t="s">
        <v>279</v>
      </c>
      <c r="AI65" s="301" t="s">
        <v>280</v>
      </c>
      <c r="AJ65" s="300" t="s">
        <v>281</v>
      </c>
    </row>
    <row r="66">
      <c r="A66" s="310">
        <v>46212</v>
      </c>
      <c r="B66" s="311" t="s">
        <v>282</v>
      </c>
      <c r="C66" s="312" t="s">
        <v>283</v>
      </c>
      <c r="D66" s="313">
        <f t="shared" ref="D66:D70" si="188">E66+F66</f>
      </c>
      <c r="E66" s="312">
        <v>1216.58</v>
      </c>
      <c r="F66" s="314">
        <v>2000</v>
      </c>
      <c r="G66" s="352">
        <v>4240.08</v>
      </c>
      <c r="H66" s="315">
        <v>4240.08</v>
      </c>
      <c r="I66" s="316">
        <f t="shared" ref="I66:I70" si="347">G66-H66</f>
      </c>
      <c r="J66" s="316">
        <f t="shared" ref="J66:J70" si="509">(G66-AA66)/12+AA66</f>
      </c>
      <c r="K66" s="317">
        <f t="shared" ref="K66:K72" si="68">G66/D66</f>
      </c>
      <c r="L66" s="318">
        <f t="shared" ref="L66:L72" si="98">(G66-H66)/D66</f>
      </c>
      <c r="M66" s="319">
        <f t="shared" ref="M66:M72" si="234">(AA66+Z66/12)/D66</f>
      </c>
      <c r="N66" s="320">
        <f t="shared" ref="N66:N72" si="389">G66/Y66</f>
      </c>
      <c r="O66" s="320">
        <f t="shared" ref="O66:O72" si="8">D66/Y66</f>
      </c>
      <c r="P66" s="320">
        <f t="shared" ref="P66:P72" si="128">D66/AE66</f>
      </c>
      <c r="Q66" s="321">
        <f t="shared" ref="Q66:Q72" si="264">Y66/W66</f>
      </c>
      <c r="R66" s="322">
        <f t="shared" ref="R66:R72" si="419">AG66/AF66</f>
      </c>
      <c r="S66" s="320">
        <f t="shared" ref="S66:S72" si="38">D66/AH66</f>
      </c>
      <c r="T66" s="323">
        <f t="shared" ref="T66:T72" si="449">AI66/AH66</f>
      </c>
      <c r="U66" s="323">
        <f t="shared" ref="U66:U72" si="158">AJ66/AH66</f>
      </c>
      <c r="V66" s="320">
        <f t="shared" ref="V66:V72" si="294">D66/AJ66</f>
      </c>
      <c r="W66" s="325">
        <v>1</v>
      </c>
      <c r="X66" s="325">
        <v>1</v>
      </c>
      <c r="Y66" s="325">
        <v>1</v>
      </c>
      <c r="Z66" s="326">
        <v>4240.08</v>
      </c>
      <c r="AA66" s="326">
        <v>0</v>
      </c>
      <c r="AB66" s="321">
        <f t="shared" ref="AB66:AB72" si="479">AA66/G66</f>
      </c>
      <c r="AC66" s="327" t="s">
        <v>284</v>
      </c>
      <c r="AD66" s="328" t="s">
        <v>285</v>
      </c>
      <c r="AE66" s="329">
        <v>1</v>
      </c>
      <c r="AF66" s="330">
        <v>54446</v>
      </c>
      <c r="AG66" s="330">
        <v>430</v>
      </c>
      <c r="AH66" s="330">
        <v>409</v>
      </c>
      <c r="AI66" s="329">
        <v>60</v>
      </c>
      <c r="AJ66" s="331">
        <v>93</v>
      </c>
    </row>
    <row r="67">
      <c r="A67" s="310"/>
      <c r="B67" s="311" t="s">
        <v>282</v>
      </c>
      <c r="C67" s="332" t="s">
        <v>286</v>
      </c>
      <c r="D67" s="313">
        <f t="shared" si="188"/>
      </c>
      <c r="E67" s="312">
        <v>1458.1</v>
      </c>
      <c r="F67" s="314">
        <v>1946.82</v>
      </c>
      <c r="G67" s="315">
        <v>7897.4</v>
      </c>
      <c r="H67" s="315">
        <v>0</v>
      </c>
      <c r="I67" s="316">
        <f t="shared" si="347"/>
      </c>
      <c r="J67" s="316">
        <f t="shared" si="509"/>
      </c>
      <c r="K67" s="317">
        <f t="shared" si="68"/>
      </c>
      <c r="L67" s="318">
        <f t="shared" si="98"/>
      </c>
      <c r="M67" s="319">
        <f t="shared" si="234"/>
      </c>
      <c r="N67" s="320">
        <f t="shared" si="389"/>
      </c>
      <c r="O67" s="320">
        <f t="shared" si="8"/>
      </c>
      <c r="P67" s="320">
        <f t="shared" si="128"/>
      </c>
      <c r="Q67" s="321">
        <f t="shared" si="264"/>
      </c>
      <c r="R67" s="322">
        <f t="shared" si="419"/>
      </c>
      <c r="S67" s="320">
        <f t="shared" si="38"/>
      </c>
      <c r="T67" s="323">
        <f t="shared" si="449"/>
      </c>
      <c r="U67" s="323">
        <f t="shared" si="158"/>
      </c>
      <c r="V67" s="320">
        <f t="shared" si="294"/>
      </c>
      <c r="W67" s="325">
        <v>9</v>
      </c>
      <c r="X67" s="325">
        <v>3</v>
      </c>
      <c r="Y67" s="325">
        <v>3</v>
      </c>
      <c r="Z67" s="326">
        <v>7897.4</v>
      </c>
      <c r="AA67" s="326">
        <v>0</v>
      </c>
      <c r="AB67" s="321">
        <f t="shared" si="479"/>
      </c>
      <c r="AC67" s="327" t="s">
        <v>284</v>
      </c>
      <c r="AD67" s="328" t="s">
        <v>285</v>
      </c>
      <c r="AE67" s="329">
        <v>3</v>
      </c>
      <c r="AF67" s="330">
        <v>48985</v>
      </c>
      <c r="AG67" s="330">
        <v>614</v>
      </c>
      <c r="AH67" s="330">
        <v>617</v>
      </c>
      <c r="AI67" s="331">
        <v>79</v>
      </c>
      <c r="AJ67" s="331">
        <v>110</v>
      </c>
    </row>
    <row r="68">
      <c r="A68" s="310"/>
      <c r="B68" s="311" t="s">
        <v>282</v>
      </c>
      <c r="C68" s="332" t="s">
        <v>287</v>
      </c>
      <c r="D68" s="313">
        <f t="shared" si="188"/>
      </c>
      <c r="E68" s="312">
        <v>978.9</v>
      </c>
      <c r="F68" s="314">
        <v>3053.18</v>
      </c>
      <c r="G68" s="315">
        <v>4932.72</v>
      </c>
      <c r="H68" s="315">
        <v>1480.68</v>
      </c>
      <c r="I68" s="316">
        <f t="shared" si="347"/>
      </c>
      <c r="J68" s="316">
        <f t="shared" si="509"/>
      </c>
      <c r="K68" s="317">
        <f t="shared" si="68"/>
      </c>
      <c r="L68" s="318">
        <f t="shared" si="98"/>
      </c>
      <c r="M68" s="319">
        <f t="shared" si="234"/>
      </c>
      <c r="N68" s="320">
        <f t="shared" si="389"/>
      </c>
      <c r="O68" s="320">
        <f t="shared" si="8"/>
      </c>
      <c r="P68" s="320">
        <f t="shared" si="128"/>
      </c>
      <c r="Q68" s="321">
        <f t="shared" si="264"/>
      </c>
      <c r="R68" s="322">
        <f t="shared" si="419"/>
      </c>
      <c r="S68" s="320">
        <f t="shared" si="38"/>
      </c>
      <c r="T68" s="323">
        <f t="shared" si="449"/>
      </c>
      <c r="U68" s="323">
        <f t="shared" si="158"/>
      </c>
      <c r="V68" s="320">
        <f t="shared" si="294"/>
      </c>
      <c r="W68" s="325">
        <v>14</v>
      </c>
      <c r="X68" s="325">
        <v>6</v>
      </c>
      <c r="Y68" s="325">
        <v>4</v>
      </c>
      <c r="Z68" s="326">
        <v>4932.72</v>
      </c>
      <c r="AA68" s="326">
        <v>0</v>
      </c>
      <c r="AB68" s="321">
        <f t="shared" si="479"/>
      </c>
      <c r="AC68" s="327" t="s">
        <v>284</v>
      </c>
      <c r="AD68" s="328" t="s">
        <v>285</v>
      </c>
      <c r="AE68" s="331">
        <v>3</v>
      </c>
      <c r="AF68" s="330">
        <v>56923</v>
      </c>
      <c r="AG68" s="330">
        <v>635</v>
      </c>
      <c r="AH68" s="330">
        <v>653</v>
      </c>
      <c r="AI68" s="331">
        <v>95</v>
      </c>
      <c r="AJ68" s="331">
        <v>122</v>
      </c>
    </row>
    <row r="69">
      <c r="A69" s="310"/>
      <c r="B69" s="311" t="s">
        <v>282</v>
      </c>
      <c r="C69" s="312" t="s">
        <v>288</v>
      </c>
      <c r="D69" s="313">
        <f t="shared" si="188"/>
      </c>
      <c r="E69" s="312">
        <v>2144.18</v>
      </c>
      <c r="F69" s="314">
        <v>2972.45</v>
      </c>
      <c r="G69" s="315">
        <v>6374.84</v>
      </c>
      <c r="H69" s="315">
        <v>0</v>
      </c>
      <c r="I69" s="316">
        <f t="shared" si="347"/>
      </c>
      <c r="J69" s="316">
        <f t="shared" si="509"/>
      </c>
      <c r="K69" s="317">
        <f t="shared" si="68"/>
      </c>
      <c r="L69" s="318">
        <f t="shared" si="98"/>
      </c>
      <c r="M69" s="319">
        <f t="shared" si="234"/>
      </c>
      <c r="N69" s="320">
        <f t="shared" si="389"/>
      </c>
      <c r="O69" s="320">
        <f t="shared" si="8"/>
      </c>
      <c r="P69" s="320">
        <f t="shared" si="128"/>
      </c>
      <c r="Q69" s="321">
        <f t="shared" si="264"/>
      </c>
      <c r="R69" s="322">
        <f t="shared" si="419"/>
      </c>
      <c r="S69" s="320">
        <f t="shared" si="38"/>
      </c>
      <c r="T69" s="323">
        <f t="shared" si="449"/>
      </c>
      <c r="U69" s="323">
        <f t="shared" si="158"/>
      </c>
      <c r="V69" s="320">
        <f t="shared" si="294"/>
      </c>
      <c r="W69" s="325">
        <v>9</v>
      </c>
      <c r="X69" s="325">
        <v>4</v>
      </c>
      <c r="Y69" s="325">
        <v>3</v>
      </c>
      <c r="Z69" s="315">
        <v>6374.84</v>
      </c>
      <c r="AA69" s="326">
        <v>0</v>
      </c>
      <c r="AB69" s="321">
        <f t="shared" si="479"/>
      </c>
      <c r="AC69" s="327" t="s">
        <v>284</v>
      </c>
      <c r="AD69" s="328" t="s">
        <v>285</v>
      </c>
      <c r="AE69" s="329">
        <v>3</v>
      </c>
      <c r="AF69" s="330">
        <v>72648</v>
      </c>
      <c r="AG69" s="330">
        <v>856</v>
      </c>
      <c r="AH69" s="330">
        <v>893</v>
      </c>
      <c r="AI69" s="331">
        <v>110</v>
      </c>
      <c r="AJ69" s="331">
        <v>129</v>
      </c>
    </row>
    <row r="70">
      <c r="A70" s="310"/>
      <c r="B70" s="311" t="s">
        <v>282</v>
      </c>
      <c r="C70" s="332" t="s">
        <v>289</v>
      </c>
      <c r="D70" s="313">
        <f t="shared" si="188"/>
      </c>
      <c r="E70" s="312">
        <v>666.52</v>
      </c>
      <c r="F70" s="314">
        <v>2582.55</v>
      </c>
      <c r="G70" s="315">
        <v>3656.88</v>
      </c>
      <c r="H70" s="315">
        <v>0</v>
      </c>
      <c r="I70" s="316">
        <f t="shared" si="347"/>
      </c>
      <c r="J70" s="316">
        <f t="shared" si="509"/>
      </c>
      <c r="K70" s="317">
        <f t="shared" si="68"/>
      </c>
      <c r="L70" s="318">
        <f t="shared" si="98"/>
      </c>
      <c r="M70" s="319">
        <f t="shared" si="234"/>
      </c>
      <c r="N70" s="320">
        <f t="shared" si="389"/>
      </c>
      <c r="O70" s="320">
        <f t="shared" si="8"/>
      </c>
      <c r="P70" s="320">
        <f t="shared" si="128"/>
      </c>
      <c r="Q70" s="321">
        <f t="shared" si="264"/>
      </c>
      <c r="R70" s="322">
        <f t="shared" si="419"/>
      </c>
      <c r="S70" s="320">
        <f t="shared" si="38"/>
      </c>
      <c r="T70" s="323">
        <f t="shared" si="449"/>
      </c>
      <c r="U70" s="323">
        <f t="shared" si="158"/>
      </c>
      <c r="V70" s="320">
        <f t="shared" si="294"/>
      </c>
      <c r="W70" s="325">
        <v>9</v>
      </c>
      <c r="X70" s="325"/>
      <c r="Y70" s="325">
        <v>2</v>
      </c>
      <c r="Z70" s="326">
        <v>3656.88</v>
      </c>
      <c r="AA70" s="326">
        <v>0</v>
      </c>
      <c r="AB70" s="321">
        <f t="shared" si="479"/>
      </c>
      <c r="AC70" s="327" t="s">
        <v>284</v>
      </c>
      <c r="AD70" s="328" t="s">
        <v>285</v>
      </c>
      <c r="AE70" s="329">
        <v>2</v>
      </c>
      <c r="AF70" s="330">
        <v>44545</v>
      </c>
      <c r="AG70" s="330">
        <v>502</v>
      </c>
      <c r="AH70" s="330">
        <v>495</v>
      </c>
      <c r="AI70" s="331">
        <v>58</v>
      </c>
      <c r="AJ70" s="331">
        <v>80</v>
      </c>
    </row>
    <row r="71">
      <c r="A71" s="310"/>
      <c r="B71" s="333" t="s">
        <v>290</v>
      </c>
      <c r="C71" s="334">
        <v>5</v>
      </c>
      <c r="D71" s="335">
        <f>SUM(D66:D70)</f>
      </c>
      <c r="E71" s="335">
        <f>SUM(E66:E70)</f>
      </c>
      <c r="F71" s="335">
        <f>SUM(F66:F70)</f>
      </c>
      <c r="G71" s="335">
        <f>SUM(G66:G70)</f>
      </c>
      <c r="H71" s="335">
        <f>SUM(H66:H70)</f>
      </c>
      <c r="I71" s="335">
        <f>SUM(I66:I70)</f>
      </c>
      <c r="J71" s="335">
        <f>SUM(J66:J70)</f>
      </c>
      <c r="K71" s="336">
        <f t="shared" si="68"/>
      </c>
      <c r="L71" s="337">
        <f t="shared" si="98"/>
      </c>
      <c r="M71" s="337">
        <f t="shared" si="234"/>
      </c>
      <c r="N71" s="338">
        <f t="shared" si="389"/>
      </c>
      <c r="O71" s="338">
        <f t="shared" si="8"/>
      </c>
      <c r="P71" s="338">
        <f t="shared" si="128"/>
      </c>
      <c r="Q71" s="339">
        <f t="shared" si="264"/>
      </c>
      <c r="R71" s="339">
        <f t="shared" si="419"/>
      </c>
      <c r="S71" s="338">
        <f t="shared" si="38"/>
      </c>
      <c r="T71" s="339">
        <f t="shared" si="449"/>
      </c>
      <c r="U71" s="339">
        <f t="shared" si="158"/>
      </c>
      <c r="V71" s="338">
        <f t="shared" si="294"/>
      </c>
      <c r="W71" s="335">
        <f>SUM(W66:W70)</f>
      </c>
      <c r="X71" s="335">
        <f>SUM(X66:X70)</f>
      </c>
      <c r="Y71" s="335">
        <f>SUM(Y66:Y70)</f>
      </c>
      <c r="Z71" s="335">
        <f>SUM(Z66:Z70)</f>
      </c>
      <c r="AA71" s="335">
        <f>SUM(AA66:AA70)</f>
      </c>
      <c r="AB71" s="340">
        <f t="shared" si="479"/>
      </c>
      <c r="AC71" s="341"/>
      <c r="AD71" s="342"/>
      <c r="AE71" s="335">
        <f>SUM(AE66:AE70)</f>
      </c>
      <c r="AF71" s="335">
        <f>SUM(AF66:AF70)</f>
      </c>
      <c r="AG71" s="335">
        <f>SUM(AG66:AG70)</f>
      </c>
      <c r="AH71" s="335">
        <f>SUM(AH66:AH70)</f>
      </c>
      <c r="AI71" s="335">
        <f>SUM(AI66:AI70)</f>
      </c>
      <c r="AJ71" s="335">
        <f>SUM(AJ66:AJ70)</f>
      </c>
    </row>
    <row r="72">
      <c r="A72" s="310"/>
      <c r="B72" s="343" t="s">
        <v>290</v>
      </c>
      <c r="C72" s="344">
        <v>5</v>
      </c>
      <c r="D72" s="343">
        <f>D71</f>
      </c>
      <c r="E72" s="343">
        <f>E71</f>
      </c>
      <c r="F72" s="343">
        <f>F71</f>
      </c>
      <c r="G72" s="345">
        <f>G71</f>
      </c>
      <c r="H72" s="345">
        <f>H71</f>
      </c>
      <c r="I72" s="345">
        <f>I71</f>
      </c>
      <c r="J72" s="345">
        <f>J71</f>
      </c>
      <c r="K72" s="346">
        <f t="shared" si="68"/>
      </c>
      <c r="L72" s="346">
        <f t="shared" si="98"/>
      </c>
      <c r="M72" s="346">
        <f t="shared" si="234"/>
      </c>
      <c r="N72" s="346">
        <f t="shared" si="389"/>
      </c>
      <c r="O72" s="346">
        <f t="shared" si="8"/>
      </c>
      <c r="P72" s="346">
        <f t="shared" si="128"/>
      </c>
      <c r="Q72" s="347">
        <f t="shared" si="264"/>
      </c>
      <c r="R72" s="347">
        <f t="shared" si="419"/>
      </c>
      <c r="S72" s="346">
        <f t="shared" si="38"/>
      </c>
      <c r="T72" s="347">
        <f t="shared" si="449"/>
      </c>
      <c r="U72" s="347">
        <f t="shared" si="158"/>
      </c>
      <c r="V72" s="346">
        <f t="shared" si="294"/>
      </c>
      <c r="W72" s="348">
        <f>W71</f>
      </c>
      <c r="X72" s="348">
        <f>X71</f>
      </c>
      <c r="Y72" s="348">
        <f>Y71</f>
      </c>
      <c r="Z72" s="349">
        <f>Z71</f>
      </c>
      <c r="AA72" s="348">
        <f>AA71</f>
      </c>
      <c r="AB72" s="350">
        <f t="shared" si="479"/>
      </c>
      <c r="AC72" s="343"/>
      <c r="AD72" s="343"/>
      <c r="AE72" s="343">
        <f>AE71</f>
      </c>
      <c r="AF72" s="343">
        <f>AF71</f>
      </c>
      <c r="AG72" s="343">
        <f>AG71</f>
      </c>
      <c r="AH72" s="343">
        <f>AH71</f>
      </c>
      <c r="AI72" s="343">
        <f>AI71</f>
      </c>
      <c r="AJ72" s="343">
        <f>AJ71</f>
      </c>
    </row>
    <row r="73">
      <c r="A73" s="297" t="s">
        <v>246</v>
      </c>
      <c r="B73" s="298" t="s">
        <v>247</v>
      </c>
      <c r="C73" s="298" t="s">
        <v>248</v>
      </c>
      <c r="D73" s="299" t="s">
        <v>249</v>
      </c>
      <c r="E73" s="298" t="s">
        <v>250</v>
      </c>
      <c r="F73" s="298" t="s">
        <v>251</v>
      </c>
      <c r="G73" s="299" t="s">
        <v>252</v>
      </c>
      <c r="H73" s="300" t="s">
        <v>253</v>
      </c>
      <c r="I73" s="301" t="s">
        <v>254</v>
      </c>
      <c r="J73" s="301" t="s">
        <v>255</v>
      </c>
      <c r="K73" s="302" t="s">
        <v>256</v>
      </c>
      <c r="L73" s="301" t="s">
        <v>257</v>
      </c>
      <c r="M73" s="298" t="s">
        <v>258</v>
      </c>
      <c r="N73" s="302" t="s">
        <v>259</v>
      </c>
      <c r="O73" s="303" t="s">
        <v>260</v>
      </c>
      <c r="P73" s="303" t="s">
        <v>261</v>
      </c>
      <c r="Q73" s="299" t="s">
        <v>262</v>
      </c>
      <c r="R73" s="304" t="s">
        <v>263</v>
      </c>
      <c r="S73" s="302" t="s">
        <v>264</v>
      </c>
      <c r="T73" s="305" t="s">
        <v>265</v>
      </c>
      <c r="U73" s="306" t="s">
        <v>266</v>
      </c>
      <c r="V73" s="302" t="s">
        <v>267</v>
      </c>
      <c r="W73" s="307" t="s">
        <v>268</v>
      </c>
      <c r="X73" s="308" t="s">
        <v>269</v>
      </c>
      <c r="Y73" s="307" t="s">
        <v>270</v>
      </c>
      <c r="Z73" s="309" t="s">
        <v>271</v>
      </c>
      <c r="AA73" s="309" t="s">
        <v>272</v>
      </c>
      <c r="AB73" s="301" t="s">
        <v>273</v>
      </c>
      <c r="AC73" s="300" t="s">
        <v>274</v>
      </c>
      <c r="AD73" s="301" t="s">
        <v>275</v>
      </c>
      <c r="AE73" s="300" t="s">
        <v>276</v>
      </c>
      <c r="AF73" s="300" t="s">
        <v>277</v>
      </c>
      <c r="AG73" s="301" t="s">
        <v>278</v>
      </c>
      <c r="AH73" s="300" t="s">
        <v>279</v>
      </c>
      <c r="AI73" s="301" t="s">
        <v>280</v>
      </c>
      <c r="AJ73" s="300" t="s">
        <v>281</v>
      </c>
    </row>
    <row r="74">
      <c r="A74" s="310">
        <v>46213</v>
      </c>
      <c r="B74" s="311" t="s">
        <v>282</v>
      </c>
      <c r="C74" s="312" t="s">
        <v>283</v>
      </c>
      <c r="D74" s="313">
        <f t="shared" ref="D74:D78" si="189">E74+F74</f>
      </c>
      <c r="E74" s="312">
        <v>549.16</v>
      </c>
      <c r="F74" s="314">
        <v>2555</v>
      </c>
      <c r="G74" s="352">
        <v>4095.42</v>
      </c>
      <c r="H74" s="315">
        <v>0</v>
      </c>
      <c r="I74" s="316">
        <f t="shared" ref="I74:I78" si="348">G74-H74</f>
      </c>
      <c r="J74" s="316">
        <f t="shared" ref="J74:J78" si="510">(G74-AA74)/12+AA74</f>
      </c>
      <c r="K74" s="317">
        <f t="shared" ref="K74:K80" si="69">G74/D74</f>
      </c>
      <c r="L74" s="318">
        <f t="shared" ref="L74:L80" si="99">(G74-H74)/D74</f>
      </c>
      <c r="M74" s="319">
        <f t="shared" ref="M74:M80" si="235">(AA74+Z74/12)/D74</f>
      </c>
      <c r="N74" s="320">
        <f t="shared" ref="N74:N80" si="390">G74/Y74</f>
      </c>
      <c r="O74" s="320">
        <f t="shared" ref="O74:O80" si="9">D74/Y74</f>
      </c>
      <c r="P74" s="320">
        <f t="shared" ref="P74:P80" si="129">D74/AE74</f>
      </c>
      <c r="Q74" s="321">
        <f t="shared" ref="Q74:Q80" si="265">Y74/W74</f>
      </c>
      <c r="R74" s="322">
        <f t="shared" ref="R74:R80" si="420">AG74/AF74</f>
      </c>
      <c r="S74" s="320">
        <f t="shared" ref="S74:S80" si="39">D74/AH74</f>
      </c>
      <c r="T74" s="323">
        <f t="shared" ref="T74:T80" si="450">AI74/AH74</f>
      </c>
      <c r="U74" s="323">
        <f t="shared" ref="U74:U80" si="159">AJ74/AH74</f>
      </c>
      <c r="V74" s="320">
        <f t="shared" ref="V74:V80" si="295">D74/AJ74</f>
      </c>
      <c r="W74" s="325">
        <v>4</v>
      </c>
      <c r="X74" s="325">
        <v>1</v>
      </c>
      <c r="Y74" s="325">
        <v>2</v>
      </c>
      <c r="Z74" s="326">
        <v>4095.42</v>
      </c>
      <c r="AA74" s="326">
        <v>0</v>
      </c>
      <c r="AB74" s="321">
        <f t="shared" ref="AB74:AB80" si="480">AA74/G74</f>
      </c>
      <c r="AC74" s="327" t="s">
        <v>284</v>
      </c>
      <c r="AD74" s="328" t="s">
        <v>285</v>
      </c>
      <c r="AE74" s="329">
        <v>2</v>
      </c>
      <c r="AF74" s="330">
        <v>51521</v>
      </c>
      <c r="AG74" s="330">
        <v>309</v>
      </c>
      <c r="AH74" s="330">
        <v>301</v>
      </c>
      <c r="AI74" s="329">
        <v>47</v>
      </c>
      <c r="AJ74" s="331">
        <v>73</v>
      </c>
    </row>
    <row r="75">
      <c r="A75" s="310"/>
      <c r="B75" s="311" t="s">
        <v>282</v>
      </c>
      <c r="C75" s="332" t="s">
        <v>286</v>
      </c>
      <c r="D75" s="313">
        <f t="shared" si="189"/>
      </c>
      <c r="E75" s="312">
        <v>664.24</v>
      </c>
      <c r="F75" s="314">
        <v>3000</v>
      </c>
      <c r="G75" s="315">
        <v>6755.4</v>
      </c>
      <c r="H75" s="315">
        <v>0</v>
      </c>
      <c r="I75" s="316">
        <f t="shared" si="348"/>
      </c>
      <c r="J75" s="316">
        <f t="shared" si="510"/>
      </c>
      <c r="K75" s="317">
        <f t="shared" si="69"/>
      </c>
      <c r="L75" s="318">
        <f t="shared" si="99"/>
      </c>
      <c r="M75" s="319">
        <f t="shared" si="235"/>
      </c>
      <c r="N75" s="320">
        <f t="shared" si="390"/>
      </c>
      <c r="O75" s="320">
        <f t="shared" si="9"/>
      </c>
      <c r="P75" s="320">
        <f t="shared" si="129"/>
      </c>
      <c r="Q75" s="321">
        <f t="shared" si="265"/>
      </c>
      <c r="R75" s="322">
        <f t="shared" si="420"/>
      </c>
      <c r="S75" s="320">
        <f t="shared" si="39"/>
      </c>
      <c r="T75" s="323">
        <f t="shared" si="450"/>
      </c>
      <c r="U75" s="323">
        <f t="shared" si="159"/>
      </c>
      <c r="V75" s="320">
        <f t="shared" si="295"/>
      </c>
      <c r="W75" s="325">
        <v>12</v>
      </c>
      <c r="X75" s="325">
        <v>7</v>
      </c>
      <c r="Y75" s="325">
        <v>4</v>
      </c>
      <c r="Z75" s="326">
        <v>6755.4</v>
      </c>
      <c r="AA75" s="326">
        <v>0</v>
      </c>
      <c r="AB75" s="321">
        <f t="shared" si="480"/>
      </c>
      <c r="AC75" s="327" t="s">
        <v>284</v>
      </c>
      <c r="AD75" s="328" t="s">
        <v>285</v>
      </c>
      <c r="AE75" s="329">
        <v>3</v>
      </c>
      <c r="AF75" s="330">
        <v>55489</v>
      </c>
      <c r="AG75" s="330">
        <v>383</v>
      </c>
      <c r="AH75" s="330">
        <v>366</v>
      </c>
      <c r="AI75" s="331">
        <v>76</v>
      </c>
      <c r="AJ75" s="331">
        <v>98</v>
      </c>
    </row>
    <row r="76">
      <c r="A76" s="310"/>
      <c r="B76" s="311" t="s">
        <v>282</v>
      </c>
      <c r="C76" s="332" t="s">
        <v>287</v>
      </c>
      <c r="D76" s="313">
        <f t="shared" si="189"/>
      </c>
      <c r="E76" s="312">
        <v>1356.2</v>
      </c>
      <c r="F76" s="314">
        <v>2948.02</v>
      </c>
      <c r="G76" s="315">
        <v>9580.68</v>
      </c>
      <c r="H76" s="315">
        <v>0</v>
      </c>
      <c r="I76" s="316">
        <f t="shared" si="348"/>
      </c>
      <c r="J76" s="316">
        <f t="shared" si="510"/>
      </c>
      <c r="K76" s="317">
        <f t="shared" si="69"/>
      </c>
      <c r="L76" s="318">
        <f t="shared" si="99"/>
      </c>
      <c r="M76" s="319">
        <f t="shared" si="235"/>
      </c>
      <c r="N76" s="320">
        <f t="shared" si="390"/>
      </c>
      <c r="O76" s="320">
        <f t="shared" si="9"/>
      </c>
      <c r="P76" s="320">
        <f t="shared" si="129"/>
      </c>
      <c r="Q76" s="321">
        <f t="shared" si="265"/>
      </c>
      <c r="R76" s="322">
        <f t="shared" si="420"/>
      </c>
      <c r="S76" s="320">
        <f t="shared" si="39"/>
      </c>
      <c r="T76" s="323">
        <f t="shared" si="450"/>
      </c>
      <c r="U76" s="323">
        <f t="shared" si="159"/>
      </c>
      <c r="V76" s="320">
        <f t="shared" si="295"/>
      </c>
      <c r="W76" s="325">
        <v>11</v>
      </c>
      <c r="X76" s="325">
        <v>4</v>
      </c>
      <c r="Y76" s="325">
        <v>6</v>
      </c>
      <c r="Z76" s="326">
        <v>9580.68</v>
      </c>
      <c r="AA76" s="326">
        <v>0</v>
      </c>
      <c r="AB76" s="321">
        <f t="shared" si="480"/>
      </c>
      <c r="AC76" s="327" t="s">
        <v>284</v>
      </c>
      <c r="AD76" s="328" t="s">
        <v>285</v>
      </c>
      <c r="AE76" s="331">
        <v>5</v>
      </c>
      <c r="AF76" s="330">
        <v>62687</v>
      </c>
      <c r="AG76" s="330">
        <v>607</v>
      </c>
      <c r="AH76" s="330">
        <v>579</v>
      </c>
      <c r="AI76" s="331">
        <v>72</v>
      </c>
      <c r="AJ76" s="331">
        <v>93</v>
      </c>
    </row>
    <row r="77">
      <c r="A77" s="310"/>
      <c r="B77" s="311" t="s">
        <v>282</v>
      </c>
      <c r="C77" s="312" t="s">
        <v>288</v>
      </c>
      <c r="D77" s="313">
        <f t="shared" si="189"/>
      </c>
      <c r="E77" s="312">
        <v>2137.24</v>
      </c>
      <c r="F77" s="314">
        <v>3656.26</v>
      </c>
      <c r="G77" s="315">
        <v>5895.93</v>
      </c>
      <c r="H77" s="315">
        <v>0</v>
      </c>
      <c r="I77" s="316">
        <f t="shared" si="348"/>
      </c>
      <c r="J77" s="316">
        <f t="shared" si="510"/>
      </c>
      <c r="K77" s="317">
        <f t="shared" si="69"/>
      </c>
      <c r="L77" s="318">
        <f t="shared" si="99"/>
      </c>
      <c r="M77" s="319">
        <f t="shared" si="235"/>
      </c>
      <c r="N77" s="320">
        <f t="shared" si="390"/>
      </c>
      <c r="O77" s="320">
        <f t="shared" si="9"/>
      </c>
      <c r="P77" s="320">
        <f t="shared" si="129"/>
      </c>
      <c r="Q77" s="321">
        <f t="shared" si="265"/>
      </c>
      <c r="R77" s="322">
        <f t="shared" si="420"/>
      </c>
      <c r="S77" s="320">
        <f t="shared" si="39"/>
      </c>
      <c r="T77" s="323">
        <f t="shared" si="450"/>
      </c>
      <c r="U77" s="323">
        <f t="shared" si="159"/>
      </c>
      <c r="V77" s="320">
        <f t="shared" si="295"/>
      </c>
      <c r="W77" s="325">
        <v>4</v>
      </c>
      <c r="X77" s="325">
        <v>2</v>
      </c>
      <c r="Y77" s="325">
        <v>2</v>
      </c>
      <c r="Z77" s="315">
        <v>5895.93</v>
      </c>
      <c r="AA77" s="326">
        <v>0</v>
      </c>
      <c r="AB77" s="321">
        <f t="shared" si="480"/>
      </c>
      <c r="AC77" s="327" t="s">
        <v>284</v>
      </c>
      <c r="AD77" s="328" t="s">
        <v>285</v>
      </c>
      <c r="AE77" s="329">
        <v>2</v>
      </c>
      <c r="AF77" s="330">
        <v>94408</v>
      </c>
      <c r="AG77" s="330">
        <v>921</v>
      </c>
      <c r="AH77" s="330">
        <v>908</v>
      </c>
      <c r="AI77" s="331">
        <v>96</v>
      </c>
      <c r="AJ77" s="331">
        <v>127</v>
      </c>
    </row>
    <row r="78">
      <c r="A78" s="310"/>
      <c r="B78" s="311" t="s">
        <v>282</v>
      </c>
      <c r="C78" s="332" t="s">
        <v>289</v>
      </c>
      <c r="D78" s="313">
        <f t="shared" si="189"/>
      </c>
      <c r="E78" s="312">
        <v>777.18</v>
      </c>
      <c r="F78" s="314">
        <v>2813.12</v>
      </c>
      <c r="G78" s="315">
        <v>4411.8</v>
      </c>
      <c r="H78" s="315">
        <v>0</v>
      </c>
      <c r="I78" s="316">
        <f t="shared" si="348"/>
      </c>
      <c r="J78" s="316">
        <f t="shared" si="510"/>
      </c>
      <c r="K78" s="317">
        <f t="shared" si="69"/>
      </c>
      <c r="L78" s="318">
        <f t="shared" si="99"/>
      </c>
      <c r="M78" s="319">
        <f t="shared" si="235"/>
      </c>
      <c r="N78" s="320">
        <f t="shared" si="390"/>
      </c>
      <c r="O78" s="320">
        <f t="shared" si="9"/>
      </c>
      <c r="P78" s="320">
        <f t="shared" si="129"/>
      </c>
      <c r="Q78" s="321">
        <f t="shared" si="265"/>
      </c>
      <c r="R78" s="322">
        <f t="shared" si="420"/>
      </c>
      <c r="S78" s="320">
        <f t="shared" si="39"/>
      </c>
      <c r="T78" s="323">
        <f t="shared" si="450"/>
      </c>
      <c r="U78" s="323">
        <f t="shared" si="159"/>
      </c>
      <c r="V78" s="320">
        <f t="shared" si="295"/>
      </c>
      <c r="W78" s="325">
        <v>9</v>
      </c>
      <c r="X78" s="325">
        <v>4</v>
      </c>
      <c r="Y78" s="325">
        <v>2</v>
      </c>
      <c r="Z78" s="326">
        <v>4411.8</v>
      </c>
      <c r="AA78" s="326">
        <v>0</v>
      </c>
      <c r="AB78" s="321">
        <f t="shared" si="480"/>
      </c>
      <c r="AC78" s="327" t="s">
        <v>284</v>
      </c>
      <c r="AD78" s="328" t="s">
        <v>285</v>
      </c>
      <c r="AE78" s="329">
        <v>2</v>
      </c>
      <c r="AF78" s="330">
        <v>68847</v>
      </c>
      <c r="AG78" s="330">
        <v>489</v>
      </c>
      <c r="AH78" s="330">
        <v>474</v>
      </c>
      <c r="AI78" s="331">
        <v>64</v>
      </c>
      <c r="AJ78" s="331">
        <v>87</v>
      </c>
    </row>
    <row r="79">
      <c r="A79" s="310"/>
      <c r="B79" s="333" t="s">
        <v>290</v>
      </c>
      <c r="C79" s="334">
        <v>5</v>
      </c>
      <c r="D79" s="335">
        <f>SUM(D74:D78)</f>
      </c>
      <c r="E79" s="335">
        <f>SUM(E74:E78)</f>
      </c>
      <c r="F79" s="335">
        <f>SUM(F74:F78)</f>
      </c>
      <c r="G79" s="335">
        <f>SUM(G74:G78)</f>
      </c>
      <c r="H79" s="335">
        <f>SUM(H74:H78)</f>
      </c>
      <c r="I79" s="335">
        <f>SUM(I74:I78)</f>
      </c>
      <c r="J79" s="335">
        <f>SUM(J74:J78)</f>
      </c>
      <c r="K79" s="336">
        <f t="shared" si="69"/>
      </c>
      <c r="L79" s="337">
        <f t="shared" si="99"/>
      </c>
      <c r="M79" s="337">
        <f t="shared" si="235"/>
      </c>
      <c r="N79" s="338">
        <f t="shared" si="390"/>
      </c>
      <c r="O79" s="338">
        <f t="shared" si="9"/>
      </c>
      <c r="P79" s="338">
        <f t="shared" si="129"/>
      </c>
      <c r="Q79" s="339">
        <f t="shared" si="265"/>
      </c>
      <c r="R79" s="339">
        <f t="shared" si="420"/>
      </c>
      <c r="S79" s="338">
        <f t="shared" si="39"/>
      </c>
      <c r="T79" s="339">
        <f t="shared" si="450"/>
      </c>
      <c r="U79" s="339">
        <f t="shared" si="159"/>
      </c>
      <c r="V79" s="338">
        <f t="shared" si="295"/>
      </c>
      <c r="W79" s="335">
        <f>SUM(W74:W78)</f>
      </c>
      <c r="X79" s="335">
        <f>SUM(X74:X78)</f>
      </c>
      <c r="Y79" s="335">
        <f>SUM(Y74:Y78)</f>
      </c>
      <c r="Z79" s="335">
        <f>SUM(Z74:Z78)</f>
      </c>
      <c r="AA79" s="335">
        <f>SUM(AA74:AA78)</f>
      </c>
      <c r="AB79" s="340">
        <f t="shared" si="480"/>
      </c>
      <c r="AC79" s="341"/>
      <c r="AD79" s="342"/>
      <c r="AE79" s="335">
        <f>SUM(AE74:AE78)</f>
      </c>
      <c r="AF79" s="335">
        <f>SUM(AF74:AF78)</f>
      </c>
      <c r="AG79" s="335">
        <f>SUM(AG74:AG78)</f>
      </c>
      <c r="AH79" s="335">
        <f>SUM(AH74:AH78)</f>
      </c>
      <c r="AI79" s="335">
        <f>SUM(AI74:AI78)</f>
      </c>
      <c r="AJ79" s="335">
        <f>SUM(AJ74:AJ78)</f>
      </c>
    </row>
    <row r="80">
      <c r="A80" s="310"/>
      <c r="B80" s="343" t="s">
        <v>290</v>
      </c>
      <c r="C80" s="344">
        <v>5</v>
      </c>
      <c r="D80" s="343">
        <f>D79</f>
      </c>
      <c r="E80" s="343">
        <f>E79</f>
      </c>
      <c r="F80" s="343">
        <f>F79</f>
      </c>
      <c r="G80" s="345">
        <f>G79</f>
      </c>
      <c r="H80" s="345">
        <f>H79</f>
      </c>
      <c r="I80" s="345">
        <f>I79</f>
      </c>
      <c r="J80" s="345">
        <f>J79</f>
      </c>
      <c r="K80" s="346">
        <f t="shared" si="69"/>
      </c>
      <c r="L80" s="346">
        <f t="shared" si="99"/>
      </c>
      <c r="M80" s="346">
        <f t="shared" si="235"/>
      </c>
      <c r="N80" s="346">
        <f t="shared" si="390"/>
      </c>
      <c r="O80" s="346">
        <f t="shared" si="9"/>
      </c>
      <c r="P80" s="346">
        <f t="shared" si="129"/>
      </c>
      <c r="Q80" s="347">
        <f t="shared" si="265"/>
      </c>
      <c r="R80" s="347">
        <f t="shared" si="420"/>
      </c>
      <c r="S80" s="346">
        <f t="shared" si="39"/>
      </c>
      <c r="T80" s="347">
        <f t="shared" si="450"/>
      </c>
      <c r="U80" s="347">
        <f t="shared" si="159"/>
      </c>
      <c r="V80" s="346">
        <f t="shared" si="295"/>
      </c>
      <c r="W80" s="348">
        <f>W79</f>
      </c>
      <c r="X80" s="348">
        <f>X79</f>
      </c>
      <c r="Y80" s="348">
        <f>Y79</f>
      </c>
      <c r="Z80" s="349">
        <f>Z79</f>
      </c>
      <c r="AA80" s="348">
        <f>AA79</f>
      </c>
      <c r="AB80" s="350">
        <f t="shared" si="480"/>
      </c>
      <c r="AC80" s="343"/>
      <c r="AD80" s="343"/>
      <c r="AE80" s="343">
        <f>AE79</f>
      </c>
      <c r="AF80" s="343">
        <f>AF79</f>
      </c>
      <c r="AG80" s="343">
        <f>AG79</f>
      </c>
      <c r="AH80" s="343">
        <f>AH79</f>
      </c>
      <c r="AI80" s="343">
        <f>AI79</f>
      </c>
      <c r="AJ80" s="343">
        <f>AJ79</f>
      </c>
    </row>
    <row r="81">
      <c r="A81" s="297" t="s">
        <v>246</v>
      </c>
      <c r="B81" s="298" t="s">
        <v>247</v>
      </c>
      <c r="C81" s="298" t="s">
        <v>248</v>
      </c>
      <c r="D81" s="299" t="s">
        <v>249</v>
      </c>
      <c r="E81" s="298" t="s">
        <v>250</v>
      </c>
      <c r="F81" s="298" t="s">
        <v>251</v>
      </c>
      <c r="G81" s="299" t="s">
        <v>252</v>
      </c>
      <c r="H81" s="300" t="s">
        <v>253</v>
      </c>
      <c r="I81" s="301" t="s">
        <v>254</v>
      </c>
      <c r="J81" s="301" t="s">
        <v>255</v>
      </c>
      <c r="K81" s="302" t="s">
        <v>256</v>
      </c>
      <c r="L81" s="301" t="s">
        <v>257</v>
      </c>
      <c r="M81" s="298" t="s">
        <v>258</v>
      </c>
      <c r="N81" s="302" t="s">
        <v>259</v>
      </c>
      <c r="O81" s="303" t="s">
        <v>260</v>
      </c>
      <c r="P81" s="303" t="s">
        <v>261</v>
      </c>
      <c r="Q81" s="299" t="s">
        <v>262</v>
      </c>
      <c r="R81" s="304" t="s">
        <v>263</v>
      </c>
      <c r="S81" s="302" t="s">
        <v>264</v>
      </c>
      <c r="T81" s="305" t="s">
        <v>265</v>
      </c>
      <c r="U81" s="306" t="s">
        <v>266</v>
      </c>
      <c r="V81" s="302" t="s">
        <v>267</v>
      </c>
      <c r="W81" s="307" t="s">
        <v>268</v>
      </c>
      <c r="X81" s="308" t="s">
        <v>269</v>
      </c>
      <c r="Y81" s="307" t="s">
        <v>270</v>
      </c>
      <c r="Z81" s="309" t="s">
        <v>271</v>
      </c>
      <c r="AA81" s="309" t="s">
        <v>272</v>
      </c>
      <c r="AB81" s="301" t="s">
        <v>273</v>
      </c>
      <c r="AC81" s="300" t="s">
        <v>274</v>
      </c>
      <c r="AD81" s="301" t="s">
        <v>275</v>
      </c>
      <c r="AE81" s="300" t="s">
        <v>276</v>
      </c>
      <c r="AF81" s="300" t="s">
        <v>277</v>
      </c>
      <c r="AG81" s="301" t="s">
        <v>278</v>
      </c>
      <c r="AH81" s="300" t="s">
        <v>279</v>
      </c>
      <c r="AI81" s="301" t="s">
        <v>280</v>
      </c>
      <c r="AJ81" s="300" t="s">
        <v>281</v>
      </c>
    </row>
    <row r="82">
      <c r="A82" s="310">
        <v>46214</v>
      </c>
      <c r="B82" s="311" t="s">
        <v>282</v>
      </c>
      <c r="C82" s="312" t="s">
        <v>283</v>
      </c>
      <c r="D82" s="313">
        <f t="shared" ref="D82:D86" si="190">E82+F82</f>
      </c>
      <c r="E82" s="312">
        <v>1116.85</v>
      </c>
      <c r="F82" s="314">
        <v>3000</v>
      </c>
      <c r="G82" s="352">
        <v>6773.76</v>
      </c>
      <c r="H82" s="315">
        <v>0</v>
      </c>
      <c r="I82" s="316">
        <f t="shared" ref="I82:I86" si="349">G82-H82</f>
      </c>
      <c r="J82" s="316">
        <f t="shared" ref="J82:J86" si="511">(G82-AA82)/12+AA82</f>
      </c>
      <c r="K82" s="317">
        <f t="shared" ref="K82:K88" si="70">G82/D82</f>
      </c>
      <c r="L82" s="318">
        <f t="shared" ref="L82:L88" si="100">(G82-H82)/D82</f>
      </c>
      <c r="M82" s="319">
        <f t="shared" ref="M82:M88" si="236">(AA82+Z82/12)/D82</f>
      </c>
      <c r="N82" s="320">
        <f t="shared" ref="N82:N88" si="391">G82/Y82</f>
      </c>
      <c r="O82" s="320">
        <f t="shared" ref="O82:O88" si="10">D82/Y82</f>
      </c>
      <c r="P82" s="320">
        <f t="shared" ref="P82:P88" si="130">D82/AE82</f>
      </c>
      <c r="Q82" s="321">
        <f t="shared" ref="Q82:Q88" si="266">Y82/W82</f>
      </c>
      <c r="R82" s="322">
        <f t="shared" ref="R82:R88" si="421">AG82/AF82</f>
      </c>
      <c r="S82" s="320">
        <f t="shared" ref="S82:S88" si="40">D82/AH82</f>
      </c>
      <c r="T82" s="323">
        <f t="shared" ref="T82:T88" si="451">AI82/AH82</f>
      </c>
      <c r="U82" s="323">
        <f t="shared" ref="U82:U88" si="160">AJ82/AH82</f>
      </c>
      <c r="V82" s="320">
        <f t="shared" ref="V82:V88" si="296">D82/AJ82</f>
      </c>
      <c r="W82" s="325">
        <v>8</v>
      </c>
      <c r="X82" s="325">
        <v>2</v>
      </c>
      <c r="Y82" s="325">
        <v>5</v>
      </c>
      <c r="Z82" s="326">
        <v>6773.76</v>
      </c>
      <c r="AA82" s="326">
        <v>0</v>
      </c>
      <c r="AB82" s="321">
        <f t="shared" ref="AB82:AB88" si="481">AA82/G82</f>
      </c>
      <c r="AC82" s="327" t="s">
        <v>284</v>
      </c>
      <c r="AD82" s="328" t="s">
        <v>285</v>
      </c>
      <c r="AE82" s="329">
        <v>3</v>
      </c>
      <c r="AF82" s="330">
        <v>62322</v>
      </c>
      <c r="AG82" s="330">
        <v>565</v>
      </c>
      <c r="AH82" s="330">
        <v>578</v>
      </c>
      <c r="AI82" s="329">
        <v>91</v>
      </c>
      <c r="AJ82" s="331">
        <v>130</v>
      </c>
    </row>
    <row r="83">
      <c r="A83" s="310"/>
      <c r="B83" s="311" t="s">
        <v>282</v>
      </c>
      <c r="C83" s="332" t="s">
        <v>286</v>
      </c>
      <c r="D83" s="313">
        <f t="shared" si="190"/>
      </c>
      <c r="E83" s="312">
        <v>987.46</v>
      </c>
      <c r="F83" s="314">
        <v>2563.54</v>
      </c>
      <c r="G83" s="315">
        <v>2306.88</v>
      </c>
      <c r="H83" s="315">
        <v>0</v>
      </c>
      <c r="I83" s="316">
        <f t="shared" si="349"/>
      </c>
      <c r="J83" s="316">
        <f t="shared" si="511"/>
      </c>
      <c r="K83" s="317">
        <f t="shared" si="70"/>
      </c>
      <c r="L83" s="318">
        <f t="shared" si="100"/>
      </c>
      <c r="M83" s="319">
        <f t="shared" si="236"/>
      </c>
      <c r="N83" s="320">
        <f t="shared" si="391"/>
      </c>
      <c r="O83" s="320">
        <f t="shared" si="10"/>
      </c>
      <c r="P83" s="320">
        <f t="shared" si="130"/>
      </c>
      <c r="Q83" s="321">
        <f t="shared" si="266"/>
      </c>
      <c r="R83" s="322">
        <f t="shared" si="421"/>
      </c>
      <c r="S83" s="320">
        <f t="shared" si="40"/>
      </c>
      <c r="T83" s="323">
        <f t="shared" si="451"/>
      </c>
      <c r="U83" s="323">
        <f t="shared" si="160"/>
      </c>
      <c r="V83" s="320">
        <f t="shared" si="296"/>
      </c>
      <c r="W83" s="325">
        <v>6</v>
      </c>
      <c r="X83" s="325">
        <v>2</v>
      </c>
      <c r="Y83" s="325">
        <v>2</v>
      </c>
      <c r="Z83" s="326">
        <v>2306.88</v>
      </c>
      <c r="AA83" s="326">
        <v>0</v>
      </c>
      <c r="AB83" s="321">
        <f t="shared" si="481"/>
      </c>
      <c r="AC83" s="327" t="s">
        <v>284</v>
      </c>
      <c r="AD83" s="328" t="s">
        <v>285</v>
      </c>
      <c r="AE83" s="329">
        <v>2</v>
      </c>
      <c r="AF83" s="330">
        <v>56926</v>
      </c>
      <c r="AG83" s="330">
        <v>471</v>
      </c>
      <c r="AH83" s="330">
        <v>501</v>
      </c>
      <c r="AI83" s="331">
        <v>80</v>
      </c>
      <c r="AJ83" s="331">
        <v>96</v>
      </c>
    </row>
    <row r="84">
      <c r="A84" s="310"/>
      <c r="B84" s="311" t="s">
        <v>282</v>
      </c>
      <c r="C84" s="332" t="s">
        <v>287</v>
      </c>
      <c r="D84" s="313">
        <f t="shared" si="190"/>
      </c>
      <c r="E84" s="312">
        <v>1322.89</v>
      </c>
      <c r="F84" s="314">
        <v>1972.1</v>
      </c>
      <c r="G84" s="315">
        <v>7055.24</v>
      </c>
      <c r="H84" s="315">
        <v>0</v>
      </c>
      <c r="I84" s="316">
        <f t="shared" si="349"/>
      </c>
      <c r="J84" s="316">
        <f t="shared" si="511"/>
      </c>
      <c r="K84" s="317">
        <f t="shared" si="70"/>
      </c>
      <c r="L84" s="318">
        <f t="shared" si="100"/>
      </c>
      <c r="M84" s="319">
        <f t="shared" si="236"/>
      </c>
      <c r="N84" s="320">
        <f t="shared" si="391"/>
      </c>
      <c r="O84" s="320">
        <f t="shared" si="10"/>
      </c>
      <c r="P84" s="320">
        <f t="shared" si="130"/>
      </c>
      <c r="Q84" s="321">
        <f t="shared" si="266"/>
      </c>
      <c r="R84" s="322">
        <f t="shared" si="421"/>
      </c>
      <c r="S84" s="320">
        <f t="shared" si="40"/>
      </c>
      <c r="T84" s="323">
        <f t="shared" si="451"/>
      </c>
      <c r="U84" s="323">
        <f t="shared" si="160"/>
      </c>
      <c r="V84" s="320">
        <f t="shared" si="296"/>
      </c>
      <c r="W84" s="325">
        <v>5</v>
      </c>
      <c r="X84" s="325">
        <v>0</v>
      </c>
      <c r="Y84" s="325">
        <v>6</v>
      </c>
      <c r="Z84" s="326">
        <v>5457.24</v>
      </c>
      <c r="AA84" s="326">
        <v>1598</v>
      </c>
      <c r="AB84" s="321">
        <f t="shared" si="481"/>
      </c>
      <c r="AC84" s="327" t="s">
        <v>284</v>
      </c>
      <c r="AD84" s="328" t="s">
        <v>285</v>
      </c>
      <c r="AE84" s="331">
        <v>4</v>
      </c>
      <c r="AF84" s="330">
        <v>51491</v>
      </c>
      <c r="AG84" s="330">
        <v>560</v>
      </c>
      <c r="AH84" s="330">
        <v>543</v>
      </c>
      <c r="AI84" s="331">
        <v>60</v>
      </c>
      <c r="AJ84" s="331">
        <v>78</v>
      </c>
    </row>
    <row r="85">
      <c r="A85" s="310"/>
      <c r="B85" s="311" t="s">
        <v>282</v>
      </c>
      <c r="C85" s="312" t="s">
        <v>288</v>
      </c>
      <c r="D85" s="313">
        <f t="shared" si="190"/>
      </c>
      <c r="E85" s="312">
        <v>4010.22</v>
      </c>
      <c r="F85" s="314">
        <v>2019.36</v>
      </c>
      <c r="G85" s="315">
        <v>7703.64</v>
      </c>
      <c r="H85" s="315">
        <v>0</v>
      </c>
      <c r="I85" s="316">
        <f t="shared" si="349"/>
      </c>
      <c r="J85" s="316">
        <f t="shared" si="511"/>
      </c>
      <c r="K85" s="317">
        <f t="shared" si="70"/>
      </c>
      <c r="L85" s="318">
        <f t="shared" si="100"/>
      </c>
      <c r="M85" s="319">
        <f t="shared" si="236"/>
      </c>
      <c r="N85" s="320">
        <f t="shared" si="391"/>
      </c>
      <c r="O85" s="320">
        <f t="shared" si="10"/>
      </c>
      <c r="P85" s="320">
        <f t="shared" si="130"/>
      </c>
      <c r="Q85" s="321">
        <f t="shared" si="266"/>
      </c>
      <c r="R85" s="322">
        <f t="shared" si="421"/>
      </c>
      <c r="S85" s="320">
        <f t="shared" si="40"/>
      </c>
      <c r="T85" s="323">
        <f t="shared" si="451"/>
      </c>
      <c r="U85" s="323">
        <f t="shared" si="160"/>
      </c>
      <c r="V85" s="320">
        <f t="shared" si="296"/>
      </c>
      <c r="W85" s="325">
        <v>14</v>
      </c>
      <c r="X85" s="325">
        <v>4</v>
      </c>
      <c r="Y85" s="325">
        <v>5</v>
      </c>
      <c r="Z85" s="315">
        <v>7703.64</v>
      </c>
      <c r="AA85" s="326">
        <v>0</v>
      </c>
      <c r="AB85" s="321">
        <f t="shared" si="481"/>
      </c>
      <c r="AC85" s="327" t="s">
        <v>284</v>
      </c>
      <c r="AD85" s="328" t="s">
        <v>285</v>
      </c>
      <c r="AE85" s="329">
        <v>5</v>
      </c>
      <c r="AF85" s="330">
        <v>85349</v>
      </c>
      <c r="AG85" s="330">
        <v>1765</v>
      </c>
      <c r="AH85" s="330">
        <v>1850</v>
      </c>
      <c r="AI85" s="331">
        <v>141</v>
      </c>
      <c r="AJ85" s="331">
        <v>176</v>
      </c>
    </row>
    <row r="86">
      <c r="A86" s="310"/>
      <c r="B86" s="311" t="s">
        <v>282</v>
      </c>
      <c r="C86" s="332" t="s">
        <v>289</v>
      </c>
      <c r="D86" s="313">
        <f t="shared" si="190"/>
      </c>
      <c r="E86" s="312">
        <v>316.63</v>
      </c>
      <c r="F86" s="314">
        <v>2000</v>
      </c>
      <c r="G86" s="315">
        <v>19595.52</v>
      </c>
      <c r="H86" s="315">
        <v>0</v>
      </c>
      <c r="I86" s="316">
        <f t="shared" si="349"/>
      </c>
      <c r="J86" s="316">
        <f t="shared" si="511"/>
      </c>
      <c r="K86" s="317">
        <f t="shared" si="70"/>
      </c>
      <c r="L86" s="318">
        <f t="shared" si="100"/>
      </c>
      <c r="M86" s="319">
        <f t="shared" si="236"/>
      </c>
      <c r="N86" s="320">
        <f t="shared" si="391"/>
      </c>
      <c r="O86" s="320">
        <f t="shared" si="10"/>
      </c>
      <c r="P86" s="320">
        <f t="shared" si="130"/>
      </c>
      <c r="Q86" s="321">
        <f t="shared" si="266"/>
      </c>
      <c r="R86" s="322">
        <f t="shared" si="421"/>
      </c>
      <c r="S86" s="320">
        <f t="shared" si="40"/>
      </c>
      <c r="T86" s="323">
        <f t="shared" si="451"/>
      </c>
      <c r="U86" s="323">
        <f t="shared" si="160"/>
      </c>
      <c r="V86" s="320">
        <f t="shared" si="296"/>
      </c>
      <c r="W86" s="325">
        <v>4</v>
      </c>
      <c r="X86" s="325">
        <v>2</v>
      </c>
      <c r="Y86" s="325">
        <v>4</v>
      </c>
      <c r="Z86" s="326">
        <v>19595.52</v>
      </c>
      <c r="AA86" s="326">
        <v>0</v>
      </c>
      <c r="AB86" s="321">
        <f t="shared" si="481"/>
      </c>
      <c r="AC86" s="327" t="s">
        <v>284</v>
      </c>
      <c r="AD86" s="328" t="s">
        <v>285</v>
      </c>
      <c r="AE86" s="329">
        <v>2</v>
      </c>
      <c r="AF86" s="330">
        <v>33042</v>
      </c>
      <c r="AG86" s="330">
        <v>530</v>
      </c>
      <c r="AH86" s="330">
        <v>568</v>
      </c>
      <c r="AI86" s="331">
        <v>74</v>
      </c>
      <c r="AJ86" s="331">
        <v>94</v>
      </c>
    </row>
    <row r="87">
      <c r="A87" s="310"/>
      <c r="B87" s="333" t="s">
        <v>290</v>
      </c>
      <c r="C87" s="334">
        <v>5</v>
      </c>
      <c r="D87" s="335">
        <f>SUM(D82:D86)</f>
      </c>
      <c r="E87" s="335">
        <f>SUM(E82:E86)</f>
      </c>
      <c r="F87" s="335">
        <f>SUM(F82:F86)</f>
      </c>
      <c r="G87" s="335">
        <f>SUM(G82:G86)</f>
      </c>
      <c r="H87" s="335">
        <f>SUM(H82:H86)</f>
      </c>
      <c r="I87" s="335">
        <f>SUM(I82:I86)</f>
      </c>
      <c r="J87" s="335">
        <f>SUM(J82:J86)</f>
      </c>
      <c r="K87" s="336">
        <f t="shared" si="70"/>
      </c>
      <c r="L87" s="337">
        <f t="shared" si="100"/>
      </c>
      <c r="M87" s="337">
        <f t="shared" si="236"/>
      </c>
      <c r="N87" s="338">
        <f t="shared" si="391"/>
      </c>
      <c r="O87" s="338">
        <f t="shared" si="10"/>
      </c>
      <c r="P87" s="338">
        <f t="shared" si="130"/>
      </c>
      <c r="Q87" s="339">
        <f t="shared" si="266"/>
      </c>
      <c r="R87" s="339">
        <f t="shared" si="421"/>
      </c>
      <c r="S87" s="338">
        <f t="shared" si="40"/>
      </c>
      <c r="T87" s="339">
        <f t="shared" si="451"/>
      </c>
      <c r="U87" s="339">
        <f t="shared" si="160"/>
      </c>
      <c r="V87" s="338">
        <f t="shared" si="296"/>
      </c>
      <c r="W87" s="335">
        <f>SUM(W82:W86)</f>
      </c>
      <c r="X87" s="335">
        <f>SUM(X82:X86)</f>
      </c>
      <c r="Y87" s="335">
        <f>SUM(Y82:Y86)</f>
      </c>
      <c r="Z87" s="335">
        <f>SUM(Z82:Z86)</f>
      </c>
      <c r="AA87" s="335">
        <f>SUM(AA82:AA86)</f>
      </c>
      <c r="AB87" s="340">
        <f t="shared" si="481"/>
      </c>
      <c r="AC87" s="341"/>
      <c r="AD87" s="342"/>
      <c r="AE87" s="335">
        <f>SUM(AE82:AE86)</f>
      </c>
      <c r="AF87" s="335">
        <f>SUM(AF82:AF86)</f>
      </c>
      <c r="AG87" s="335">
        <f>SUM(AG82:AG86)</f>
      </c>
      <c r="AH87" s="335">
        <f>SUM(AH82:AH86)</f>
      </c>
      <c r="AI87" s="335">
        <f>SUM(AI82:AI86)</f>
      </c>
      <c r="AJ87" s="335">
        <f>SUM(AJ82:AJ86)</f>
      </c>
    </row>
    <row r="88">
      <c r="A88" s="310"/>
      <c r="B88" s="343" t="s">
        <v>290</v>
      </c>
      <c r="C88" s="344">
        <v>5</v>
      </c>
      <c r="D88" s="343">
        <f>D87</f>
      </c>
      <c r="E88" s="343">
        <f>E87</f>
      </c>
      <c r="F88" s="343">
        <f>F87</f>
      </c>
      <c r="G88" s="345">
        <f>G87</f>
      </c>
      <c r="H88" s="345">
        <f>H87</f>
      </c>
      <c r="I88" s="345">
        <f>I87</f>
      </c>
      <c r="J88" s="345">
        <f>J87</f>
      </c>
      <c r="K88" s="346">
        <f t="shared" si="70"/>
      </c>
      <c r="L88" s="346">
        <f t="shared" si="100"/>
      </c>
      <c r="M88" s="346">
        <f t="shared" si="236"/>
      </c>
      <c r="N88" s="346">
        <f t="shared" si="391"/>
      </c>
      <c r="O88" s="346">
        <f t="shared" si="10"/>
      </c>
      <c r="P88" s="346">
        <f t="shared" si="130"/>
      </c>
      <c r="Q88" s="347">
        <f t="shared" si="266"/>
      </c>
      <c r="R88" s="347">
        <f t="shared" si="421"/>
      </c>
      <c r="S88" s="346">
        <f t="shared" si="40"/>
      </c>
      <c r="T88" s="347">
        <f t="shared" si="451"/>
      </c>
      <c r="U88" s="347">
        <f t="shared" si="160"/>
      </c>
      <c r="V88" s="346">
        <f t="shared" si="296"/>
      </c>
      <c r="W88" s="348">
        <f>W87</f>
      </c>
      <c r="X88" s="348">
        <f>X87</f>
      </c>
      <c r="Y88" s="348">
        <f>Y87</f>
      </c>
      <c r="Z88" s="349">
        <f>Z87</f>
      </c>
      <c r="AA88" s="348">
        <f>AA87</f>
      </c>
      <c r="AB88" s="350">
        <f t="shared" si="481"/>
      </c>
      <c r="AC88" s="343"/>
      <c r="AD88" s="343"/>
      <c r="AE88" s="343">
        <f>AE87</f>
      </c>
      <c r="AF88" s="343">
        <f>AF87</f>
      </c>
      <c r="AG88" s="343">
        <f>AG87</f>
      </c>
      <c r="AH88" s="343">
        <f>AH87</f>
      </c>
      <c r="AI88" s="343">
        <f>AI87</f>
      </c>
      <c r="AJ88" s="343">
        <f>AJ87</f>
      </c>
    </row>
    <row r="89">
      <c r="A89" s="297" t="s">
        <v>246</v>
      </c>
      <c r="B89" s="298" t="s">
        <v>247</v>
      </c>
      <c r="C89" s="298" t="s">
        <v>248</v>
      </c>
      <c r="D89" s="299" t="s">
        <v>249</v>
      </c>
      <c r="E89" s="298" t="s">
        <v>250</v>
      </c>
      <c r="F89" s="298" t="s">
        <v>251</v>
      </c>
      <c r="G89" s="299" t="s">
        <v>252</v>
      </c>
      <c r="H89" s="300" t="s">
        <v>253</v>
      </c>
      <c r="I89" s="301" t="s">
        <v>254</v>
      </c>
      <c r="J89" s="301" t="s">
        <v>255</v>
      </c>
      <c r="K89" s="302" t="s">
        <v>256</v>
      </c>
      <c r="L89" s="301" t="s">
        <v>257</v>
      </c>
      <c r="M89" s="298" t="s">
        <v>258</v>
      </c>
      <c r="N89" s="302" t="s">
        <v>259</v>
      </c>
      <c r="O89" s="303" t="s">
        <v>260</v>
      </c>
      <c r="P89" s="303" t="s">
        <v>261</v>
      </c>
      <c r="Q89" s="299" t="s">
        <v>262</v>
      </c>
      <c r="R89" s="304" t="s">
        <v>263</v>
      </c>
      <c r="S89" s="302" t="s">
        <v>264</v>
      </c>
      <c r="T89" s="305" t="s">
        <v>265</v>
      </c>
      <c r="U89" s="306" t="s">
        <v>266</v>
      </c>
      <c r="V89" s="302" t="s">
        <v>267</v>
      </c>
      <c r="W89" s="307" t="s">
        <v>268</v>
      </c>
      <c r="X89" s="308" t="s">
        <v>269</v>
      </c>
      <c r="Y89" s="307" t="s">
        <v>270</v>
      </c>
      <c r="Z89" s="309" t="s">
        <v>271</v>
      </c>
      <c r="AA89" s="309" t="s">
        <v>272</v>
      </c>
      <c r="AB89" s="301" t="s">
        <v>273</v>
      </c>
      <c r="AC89" s="300" t="s">
        <v>274</v>
      </c>
      <c r="AD89" s="301" t="s">
        <v>275</v>
      </c>
      <c r="AE89" s="300" t="s">
        <v>276</v>
      </c>
      <c r="AF89" s="300" t="s">
        <v>277</v>
      </c>
      <c r="AG89" s="301" t="s">
        <v>278</v>
      </c>
      <c r="AH89" s="300" t="s">
        <v>279</v>
      </c>
      <c r="AI89" s="301" t="s">
        <v>280</v>
      </c>
      <c r="AJ89" s="300" t="s">
        <v>281</v>
      </c>
    </row>
    <row r="90">
      <c r="A90" s="310">
        <v>46216</v>
      </c>
      <c r="B90" s="311" t="s">
        <v>282</v>
      </c>
      <c r="C90" s="312" t="s">
        <v>283</v>
      </c>
      <c r="D90" s="313">
        <f t="shared" ref="D90:D94" si="191">E90+F90</f>
      </c>
      <c r="E90" s="312">
        <v>1579.54</v>
      </c>
      <c r="F90" s="314">
        <v>2555</v>
      </c>
      <c r="G90" s="352">
        <v>657.72</v>
      </c>
      <c r="H90" s="315">
        <v>0</v>
      </c>
      <c r="I90" s="316">
        <f t="shared" ref="I90:I94" si="350">G90-H90</f>
      </c>
      <c r="J90" s="316">
        <f t="shared" ref="J90:J94" si="512">(G90-AA90)/12+AA90</f>
      </c>
      <c r="K90" s="317">
        <f t="shared" ref="K90:K96" si="71">G90/D90</f>
      </c>
      <c r="L90" s="318">
        <f t="shared" ref="L90:L96" si="101">(G90-H90)/D90</f>
      </c>
      <c r="M90" s="319">
        <f t="shared" ref="M90:M96" si="237">(AA90+Z90/12)/D90</f>
      </c>
      <c r="N90" s="320">
        <f t="shared" ref="N90:N96" si="392">G90/Y90</f>
      </c>
      <c r="O90" s="320">
        <f t="shared" ref="O90:O96" si="11">D90/Y90</f>
      </c>
      <c r="P90" s="320">
        <f t="shared" ref="P90:P96" si="131">D90/AE90</f>
      </c>
      <c r="Q90" s="321">
        <f t="shared" ref="Q90:Q96" si="267">Y90/W90</f>
      </c>
      <c r="R90" s="322">
        <f t="shared" ref="R90:R96" si="422">AG90/AF90</f>
      </c>
      <c r="S90" s="320">
        <f t="shared" ref="S90:S96" si="41">D90/AH90</f>
      </c>
      <c r="T90" s="323">
        <f t="shared" ref="T90:T96" si="452">AI90/AH90</f>
      </c>
      <c r="U90" s="323">
        <f t="shared" ref="U90:U96" si="161">AJ90/AH90</f>
      </c>
      <c r="V90" s="320">
        <f t="shared" ref="V90:V96" si="297">D90/AJ90</f>
      </c>
      <c r="W90" s="325">
        <v>3</v>
      </c>
      <c r="X90" s="325">
        <v>4</v>
      </c>
      <c r="Y90" s="325">
        <v>1</v>
      </c>
      <c r="Z90" s="326">
        <v>657.72</v>
      </c>
      <c r="AA90" s="326">
        <v>0</v>
      </c>
      <c r="AB90" s="321">
        <f t="shared" ref="AB90:AB96" si="482">AA90/G90</f>
      </c>
      <c r="AC90" s="327" t="s">
        <v>284</v>
      </c>
      <c r="AD90" s="328" t="s">
        <v>285</v>
      </c>
      <c r="AE90" s="329">
        <v>1</v>
      </c>
      <c r="AF90" s="330">
        <v>74304</v>
      </c>
      <c r="AG90" s="330">
        <v>714</v>
      </c>
      <c r="AH90" s="330">
        <v>730</v>
      </c>
      <c r="AI90" s="329">
        <v>104</v>
      </c>
      <c r="AJ90" s="331">
        <v>124</v>
      </c>
    </row>
    <row r="91">
      <c r="A91" s="310"/>
      <c r="B91" s="311" t="s">
        <v>282</v>
      </c>
      <c r="C91" s="332" t="s">
        <v>286</v>
      </c>
      <c r="D91" s="313">
        <f t="shared" si="191"/>
      </c>
      <c r="E91" s="312">
        <v>2008.18</v>
      </c>
      <c r="F91" s="314">
        <v>1989.5</v>
      </c>
      <c r="G91" s="315">
        <v>6800.57</v>
      </c>
      <c r="H91" s="315">
        <v>0</v>
      </c>
      <c r="I91" s="316">
        <f t="shared" si="350"/>
      </c>
      <c r="J91" s="316">
        <f t="shared" si="512"/>
      </c>
      <c r="K91" s="317">
        <f t="shared" si="71"/>
      </c>
      <c r="L91" s="318">
        <f t="shared" si="101"/>
      </c>
      <c r="M91" s="319">
        <f t="shared" si="237"/>
      </c>
      <c r="N91" s="320">
        <f t="shared" si="392"/>
      </c>
      <c r="O91" s="320">
        <f t="shared" si="11"/>
      </c>
      <c r="P91" s="320">
        <f t="shared" si="131"/>
      </c>
      <c r="Q91" s="321">
        <f t="shared" si="267"/>
      </c>
      <c r="R91" s="322">
        <f t="shared" si="422"/>
      </c>
      <c r="S91" s="320">
        <f t="shared" si="41"/>
      </c>
      <c r="T91" s="323">
        <f t="shared" si="452"/>
      </c>
      <c r="U91" s="323">
        <f t="shared" si="161"/>
      </c>
      <c r="V91" s="320">
        <f t="shared" si="297"/>
      </c>
      <c r="W91" s="325">
        <v>8</v>
      </c>
      <c r="X91" s="325">
        <v>5</v>
      </c>
      <c r="Y91" s="325">
        <v>3</v>
      </c>
      <c r="Z91" s="326">
        <v>1300.32</v>
      </c>
      <c r="AA91" s="326">
        <v>5500.25</v>
      </c>
      <c r="AB91" s="321">
        <f t="shared" si="482"/>
      </c>
      <c r="AC91" s="327" t="s">
        <v>284</v>
      </c>
      <c r="AD91" s="328" t="s">
        <v>285</v>
      </c>
      <c r="AE91" s="329">
        <v>2</v>
      </c>
      <c r="AF91" s="330">
        <v>67242</v>
      </c>
      <c r="AG91" s="330">
        <v>716</v>
      </c>
      <c r="AH91" s="330">
        <v>775</v>
      </c>
      <c r="AI91" s="331">
        <v>84</v>
      </c>
      <c r="AJ91" s="331">
        <v>98</v>
      </c>
    </row>
    <row r="92">
      <c r="A92" s="310"/>
      <c r="B92" s="311" t="s">
        <v>282</v>
      </c>
      <c r="C92" s="332" t="s">
        <v>287</v>
      </c>
      <c r="D92" s="313">
        <f t="shared" si="191"/>
      </c>
      <c r="E92" s="312">
        <v>1968.66</v>
      </c>
      <c r="F92" s="314">
        <v>2010.5</v>
      </c>
      <c r="G92" s="315">
        <v>13975.68</v>
      </c>
      <c r="H92" s="315">
        <v>0</v>
      </c>
      <c r="I92" s="316">
        <f t="shared" si="350"/>
      </c>
      <c r="J92" s="316">
        <f t="shared" si="512"/>
      </c>
      <c r="K92" s="317">
        <f t="shared" si="71"/>
      </c>
      <c r="L92" s="318">
        <f t="shared" si="101"/>
      </c>
      <c r="M92" s="319">
        <f t="shared" si="237"/>
      </c>
      <c r="N92" s="320">
        <f t="shared" si="392"/>
      </c>
      <c r="O92" s="320">
        <f t="shared" si="11"/>
      </c>
      <c r="P92" s="320">
        <f t="shared" si="131"/>
      </c>
      <c r="Q92" s="321">
        <f t="shared" si="267"/>
      </c>
      <c r="R92" s="322">
        <f t="shared" si="422"/>
      </c>
      <c r="S92" s="320">
        <f t="shared" si="41"/>
      </c>
      <c r="T92" s="323">
        <f t="shared" si="452"/>
      </c>
      <c r="U92" s="323">
        <f t="shared" si="161"/>
      </c>
      <c r="V92" s="320">
        <f t="shared" si="297"/>
      </c>
      <c r="W92" s="325">
        <v>15</v>
      </c>
      <c r="X92" s="325">
        <v>6</v>
      </c>
      <c r="Y92" s="325">
        <v>13</v>
      </c>
      <c r="Z92" s="326">
        <v>12172.68</v>
      </c>
      <c r="AA92" s="326">
        <v>1803</v>
      </c>
      <c r="AB92" s="321">
        <f t="shared" si="482"/>
      </c>
      <c r="AC92" s="327" t="s">
        <v>284</v>
      </c>
      <c r="AD92" s="328" t="s">
        <v>285</v>
      </c>
      <c r="AE92" s="331">
        <v>8</v>
      </c>
      <c r="AF92" s="330">
        <v>75797</v>
      </c>
      <c r="AG92" s="330">
        <v>861</v>
      </c>
      <c r="AH92" s="330">
        <v>892</v>
      </c>
      <c r="AI92" s="331">
        <v>132</v>
      </c>
      <c r="AJ92" s="331">
        <v>172</v>
      </c>
    </row>
    <row r="93">
      <c r="A93" s="310"/>
      <c r="B93" s="311" t="s">
        <v>282</v>
      </c>
      <c r="C93" s="312" t="s">
        <v>288</v>
      </c>
      <c r="D93" s="313">
        <f t="shared" si="191"/>
      </c>
      <c r="E93" s="312">
        <v>1857.39</v>
      </c>
      <c r="F93" s="314">
        <v>2445</v>
      </c>
      <c r="G93" s="315">
        <v>7379</v>
      </c>
      <c r="H93" s="315">
        <v>2301</v>
      </c>
      <c r="I93" s="316">
        <f t="shared" si="350"/>
      </c>
      <c r="J93" s="316">
        <f t="shared" si="512"/>
      </c>
      <c r="K93" s="317">
        <f t="shared" si="71"/>
      </c>
      <c r="L93" s="318">
        <f t="shared" si="101"/>
      </c>
      <c r="M93" s="319">
        <f t="shared" si="237"/>
      </c>
      <c r="N93" s="320">
        <f t="shared" si="392"/>
      </c>
      <c r="O93" s="320">
        <f t="shared" si="11"/>
      </c>
      <c r="P93" s="320">
        <f t="shared" si="131"/>
      </c>
      <c r="Q93" s="321">
        <f t="shared" si="267"/>
      </c>
      <c r="R93" s="322">
        <f t="shared" si="422"/>
      </c>
      <c r="S93" s="320">
        <f t="shared" si="41"/>
      </c>
      <c r="T93" s="323">
        <f t="shared" si="452"/>
      </c>
      <c r="U93" s="323">
        <f t="shared" si="161"/>
      </c>
      <c r="V93" s="320">
        <f t="shared" si="297"/>
      </c>
      <c r="W93" s="325">
        <v>9</v>
      </c>
      <c r="X93" s="325">
        <v>5</v>
      </c>
      <c r="Y93" s="325">
        <v>7</v>
      </c>
      <c r="Z93" s="315">
        <v>4422</v>
      </c>
      <c r="AA93" s="326">
        <v>2957</v>
      </c>
      <c r="AB93" s="321">
        <f t="shared" si="482"/>
      </c>
      <c r="AC93" s="327" t="s">
        <v>284</v>
      </c>
      <c r="AD93" s="328" t="s">
        <v>285</v>
      </c>
      <c r="AE93" s="329">
        <v>4</v>
      </c>
      <c r="AF93" s="330">
        <v>75663</v>
      </c>
      <c r="AG93" s="330">
        <v>817</v>
      </c>
      <c r="AH93" s="330">
        <v>846</v>
      </c>
      <c r="AI93" s="331">
        <v>75</v>
      </c>
      <c r="AJ93" s="331">
        <v>105</v>
      </c>
    </row>
    <row r="94">
      <c r="A94" s="310"/>
      <c r="B94" s="311" t="s">
        <v>282</v>
      </c>
      <c r="C94" s="332" t="s">
        <v>289</v>
      </c>
      <c r="D94" s="313">
        <f t="shared" si="191"/>
      </c>
      <c r="E94" s="312">
        <v>814.57</v>
      </c>
      <c r="F94" s="314">
        <v>2532.08</v>
      </c>
      <c r="G94" s="315">
        <v>2990.52</v>
      </c>
      <c r="H94" s="315">
        <v>0</v>
      </c>
      <c r="I94" s="316">
        <f t="shared" si="350"/>
      </c>
      <c r="J94" s="316">
        <f t="shared" si="512"/>
      </c>
      <c r="K94" s="317">
        <f t="shared" si="71"/>
      </c>
      <c r="L94" s="318">
        <f t="shared" si="101"/>
      </c>
      <c r="M94" s="319">
        <f t="shared" si="237"/>
      </c>
      <c r="N94" s="320">
        <f t="shared" si="392"/>
      </c>
      <c r="O94" s="320">
        <f t="shared" si="11"/>
      </c>
      <c r="P94" s="320">
        <f t="shared" si="131"/>
      </c>
      <c r="Q94" s="321">
        <f t="shared" si="267"/>
      </c>
      <c r="R94" s="322">
        <f t="shared" si="422"/>
      </c>
      <c r="S94" s="320">
        <f t="shared" si="41"/>
      </c>
      <c r="T94" s="323">
        <f t="shared" si="452"/>
      </c>
      <c r="U94" s="323">
        <f t="shared" si="161"/>
      </c>
      <c r="V94" s="320">
        <f t="shared" si="297"/>
      </c>
      <c r="W94" s="325">
        <v>6</v>
      </c>
      <c r="X94" s="325">
        <v>2</v>
      </c>
      <c r="Y94" s="325">
        <v>2</v>
      </c>
      <c r="Z94" s="326">
        <v>2990.52</v>
      </c>
      <c r="AA94" s="326">
        <v>0</v>
      </c>
      <c r="AB94" s="321">
        <f t="shared" si="482"/>
      </c>
      <c r="AC94" s="327" t="s">
        <v>284</v>
      </c>
      <c r="AD94" s="328" t="s">
        <v>285</v>
      </c>
      <c r="AE94" s="329">
        <v>2</v>
      </c>
      <c r="AF94" s="330">
        <v>61885</v>
      </c>
      <c r="AG94" s="330">
        <v>560</v>
      </c>
      <c r="AH94" s="330">
        <v>537</v>
      </c>
      <c r="AI94" s="331">
        <v>63</v>
      </c>
      <c r="AJ94" s="331">
        <v>87</v>
      </c>
    </row>
    <row r="95">
      <c r="A95" s="310"/>
      <c r="B95" s="333" t="s">
        <v>290</v>
      </c>
      <c r="C95" s="334">
        <v>5</v>
      </c>
      <c r="D95" s="335">
        <f>SUM(D90:D94)</f>
      </c>
      <c r="E95" s="335">
        <f>SUM(E90:E94)</f>
      </c>
      <c r="F95" s="335">
        <f>SUM(F90:F94)</f>
      </c>
      <c r="G95" s="335">
        <f>SUM(G90:G94)</f>
      </c>
      <c r="H95" s="335">
        <f>SUM(H90:H94)</f>
      </c>
      <c r="I95" s="335">
        <f>SUM(I90:I94)</f>
      </c>
      <c r="J95" s="335">
        <f>SUM(J90:J94)</f>
      </c>
      <c r="K95" s="336">
        <f t="shared" si="71"/>
      </c>
      <c r="L95" s="337">
        <f t="shared" si="101"/>
      </c>
      <c r="M95" s="337">
        <f t="shared" si="237"/>
      </c>
      <c r="N95" s="338">
        <f t="shared" si="392"/>
      </c>
      <c r="O95" s="338">
        <f t="shared" si="11"/>
      </c>
      <c r="P95" s="338">
        <f t="shared" si="131"/>
      </c>
      <c r="Q95" s="339">
        <f t="shared" si="267"/>
      </c>
      <c r="R95" s="339">
        <f t="shared" si="422"/>
      </c>
      <c r="S95" s="338">
        <f t="shared" si="41"/>
      </c>
      <c r="T95" s="339">
        <f t="shared" si="452"/>
      </c>
      <c r="U95" s="339">
        <f t="shared" si="161"/>
      </c>
      <c r="V95" s="338">
        <f t="shared" si="297"/>
      </c>
      <c r="W95" s="335">
        <f>SUM(W90:W94)</f>
      </c>
      <c r="X95" s="335">
        <f>SUM(X90:X94)</f>
      </c>
      <c r="Y95" s="335">
        <f>SUM(Y90:Y94)</f>
      </c>
      <c r="Z95" s="335">
        <f>SUM(Z90:Z94)</f>
      </c>
      <c r="AA95" s="335">
        <f>SUM(AA90:AA94)</f>
      </c>
      <c r="AB95" s="340">
        <f t="shared" si="482"/>
      </c>
      <c r="AC95" s="341"/>
      <c r="AD95" s="342"/>
      <c r="AE95" s="335">
        <f>SUM(AE90:AE94)</f>
      </c>
      <c r="AF95" s="335">
        <f>SUM(AF90:AF94)</f>
      </c>
      <c r="AG95" s="335">
        <f>SUM(AG90:AG94)</f>
      </c>
      <c r="AH95" s="335">
        <f>SUM(AH90:AH94)</f>
      </c>
      <c r="AI95" s="335">
        <f>SUM(AI90:AI94)</f>
      </c>
      <c r="AJ95" s="335">
        <f>SUM(AJ90:AJ94)</f>
      </c>
    </row>
    <row r="96">
      <c r="A96" s="310"/>
      <c r="B96" s="343" t="s">
        <v>290</v>
      </c>
      <c r="C96" s="344">
        <v>5</v>
      </c>
      <c r="D96" s="343">
        <f>D95</f>
      </c>
      <c r="E96" s="343">
        <f>E95</f>
      </c>
      <c r="F96" s="343">
        <f>F95</f>
      </c>
      <c r="G96" s="345">
        <f>G95</f>
      </c>
      <c r="H96" s="345">
        <f>H95</f>
      </c>
      <c r="I96" s="345">
        <f>I95</f>
      </c>
      <c r="J96" s="345">
        <f>J95</f>
      </c>
      <c r="K96" s="346">
        <f t="shared" si="71"/>
      </c>
      <c r="L96" s="346">
        <f t="shared" si="101"/>
      </c>
      <c r="M96" s="346">
        <f t="shared" si="237"/>
      </c>
      <c r="N96" s="346">
        <f t="shared" si="392"/>
      </c>
      <c r="O96" s="346">
        <f t="shared" si="11"/>
      </c>
      <c r="P96" s="346">
        <f t="shared" si="131"/>
      </c>
      <c r="Q96" s="347">
        <f t="shared" si="267"/>
      </c>
      <c r="R96" s="347">
        <f t="shared" si="422"/>
      </c>
      <c r="S96" s="346">
        <f t="shared" si="41"/>
      </c>
      <c r="T96" s="347">
        <f t="shared" si="452"/>
      </c>
      <c r="U96" s="347">
        <f t="shared" si="161"/>
      </c>
      <c r="V96" s="346">
        <f t="shared" si="297"/>
      </c>
      <c r="W96" s="348">
        <f>W95</f>
      </c>
      <c r="X96" s="348">
        <f>X95</f>
      </c>
      <c r="Y96" s="348">
        <f>Y95</f>
      </c>
      <c r="Z96" s="349">
        <f>Z95</f>
      </c>
      <c r="AA96" s="348">
        <f>AA95</f>
      </c>
      <c r="AB96" s="350">
        <f t="shared" si="482"/>
      </c>
      <c r="AC96" s="343"/>
      <c r="AD96" s="343"/>
      <c r="AE96" s="343">
        <f>AE95</f>
      </c>
      <c r="AF96" s="343">
        <f>AF95</f>
      </c>
      <c r="AG96" s="343">
        <f>AG95</f>
      </c>
      <c r="AH96" s="343">
        <f>AH95</f>
      </c>
      <c r="AI96" s="343">
        <f>AI95</f>
      </c>
      <c r="AJ96" s="343">
        <f>AJ95</f>
      </c>
    </row>
    <row r="97">
      <c r="A97" s="297" t="s">
        <v>246</v>
      </c>
      <c r="B97" s="298" t="s">
        <v>247</v>
      </c>
      <c r="C97" s="298" t="s">
        <v>248</v>
      </c>
      <c r="D97" s="299" t="s">
        <v>249</v>
      </c>
      <c r="E97" s="298" t="s">
        <v>250</v>
      </c>
      <c r="F97" s="298" t="s">
        <v>251</v>
      </c>
      <c r="G97" s="299" t="s">
        <v>252</v>
      </c>
      <c r="H97" s="300" t="s">
        <v>253</v>
      </c>
      <c r="I97" s="301" t="s">
        <v>254</v>
      </c>
      <c r="J97" s="301" t="s">
        <v>255</v>
      </c>
      <c r="K97" s="302" t="s">
        <v>256</v>
      </c>
      <c r="L97" s="301" t="s">
        <v>257</v>
      </c>
      <c r="M97" s="298" t="s">
        <v>258</v>
      </c>
      <c r="N97" s="302" t="s">
        <v>259</v>
      </c>
      <c r="O97" s="303" t="s">
        <v>260</v>
      </c>
      <c r="P97" s="303" t="s">
        <v>261</v>
      </c>
      <c r="Q97" s="299" t="s">
        <v>262</v>
      </c>
      <c r="R97" s="304" t="s">
        <v>263</v>
      </c>
      <c r="S97" s="302" t="s">
        <v>264</v>
      </c>
      <c r="T97" s="305" t="s">
        <v>265</v>
      </c>
      <c r="U97" s="306" t="s">
        <v>266</v>
      </c>
      <c r="V97" s="302" t="s">
        <v>267</v>
      </c>
      <c r="W97" s="307" t="s">
        <v>268</v>
      </c>
      <c r="X97" s="308" t="s">
        <v>269</v>
      </c>
      <c r="Y97" s="307" t="s">
        <v>270</v>
      </c>
      <c r="Z97" s="309" t="s">
        <v>271</v>
      </c>
      <c r="AA97" s="309" t="s">
        <v>272</v>
      </c>
      <c r="AB97" s="301" t="s">
        <v>273</v>
      </c>
      <c r="AC97" s="300" t="s">
        <v>274</v>
      </c>
      <c r="AD97" s="301" t="s">
        <v>275</v>
      </c>
      <c r="AE97" s="300" t="s">
        <v>276</v>
      </c>
      <c r="AF97" s="300" t="s">
        <v>277</v>
      </c>
      <c r="AG97" s="301" t="s">
        <v>278</v>
      </c>
      <c r="AH97" s="300" t="s">
        <v>279</v>
      </c>
      <c r="AI97" s="301" t="s">
        <v>280</v>
      </c>
      <c r="AJ97" s="300" t="s">
        <v>281</v>
      </c>
    </row>
    <row r="98">
      <c r="A98" s="310">
        <v>46217</v>
      </c>
      <c r="B98" s="311" t="s">
        <v>282</v>
      </c>
      <c r="C98" s="312" t="s">
        <v>283</v>
      </c>
      <c r="D98" s="313">
        <f t="shared" ref="D98:D102" si="192">E98+F98</f>
      </c>
      <c r="E98" s="312">
        <v>1589.02</v>
      </c>
      <c r="F98" s="314">
        <v>2555</v>
      </c>
      <c r="G98" s="352">
        <v>5330.04</v>
      </c>
      <c r="H98" s="315">
        <v>0</v>
      </c>
      <c r="I98" s="316">
        <f t="shared" ref="I98:I102" si="351">G98-H98</f>
      </c>
      <c r="J98" s="316">
        <f t="shared" ref="J98:J102" si="513">(G98-AA98)/12+AA98</f>
      </c>
      <c r="K98" s="317">
        <f t="shared" ref="K98:K104" si="72">G98/D98</f>
      </c>
      <c r="L98" s="318">
        <f t="shared" ref="L98:L104" si="102">(G98-H98)/D98</f>
      </c>
      <c r="M98" s="319">
        <f t="shared" ref="M98:M104" si="238">(AA98+Z98/12)/D98</f>
      </c>
      <c r="N98" s="320">
        <f t="shared" ref="N98:N104" si="393">G98/Y98</f>
      </c>
      <c r="O98" s="320">
        <f t="shared" ref="O98:O104" si="12">D98/Y98</f>
      </c>
      <c r="P98" s="320">
        <f t="shared" ref="P98:P104" si="132">D98/AE98</f>
      </c>
      <c r="Q98" s="321">
        <f t="shared" ref="Q98:Q104" si="268">Y98/W98</f>
      </c>
      <c r="R98" s="322">
        <f t="shared" ref="R98:R104" si="423">AG98/AF98</f>
      </c>
      <c r="S98" s="320">
        <f t="shared" ref="S98:S104" si="42">D98/AH98</f>
      </c>
      <c r="T98" s="323">
        <f t="shared" ref="T98:T104" si="453">AI98/AH98</f>
      </c>
      <c r="U98" s="323">
        <f t="shared" ref="U98:U104" si="162">AJ98/AH98</f>
      </c>
      <c r="V98" s="320">
        <f t="shared" ref="V98:V104" si="298">D98/AJ98</f>
      </c>
      <c r="W98" s="325">
        <v>4</v>
      </c>
      <c r="X98" s="325">
        <v>1</v>
      </c>
      <c r="Y98" s="325">
        <v>2</v>
      </c>
      <c r="Z98" s="326">
        <v>5330.04</v>
      </c>
      <c r="AA98" s="326">
        <v>0</v>
      </c>
      <c r="AB98" s="321">
        <f t="shared" ref="AB98:AB104" si="483">AA98/G98</f>
      </c>
      <c r="AC98" s="327" t="s">
        <v>284</v>
      </c>
      <c r="AD98" s="328" t="s">
        <v>285</v>
      </c>
      <c r="AE98" s="329">
        <v>2</v>
      </c>
      <c r="AF98" s="330">
        <v>78013</v>
      </c>
      <c r="AG98" s="330">
        <v>691</v>
      </c>
      <c r="AH98" s="330">
        <v>663</v>
      </c>
      <c r="AI98" s="329">
        <v>68</v>
      </c>
      <c r="AJ98" s="331">
        <v>97</v>
      </c>
    </row>
    <row r="99">
      <c r="A99" s="310"/>
      <c r="B99" s="311" t="s">
        <v>282</v>
      </c>
      <c r="C99" s="332" t="s">
        <v>286</v>
      </c>
      <c r="D99" s="313">
        <f t="shared" si="192"/>
      </c>
      <c r="E99" s="312">
        <v>1567.88</v>
      </c>
      <c r="F99" s="314">
        <v>2000</v>
      </c>
      <c r="G99" s="315">
        <v>3460.32</v>
      </c>
      <c r="H99" s="315">
        <v>2703.24</v>
      </c>
      <c r="I99" s="316">
        <f t="shared" si="351"/>
      </c>
      <c r="J99" s="316">
        <f t="shared" si="513"/>
      </c>
      <c r="K99" s="317">
        <f t="shared" si="72"/>
      </c>
      <c r="L99" s="318">
        <f t="shared" si="102"/>
      </c>
      <c r="M99" s="319">
        <f t="shared" si="238"/>
      </c>
      <c r="N99" s="320">
        <f t="shared" si="393"/>
      </c>
      <c r="O99" s="320">
        <f t="shared" si="12"/>
      </c>
      <c r="P99" s="320">
        <f t="shared" si="132"/>
      </c>
      <c r="Q99" s="321">
        <f t="shared" si="268"/>
      </c>
      <c r="R99" s="322">
        <f t="shared" si="423"/>
      </c>
      <c r="S99" s="320">
        <f t="shared" si="42"/>
      </c>
      <c r="T99" s="323">
        <f t="shared" si="453"/>
      </c>
      <c r="U99" s="323">
        <f t="shared" si="162"/>
      </c>
      <c r="V99" s="320">
        <f t="shared" si="298"/>
      </c>
      <c r="W99" s="325">
        <v>9</v>
      </c>
      <c r="X99" s="325">
        <v>5</v>
      </c>
      <c r="Y99" s="325">
        <v>2</v>
      </c>
      <c r="Z99" s="326">
        <v>3460.32</v>
      </c>
      <c r="AA99" s="326">
        <v>0</v>
      </c>
      <c r="AB99" s="321">
        <f t="shared" si="483"/>
      </c>
      <c r="AC99" s="327" t="s">
        <v>284</v>
      </c>
      <c r="AD99" s="328" t="s">
        <v>285</v>
      </c>
      <c r="AE99" s="329">
        <v>1</v>
      </c>
      <c r="AF99" s="330">
        <v>73881</v>
      </c>
      <c r="AG99" s="330">
        <v>693</v>
      </c>
      <c r="AH99" s="330">
        <v>711</v>
      </c>
      <c r="AI99" s="331">
        <v>89</v>
      </c>
      <c r="AJ99" s="331">
        <v>124</v>
      </c>
    </row>
    <row r="100">
      <c r="A100" s="310"/>
      <c r="B100" s="311" t="s">
        <v>282</v>
      </c>
      <c r="C100" s="332" t="s">
        <v>287</v>
      </c>
      <c r="D100" s="313">
        <f t="shared" si="192"/>
      </c>
      <c r="E100" s="312">
        <v>1780.66</v>
      </c>
      <c r="F100" s="314">
        <v>2000</v>
      </c>
      <c r="G100" s="315">
        <v>13379.4</v>
      </c>
      <c r="H100" s="315">
        <v>1128.6</v>
      </c>
      <c r="I100" s="316">
        <f t="shared" si="351"/>
      </c>
      <c r="J100" s="316">
        <f t="shared" si="513"/>
      </c>
      <c r="K100" s="317">
        <f t="shared" si="72"/>
      </c>
      <c r="L100" s="318">
        <f t="shared" si="102"/>
      </c>
      <c r="M100" s="319">
        <f t="shared" si="238"/>
      </c>
      <c r="N100" s="320">
        <f t="shared" si="393"/>
      </c>
      <c r="O100" s="320">
        <f t="shared" si="12"/>
      </c>
      <c r="P100" s="320">
        <f t="shared" si="132"/>
      </c>
      <c r="Q100" s="321">
        <f t="shared" si="268"/>
      </c>
      <c r="R100" s="322">
        <f t="shared" si="423"/>
      </c>
      <c r="S100" s="320">
        <f t="shared" si="42"/>
      </c>
      <c r="T100" s="323">
        <f t="shared" si="453"/>
      </c>
      <c r="U100" s="323">
        <f t="shared" si="162"/>
      </c>
      <c r="V100" s="320">
        <f t="shared" si="298"/>
      </c>
      <c r="W100" s="325">
        <v>7</v>
      </c>
      <c r="X100" s="325">
        <v>3</v>
      </c>
      <c r="Y100" s="325">
        <v>5</v>
      </c>
      <c r="Z100" s="326">
        <v>13379.4</v>
      </c>
      <c r="AA100" s="326">
        <v>0</v>
      </c>
      <c r="AB100" s="321">
        <f t="shared" si="483"/>
      </c>
      <c r="AC100" s="327" t="s">
        <v>284</v>
      </c>
      <c r="AD100" s="328" t="s">
        <v>285</v>
      </c>
      <c r="AE100" s="331">
        <v>4</v>
      </c>
      <c r="AF100" s="330">
        <v>63292</v>
      </c>
      <c r="AG100" s="330">
        <v>772</v>
      </c>
      <c r="AH100" s="330">
        <v>800</v>
      </c>
      <c r="AI100" s="331">
        <v>102</v>
      </c>
      <c r="AJ100" s="331">
        <v>127</v>
      </c>
    </row>
    <row r="101">
      <c r="A101" s="310"/>
      <c r="B101" s="311" t="s">
        <v>282</v>
      </c>
      <c r="C101" s="312" t="s">
        <v>288</v>
      </c>
      <c r="D101" s="313">
        <f t="shared" si="192"/>
      </c>
      <c r="E101" s="312">
        <v>2086.89</v>
      </c>
      <c r="F101" s="314">
        <v>2548.29</v>
      </c>
      <c r="G101" s="315">
        <v>9913.12</v>
      </c>
      <c r="H101" s="315">
        <v>0</v>
      </c>
      <c r="I101" s="316">
        <f t="shared" si="351"/>
      </c>
      <c r="J101" s="316">
        <f t="shared" si="513"/>
      </c>
      <c r="K101" s="317">
        <f t="shared" si="72"/>
      </c>
      <c r="L101" s="318">
        <f t="shared" si="102"/>
      </c>
      <c r="M101" s="319">
        <f t="shared" si="238"/>
      </c>
      <c r="N101" s="320">
        <f t="shared" si="393"/>
      </c>
      <c r="O101" s="320">
        <f t="shared" si="12"/>
      </c>
      <c r="P101" s="320">
        <f t="shared" si="132"/>
      </c>
      <c r="Q101" s="321">
        <f t="shared" si="268"/>
      </c>
      <c r="R101" s="322">
        <f t="shared" si="423"/>
      </c>
      <c r="S101" s="320">
        <f t="shared" si="42"/>
      </c>
      <c r="T101" s="323">
        <f t="shared" si="453"/>
      </c>
      <c r="U101" s="323">
        <f t="shared" si="162"/>
      </c>
      <c r="V101" s="320">
        <f t="shared" si="298"/>
      </c>
      <c r="W101" s="325">
        <v>9</v>
      </c>
      <c r="X101" s="325">
        <v>5</v>
      </c>
      <c r="Y101" s="325">
        <v>4</v>
      </c>
      <c r="Z101" s="315">
        <v>1629.72</v>
      </c>
      <c r="AA101" s="326">
        <v>8283.4</v>
      </c>
      <c r="AB101" s="321">
        <f t="shared" si="483"/>
      </c>
      <c r="AC101" s="327" t="s">
        <v>284</v>
      </c>
      <c r="AD101" s="328" t="s">
        <v>285</v>
      </c>
      <c r="AE101" s="329">
        <v>3</v>
      </c>
      <c r="AF101" s="330">
        <v>78628</v>
      </c>
      <c r="AG101" s="330">
        <v>1125</v>
      </c>
      <c r="AH101" s="330">
        <v>1157</v>
      </c>
      <c r="AI101" s="331">
        <v>98</v>
      </c>
      <c r="AJ101" s="331">
        <v>122</v>
      </c>
    </row>
    <row r="102">
      <c r="A102" s="310"/>
      <c r="B102" s="311" t="s">
        <v>282</v>
      </c>
      <c r="C102" s="332" t="s">
        <v>289</v>
      </c>
      <c r="D102" s="313">
        <f t="shared" si="192"/>
      </c>
      <c r="E102" s="312">
        <v>1608.42</v>
      </c>
      <c r="F102" s="314">
        <v>3896.71</v>
      </c>
      <c r="G102" s="315">
        <v>34798.9</v>
      </c>
      <c r="H102" s="315">
        <v>0</v>
      </c>
      <c r="I102" s="316">
        <f t="shared" si="351"/>
      </c>
      <c r="J102" s="316">
        <f t="shared" si="513"/>
      </c>
      <c r="K102" s="317">
        <f t="shared" si="72"/>
      </c>
      <c r="L102" s="318">
        <f t="shared" si="102"/>
      </c>
      <c r="M102" s="319">
        <f t="shared" si="238"/>
      </c>
      <c r="N102" s="320">
        <f t="shared" si="393"/>
      </c>
      <c r="O102" s="320">
        <f t="shared" si="12"/>
      </c>
      <c r="P102" s="320">
        <f t="shared" si="132"/>
      </c>
      <c r="Q102" s="321">
        <f t="shared" si="268"/>
      </c>
      <c r="R102" s="322">
        <f t="shared" si="423"/>
      </c>
      <c r="S102" s="320">
        <f t="shared" si="42"/>
      </c>
      <c r="T102" s="323">
        <f t="shared" si="453"/>
      </c>
      <c r="U102" s="323">
        <f t="shared" si="162"/>
      </c>
      <c r="V102" s="320">
        <f t="shared" si="298"/>
      </c>
      <c r="W102" s="325">
        <v>10</v>
      </c>
      <c r="X102" s="325">
        <v>7</v>
      </c>
      <c r="Y102" s="325">
        <v>10</v>
      </c>
      <c r="Z102" s="326">
        <v>14371.8</v>
      </c>
      <c r="AA102" s="326">
        <v>20427.1</v>
      </c>
      <c r="AB102" s="321">
        <f t="shared" si="483"/>
      </c>
      <c r="AC102" s="327" t="s">
        <v>284</v>
      </c>
      <c r="AD102" s="328" t="s">
        <v>285</v>
      </c>
      <c r="AE102" s="329">
        <v>6</v>
      </c>
      <c r="AF102" s="330">
        <v>148086</v>
      </c>
      <c r="AG102" s="330">
        <v>1440</v>
      </c>
      <c r="AH102" s="330">
        <v>1482</v>
      </c>
      <c r="AI102" s="331">
        <v>135</v>
      </c>
      <c r="AJ102" s="331">
        <v>168</v>
      </c>
    </row>
    <row r="103">
      <c r="A103" s="310"/>
      <c r="B103" s="333" t="s">
        <v>290</v>
      </c>
      <c r="C103" s="334">
        <v>5</v>
      </c>
      <c r="D103" s="335">
        <f>SUM(D98:D102)</f>
      </c>
      <c r="E103" s="335">
        <f>SUM(E98:E102)</f>
      </c>
      <c r="F103" s="335">
        <f>SUM(F98:F102)</f>
      </c>
      <c r="G103" s="335">
        <f>SUM(G98:G102)</f>
      </c>
      <c r="H103" s="335">
        <f>SUM(H98:H102)</f>
      </c>
      <c r="I103" s="335">
        <f>SUM(I98:I102)</f>
      </c>
      <c r="J103" s="335">
        <f>SUM(J98:J102)</f>
      </c>
      <c r="K103" s="336">
        <f t="shared" si="72"/>
      </c>
      <c r="L103" s="337">
        <f t="shared" si="102"/>
      </c>
      <c r="M103" s="337">
        <f t="shared" si="238"/>
      </c>
      <c r="N103" s="338">
        <f t="shared" si="393"/>
      </c>
      <c r="O103" s="338">
        <f t="shared" si="12"/>
      </c>
      <c r="P103" s="338">
        <f t="shared" si="132"/>
      </c>
      <c r="Q103" s="339">
        <f t="shared" si="268"/>
      </c>
      <c r="R103" s="339">
        <f t="shared" si="423"/>
      </c>
      <c r="S103" s="338">
        <f t="shared" si="42"/>
      </c>
      <c r="T103" s="339">
        <f t="shared" si="453"/>
      </c>
      <c r="U103" s="339">
        <f t="shared" si="162"/>
      </c>
      <c r="V103" s="338">
        <f t="shared" si="298"/>
      </c>
      <c r="W103" s="335">
        <f>SUM(W98:W102)</f>
      </c>
      <c r="X103" s="335">
        <f>SUM(X98:X102)</f>
      </c>
      <c r="Y103" s="335">
        <f>SUM(Y98:Y102)</f>
      </c>
      <c r="Z103" s="335">
        <f>SUM(Z98:Z102)</f>
      </c>
      <c r="AA103" s="335">
        <f>SUM(AA98:AA102)</f>
      </c>
      <c r="AB103" s="340">
        <f t="shared" si="483"/>
      </c>
      <c r="AC103" s="341"/>
      <c r="AD103" s="342"/>
      <c r="AE103" s="335">
        <f>SUM(AE98:AE102)</f>
      </c>
      <c r="AF103" s="335">
        <f>SUM(AF98:AF102)</f>
      </c>
      <c r="AG103" s="335">
        <f>SUM(AG98:AG102)</f>
      </c>
      <c r="AH103" s="335">
        <f>SUM(AH98:AH102)</f>
      </c>
      <c r="AI103" s="335">
        <f>SUM(AI98:AI102)</f>
      </c>
      <c r="AJ103" s="335">
        <f>SUM(AJ98:AJ102)</f>
      </c>
    </row>
    <row r="104">
      <c r="A104" s="310"/>
      <c r="B104" s="343" t="s">
        <v>290</v>
      </c>
      <c r="C104" s="344">
        <v>5</v>
      </c>
      <c r="D104" s="343">
        <f>D103</f>
      </c>
      <c r="E104" s="343">
        <f>E103</f>
      </c>
      <c r="F104" s="343">
        <f>F103</f>
      </c>
      <c r="G104" s="345">
        <f>G103</f>
      </c>
      <c r="H104" s="345">
        <f>H103</f>
      </c>
      <c r="I104" s="345">
        <f>I103</f>
      </c>
      <c r="J104" s="345">
        <f>J103</f>
      </c>
      <c r="K104" s="346">
        <f t="shared" si="72"/>
      </c>
      <c r="L104" s="346">
        <f t="shared" si="102"/>
      </c>
      <c r="M104" s="346">
        <f t="shared" si="238"/>
      </c>
      <c r="N104" s="346">
        <f t="shared" si="393"/>
      </c>
      <c r="O104" s="346">
        <f t="shared" si="12"/>
      </c>
      <c r="P104" s="346">
        <f t="shared" si="132"/>
      </c>
      <c r="Q104" s="347">
        <f t="shared" si="268"/>
      </c>
      <c r="R104" s="347">
        <f t="shared" si="423"/>
      </c>
      <c r="S104" s="346">
        <f t="shared" si="42"/>
      </c>
      <c r="T104" s="347">
        <f t="shared" si="453"/>
      </c>
      <c r="U104" s="347">
        <f t="shared" si="162"/>
      </c>
      <c r="V104" s="346">
        <f t="shared" si="298"/>
      </c>
      <c r="W104" s="348">
        <f>W103</f>
      </c>
      <c r="X104" s="348">
        <f>X103</f>
      </c>
      <c r="Y104" s="348">
        <f>Y103</f>
      </c>
      <c r="Z104" s="349">
        <f>Z103</f>
      </c>
      <c r="AA104" s="348">
        <f>AA103</f>
      </c>
      <c r="AB104" s="350">
        <f t="shared" si="483"/>
      </c>
      <c r="AC104" s="343"/>
      <c r="AD104" s="343"/>
      <c r="AE104" s="343">
        <f>AE103</f>
      </c>
      <c r="AF104" s="343">
        <f>AF103</f>
      </c>
      <c r="AG104" s="343">
        <f>AG103</f>
      </c>
      <c r="AH104" s="343">
        <f>AH103</f>
      </c>
      <c r="AI104" s="343">
        <f>AI103</f>
      </c>
      <c r="AJ104" s="343">
        <f>AJ103</f>
      </c>
    </row>
    <row r="105">
      <c r="A105" s="297" t="s">
        <v>246</v>
      </c>
      <c r="B105" s="298" t="s">
        <v>247</v>
      </c>
      <c r="C105" s="298" t="s">
        <v>248</v>
      </c>
      <c r="D105" s="299" t="s">
        <v>249</v>
      </c>
      <c r="E105" s="298" t="s">
        <v>250</v>
      </c>
      <c r="F105" s="298" t="s">
        <v>251</v>
      </c>
      <c r="G105" s="299" t="s">
        <v>252</v>
      </c>
      <c r="H105" s="300" t="s">
        <v>253</v>
      </c>
      <c r="I105" s="301" t="s">
        <v>254</v>
      </c>
      <c r="J105" s="301" t="s">
        <v>255</v>
      </c>
      <c r="K105" s="302" t="s">
        <v>256</v>
      </c>
      <c r="L105" s="301" t="s">
        <v>257</v>
      </c>
      <c r="M105" s="298" t="s">
        <v>258</v>
      </c>
      <c r="N105" s="302" t="s">
        <v>259</v>
      </c>
      <c r="O105" s="303" t="s">
        <v>260</v>
      </c>
      <c r="P105" s="303" t="s">
        <v>261</v>
      </c>
      <c r="Q105" s="299" t="s">
        <v>262</v>
      </c>
      <c r="R105" s="304" t="s">
        <v>263</v>
      </c>
      <c r="S105" s="302" t="s">
        <v>264</v>
      </c>
      <c r="T105" s="305" t="s">
        <v>265</v>
      </c>
      <c r="U105" s="306" t="s">
        <v>266</v>
      </c>
      <c r="V105" s="302" t="s">
        <v>267</v>
      </c>
      <c r="W105" s="307" t="s">
        <v>268</v>
      </c>
      <c r="X105" s="308" t="s">
        <v>269</v>
      </c>
      <c r="Y105" s="307" t="s">
        <v>270</v>
      </c>
      <c r="Z105" s="309" t="s">
        <v>271</v>
      </c>
      <c r="AA105" s="309" t="s">
        <v>272</v>
      </c>
      <c r="AB105" s="301" t="s">
        <v>273</v>
      </c>
      <c r="AC105" s="300" t="s">
        <v>274</v>
      </c>
      <c r="AD105" s="301" t="s">
        <v>275</v>
      </c>
      <c r="AE105" s="300" t="s">
        <v>276</v>
      </c>
      <c r="AF105" s="300" t="s">
        <v>277</v>
      </c>
      <c r="AG105" s="301" t="s">
        <v>278</v>
      </c>
      <c r="AH105" s="300" t="s">
        <v>279</v>
      </c>
      <c r="AI105" s="301" t="s">
        <v>280</v>
      </c>
      <c r="AJ105" s="300" t="s">
        <v>281</v>
      </c>
    </row>
    <row r="106">
      <c r="A106" s="310">
        <v>46218</v>
      </c>
      <c r="B106" s="311" t="s">
        <v>282</v>
      </c>
      <c r="C106" s="312" t="s">
        <v>283</v>
      </c>
      <c r="D106" s="313">
        <f t="shared" ref="D106:D110" si="193">E106+F106</f>
      </c>
      <c r="E106" s="312">
        <v>922.72</v>
      </c>
      <c r="F106" s="314">
        <v>2555</v>
      </c>
      <c r="G106" s="352">
        <f t="shared" ref="G106:G110" si="316">Z106+AA106</f>
      </c>
      <c r="H106" s="315">
        <v>2819.88</v>
      </c>
      <c r="I106" s="316">
        <f t="shared" ref="I106:I110" si="352">G106-H106</f>
      </c>
      <c r="J106" s="316">
        <f t="shared" ref="J106:J110" si="514">(G106-AA106)/12+AA106</f>
      </c>
      <c r="K106" s="317">
        <f t="shared" ref="K106:K112" si="73">G106/D106</f>
      </c>
      <c r="L106" s="318">
        <f t="shared" ref="L106:L112" si="103">(G106-H106)/D106</f>
      </c>
      <c r="M106" s="319">
        <f t="shared" ref="M106:M112" si="239">(AA106+Z106/12)/D106</f>
      </c>
      <c r="N106" s="320">
        <f t="shared" ref="N106:N112" si="394">G106/Y106</f>
      </c>
      <c r="O106" s="320">
        <f t="shared" ref="O106:O112" si="13">D106/Y106</f>
      </c>
      <c r="P106" s="320">
        <f t="shared" ref="P106:P112" si="133">D106/AE106</f>
      </c>
      <c r="Q106" s="321">
        <f t="shared" ref="Q106:Q112" si="269">Y106/W106</f>
      </c>
      <c r="R106" s="322">
        <f t="shared" ref="R106:R112" si="424">AG106/AF106</f>
      </c>
      <c r="S106" s="320">
        <f t="shared" ref="S106:S112" si="43">D106/AH106</f>
      </c>
      <c r="T106" s="323">
        <f t="shared" ref="T106:T112" si="454">AI106/AH106</f>
      </c>
      <c r="U106" s="323">
        <f t="shared" ref="U106:U112" si="163">AJ106/AH106</f>
      </c>
      <c r="V106" s="320">
        <f t="shared" ref="V106:V112" si="299">D106/AJ106</f>
      </c>
      <c r="W106" s="325">
        <v>9</v>
      </c>
      <c r="X106" s="325">
        <v>4</v>
      </c>
      <c r="Y106" s="325">
        <v>4</v>
      </c>
      <c r="Z106" s="326">
        <v>4311.36</v>
      </c>
      <c r="AA106" s="326">
        <v>663</v>
      </c>
      <c r="AB106" s="321">
        <f t="shared" ref="AB106:AB112" si="484">AA106/G106</f>
      </c>
      <c r="AC106" s="327" t="s">
        <v>284</v>
      </c>
      <c r="AD106" s="328" t="s">
        <v>291</v>
      </c>
      <c r="AE106" s="329">
        <v>4</v>
      </c>
      <c r="AF106" s="330">
        <v>63898</v>
      </c>
      <c r="AG106" s="330">
        <v>411</v>
      </c>
      <c r="AH106" s="330">
        <v>403</v>
      </c>
      <c r="AI106" s="329">
        <v>85</v>
      </c>
      <c r="AJ106" s="331">
        <v>104</v>
      </c>
    </row>
    <row r="107">
      <c r="A107" s="310"/>
      <c r="B107" s="311" t="s">
        <v>282</v>
      </c>
      <c r="C107" s="332" t="s">
        <v>286</v>
      </c>
      <c r="D107" s="313">
        <f t="shared" si="193"/>
      </c>
      <c r="E107" s="312">
        <v>1093.11</v>
      </c>
      <c r="F107" s="314">
        <v>2445.79</v>
      </c>
      <c r="G107" s="352">
        <f t="shared" si="316"/>
      </c>
      <c r="H107" s="315">
        <v>0</v>
      </c>
      <c r="I107" s="316">
        <f t="shared" si="352"/>
      </c>
      <c r="J107" s="316">
        <f t="shared" si="514"/>
      </c>
      <c r="K107" s="317">
        <f t="shared" si="73"/>
      </c>
      <c r="L107" s="318">
        <f t="shared" si="103"/>
      </c>
      <c r="M107" s="319">
        <f t="shared" si="239"/>
      </c>
      <c r="N107" s="320">
        <f t="shared" si="394"/>
      </c>
      <c r="O107" s="320">
        <f t="shared" si="13"/>
      </c>
      <c r="P107" s="320">
        <f t="shared" si="133"/>
      </c>
      <c r="Q107" s="321">
        <f t="shared" si="269"/>
      </c>
      <c r="R107" s="322">
        <f t="shared" si="424"/>
      </c>
      <c r="S107" s="320">
        <f t="shared" si="43"/>
      </c>
      <c r="T107" s="323">
        <f t="shared" si="454"/>
      </c>
      <c r="U107" s="323">
        <f t="shared" si="163"/>
      </c>
      <c r="V107" s="320">
        <f t="shared" si="299"/>
      </c>
      <c r="W107" s="325">
        <v>7</v>
      </c>
      <c r="X107" s="325">
        <v>2</v>
      </c>
      <c r="Y107" s="325">
        <v>2</v>
      </c>
      <c r="Z107" s="326">
        <v>2846.88</v>
      </c>
      <c r="AA107" s="326">
        <v>0</v>
      </c>
      <c r="AB107" s="321">
        <f t="shared" si="484"/>
      </c>
      <c r="AC107" s="327" t="s">
        <v>284</v>
      </c>
      <c r="AD107" s="328" t="s">
        <v>291</v>
      </c>
      <c r="AE107" s="329">
        <v>2</v>
      </c>
      <c r="AF107" s="330">
        <v>66933</v>
      </c>
      <c r="AG107" s="330">
        <v>560</v>
      </c>
      <c r="AH107" s="330">
        <v>562</v>
      </c>
      <c r="AI107" s="331">
        <v>87</v>
      </c>
      <c r="AJ107" s="331">
        <v>121</v>
      </c>
    </row>
    <row r="108">
      <c r="A108" s="310"/>
      <c r="B108" s="311" t="s">
        <v>282</v>
      </c>
      <c r="C108" s="332" t="s">
        <v>287</v>
      </c>
      <c r="D108" s="313">
        <f t="shared" si="193"/>
      </c>
      <c r="E108" s="312">
        <v>1533.58</v>
      </c>
      <c r="F108" s="314">
        <v>2479.98</v>
      </c>
      <c r="G108" s="352">
        <f t="shared" si="316"/>
      </c>
      <c r="H108" s="315">
        <v>474.1199999999999</v>
      </c>
      <c r="I108" s="316">
        <f t="shared" si="352"/>
      </c>
      <c r="J108" s="316">
        <f t="shared" si="514"/>
      </c>
      <c r="K108" s="317">
        <f t="shared" si="73"/>
      </c>
      <c r="L108" s="318">
        <f t="shared" si="103"/>
      </c>
      <c r="M108" s="319">
        <f t="shared" si="239"/>
      </c>
      <c r="N108" s="320">
        <f t="shared" si="394"/>
      </c>
      <c r="O108" s="320">
        <f t="shared" si="13"/>
      </c>
      <c r="P108" s="320">
        <f t="shared" si="133"/>
      </c>
      <c r="Q108" s="321">
        <f t="shared" si="269"/>
      </c>
      <c r="R108" s="322">
        <f t="shared" si="424"/>
      </c>
      <c r="S108" s="320">
        <f t="shared" si="43"/>
      </c>
      <c r="T108" s="323">
        <f t="shared" si="454"/>
      </c>
      <c r="U108" s="323">
        <f t="shared" si="163"/>
      </c>
      <c r="V108" s="320">
        <f t="shared" si="299"/>
      </c>
      <c r="W108" s="325">
        <v>10</v>
      </c>
      <c r="X108" s="325">
        <v>4</v>
      </c>
      <c r="Y108" s="325">
        <v>5</v>
      </c>
      <c r="Z108" s="326">
        <v>5490.719999999999</v>
      </c>
      <c r="AA108" s="326">
        <v>0</v>
      </c>
      <c r="AB108" s="321">
        <f t="shared" si="484"/>
      </c>
      <c r="AC108" s="327" t="s">
        <v>284</v>
      </c>
      <c r="AD108" s="328" t="s">
        <v>291</v>
      </c>
      <c r="AE108" s="331">
        <v>4</v>
      </c>
      <c r="AF108" s="330">
        <v>76151</v>
      </c>
      <c r="AG108" s="330">
        <v>694</v>
      </c>
      <c r="AH108" s="330">
        <v>687</v>
      </c>
      <c r="AI108" s="331">
        <v>122</v>
      </c>
      <c r="AJ108" s="331">
        <v>152</v>
      </c>
    </row>
    <row r="109">
      <c r="A109" s="310"/>
      <c r="B109" s="311" t="s">
        <v>282</v>
      </c>
      <c r="C109" s="312" t="s">
        <v>288</v>
      </c>
      <c r="D109" s="313">
        <f t="shared" si="193"/>
      </c>
      <c r="E109" s="312">
        <v>1424.34</v>
      </c>
      <c r="F109" s="314">
        <v>2016.35</v>
      </c>
      <c r="G109" s="352">
        <f t="shared" si="316"/>
      </c>
      <c r="H109" s="315">
        <v>0</v>
      </c>
      <c r="I109" s="316">
        <f t="shared" si="352"/>
      </c>
      <c r="J109" s="316">
        <f t="shared" si="514"/>
      </c>
      <c r="K109" s="317">
        <f t="shared" si="73"/>
      </c>
      <c r="L109" s="318">
        <f t="shared" si="103"/>
      </c>
      <c r="M109" s="319">
        <f t="shared" si="239"/>
      </c>
      <c r="N109" s="320">
        <f t="shared" si="394"/>
      </c>
      <c r="O109" s="320">
        <f t="shared" si="13"/>
      </c>
      <c r="P109" s="320">
        <f t="shared" si="133"/>
      </c>
      <c r="Q109" s="321">
        <f t="shared" si="269"/>
      </c>
      <c r="R109" s="322">
        <f t="shared" si="424"/>
      </c>
      <c r="S109" s="320">
        <f t="shared" si="43"/>
      </c>
      <c r="T109" s="323">
        <f t="shared" si="454"/>
      </c>
      <c r="U109" s="323">
        <f t="shared" si="163"/>
      </c>
      <c r="V109" s="320">
        <f t="shared" si="299"/>
      </c>
      <c r="W109" s="325">
        <v>10</v>
      </c>
      <c r="X109" s="325">
        <v>3</v>
      </c>
      <c r="Y109" s="325">
        <v>2</v>
      </c>
      <c r="Z109" s="315">
        <v>1884.6000000000004</v>
      </c>
      <c r="AA109" s="326">
        <v>0</v>
      </c>
      <c r="AB109" s="321">
        <f t="shared" si="484"/>
      </c>
      <c r="AC109" s="327" t="s">
        <v>284</v>
      </c>
      <c r="AD109" s="328" t="s">
        <v>291</v>
      </c>
      <c r="AE109" s="329">
        <v>2</v>
      </c>
      <c r="AF109" s="330">
        <v>48774</v>
      </c>
      <c r="AG109" s="330">
        <v>714</v>
      </c>
      <c r="AH109" s="330">
        <v>737</v>
      </c>
      <c r="AI109" s="331">
        <v>75</v>
      </c>
      <c r="AJ109" s="331">
        <v>119</v>
      </c>
    </row>
    <row r="110">
      <c r="A110" s="310"/>
      <c r="B110" s="311" t="s">
        <v>282</v>
      </c>
      <c r="C110" s="332" t="s">
        <v>289</v>
      </c>
      <c r="D110" s="313">
        <f t="shared" si="193"/>
      </c>
      <c r="E110" s="312">
        <v>839.53</v>
      </c>
      <c r="F110" s="314">
        <v>2002.88</v>
      </c>
      <c r="G110" s="352">
        <f t="shared" si="316"/>
      </c>
      <c r="H110" s="315">
        <v>0</v>
      </c>
      <c r="I110" s="316">
        <f t="shared" si="352"/>
      </c>
      <c r="J110" s="316">
        <f t="shared" si="514"/>
      </c>
      <c r="K110" s="317">
        <f t="shared" si="73"/>
      </c>
      <c r="L110" s="318">
        <f t="shared" si="103"/>
      </c>
      <c r="M110" s="319">
        <f t="shared" si="239"/>
      </c>
      <c r="N110" s="320">
        <f t="shared" si="394"/>
      </c>
      <c r="O110" s="320">
        <f t="shared" si="13"/>
      </c>
      <c r="P110" s="320">
        <f t="shared" si="133"/>
      </c>
      <c r="Q110" s="321">
        <f t="shared" si="269"/>
      </c>
      <c r="R110" s="322">
        <f t="shared" si="424"/>
      </c>
      <c r="S110" s="320">
        <f t="shared" si="43"/>
      </c>
      <c r="T110" s="323">
        <f t="shared" si="454"/>
      </c>
      <c r="U110" s="323">
        <f t="shared" si="163"/>
      </c>
      <c r="V110" s="320">
        <f t="shared" si="299"/>
      </c>
      <c r="W110" s="325">
        <v>6</v>
      </c>
      <c r="X110" s="325">
        <v>2</v>
      </c>
      <c r="Y110" s="325">
        <v>2</v>
      </c>
      <c r="Z110" s="326">
        <v>3666.6000000000004</v>
      </c>
      <c r="AA110" s="326">
        <v>0</v>
      </c>
      <c r="AB110" s="321">
        <f t="shared" si="484"/>
      </c>
      <c r="AC110" s="327" t="s">
        <v>284</v>
      </c>
      <c r="AD110" s="328" t="s">
        <v>291</v>
      </c>
      <c r="AE110" s="329">
        <v>2</v>
      </c>
      <c r="AF110" s="330">
        <v>54805</v>
      </c>
      <c r="AG110" s="330">
        <v>508</v>
      </c>
      <c r="AH110" s="330">
        <v>514</v>
      </c>
      <c r="AI110" s="331">
        <v>65</v>
      </c>
      <c r="AJ110" s="331">
        <v>102</v>
      </c>
    </row>
    <row r="111">
      <c r="A111" s="310"/>
      <c r="B111" s="333" t="s">
        <v>290</v>
      </c>
      <c r="C111" s="334">
        <v>5</v>
      </c>
      <c r="D111" s="335">
        <f>SUM(D106:D110)</f>
      </c>
      <c r="E111" s="335">
        <f>SUM(E106:E110)</f>
      </c>
      <c r="F111" s="335">
        <f>SUM(F106:F110)</f>
      </c>
      <c r="G111" s="335">
        <f>SUM(G106:G110)</f>
      </c>
      <c r="H111" s="335">
        <f>SUM(H106:H110)</f>
      </c>
      <c r="I111" s="335">
        <f>SUM(I106:I110)</f>
      </c>
      <c r="J111" s="335">
        <f>SUM(J106:J110)</f>
      </c>
      <c r="K111" s="336">
        <f t="shared" si="73"/>
      </c>
      <c r="L111" s="337">
        <f t="shared" si="103"/>
      </c>
      <c r="M111" s="337">
        <f t="shared" si="239"/>
      </c>
      <c r="N111" s="338">
        <f t="shared" si="394"/>
      </c>
      <c r="O111" s="338">
        <f t="shared" si="13"/>
      </c>
      <c r="P111" s="338">
        <f t="shared" si="133"/>
      </c>
      <c r="Q111" s="339">
        <f t="shared" si="269"/>
      </c>
      <c r="R111" s="339">
        <f t="shared" si="424"/>
      </c>
      <c r="S111" s="338">
        <f t="shared" si="43"/>
      </c>
      <c r="T111" s="339">
        <f t="shared" si="454"/>
      </c>
      <c r="U111" s="339">
        <f t="shared" si="163"/>
      </c>
      <c r="V111" s="338">
        <f t="shared" si="299"/>
      </c>
      <c r="W111" s="335">
        <f>SUM(W106:W110)</f>
      </c>
      <c r="X111" s="335">
        <f>SUM(X106:X110)</f>
      </c>
      <c r="Y111" s="335">
        <f>SUM(Y106:Y110)</f>
      </c>
      <c r="Z111" s="335">
        <f>SUM(Z106:Z110)</f>
      </c>
      <c r="AA111" s="335">
        <f>SUM(AA106:AA110)</f>
      </c>
      <c r="AB111" s="340">
        <f t="shared" si="484"/>
      </c>
      <c r="AC111" s="341"/>
      <c r="AD111" s="342"/>
      <c r="AE111" s="335">
        <f>SUM(AE106:AE110)</f>
      </c>
      <c r="AF111" s="335">
        <f>SUM(AF106:AF110)</f>
      </c>
      <c r="AG111" s="335">
        <f>SUM(AG106:AG110)</f>
      </c>
      <c r="AH111" s="335">
        <f>SUM(AH106:AH110)</f>
      </c>
      <c r="AI111" s="335">
        <f>SUM(AI106:AI110)</f>
      </c>
      <c r="AJ111" s="335">
        <f>SUM(AJ106:AJ110)</f>
      </c>
    </row>
    <row r="112">
      <c r="A112" s="310"/>
      <c r="B112" s="343" t="s">
        <v>290</v>
      </c>
      <c r="C112" s="344">
        <v>5</v>
      </c>
      <c r="D112" s="343">
        <f>D111</f>
      </c>
      <c r="E112" s="343">
        <f>E111</f>
      </c>
      <c r="F112" s="343">
        <f>F111</f>
      </c>
      <c r="G112" s="345">
        <f>G111</f>
      </c>
      <c r="H112" s="345">
        <f>H111</f>
      </c>
      <c r="I112" s="345">
        <f>I111</f>
      </c>
      <c r="J112" s="345">
        <f>J111</f>
      </c>
      <c r="K112" s="346">
        <f t="shared" si="73"/>
      </c>
      <c r="L112" s="346">
        <f t="shared" si="103"/>
      </c>
      <c r="M112" s="346">
        <f t="shared" si="239"/>
      </c>
      <c r="N112" s="346">
        <f t="shared" si="394"/>
      </c>
      <c r="O112" s="346">
        <f t="shared" si="13"/>
      </c>
      <c r="P112" s="346">
        <f t="shared" si="133"/>
      </c>
      <c r="Q112" s="347">
        <f t="shared" si="269"/>
      </c>
      <c r="R112" s="347">
        <f t="shared" si="424"/>
      </c>
      <c r="S112" s="346">
        <f t="shared" si="43"/>
      </c>
      <c r="T112" s="347">
        <f t="shared" si="454"/>
      </c>
      <c r="U112" s="347">
        <f t="shared" si="163"/>
      </c>
      <c r="V112" s="346">
        <f t="shared" si="299"/>
      </c>
      <c r="W112" s="348">
        <f>W111</f>
      </c>
      <c r="X112" s="348">
        <f>X111</f>
      </c>
      <c r="Y112" s="348">
        <f>Y111</f>
      </c>
      <c r="Z112" s="349">
        <f>Z111</f>
      </c>
      <c r="AA112" s="348">
        <f>AA111</f>
      </c>
      <c r="AB112" s="350">
        <f t="shared" si="484"/>
      </c>
      <c r="AC112" s="343"/>
      <c r="AD112" s="343"/>
      <c r="AE112" s="343">
        <f>AE111</f>
      </c>
      <c r="AF112" s="343">
        <f>AF111</f>
      </c>
      <c r="AG112" s="343">
        <f>AG111</f>
      </c>
      <c r="AH112" s="343">
        <f>AH111</f>
      </c>
      <c r="AI112" s="343">
        <f>AI111</f>
      </c>
      <c r="AJ112" s="343">
        <f>AJ111</f>
      </c>
    </row>
    <row r="113">
      <c r="A113" s="297" t="s">
        <v>246</v>
      </c>
      <c r="B113" s="298" t="s">
        <v>247</v>
      </c>
      <c r="C113" s="298" t="s">
        <v>248</v>
      </c>
      <c r="D113" s="299" t="s">
        <v>249</v>
      </c>
      <c r="E113" s="298" t="s">
        <v>250</v>
      </c>
      <c r="F113" s="298" t="s">
        <v>251</v>
      </c>
      <c r="G113" s="299" t="s">
        <v>252</v>
      </c>
      <c r="H113" s="300" t="s">
        <v>253</v>
      </c>
      <c r="I113" s="301" t="s">
        <v>254</v>
      </c>
      <c r="J113" s="301" t="s">
        <v>255</v>
      </c>
      <c r="K113" s="302" t="s">
        <v>256</v>
      </c>
      <c r="L113" s="301" t="s">
        <v>257</v>
      </c>
      <c r="M113" s="298" t="s">
        <v>258</v>
      </c>
      <c r="N113" s="302" t="s">
        <v>259</v>
      </c>
      <c r="O113" s="303" t="s">
        <v>260</v>
      </c>
      <c r="P113" s="303" t="s">
        <v>261</v>
      </c>
      <c r="Q113" s="299" t="s">
        <v>262</v>
      </c>
      <c r="R113" s="304" t="s">
        <v>263</v>
      </c>
      <c r="S113" s="302" t="s">
        <v>264</v>
      </c>
      <c r="T113" s="305" t="s">
        <v>265</v>
      </c>
      <c r="U113" s="306" t="s">
        <v>266</v>
      </c>
      <c r="V113" s="302" t="s">
        <v>267</v>
      </c>
      <c r="W113" s="307" t="s">
        <v>268</v>
      </c>
      <c r="X113" s="308" t="s">
        <v>269</v>
      </c>
      <c r="Y113" s="307" t="s">
        <v>270</v>
      </c>
      <c r="Z113" s="309" t="s">
        <v>271</v>
      </c>
      <c r="AA113" s="309" t="s">
        <v>272</v>
      </c>
      <c r="AB113" s="301" t="s">
        <v>273</v>
      </c>
      <c r="AC113" s="300" t="s">
        <v>274</v>
      </c>
      <c r="AD113" s="301" t="s">
        <v>275</v>
      </c>
      <c r="AE113" s="300" t="s">
        <v>276</v>
      </c>
      <c r="AF113" s="300" t="s">
        <v>277</v>
      </c>
      <c r="AG113" s="301" t="s">
        <v>278</v>
      </c>
      <c r="AH113" s="300" t="s">
        <v>279</v>
      </c>
      <c r="AI113" s="301" t="s">
        <v>280</v>
      </c>
      <c r="AJ113" s="300" t="s">
        <v>281</v>
      </c>
    </row>
    <row r="114">
      <c r="A114" s="310">
        <v>46219</v>
      </c>
      <c r="B114" s="311" t="s">
        <v>282</v>
      </c>
      <c r="C114" s="312" t="s">
        <v>283</v>
      </c>
      <c r="D114" s="313">
        <f t="shared" ref="D114:D118" si="194">E114+F114</f>
      </c>
      <c r="E114" s="312">
        <v>967.83</v>
      </c>
      <c r="F114" s="314">
        <v>2555</v>
      </c>
      <c r="G114" s="352">
        <f t="shared" ref="G114:G118" si="317">Z114+AA114</f>
      </c>
      <c r="H114" s="315">
        <v>0</v>
      </c>
      <c r="I114" s="316">
        <f t="shared" ref="I114:I118" si="353">G114-H114</f>
      </c>
      <c r="J114" s="316">
        <f t="shared" ref="J114:J118" si="515">(G114-AA114)/12+AA114</f>
      </c>
      <c r="K114" s="317">
        <f t="shared" ref="K114:K120" si="74">G114/D114</f>
      </c>
      <c r="L114" s="318">
        <f t="shared" ref="L114:L120" si="104">(G114-H114)/D114</f>
      </c>
      <c r="M114" s="319">
        <f t="shared" ref="M114:M120" si="240">(AA114+Z114/12)/D114</f>
      </c>
      <c r="N114" s="320">
        <f t="shared" ref="N114:N120" si="395">G114/Y114</f>
      </c>
      <c r="O114" s="320">
        <f t="shared" ref="O114:O120" si="14">D114/Y114</f>
      </c>
      <c r="P114" s="320">
        <f t="shared" ref="P114:P120" si="134">D114/AE114</f>
      </c>
      <c r="Q114" s="321">
        <f t="shared" ref="Q114:Q120" si="270">Y114/W114</f>
      </c>
      <c r="R114" s="322">
        <f t="shared" ref="R114:R120" si="425">AG114/AF114</f>
      </c>
      <c r="S114" s="320">
        <f t="shared" ref="S114:S120" si="44">D114/AH114</f>
      </c>
      <c r="T114" s="323">
        <f t="shared" ref="T114:T120" si="455">AI114/AH114</f>
      </c>
      <c r="U114" s="323">
        <f t="shared" ref="U114:U120" si="164">AJ114/AH114</f>
      </c>
      <c r="V114" s="320">
        <f t="shared" ref="V114:V120" si="300">D114/AJ114</f>
      </c>
      <c r="W114" s="325">
        <v>4</v>
      </c>
      <c r="X114" s="325">
        <v>2</v>
      </c>
      <c r="Y114" s="325">
        <v>2</v>
      </c>
      <c r="Z114" s="326">
        <v>646.92</v>
      </c>
      <c r="AA114" s="326">
        <v>1105</v>
      </c>
      <c r="AB114" s="321">
        <f t="shared" ref="AB114:AB120" si="485">AA114/G114</f>
      </c>
      <c r="AC114" s="327" t="s">
        <v>284</v>
      </c>
      <c r="AD114" s="328" t="s">
        <v>291</v>
      </c>
      <c r="AE114" s="329">
        <v>2</v>
      </c>
      <c r="AF114" s="330">
        <v>61114</v>
      </c>
      <c r="AG114" s="330">
        <v>502</v>
      </c>
      <c r="AH114" s="330">
        <v>481</v>
      </c>
      <c r="AI114" s="329">
        <v>53</v>
      </c>
      <c r="AJ114" s="331">
        <v>69</v>
      </c>
    </row>
    <row r="115">
      <c r="A115" s="310"/>
      <c r="B115" s="311" t="s">
        <v>282</v>
      </c>
      <c r="C115" s="332" t="s">
        <v>286</v>
      </c>
      <c r="D115" s="313">
        <f t="shared" si="194"/>
      </c>
      <c r="E115" s="312">
        <v>1280.45</v>
      </c>
      <c r="F115" s="314">
        <v>2000</v>
      </c>
      <c r="G115" s="352">
        <f t="shared" si="317"/>
      </c>
      <c r="H115" s="315">
        <v>656</v>
      </c>
      <c r="I115" s="316">
        <f t="shared" si="353"/>
      </c>
      <c r="J115" s="316">
        <f t="shared" si="515"/>
      </c>
      <c r="K115" s="317">
        <f t="shared" si="74"/>
      </c>
      <c r="L115" s="318">
        <f t="shared" si="104"/>
      </c>
      <c r="M115" s="319">
        <f t="shared" si="240"/>
      </c>
      <c r="N115" s="320">
        <f t="shared" si="395"/>
      </c>
      <c r="O115" s="320">
        <f t="shared" si="14"/>
      </c>
      <c r="P115" s="320">
        <f t="shared" si="134"/>
      </c>
      <c r="Q115" s="321">
        <f t="shared" si="270"/>
      </c>
      <c r="R115" s="322">
        <f t="shared" si="425"/>
      </c>
      <c r="S115" s="320">
        <f t="shared" si="44"/>
      </c>
      <c r="T115" s="323">
        <f t="shared" si="455"/>
      </c>
      <c r="U115" s="323">
        <f t="shared" si="164"/>
      </c>
      <c r="V115" s="320">
        <f t="shared" si="300"/>
      </c>
      <c r="W115" s="325">
        <v>9</v>
      </c>
      <c r="X115" s="325">
        <v>4</v>
      </c>
      <c r="Y115" s="325">
        <v>2</v>
      </c>
      <c r="Z115" s="326">
        <v>1320.8400000000001</v>
      </c>
      <c r="AA115" s="326">
        <v>656</v>
      </c>
      <c r="AB115" s="321">
        <f t="shared" si="485"/>
      </c>
      <c r="AC115" s="327" t="s">
        <v>284</v>
      </c>
      <c r="AD115" s="328" t="s">
        <v>291</v>
      </c>
      <c r="AE115" s="329">
        <v>2</v>
      </c>
      <c r="AF115" s="330">
        <v>68437</v>
      </c>
      <c r="AG115" s="330">
        <v>520</v>
      </c>
      <c r="AH115" s="330">
        <v>518</v>
      </c>
      <c r="AI115" s="331">
        <v>74</v>
      </c>
      <c r="AJ115" s="331">
        <v>91</v>
      </c>
    </row>
    <row r="116">
      <c r="A116" s="310"/>
      <c r="B116" s="311" t="s">
        <v>282</v>
      </c>
      <c r="C116" s="332" t="s">
        <v>287</v>
      </c>
      <c r="D116" s="313">
        <f t="shared" si="194"/>
      </c>
      <c r="E116" s="312">
        <v>866.67</v>
      </c>
      <c r="F116" s="314">
        <v>1959.32</v>
      </c>
      <c r="G116" s="352">
        <f t="shared" si="317"/>
      </c>
      <c r="H116" s="315">
        <v>0</v>
      </c>
      <c r="I116" s="316">
        <f t="shared" si="353"/>
      </c>
      <c r="J116" s="316">
        <f t="shared" si="515"/>
      </c>
      <c r="K116" s="317">
        <f t="shared" si="74"/>
      </c>
      <c r="L116" s="318">
        <f t="shared" si="104"/>
      </c>
      <c r="M116" s="319">
        <f t="shared" si="240"/>
      </c>
      <c r="N116" s="320">
        <f t="shared" si="395"/>
      </c>
      <c r="O116" s="320">
        <f t="shared" si="14"/>
      </c>
      <c r="P116" s="320">
        <f t="shared" si="134"/>
      </c>
      <c r="Q116" s="321">
        <f t="shared" si="270"/>
      </c>
      <c r="R116" s="322">
        <f t="shared" si="425"/>
      </c>
      <c r="S116" s="320">
        <f t="shared" si="44"/>
      </c>
      <c r="T116" s="323">
        <f t="shared" si="455"/>
      </c>
      <c r="U116" s="323">
        <f t="shared" si="164"/>
      </c>
      <c r="V116" s="320">
        <f t="shared" si="300"/>
      </c>
      <c r="W116" s="325">
        <v>5</v>
      </c>
      <c r="X116" s="325">
        <v>2</v>
      </c>
      <c r="Y116" s="325">
        <v>2</v>
      </c>
      <c r="Z116" s="326">
        <v>2261.5199999999995</v>
      </c>
      <c r="AA116" s="326">
        <v>0</v>
      </c>
      <c r="AB116" s="321">
        <f t="shared" si="485"/>
      </c>
      <c r="AC116" s="327" t="s">
        <v>284</v>
      </c>
      <c r="AD116" s="328" t="s">
        <v>291</v>
      </c>
      <c r="AE116" s="331">
        <v>2</v>
      </c>
      <c r="AF116" s="330">
        <v>42480</v>
      </c>
      <c r="AG116" s="330">
        <v>566</v>
      </c>
      <c r="AH116" s="330">
        <v>576</v>
      </c>
      <c r="AI116" s="331">
        <v>56</v>
      </c>
      <c r="AJ116" s="331">
        <v>86</v>
      </c>
    </row>
    <row r="117">
      <c r="A117" s="310"/>
      <c r="B117" s="311" t="s">
        <v>282</v>
      </c>
      <c r="C117" s="312" t="s">
        <v>288</v>
      </c>
      <c r="D117" s="313">
        <f t="shared" si="194"/>
      </c>
      <c r="E117" s="312">
        <v>802.11</v>
      </c>
      <c r="F117" s="314">
        <v>2040.74</v>
      </c>
      <c r="G117" s="352">
        <f t="shared" si="317"/>
      </c>
      <c r="H117" s="315">
        <v>0</v>
      </c>
      <c r="I117" s="316">
        <f t="shared" si="353"/>
      </c>
      <c r="J117" s="316">
        <f t="shared" si="515"/>
      </c>
      <c r="K117" s="317">
        <f t="shared" si="74"/>
      </c>
      <c r="L117" s="318">
        <f t="shared" si="104"/>
      </c>
      <c r="M117" s="319">
        <f t="shared" si="240"/>
      </c>
      <c r="N117" s="320">
        <f t="shared" si="395"/>
      </c>
      <c r="O117" s="320">
        <f t="shared" si="14"/>
      </c>
      <c r="P117" s="320">
        <f t="shared" si="134"/>
      </c>
      <c r="Q117" s="321">
        <f t="shared" si="270"/>
      </c>
      <c r="R117" s="322">
        <f t="shared" si="425"/>
      </c>
      <c r="S117" s="320">
        <f t="shared" si="44"/>
      </c>
      <c r="T117" s="323">
        <f t="shared" si="455"/>
      </c>
      <c r="U117" s="323">
        <f t="shared" si="164"/>
      </c>
      <c r="V117" s="320">
        <f t="shared" si="300"/>
      </c>
      <c r="W117" s="325">
        <v>3</v>
      </c>
      <c r="X117" s="325">
        <v>1</v>
      </c>
      <c r="Y117" s="325">
        <v>2</v>
      </c>
      <c r="Z117" s="315">
        <v>2154.6000000000004</v>
      </c>
      <c r="AA117" s="326">
        <v>0</v>
      </c>
      <c r="AB117" s="321">
        <f t="shared" si="485"/>
      </c>
      <c r="AC117" s="327" t="s">
        <v>284</v>
      </c>
      <c r="AD117" s="328" t="s">
        <v>291</v>
      </c>
      <c r="AE117" s="329">
        <v>1</v>
      </c>
      <c r="AF117" s="330">
        <v>44532</v>
      </c>
      <c r="AG117" s="330">
        <v>552</v>
      </c>
      <c r="AH117" s="330">
        <v>558</v>
      </c>
      <c r="AI117" s="331">
        <v>58</v>
      </c>
      <c r="AJ117" s="331">
        <v>98</v>
      </c>
    </row>
    <row r="118">
      <c r="A118" s="310"/>
      <c r="B118" s="311" t="s">
        <v>282</v>
      </c>
      <c r="C118" s="332" t="s">
        <v>289</v>
      </c>
      <c r="D118" s="313">
        <f t="shared" si="194"/>
      </c>
      <c r="E118" s="312">
        <v>338.57</v>
      </c>
      <c r="F118" s="314">
        <v>1997.04</v>
      </c>
      <c r="G118" s="352">
        <f t="shared" si="317"/>
      </c>
      <c r="H118" s="315">
        <v>0</v>
      </c>
      <c r="I118" s="316">
        <f t="shared" si="353"/>
      </c>
      <c r="J118" s="316">
        <f t="shared" si="515"/>
      </c>
      <c r="K118" s="317">
        <f t="shared" si="74"/>
      </c>
      <c r="L118" s="318">
        <f t="shared" si="104"/>
      </c>
      <c r="M118" s="319">
        <f t="shared" si="240"/>
      </c>
      <c r="N118" s="320">
        <f t="shared" si="395"/>
      </c>
      <c r="O118" s="320">
        <f t="shared" si="14"/>
      </c>
      <c r="P118" s="320">
        <f t="shared" si="134"/>
      </c>
      <c r="Q118" s="321">
        <f t="shared" si="270"/>
      </c>
      <c r="R118" s="322">
        <f t="shared" si="425"/>
      </c>
      <c r="S118" s="320">
        <f t="shared" si="44"/>
      </c>
      <c r="T118" s="323">
        <f t="shared" si="455"/>
      </c>
      <c r="U118" s="323">
        <f t="shared" si="164"/>
      </c>
      <c r="V118" s="320">
        <f t="shared" si="300"/>
      </c>
      <c r="W118" s="325">
        <v>4</v>
      </c>
      <c r="X118" s="325">
        <v>4</v>
      </c>
      <c r="Y118" s="325">
        <v>1</v>
      </c>
      <c r="Z118" s="326">
        <v>3048.8399999999992</v>
      </c>
      <c r="AA118" s="326">
        <v>0</v>
      </c>
      <c r="AB118" s="321">
        <f t="shared" si="485"/>
      </c>
      <c r="AC118" s="327" t="s">
        <v>284</v>
      </c>
      <c r="AD118" s="328" t="s">
        <v>291</v>
      </c>
      <c r="AE118" s="329">
        <v>1</v>
      </c>
      <c r="AF118" s="330">
        <v>39140</v>
      </c>
      <c r="AG118" s="330">
        <v>288</v>
      </c>
      <c r="AH118" s="330">
        <v>282</v>
      </c>
      <c r="AI118" s="331">
        <v>43</v>
      </c>
      <c r="AJ118" s="331">
        <v>72</v>
      </c>
    </row>
    <row r="119">
      <c r="A119" s="310"/>
      <c r="B119" s="333" t="s">
        <v>290</v>
      </c>
      <c r="C119" s="334">
        <v>5</v>
      </c>
      <c r="D119" s="335">
        <f>SUM(D114:D118)</f>
      </c>
      <c r="E119" s="335">
        <f>SUM(E114:E118)</f>
      </c>
      <c r="F119" s="335">
        <f>SUM(F114:F118)</f>
      </c>
      <c r="G119" s="335">
        <f>SUM(G114:G118)</f>
      </c>
      <c r="H119" s="335">
        <f>SUM(H114:H118)</f>
      </c>
      <c r="I119" s="335">
        <f>SUM(I114:I118)</f>
      </c>
      <c r="J119" s="335">
        <f>SUM(J114:J118)</f>
      </c>
      <c r="K119" s="336">
        <f t="shared" si="74"/>
      </c>
      <c r="L119" s="337">
        <f t="shared" si="104"/>
      </c>
      <c r="M119" s="337">
        <f t="shared" si="240"/>
      </c>
      <c r="N119" s="338">
        <f t="shared" si="395"/>
      </c>
      <c r="O119" s="338">
        <f t="shared" si="14"/>
      </c>
      <c r="P119" s="338">
        <f t="shared" si="134"/>
      </c>
      <c r="Q119" s="339">
        <f t="shared" si="270"/>
      </c>
      <c r="R119" s="339">
        <f t="shared" si="425"/>
      </c>
      <c r="S119" s="338">
        <f t="shared" si="44"/>
      </c>
      <c r="T119" s="339">
        <f t="shared" si="455"/>
      </c>
      <c r="U119" s="339">
        <f t="shared" si="164"/>
      </c>
      <c r="V119" s="338">
        <f t="shared" si="300"/>
      </c>
      <c r="W119" s="335">
        <f>SUM(W114:W118)</f>
      </c>
      <c r="X119" s="335">
        <f>SUM(X114:X118)</f>
      </c>
      <c r="Y119" s="335">
        <f>SUM(Y114:Y118)</f>
      </c>
      <c r="Z119" s="335">
        <f>SUM(Z114:Z118)</f>
      </c>
      <c r="AA119" s="335">
        <f>SUM(AA114:AA118)</f>
      </c>
      <c r="AB119" s="340">
        <f t="shared" si="485"/>
      </c>
      <c r="AC119" s="341"/>
      <c r="AD119" s="342"/>
      <c r="AE119" s="335">
        <f>SUM(AE114:AE118)</f>
      </c>
      <c r="AF119" s="335">
        <f>SUM(AF114:AF118)</f>
      </c>
      <c r="AG119" s="335">
        <f>SUM(AG114:AG118)</f>
      </c>
      <c r="AH119" s="335">
        <f>SUM(AH114:AH118)</f>
      </c>
      <c r="AI119" s="335">
        <f>SUM(AI114:AI118)</f>
      </c>
      <c r="AJ119" s="335">
        <f>SUM(AJ114:AJ118)</f>
      </c>
    </row>
    <row r="120">
      <c r="A120" s="310"/>
      <c r="B120" s="343" t="s">
        <v>290</v>
      </c>
      <c r="C120" s="344">
        <v>5</v>
      </c>
      <c r="D120" s="343">
        <f>D119</f>
      </c>
      <c r="E120" s="343">
        <f>E119</f>
      </c>
      <c r="F120" s="343">
        <f>F119</f>
      </c>
      <c r="G120" s="345">
        <f>G119</f>
      </c>
      <c r="H120" s="345">
        <f>H119</f>
      </c>
      <c r="I120" s="345">
        <f>I119</f>
      </c>
      <c r="J120" s="345">
        <f>J119</f>
      </c>
      <c r="K120" s="346">
        <f t="shared" si="74"/>
      </c>
      <c r="L120" s="346">
        <f t="shared" si="104"/>
      </c>
      <c r="M120" s="346">
        <f t="shared" si="240"/>
      </c>
      <c r="N120" s="346">
        <f t="shared" si="395"/>
      </c>
      <c r="O120" s="346">
        <f t="shared" si="14"/>
      </c>
      <c r="P120" s="346">
        <f t="shared" si="134"/>
      </c>
      <c r="Q120" s="347">
        <f t="shared" si="270"/>
      </c>
      <c r="R120" s="347">
        <f t="shared" si="425"/>
      </c>
      <c r="S120" s="346">
        <f t="shared" si="44"/>
      </c>
      <c r="T120" s="347">
        <f t="shared" si="455"/>
      </c>
      <c r="U120" s="347">
        <f t="shared" si="164"/>
      </c>
      <c r="V120" s="346">
        <f t="shared" si="300"/>
      </c>
      <c r="W120" s="348">
        <f>W119</f>
      </c>
      <c r="X120" s="348">
        <f>X119</f>
      </c>
      <c r="Y120" s="348">
        <f>Y119</f>
      </c>
      <c r="Z120" s="349">
        <f>Z119</f>
      </c>
      <c r="AA120" s="348">
        <f>AA119</f>
      </c>
      <c r="AB120" s="350">
        <f t="shared" si="485"/>
      </c>
      <c r="AC120" s="343"/>
      <c r="AD120" s="343"/>
      <c r="AE120" s="343">
        <f>AE119</f>
      </c>
      <c r="AF120" s="343">
        <f>AF119</f>
      </c>
      <c r="AG120" s="343">
        <f>AG119</f>
      </c>
      <c r="AH120" s="343">
        <f>AH119</f>
      </c>
      <c r="AI120" s="343">
        <f>AI119</f>
      </c>
      <c r="AJ120" s="343">
        <f>AJ119</f>
      </c>
    </row>
    <row r="121">
      <c r="A121" s="297" t="s">
        <v>246</v>
      </c>
      <c r="B121" s="298" t="s">
        <v>247</v>
      </c>
      <c r="C121" s="298" t="s">
        <v>248</v>
      </c>
      <c r="D121" s="299" t="s">
        <v>249</v>
      </c>
      <c r="E121" s="298" t="s">
        <v>250</v>
      </c>
      <c r="F121" s="298" t="s">
        <v>251</v>
      </c>
      <c r="G121" s="299" t="s">
        <v>252</v>
      </c>
      <c r="H121" s="300" t="s">
        <v>253</v>
      </c>
      <c r="I121" s="301" t="s">
        <v>254</v>
      </c>
      <c r="J121" s="301" t="s">
        <v>255</v>
      </c>
      <c r="K121" s="302" t="s">
        <v>256</v>
      </c>
      <c r="L121" s="301" t="s">
        <v>257</v>
      </c>
      <c r="M121" s="298" t="s">
        <v>258</v>
      </c>
      <c r="N121" s="302" t="s">
        <v>259</v>
      </c>
      <c r="O121" s="303" t="s">
        <v>260</v>
      </c>
      <c r="P121" s="303" t="s">
        <v>261</v>
      </c>
      <c r="Q121" s="299" t="s">
        <v>262</v>
      </c>
      <c r="R121" s="304" t="s">
        <v>263</v>
      </c>
      <c r="S121" s="302" t="s">
        <v>264</v>
      </c>
      <c r="T121" s="305" t="s">
        <v>265</v>
      </c>
      <c r="U121" s="306" t="s">
        <v>266</v>
      </c>
      <c r="V121" s="302" t="s">
        <v>267</v>
      </c>
      <c r="W121" s="307" t="s">
        <v>268</v>
      </c>
      <c r="X121" s="308" t="s">
        <v>269</v>
      </c>
      <c r="Y121" s="307" t="s">
        <v>270</v>
      </c>
      <c r="Z121" s="309" t="s">
        <v>271</v>
      </c>
      <c r="AA121" s="309" t="s">
        <v>272</v>
      </c>
      <c r="AB121" s="301" t="s">
        <v>273</v>
      </c>
      <c r="AC121" s="300" t="s">
        <v>274</v>
      </c>
      <c r="AD121" s="301" t="s">
        <v>275</v>
      </c>
      <c r="AE121" s="300" t="s">
        <v>276</v>
      </c>
      <c r="AF121" s="300" t="s">
        <v>277</v>
      </c>
      <c r="AG121" s="301" t="s">
        <v>278</v>
      </c>
      <c r="AH121" s="300" t="s">
        <v>279</v>
      </c>
      <c r="AI121" s="301" t="s">
        <v>280</v>
      </c>
      <c r="AJ121" s="300" t="s">
        <v>281</v>
      </c>
    </row>
    <row r="122">
      <c r="A122" s="310">
        <v>46220</v>
      </c>
      <c r="B122" s="311" t="s">
        <v>282</v>
      </c>
      <c r="C122" s="312" t="s">
        <v>283</v>
      </c>
      <c r="D122" s="313">
        <f t="shared" ref="D122:D126" si="195">E122+F122</f>
      </c>
      <c r="E122" s="312">
        <v>497.96</v>
      </c>
      <c r="F122" s="314">
        <v>2112.02</v>
      </c>
      <c r="G122" s="352">
        <f t="shared" ref="G122:G126" si="318">Z122+AA122</f>
      </c>
      <c r="H122" s="315">
        <v>2917.08</v>
      </c>
      <c r="I122" s="316">
        <f t="shared" ref="I122:I126" si="354">G122-H122</f>
      </c>
      <c r="J122" s="316">
        <f t="shared" ref="J122:J126" si="516">(G122-AA122)/12+AA122</f>
      </c>
      <c r="K122" s="317">
        <f t="shared" ref="K122:K128" si="75">G122/D122</f>
      </c>
      <c r="L122" s="318">
        <f t="shared" ref="L122:L128" si="105">(G122-H122)/D122</f>
      </c>
      <c r="M122" s="319">
        <f t="shared" ref="M122:M128" si="241">(AA122+Z122/12)/D122</f>
      </c>
      <c r="N122" s="320">
        <f t="shared" ref="N122:N128" si="396">G122/Y122</f>
      </c>
      <c r="O122" s="320">
        <f t="shared" ref="O122:O128" si="15">D122/Y122</f>
      </c>
      <c r="P122" s="320">
        <f t="shared" ref="P122:P128" si="135">D122/AE122</f>
      </c>
      <c r="Q122" s="321">
        <f t="shared" ref="Q122:Q128" si="271">Y122/W122</f>
      </c>
      <c r="R122" s="322">
        <f t="shared" ref="R122:R128" si="426">AG122/AF122</f>
      </c>
      <c r="S122" s="320">
        <f t="shared" ref="S122:S128" si="45">D122/AH122</f>
      </c>
      <c r="T122" s="323">
        <f t="shared" ref="T122:T128" si="456">AI122/AH122</f>
      </c>
      <c r="U122" s="323">
        <f t="shared" ref="U122:U128" si="165">AJ122/AH122</f>
      </c>
      <c r="V122" s="320">
        <f t="shared" ref="V122:V128" si="301">D122/AJ122</f>
      </c>
      <c r="W122" s="325">
        <v>4</v>
      </c>
      <c r="X122" s="325">
        <v>2</v>
      </c>
      <c r="Y122" s="325">
        <v>1</v>
      </c>
      <c r="Z122" s="326">
        <v>2917.08</v>
      </c>
      <c r="AA122" s="326">
        <v>0</v>
      </c>
      <c r="AB122" s="321">
        <f t="shared" ref="AB122:AB128" si="486">AA122/G122</f>
      </c>
      <c r="AC122" s="327" t="s">
        <v>284</v>
      </c>
      <c r="AD122" s="328" t="s">
        <v>291</v>
      </c>
      <c r="AE122" s="329">
        <v>1</v>
      </c>
      <c r="AF122" s="330">
        <v>43852</v>
      </c>
      <c r="AG122" s="330">
        <v>361</v>
      </c>
      <c r="AH122" s="330">
        <v>343</v>
      </c>
      <c r="AI122" s="329">
        <v>57</v>
      </c>
      <c r="AJ122" s="331">
        <v>96</v>
      </c>
    </row>
    <row r="123">
      <c r="A123" s="310"/>
      <c r="B123" s="311" t="s">
        <v>282</v>
      </c>
      <c r="C123" s="332" t="s">
        <v>286</v>
      </c>
      <c r="D123" s="313">
        <f t="shared" si="195"/>
      </c>
      <c r="E123" s="312">
        <v>870.6</v>
      </c>
      <c r="F123" s="314">
        <v>2421.8</v>
      </c>
      <c r="G123" s="352">
        <f t="shared" si="318"/>
      </c>
      <c r="H123" s="315">
        <v>0</v>
      </c>
      <c r="I123" s="316">
        <f t="shared" si="354"/>
      </c>
      <c r="J123" s="316">
        <f t="shared" si="516"/>
      </c>
      <c r="K123" s="317">
        <f t="shared" si="75"/>
      </c>
      <c r="L123" s="318">
        <f t="shared" si="105"/>
      </c>
      <c r="M123" s="319">
        <f t="shared" si="241"/>
      </c>
      <c r="N123" s="320">
        <f t="shared" si="396"/>
      </c>
      <c r="O123" s="320">
        <f t="shared" si="15"/>
      </c>
      <c r="P123" s="320">
        <f t="shared" si="135"/>
      </c>
      <c r="Q123" s="321">
        <f t="shared" si="271"/>
      </c>
      <c r="R123" s="322">
        <f t="shared" si="426"/>
      </c>
      <c r="S123" s="320">
        <f t="shared" si="45"/>
      </c>
      <c r="T123" s="323">
        <f t="shared" si="456"/>
      </c>
      <c r="U123" s="323">
        <f t="shared" si="165"/>
      </c>
      <c r="V123" s="320">
        <f t="shared" si="301"/>
      </c>
      <c r="W123" s="325">
        <v>10</v>
      </c>
      <c r="X123" s="325">
        <v>3</v>
      </c>
      <c r="Y123" s="325">
        <v>2</v>
      </c>
      <c r="Z123" s="326">
        <v>1871.6400000000003</v>
      </c>
      <c r="AA123" s="326">
        <v>582</v>
      </c>
      <c r="AB123" s="321">
        <f t="shared" si="486"/>
      </c>
      <c r="AC123" s="327" t="s">
        <v>284</v>
      </c>
      <c r="AD123" s="328" t="s">
        <v>291</v>
      </c>
      <c r="AE123" s="329">
        <v>2</v>
      </c>
      <c r="AF123" s="330">
        <v>57971</v>
      </c>
      <c r="AG123" s="330">
        <v>532</v>
      </c>
      <c r="AH123" s="330">
        <v>526</v>
      </c>
      <c r="AI123" s="331">
        <v>76</v>
      </c>
      <c r="AJ123" s="331">
        <v>107</v>
      </c>
    </row>
    <row r="124">
      <c r="A124" s="310"/>
      <c r="B124" s="311" t="s">
        <v>282</v>
      </c>
      <c r="C124" s="332" t="s">
        <v>287</v>
      </c>
      <c r="D124" s="313">
        <f t="shared" si="195"/>
      </c>
      <c r="E124" s="312">
        <v>1450.99</v>
      </c>
      <c r="F124" s="314">
        <v>2021.53</v>
      </c>
      <c r="G124" s="352">
        <f t="shared" si="318"/>
      </c>
      <c r="H124" s="315">
        <v>0</v>
      </c>
      <c r="I124" s="316">
        <f t="shared" si="354"/>
      </c>
      <c r="J124" s="316">
        <f t="shared" si="516"/>
      </c>
      <c r="K124" s="317">
        <f t="shared" si="75"/>
      </c>
      <c r="L124" s="318">
        <f t="shared" si="105"/>
      </c>
      <c r="M124" s="319">
        <f t="shared" si="241"/>
      </c>
      <c r="N124" s="320">
        <f t="shared" si="396"/>
      </c>
      <c r="O124" s="320">
        <f t="shared" si="15"/>
      </c>
      <c r="P124" s="320">
        <f t="shared" si="135"/>
      </c>
      <c r="Q124" s="321">
        <f t="shared" si="271"/>
      </c>
      <c r="R124" s="322">
        <f t="shared" si="426"/>
      </c>
      <c r="S124" s="320">
        <f t="shared" si="45"/>
      </c>
      <c r="T124" s="323">
        <f t="shared" si="456"/>
      </c>
      <c r="U124" s="323">
        <f t="shared" si="165"/>
      </c>
      <c r="V124" s="320">
        <f t="shared" si="301"/>
      </c>
      <c r="W124" s="325">
        <v>10</v>
      </c>
      <c r="X124" s="325">
        <v>3</v>
      </c>
      <c r="Y124" s="325">
        <v>6</v>
      </c>
      <c r="Z124" s="326">
        <v>9261</v>
      </c>
      <c r="AA124" s="326">
        <v>0</v>
      </c>
      <c r="AB124" s="321">
        <f t="shared" si="486"/>
      </c>
      <c r="AC124" s="327" t="s">
        <v>284</v>
      </c>
      <c r="AD124" s="328" t="s">
        <v>291</v>
      </c>
      <c r="AE124" s="331">
        <v>5</v>
      </c>
      <c r="AF124" s="330">
        <v>53828</v>
      </c>
      <c r="AG124" s="330">
        <v>760</v>
      </c>
      <c r="AH124" s="330">
        <v>771</v>
      </c>
      <c r="AI124" s="331">
        <v>95</v>
      </c>
      <c r="AJ124" s="331">
        <v>117</v>
      </c>
    </row>
    <row r="125">
      <c r="A125" s="310"/>
      <c r="B125" s="311" t="s">
        <v>282</v>
      </c>
      <c r="C125" s="312" t="s">
        <v>288</v>
      </c>
      <c r="D125" s="313">
        <f t="shared" si="195"/>
      </c>
      <c r="E125" s="312">
        <v>2085.05</v>
      </c>
      <c r="F125" s="314">
        <v>3037.61</v>
      </c>
      <c r="G125" s="352">
        <f t="shared" si="318"/>
      </c>
      <c r="H125" s="315">
        <v>0</v>
      </c>
      <c r="I125" s="316">
        <f t="shared" si="354"/>
      </c>
      <c r="J125" s="316">
        <f t="shared" si="516"/>
      </c>
      <c r="K125" s="317">
        <f t="shared" si="75"/>
      </c>
      <c r="L125" s="318">
        <f t="shared" si="105"/>
      </c>
      <c r="M125" s="319">
        <f t="shared" si="241"/>
      </c>
      <c r="N125" s="320">
        <f t="shared" si="396"/>
      </c>
      <c r="O125" s="320">
        <f t="shared" si="15"/>
      </c>
      <c r="P125" s="320">
        <f t="shared" si="135"/>
      </c>
      <c r="Q125" s="321">
        <f t="shared" si="271"/>
      </c>
      <c r="R125" s="322">
        <f t="shared" si="426"/>
      </c>
      <c r="S125" s="320">
        <f t="shared" si="45"/>
      </c>
      <c r="T125" s="323">
        <f t="shared" si="456"/>
      </c>
      <c r="U125" s="323">
        <f t="shared" si="165"/>
      </c>
      <c r="V125" s="320">
        <f t="shared" si="301"/>
      </c>
      <c r="W125" s="325">
        <v>10</v>
      </c>
      <c r="X125" s="325">
        <v>3</v>
      </c>
      <c r="Y125" s="325">
        <v>5</v>
      </c>
      <c r="Z125" s="315">
        <v>4344.84</v>
      </c>
      <c r="AA125" s="326">
        <v>5661.2</v>
      </c>
      <c r="AB125" s="321">
        <f t="shared" si="486"/>
      </c>
      <c r="AC125" s="327" t="s">
        <v>284</v>
      </c>
      <c r="AD125" s="328" t="s">
        <v>291</v>
      </c>
      <c r="AE125" s="329">
        <v>4</v>
      </c>
      <c r="AF125" s="330">
        <v>104649</v>
      </c>
      <c r="AG125" s="330">
        <v>1034</v>
      </c>
      <c r="AH125" s="330">
        <v>1003</v>
      </c>
      <c r="AI125" s="331">
        <v>102</v>
      </c>
      <c r="AJ125" s="331">
        <v>133</v>
      </c>
    </row>
    <row r="126">
      <c r="A126" s="310"/>
      <c r="B126" s="311" t="s">
        <v>282</v>
      </c>
      <c r="C126" s="332" t="s">
        <v>289</v>
      </c>
      <c r="D126" s="313">
        <f t="shared" si="195"/>
      </c>
      <c r="E126" s="312">
        <v>998.08</v>
      </c>
      <c r="F126" s="314">
        <v>2914.95</v>
      </c>
      <c r="G126" s="352">
        <f t="shared" si="318"/>
      </c>
      <c r="H126" s="315">
        <v>0</v>
      </c>
      <c r="I126" s="316">
        <f t="shared" si="354"/>
      </c>
      <c r="J126" s="316">
        <f t="shared" si="516"/>
      </c>
      <c r="K126" s="317">
        <f t="shared" si="75"/>
      </c>
      <c r="L126" s="318">
        <f t="shared" si="105"/>
      </c>
      <c r="M126" s="319">
        <f t="shared" si="241"/>
      </c>
      <c r="N126" s="320">
        <f t="shared" si="396"/>
      </c>
      <c r="O126" s="320">
        <f t="shared" si="15"/>
      </c>
      <c r="P126" s="320">
        <f t="shared" si="135"/>
      </c>
      <c r="Q126" s="321">
        <f t="shared" si="271"/>
      </c>
      <c r="R126" s="322">
        <f t="shared" si="426"/>
      </c>
      <c r="S126" s="320">
        <f t="shared" si="45"/>
      </c>
      <c r="T126" s="323">
        <f t="shared" si="456"/>
      </c>
      <c r="U126" s="323">
        <f t="shared" si="165"/>
      </c>
      <c r="V126" s="320">
        <f t="shared" si="301"/>
      </c>
      <c r="W126" s="325">
        <v>9</v>
      </c>
      <c r="X126" s="325">
        <v>2</v>
      </c>
      <c r="Y126" s="325">
        <v>2</v>
      </c>
      <c r="Z126" s="326">
        <v>2078.6399999999994</v>
      </c>
      <c r="AA126" s="326">
        <v>0</v>
      </c>
      <c r="AB126" s="321">
        <f t="shared" si="486"/>
      </c>
      <c r="AC126" s="327" t="s">
        <v>284</v>
      </c>
      <c r="AD126" s="328" t="s">
        <v>291</v>
      </c>
      <c r="AE126" s="329">
        <v>1</v>
      </c>
      <c r="AF126" s="330">
        <v>72841</v>
      </c>
      <c r="AG126" s="330">
        <v>818</v>
      </c>
      <c r="AH126" s="330">
        <v>836</v>
      </c>
      <c r="AI126" s="331">
        <v>57</v>
      </c>
      <c r="AJ126" s="331">
        <v>121</v>
      </c>
    </row>
    <row r="127">
      <c r="A127" s="310"/>
      <c r="B127" s="333" t="s">
        <v>290</v>
      </c>
      <c r="C127" s="334">
        <v>5</v>
      </c>
      <c r="D127" s="335">
        <f>SUM(D122:D126)</f>
      </c>
      <c r="E127" s="335">
        <f>SUM(E122:E126)</f>
      </c>
      <c r="F127" s="335">
        <f>SUM(F122:F126)</f>
      </c>
      <c r="G127" s="335">
        <f>SUM(G122:G126)</f>
      </c>
      <c r="H127" s="335">
        <f>SUM(H122:H126)</f>
      </c>
      <c r="I127" s="335">
        <f>SUM(I122:I126)</f>
      </c>
      <c r="J127" s="335">
        <f>SUM(J122:J126)</f>
      </c>
      <c r="K127" s="336">
        <f t="shared" si="75"/>
      </c>
      <c r="L127" s="337">
        <f t="shared" si="105"/>
      </c>
      <c r="M127" s="337">
        <f t="shared" si="241"/>
      </c>
      <c r="N127" s="338">
        <f t="shared" si="396"/>
      </c>
      <c r="O127" s="338">
        <f t="shared" si="15"/>
      </c>
      <c r="P127" s="338">
        <f t="shared" si="135"/>
      </c>
      <c r="Q127" s="339">
        <f t="shared" si="271"/>
      </c>
      <c r="R127" s="339">
        <f t="shared" si="426"/>
      </c>
      <c r="S127" s="338">
        <f t="shared" si="45"/>
      </c>
      <c r="T127" s="339">
        <f t="shared" si="456"/>
      </c>
      <c r="U127" s="339">
        <f t="shared" si="165"/>
      </c>
      <c r="V127" s="338">
        <f t="shared" si="301"/>
      </c>
      <c r="W127" s="335">
        <f>SUM(W122:W126)</f>
      </c>
      <c r="X127" s="335">
        <f>SUM(X122:X126)</f>
      </c>
      <c r="Y127" s="335">
        <f>SUM(Y122:Y126)</f>
      </c>
      <c r="Z127" s="335">
        <f>SUM(Z122:Z126)</f>
      </c>
      <c r="AA127" s="335">
        <f>SUM(AA122:AA126)</f>
      </c>
      <c r="AB127" s="340">
        <f t="shared" si="486"/>
      </c>
      <c r="AC127" s="341"/>
      <c r="AD127" s="342"/>
      <c r="AE127" s="335">
        <f>SUM(AE122:AE126)</f>
      </c>
      <c r="AF127" s="335">
        <f>SUM(AF122:AF126)</f>
      </c>
      <c r="AG127" s="335">
        <f>SUM(AG122:AG126)</f>
      </c>
      <c r="AH127" s="335">
        <f>SUM(AH122:AH126)</f>
      </c>
      <c r="AI127" s="335">
        <f>SUM(AI122:AI126)</f>
      </c>
      <c r="AJ127" s="335">
        <f>SUM(AJ122:AJ126)</f>
      </c>
    </row>
    <row r="128">
      <c r="A128" s="310"/>
      <c r="B128" s="343" t="s">
        <v>290</v>
      </c>
      <c r="C128" s="344">
        <v>5</v>
      </c>
      <c r="D128" s="343">
        <f>D127</f>
      </c>
      <c r="E128" s="343">
        <f>E127</f>
      </c>
      <c r="F128" s="343">
        <f>F127</f>
      </c>
      <c r="G128" s="345">
        <f>G127</f>
      </c>
      <c r="H128" s="345">
        <f>H127</f>
      </c>
      <c r="I128" s="345">
        <f>I127</f>
      </c>
      <c r="J128" s="345">
        <f>J127</f>
      </c>
      <c r="K128" s="346">
        <f t="shared" si="75"/>
      </c>
      <c r="L128" s="346">
        <f t="shared" si="105"/>
      </c>
      <c r="M128" s="346">
        <f t="shared" si="241"/>
      </c>
      <c r="N128" s="346">
        <f t="shared" si="396"/>
      </c>
      <c r="O128" s="346">
        <f t="shared" si="15"/>
      </c>
      <c r="P128" s="346">
        <f t="shared" si="135"/>
      </c>
      <c r="Q128" s="347">
        <f t="shared" si="271"/>
      </c>
      <c r="R128" s="347">
        <f t="shared" si="426"/>
      </c>
      <c r="S128" s="346">
        <f t="shared" si="45"/>
      </c>
      <c r="T128" s="347">
        <f t="shared" si="456"/>
      </c>
      <c r="U128" s="347">
        <f t="shared" si="165"/>
      </c>
      <c r="V128" s="346">
        <f t="shared" si="301"/>
      </c>
      <c r="W128" s="348">
        <f>W127</f>
      </c>
      <c r="X128" s="348">
        <f>X127</f>
      </c>
      <c r="Y128" s="348">
        <f>Y127</f>
      </c>
      <c r="Z128" s="349">
        <f>Z127</f>
      </c>
      <c r="AA128" s="348">
        <f>AA127</f>
      </c>
      <c r="AB128" s="350">
        <f t="shared" si="486"/>
      </c>
      <c r="AC128" s="343"/>
      <c r="AD128" s="343"/>
      <c r="AE128" s="343">
        <f>AE127</f>
      </c>
      <c r="AF128" s="343">
        <f>AF127</f>
      </c>
      <c r="AG128" s="343">
        <f>AG127</f>
      </c>
      <c r="AH128" s="343">
        <f>AH127</f>
      </c>
      <c r="AI128" s="343">
        <f>AI127</f>
      </c>
      <c r="AJ128" s="343">
        <f>AJ127</f>
      </c>
    </row>
    <row customHeight="true" ht="18.601190476190478" r="129">
      <c r="A129" s="297" t="s">
        <v>246</v>
      </c>
      <c r="B129" s="298" t="s">
        <v>247</v>
      </c>
      <c r="C129" s="298" t="s">
        <v>248</v>
      </c>
      <c r="D129" s="299" t="s">
        <v>249</v>
      </c>
      <c r="E129" s="298" t="s">
        <v>250</v>
      </c>
      <c r="F129" s="298" t="s">
        <v>251</v>
      </c>
      <c r="G129" s="299" t="s">
        <v>252</v>
      </c>
      <c r="H129" s="300" t="s">
        <v>253</v>
      </c>
      <c r="I129" s="301" t="s">
        <v>254</v>
      </c>
      <c r="J129" s="301" t="s">
        <v>255</v>
      </c>
      <c r="K129" s="302" t="s">
        <v>256</v>
      </c>
      <c r="L129" s="301" t="s">
        <v>257</v>
      </c>
      <c r="M129" s="298" t="s">
        <v>258</v>
      </c>
      <c r="N129" s="302" t="s">
        <v>259</v>
      </c>
      <c r="O129" s="303" t="s">
        <v>260</v>
      </c>
      <c r="P129" s="303" t="s">
        <v>261</v>
      </c>
      <c r="Q129" s="299" t="s">
        <v>262</v>
      </c>
      <c r="R129" s="304" t="s">
        <v>263</v>
      </c>
      <c r="S129" s="302" t="s">
        <v>264</v>
      </c>
      <c r="T129" s="305" t="s">
        <v>265</v>
      </c>
      <c r="U129" s="306" t="s">
        <v>266</v>
      </c>
      <c r="V129" s="302" t="s">
        <v>267</v>
      </c>
      <c r="W129" s="307" t="s">
        <v>268</v>
      </c>
      <c r="X129" s="308" t="s">
        <v>269</v>
      </c>
      <c r="Y129" s="307" t="s">
        <v>270</v>
      </c>
      <c r="Z129" s="309" t="s">
        <v>271</v>
      </c>
      <c r="AA129" s="309" t="s">
        <v>272</v>
      </c>
      <c r="AB129" s="301" t="s">
        <v>273</v>
      </c>
      <c r="AC129" s="300" t="s">
        <v>274</v>
      </c>
      <c r="AD129" s="301" t="s">
        <v>275</v>
      </c>
      <c r="AE129" s="300" t="s">
        <v>276</v>
      </c>
      <c r="AF129" s="300" t="s">
        <v>277</v>
      </c>
      <c r="AG129" s="301" t="s">
        <v>278</v>
      </c>
      <c r="AH129" s="300" t="s">
        <v>279</v>
      </c>
      <c r="AI129" s="301" t="s">
        <v>280</v>
      </c>
      <c r="AJ129" s="300" t="s">
        <v>281</v>
      </c>
    </row>
    <row customHeight="true" ht="18.601190476190478" r="130">
      <c r="A130" s="310">
        <v>46221</v>
      </c>
      <c r="B130" s="311" t="s">
        <v>282</v>
      </c>
      <c r="C130" s="312" t="s">
        <v>292</v>
      </c>
      <c r="D130" s="313">
        <f t="shared" ref="D130:D134" si="196">E130+F130</f>
      </c>
      <c r="E130" s="312">
        <v>1476.83</v>
      </c>
      <c r="F130" s="314">
        <v>2111</v>
      </c>
      <c r="G130" s="352">
        <f t="shared" ref="G130:G134" si="319">Z130+AA130</f>
      </c>
      <c r="H130" s="315">
        <v>6057</v>
      </c>
      <c r="I130" s="316">
        <f t="shared" ref="I130:I134" si="355">G130-H130</f>
      </c>
      <c r="J130" s="316">
        <f t="shared" ref="J130:J134" si="517">(G130-AA130)/12+AA130</f>
      </c>
      <c r="K130" s="317">
        <f t="shared" ref="K130:K142" si="76">G130/D130</f>
      </c>
      <c r="L130" s="318">
        <f t="shared" ref="L130:L142" si="106">(G130-H130)/D130</f>
      </c>
      <c r="M130" s="319">
        <f t="shared" ref="M130:M142" si="242">(AA130+Z130/12)/D130</f>
      </c>
      <c r="N130" s="320">
        <f t="shared" ref="N130:N142" si="397">G130/Y130</f>
      </c>
      <c r="O130" s="320">
        <f t="shared" ref="O130:O142" si="16">D130/Y130</f>
      </c>
      <c r="P130" s="320">
        <f t="shared" ref="P130:P142" si="136">D130/AE130</f>
      </c>
      <c r="Q130" s="321">
        <f t="shared" ref="Q130:Q142" si="272">Y130/W130</f>
      </c>
      <c r="R130" s="322">
        <f t="shared" ref="R130:R142" si="427">AG130/AF130</f>
      </c>
      <c r="S130" s="320">
        <f t="shared" ref="S130:S142" si="46">D130/AH130</f>
      </c>
      <c r="T130" s="323">
        <f t="shared" ref="T130:T142" si="457">AI130/AH130</f>
      </c>
      <c r="U130" s="323">
        <f t="shared" ref="U130:U142" si="166">AJ130/AH130</f>
      </c>
      <c r="V130" s="320">
        <f t="shared" ref="V130:V142" si="302">D130/AJ130</f>
      </c>
      <c r="W130" s="325">
        <v>12</v>
      </c>
      <c r="X130" s="325">
        <v>8</v>
      </c>
      <c r="Y130" s="325">
        <v>5</v>
      </c>
      <c r="Z130" s="326">
        <v>8240.76</v>
      </c>
      <c r="AA130" s="326">
        <v>0</v>
      </c>
      <c r="AB130" s="321">
        <f t="shared" ref="AB130:AB142" si="487">AA130/G130</f>
      </c>
      <c r="AC130" s="327" t="s">
        <v>284</v>
      </c>
      <c r="AD130" s="353" t="s">
        <v>285</v>
      </c>
      <c r="AE130" s="329">
        <v>5</v>
      </c>
      <c r="AF130" s="330">
        <v>50862</v>
      </c>
      <c r="AG130" s="330">
        <v>544</v>
      </c>
      <c r="AH130" s="330">
        <v>545</v>
      </c>
      <c r="AI130" s="329">
        <v>84</v>
      </c>
      <c r="AJ130" s="331">
        <v>107</v>
      </c>
    </row>
    <row customHeight="true" ht="18.601190476190478" r="131">
      <c r="A131" s="310"/>
      <c r="B131" s="311" t="s">
        <v>282</v>
      </c>
      <c r="C131" s="312" t="s">
        <v>293</v>
      </c>
      <c r="D131" s="313">
        <f t="shared" si="196"/>
      </c>
      <c r="E131" s="312">
        <v>1700.24</v>
      </c>
      <c r="F131" s="314">
        <v>2444</v>
      </c>
      <c r="G131" s="352">
        <f t="shared" si="319"/>
      </c>
      <c r="H131" s="315">
        <v>7064.64</v>
      </c>
      <c r="I131" s="316">
        <f t="shared" si="355"/>
      </c>
      <c r="J131" s="316">
        <f t="shared" si="517"/>
      </c>
      <c r="K131" s="317">
        <f t="shared" si="76"/>
      </c>
      <c r="L131" s="318">
        <f t="shared" si="106"/>
      </c>
      <c r="M131" s="319">
        <f t="shared" si="242"/>
      </c>
      <c r="N131" s="320">
        <f t="shared" si="397"/>
      </c>
      <c r="O131" s="320">
        <f t="shared" si="16"/>
      </c>
      <c r="P131" s="320">
        <f t="shared" si="136"/>
      </c>
      <c r="Q131" s="321">
        <f t="shared" si="272"/>
      </c>
      <c r="R131" s="322">
        <f t="shared" si="427"/>
      </c>
      <c r="S131" s="320">
        <f t="shared" si="46"/>
      </c>
      <c r="T131" s="323">
        <f t="shared" si="457"/>
      </c>
      <c r="U131" s="323">
        <f t="shared" si="166"/>
      </c>
      <c r="V131" s="320">
        <f t="shared" si="302"/>
      </c>
      <c r="W131" s="325">
        <v>7</v>
      </c>
      <c r="X131" s="325">
        <v>7</v>
      </c>
      <c r="Y131" s="325">
        <v>3</v>
      </c>
      <c r="Z131" s="326">
        <v>8735.4</v>
      </c>
      <c r="AA131" s="326">
        <v>0</v>
      </c>
      <c r="AB131" s="321">
        <f t="shared" si="487"/>
      </c>
      <c r="AC131" s="327" t="s">
        <v>284</v>
      </c>
      <c r="AD131" s="353" t="s">
        <v>285</v>
      </c>
      <c r="AE131" s="329">
        <v>2</v>
      </c>
      <c r="AF131" s="330">
        <v>63946</v>
      </c>
      <c r="AG131" s="330">
        <v>626</v>
      </c>
      <c r="AH131" s="330">
        <v>625</v>
      </c>
      <c r="AI131" s="331">
        <v>90</v>
      </c>
      <c r="AJ131" s="331">
        <v>122</v>
      </c>
    </row>
    <row customHeight="true" ht="18.601190476190478" r="132">
      <c r="A132" s="310"/>
      <c r="B132" s="311" t="s">
        <v>282</v>
      </c>
      <c r="C132" s="312" t="s">
        <v>294</v>
      </c>
      <c r="D132" s="313">
        <f t="shared" si="196"/>
      </c>
      <c r="E132" s="312">
        <v>1127.76</v>
      </c>
      <c r="F132" s="314">
        <v>2445.9</v>
      </c>
      <c r="G132" s="352">
        <f t="shared" si="319"/>
      </c>
      <c r="H132" s="315">
        <v>0</v>
      </c>
      <c r="I132" s="316">
        <f t="shared" si="355"/>
      </c>
      <c r="J132" s="316">
        <f t="shared" si="517"/>
      </c>
      <c r="K132" s="317">
        <f t="shared" si="76"/>
      </c>
      <c r="L132" s="318">
        <f t="shared" si="106"/>
      </c>
      <c r="M132" s="319">
        <f t="shared" si="242"/>
      </c>
      <c r="N132" s="320">
        <f t="shared" si="397"/>
      </c>
      <c r="O132" s="320">
        <f t="shared" si="16"/>
      </c>
      <c r="P132" s="320">
        <f t="shared" si="136"/>
      </c>
      <c r="Q132" s="321">
        <f t="shared" si="272"/>
      </c>
      <c r="R132" s="322">
        <f t="shared" si="427"/>
      </c>
      <c r="S132" s="320">
        <f t="shared" si="46"/>
      </c>
      <c r="T132" s="323">
        <f t="shared" si="457"/>
      </c>
      <c r="U132" s="323">
        <f t="shared" si="166"/>
      </c>
      <c r="V132" s="320">
        <f t="shared" si="302"/>
      </c>
      <c r="W132" s="325">
        <v>7</v>
      </c>
      <c r="X132" s="325">
        <v>2</v>
      </c>
      <c r="Y132" s="325">
        <v>2</v>
      </c>
      <c r="Z132" s="326">
        <v>4884.84</v>
      </c>
      <c r="AA132" s="326">
        <v>0</v>
      </c>
      <c r="AB132" s="321">
        <f t="shared" si="487"/>
      </c>
      <c r="AC132" s="327" t="s">
        <v>284</v>
      </c>
      <c r="AD132" s="353" t="s">
        <v>285</v>
      </c>
      <c r="AE132" s="331">
        <v>2</v>
      </c>
      <c r="AF132" s="330">
        <v>50770</v>
      </c>
      <c r="AG132" s="330">
        <v>449</v>
      </c>
      <c r="AH132" s="330">
        <v>438</v>
      </c>
      <c r="AI132" s="331">
        <v>80</v>
      </c>
      <c r="AJ132" s="331">
        <v>102</v>
      </c>
    </row>
    <row customHeight="true" ht="18.601190476190478" r="133">
      <c r="A133" s="310"/>
      <c r="B133" s="311" t="s">
        <v>282</v>
      </c>
      <c r="C133" s="312" t="s">
        <v>295</v>
      </c>
      <c r="D133" s="313">
        <f t="shared" si="196"/>
      </c>
      <c r="E133" s="312">
        <v>959.97</v>
      </c>
      <c r="F133" s="314">
        <v>2954.71</v>
      </c>
      <c r="G133" s="352">
        <f t="shared" si="319"/>
      </c>
      <c r="H133" s="315">
        <v>1509.84</v>
      </c>
      <c r="I133" s="316">
        <f t="shared" si="355"/>
      </c>
      <c r="J133" s="316">
        <f t="shared" si="517"/>
      </c>
      <c r="K133" s="317">
        <f t="shared" si="76"/>
      </c>
      <c r="L133" s="318">
        <f t="shared" si="106"/>
      </c>
      <c r="M133" s="319">
        <f t="shared" si="242"/>
      </c>
      <c r="N133" s="320">
        <f t="shared" si="397"/>
      </c>
      <c r="O133" s="320">
        <f t="shared" si="16"/>
      </c>
      <c r="P133" s="320">
        <f t="shared" si="136"/>
      </c>
      <c r="Q133" s="321">
        <f t="shared" si="272"/>
      </c>
      <c r="R133" s="322">
        <f t="shared" si="427"/>
      </c>
      <c r="S133" s="320">
        <f t="shared" si="46"/>
      </c>
      <c r="T133" s="323">
        <f t="shared" si="457"/>
      </c>
      <c r="U133" s="323">
        <f t="shared" si="166"/>
      </c>
      <c r="V133" s="320">
        <f t="shared" si="302"/>
      </c>
      <c r="W133" s="325">
        <v>7</v>
      </c>
      <c r="X133" s="325">
        <v>5</v>
      </c>
      <c r="Y133" s="325">
        <v>2</v>
      </c>
      <c r="Z133" s="315">
        <v>2638.44</v>
      </c>
      <c r="AA133" s="326">
        <v>0</v>
      </c>
      <c r="AB133" s="321">
        <f t="shared" si="487"/>
      </c>
      <c r="AC133" s="327" t="s">
        <v>284</v>
      </c>
      <c r="AD133" s="353" t="s">
        <v>285</v>
      </c>
      <c r="AE133" s="329">
        <v>1</v>
      </c>
      <c r="AF133" s="330">
        <v>45251</v>
      </c>
      <c r="AG133" s="330">
        <v>459</v>
      </c>
      <c r="AH133" s="330">
        <v>446</v>
      </c>
      <c r="AI133" s="331">
        <v>83</v>
      </c>
      <c r="AJ133" s="331">
        <v>98</v>
      </c>
    </row>
    <row customHeight="true" ht="18.601190476190478" r="134">
      <c r="A134" s="310"/>
      <c r="B134" s="311" t="s">
        <v>282</v>
      </c>
      <c r="C134" s="312" t="s">
        <v>296</v>
      </c>
      <c r="D134" s="313">
        <f t="shared" si="196"/>
      </c>
      <c r="E134" s="312">
        <v>592.99</v>
      </c>
      <c r="F134" s="314">
        <v>2509.21</v>
      </c>
      <c r="G134" s="352">
        <f t="shared" si="319"/>
      </c>
      <c r="H134" s="315">
        <v>2238.119999999999</v>
      </c>
      <c r="I134" s="316">
        <f t="shared" si="355"/>
      </c>
      <c r="J134" s="316">
        <f t="shared" si="517"/>
      </c>
      <c r="K134" s="317">
        <f t="shared" si="76"/>
      </c>
      <c r="L134" s="318">
        <f t="shared" si="106"/>
      </c>
      <c r="M134" s="319">
        <f t="shared" si="242"/>
      </c>
      <c r="N134" s="320">
        <f t="shared" si="397"/>
      </c>
      <c r="O134" s="320">
        <f t="shared" si="16"/>
      </c>
      <c r="P134" s="320">
        <f t="shared" si="136"/>
      </c>
      <c r="Q134" s="321">
        <f t="shared" si="272"/>
      </c>
      <c r="R134" s="322">
        <f t="shared" si="427"/>
      </c>
      <c r="S134" s="320">
        <f t="shared" si="46"/>
      </c>
      <c r="T134" s="323">
        <f t="shared" si="457"/>
      </c>
      <c r="U134" s="323">
        <f t="shared" si="166"/>
      </c>
      <c r="V134" s="320">
        <f t="shared" si="302"/>
      </c>
      <c r="W134" s="325">
        <v>7</v>
      </c>
      <c r="X134" s="325">
        <v>1</v>
      </c>
      <c r="Y134" s="325">
        <v>4</v>
      </c>
      <c r="Z134" s="326">
        <v>5103.240000000002</v>
      </c>
      <c r="AA134" s="326">
        <v>1656</v>
      </c>
      <c r="AB134" s="321">
        <f t="shared" si="487"/>
      </c>
      <c r="AC134" s="327" t="s">
        <v>284</v>
      </c>
      <c r="AD134" s="353" t="s">
        <v>285</v>
      </c>
      <c r="AE134" s="329">
        <v>3</v>
      </c>
      <c r="AF134" s="330">
        <v>38419</v>
      </c>
      <c r="AG134" s="330">
        <v>359</v>
      </c>
      <c r="AH134" s="330">
        <v>346</v>
      </c>
      <c r="AI134" s="331">
        <v>55</v>
      </c>
      <c r="AJ134" s="331">
        <v>78</v>
      </c>
    </row>
    <row customHeight="true" ht="18.601190476190478" r="135">
      <c r="A135" s="310"/>
      <c r="B135" s="333" t="s">
        <v>290</v>
      </c>
      <c r="C135" s="334">
        <v>5</v>
      </c>
      <c r="D135" s="335">
        <f>SUM(D130:D134)</f>
      </c>
      <c r="E135" s="335">
        <f>SUM(E130:E134)</f>
      </c>
      <c r="F135" s="335">
        <f>SUM(F130:F134)</f>
      </c>
      <c r="G135" s="335">
        <f>SUM(G130:G134)</f>
      </c>
      <c r="H135" s="335">
        <f>SUM(H130:H134)</f>
      </c>
      <c r="I135" s="335">
        <f>SUM(I130:I134)</f>
      </c>
      <c r="J135" s="335">
        <f>SUM(J130:J134)</f>
      </c>
      <c r="K135" s="336">
        <f t="shared" si="76"/>
      </c>
      <c r="L135" s="337">
        <f t="shared" si="106"/>
      </c>
      <c r="M135" s="337">
        <f t="shared" si="242"/>
      </c>
      <c r="N135" s="338">
        <f t="shared" si="397"/>
      </c>
      <c r="O135" s="338">
        <f t="shared" si="16"/>
      </c>
      <c r="P135" s="338">
        <f t="shared" si="136"/>
      </c>
      <c r="Q135" s="339">
        <f t="shared" si="272"/>
      </c>
      <c r="R135" s="339">
        <f t="shared" si="427"/>
      </c>
      <c r="S135" s="338">
        <f t="shared" si="46"/>
      </c>
      <c r="T135" s="339">
        <f t="shared" si="457"/>
      </c>
      <c r="U135" s="339">
        <f t="shared" si="166"/>
      </c>
      <c r="V135" s="338">
        <f t="shared" si="302"/>
      </c>
      <c r="W135" s="335">
        <f>SUM(W130:W134)</f>
      </c>
      <c r="X135" s="335">
        <f>SUM(X130:X134)</f>
      </c>
      <c r="Y135" s="335">
        <f>SUM(Y130:Y134)</f>
      </c>
      <c r="Z135" s="335">
        <f>SUM(Z130:Z134)</f>
      </c>
      <c r="AA135" s="335">
        <f>SUM(AA130:AA134)</f>
      </c>
      <c r="AB135" s="340">
        <f t="shared" si="487"/>
      </c>
      <c r="AC135" s="341"/>
      <c r="AD135" s="342"/>
      <c r="AE135" s="335">
        <f>SUM(AE130:AE134)</f>
      </c>
      <c r="AF135" s="335">
        <f>SUM(AF130:AF134)</f>
      </c>
      <c r="AG135" s="335">
        <f>SUM(AG130:AG134)</f>
      </c>
      <c r="AH135" s="335">
        <f>SUM(AH130:AH134)</f>
      </c>
      <c r="AI135" s="335">
        <f>SUM(AI130:AI134)</f>
      </c>
      <c r="AJ135" s="335">
        <f>SUM(AJ130:AJ134)</f>
      </c>
    </row>
    <row customHeight="true" ht="18.601190476190478" r="136">
      <c r="A136" s="310"/>
      <c r="B136" s="311" t="s">
        <v>297</v>
      </c>
      <c r="C136" s="312" t="s">
        <v>283</v>
      </c>
      <c r="D136" s="313">
        <f t="shared" ref="D136:D140" si="197">E136+F136</f>
      </c>
      <c r="E136" s="312">
        <v>497.9</v>
      </c>
      <c r="F136" s="314">
        <v>5304.82</v>
      </c>
      <c r="G136" s="352">
        <f t="shared" ref="G136:G140" si="320">Z136+AA136</f>
      </c>
      <c r="H136" s="315">
        <v>0</v>
      </c>
      <c r="I136" s="316">
        <f t="shared" ref="I136:I140" si="356">G136-H136</f>
      </c>
      <c r="J136" s="316">
        <f t="shared" ref="J136:J140" si="518">(G136-AA136)/12+AA136</f>
      </c>
      <c r="K136" s="317">
        <f t="shared" si="76"/>
      </c>
      <c r="L136" s="318">
        <f t="shared" si="106"/>
      </c>
      <c r="M136" s="319">
        <f t="shared" si="242"/>
      </c>
      <c r="N136" s="320">
        <f t="shared" si="397"/>
      </c>
      <c r="O136" s="320">
        <f t="shared" si="16"/>
      </c>
      <c r="P136" s="320">
        <f t="shared" si="136"/>
      </c>
      <c r="Q136" s="321">
        <f t="shared" si="272"/>
      </c>
      <c r="R136" s="322">
        <f t="shared" si="427"/>
      </c>
      <c r="S136" s="320">
        <f t="shared" si="46"/>
      </c>
      <c r="T136" s="323">
        <f t="shared" si="457"/>
      </c>
      <c r="U136" s="323">
        <f t="shared" si="166"/>
      </c>
      <c r="V136" s="320">
        <f t="shared" si="302"/>
      </c>
      <c r="W136" s="325">
        <v>7</v>
      </c>
      <c r="X136" s="325">
        <v>3</v>
      </c>
      <c r="Y136" s="325">
        <v>4</v>
      </c>
      <c r="Z136" s="326">
        <v>17028</v>
      </c>
      <c r="AA136" s="326">
        <v>4774.7</v>
      </c>
      <c r="AB136" s="321">
        <f t="shared" si="487"/>
      </c>
      <c r="AC136" s="327" t="s">
        <v>284</v>
      </c>
      <c r="AD136" s="328" t="s">
        <v>291</v>
      </c>
      <c r="AE136" s="329">
        <v>4</v>
      </c>
      <c r="AF136" s="330">
        <v>82895</v>
      </c>
      <c r="AG136" s="330">
        <v>468</v>
      </c>
      <c r="AH136" s="330">
        <v>425</v>
      </c>
      <c r="AI136" s="329">
        <v>84</v>
      </c>
      <c r="AJ136" s="331">
        <v>109</v>
      </c>
    </row>
    <row customHeight="true" ht="18.601190476190478" r="137">
      <c r="A137" s="310"/>
      <c r="B137" s="311" t="s">
        <v>297</v>
      </c>
      <c r="C137" s="332" t="s">
        <v>286</v>
      </c>
      <c r="D137" s="313">
        <f t="shared" si="197"/>
      </c>
      <c r="E137" s="312">
        <v>536.78</v>
      </c>
      <c r="F137" s="314">
        <v>5696.57</v>
      </c>
      <c r="G137" s="352">
        <f t="shared" si="320"/>
      </c>
      <c r="H137" s="315">
        <v>0</v>
      </c>
      <c r="I137" s="316">
        <f t="shared" si="356"/>
      </c>
      <c r="J137" s="316">
        <f t="shared" si="518"/>
      </c>
      <c r="K137" s="317">
        <f t="shared" si="76"/>
      </c>
      <c r="L137" s="318">
        <f t="shared" si="106"/>
      </c>
      <c r="M137" s="319">
        <f t="shared" si="242"/>
      </c>
      <c r="N137" s="320">
        <f t="shared" si="397"/>
      </c>
      <c r="O137" s="320">
        <f t="shared" si="16"/>
      </c>
      <c r="P137" s="320">
        <f t="shared" si="136"/>
      </c>
      <c r="Q137" s="321">
        <f t="shared" si="272"/>
      </c>
      <c r="R137" s="322">
        <f t="shared" si="427"/>
      </c>
      <c r="S137" s="320">
        <f t="shared" si="46"/>
      </c>
      <c r="T137" s="323">
        <f t="shared" si="457"/>
      </c>
      <c r="U137" s="323">
        <f t="shared" si="166"/>
      </c>
      <c r="V137" s="320">
        <f t="shared" si="302"/>
      </c>
      <c r="W137" s="325">
        <v>17</v>
      </c>
      <c r="X137" s="325">
        <v>2</v>
      </c>
      <c r="Y137" s="325">
        <v>8</v>
      </c>
      <c r="Z137" s="326">
        <v>9728.64</v>
      </c>
      <c r="AA137" s="326">
        <v>4273.000000000001</v>
      </c>
      <c r="AB137" s="321">
        <f t="shared" si="487"/>
      </c>
      <c r="AC137" s="327" t="s">
        <v>284</v>
      </c>
      <c r="AD137" s="328" t="s">
        <v>291</v>
      </c>
      <c r="AE137" s="329">
        <v>6</v>
      </c>
      <c r="AF137" s="330">
        <v>104465</v>
      </c>
      <c r="AG137" s="330">
        <v>983</v>
      </c>
      <c r="AH137" s="330">
        <v>997</v>
      </c>
      <c r="AI137" s="331">
        <v>121</v>
      </c>
      <c r="AJ137" s="331">
        <v>185</v>
      </c>
    </row>
    <row customHeight="true" ht="18.601190476190478" r="138">
      <c r="A138" s="310"/>
      <c r="B138" s="311" t="s">
        <v>297</v>
      </c>
      <c r="C138" s="332" t="s">
        <v>287</v>
      </c>
      <c r="D138" s="313">
        <f t="shared" si="197"/>
      </c>
      <c r="E138" s="312">
        <v>1040.3</v>
      </c>
      <c r="F138" s="314">
        <v>5052.25</v>
      </c>
      <c r="G138" s="352">
        <f t="shared" si="320"/>
      </c>
      <c r="H138" s="315">
        <v>0</v>
      </c>
      <c r="I138" s="316">
        <f t="shared" si="356"/>
      </c>
      <c r="J138" s="316">
        <f t="shared" si="518"/>
      </c>
      <c r="K138" s="317">
        <f t="shared" si="76"/>
      </c>
      <c r="L138" s="318">
        <f t="shared" si="106"/>
      </c>
      <c r="M138" s="319">
        <f t="shared" si="242"/>
      </c>
      <c r="N138" s="320">
        <f t="shared" si="397"/>
      </c>
      <c r="O138" s="320">
        <f t="shared" si="16"/>
      </c>
      <c r="P138" s="320">
        <f t="shared" si="136"/>
      </c>
      <c r="Q138" s="321">
        <f t="shared" si="272"/>
      </c>
      <c r="R138" s="322">
        <f t="shared" si="427"/>
      </c>
      <c r="S138" s="320">
        <f t="shared" si="46"/>
      </c>
      <c r="T138" s="323">
        <f t="shared" si="457"/>
      </c>
      <c r="U138" s="323">
        <f t="shared" si="166"/>
      </c>
      <c r="V138" s="320">
        <f t="shared" si="302"/>
      </c>
      <c r="W138" s="325">
        <v>13</v>
      </c>
      <c r="X138" s="325">
        <v>3</v>
      </c>
      <c r="Y138" s="325">
        <v>7</v>
      </c>
      <c r="Z138" s="326">
        <v>8608.559999999998</v>
      </c>
      <c r="AA138" s="326">
        <v>1520</v>
      </c>
      <c r="AB138" s="321">
        <f t="shared" si="487"/>
      </c>
      <c r="AC138" s="327" t="s">
        <v>284</v>
      </c>
      <c r="AD138" s="328" t="s">
        <v>291</v>
      </c>
      <c r="AE138" s="331">
        <v>5</v>
      </c>
      <c r="AF138" s="330">
        <v>97630</v>
      </c>
      <c r="AG138" s="330">
        <v>744</v>
      </c>
      <c r="AH138" s="330">
        <v>685</v>
      </c>
      <c r="AI138" s="331">
        <v>129</v>
      </c>
      <c r="AJ138" s="331">
        <v>171</v>
      </c>
    </row>
    <row customHeight="true" ht="18.601190476190478" r="139">
      <c r="A139" s="310"/>
      <c r="B139" s="311" t="s">
        <v>297</v>
      </c>
      <c r="C139" s="312" t="s">
        <v>288</v>
      </c>
      <c r="D139" s="313">
        <f t="shared" si="197"/>
      </c>
      <c r="E139" s="312">
        <v>1396.12</v>
      </c>
      <c r="F139" s="314">
        <v>5169.95</v>
      </c>
      <c r="G139" s="352">
        <f t="shared" si="320"/>
      </c>
      <c r="H139" s="315">
        <v>0</v>
      </c>
      <c r="I139" s="316">
        <f t="shared" si="356"/>
      </c>
      <c r="J139" s="316">
        <f t="shared" si="518"/>
      </c>
      <c r="K139" s="317">
        <f t="shared" si="76"/>
      </c>
      <c r="L139" s="318">
        <f t="shared" si="106"/>
      </c>
      <c r="M139" s="319">
        <f t="shared" si="242"/>
      </c>
      <c r="N139" s="320">
        <f t="shared" si="397"/>
      </c>
      <c r="O139" s="320">
        <f t="shared" si="16"/>
      </c>
      <c r="P139" s="320">
        <f t="shared" si="136"/>
      </c>
      <c r="Q139" s="321">
        <f t="shared" si="272"/>
      </c>
      <c r="R139" s="322">
        <f t="shared" si="427"/>
      </c>
      <c r="S139" s="320">
        <f t="shared" si="46"/>
      </c>
      <c r="T139" s="323">
        <f t="shared" si="457"/>
      </c>
      <c r="U139" s="323">
        <f t="shared" si="166"/>
      </c>
      <c r="V139" s="320">
        <f t="shared" si="302"/>
      </c>
      <c r="W139" s="325">
        <v>16</v>
      </c>
      <c r="X139" s="325">
        <v>11</v>
      </c>
      <c r="Y139" s="325">
        <v>6</v>
      </c>
      <c r="Z139" s="315">
        <v>25822.68</v>
      </c>
      <c r="AA139" s="326">
        <v>0</v>
      </c>
      <c r="AB139" s="321">
        <f t="shared" si="487"/>
      </c>
      <c r="AC139" s="327" t="s">
        <v>284</v>
      </c>
      <c r="AD139" s="328" t="s">
        <v>291</v>
      </c>
      <c r="AE139" s="329">
        <v>6</v>
      </c>
      <c r="AF139" s="330">
        <v>92660</v>
      </c>
      <c r="AG139" s="330">
        <v>787</v>
      </c>
      <c r="AH139" s="330">
        <v>723</v>
      </c>
      <c r="AI139" s="331">
        <v>123</v>
      </c>
      <c r="AJ139" s="331">
        <v>157</v>
      </c>
    </row>
    <row customHeight="true" ht="18.601190476190478" r="140">
      <c r="A140" s="310"/>
      <c r="B140" s="311" t="s">
        <v>297</v>
      </c>
      <c r="C140" s="332" t="s">
        <v>289</v>
      </c>
      <c r="D140" s="313">
        <f t="shared" si="197"/>
      </c>
      <c r="E140" s="312">
        <v>545.29</v>
      </c>
      <c r="F140" s="314">
        <v>8305.69</v>
      </c>
      <c r="G140" s="352">
        <f t="shared" si="320"/>
      </c>
      <c r="H140" s="315">
        <v>4116.96</v>
      </c>
      <c r="I140" s="316">
        <f t="shared" si="356"/>
      </c>
      <c r="J140" s="316">
        <f t="shared" si="518"/>
      </c>
      <c r="K140" s="317">
        <f t="shared" si="76"/>
      </c>
      <c r="L140" s="318">
        <f t="shared" si="106"/>
      </c>
      <c r="M140" s="319">
        <f t="shared" si="242"/>
      </c>
      <c r="N140" s="320">
        <f t="shared" si="397"/>
      </c>
      <c r="O140" s="320">
        <f t="shared" si="16"/>
      </c>
      <c r="P140" s="320">
        <f t="shared" si="136"/>
      </c>
      <c r="Q140" s="321">
        <f t="shared" si="272"/>
      </c>
      <c r="R140" s="322">
        <f t="shared" si="427"/>
      </c>
      <c r="S140" s="320">
        <f t="shared" si="46"/>
      </c>
      <c r="T140" s="323">
        <f t="shared" si="457"/>
      </c>
      <c r="U140" s="323">
        <f t="shared" si="166"/>
      </c>
      <c r="V140" s="320">
        <f t="shared" si="302"/>
      </c>
      <c r="W140" s="325">
        <v>20</v>
      </c>
      <c r="X140" s="325">
        <v>7</v>
      </c>
      <c r="Y140" s="325">
        <v>5</v>
      </c>
      <c r="Z140" s="326">
        <v>11814.119999999995</v>
      </c>
      <c r="AA140" s="326">
        <v>0</v>
      </c>
      <c r="AB140" s="321">
        <f t="shared" si="487"/>
      </c>
      <c r="AC140" s="327" t="s">
        <v>284</v>
      </c>
      <c r="AD140" s="328" t="s">
        <v>291</v>
      </c>
      <c r="AE140" s="329">
        <v>4</v>
      </c>
      <c r="AF140" s="330">
        <v>145538</v>
      </c>
      <c r="AG140" s="330">
        <v>775</v>
      </c>
      <c r="AH140" s="330">
        <v>653</v>
      </c>
      <c r="AI140" s="331">
        <v>126</v>
      </c>
      <c r="AJ140" s="331">
        <v>193</v>
      </c>
    </row>
    <row customHeight="true" ht="18.601190476190478" r="141">
      <c r="A141" s="310"/>
      <c r="B141" s="333" t="s">
        <v>290</v>
      </c>
      <c r="C141" s="334">
        <v>5</v>
      </c>
      <c r="D141" s="335">
        <f>SUM(D136:D140)</f>
      </c>
      <c r="E141" s="335">
        <f>SUM(E136:E140)</f>
      </c>
      <c r="F141" s="335">
        <f>SUM(F136:F140)</f>
      </c>
      <c r="G141" s="335">
        <f>SUM(G136:G140)</f>
      </c>
      <c r="H141" s="335">
        <f>SUM(H136:H140)</f>
      </c>
      <c r="I141" s="335">
        <f>SUM(I136:I140)</f>
      </c>
      <c r="J141" s="335">
        <f>SUM(J136:J140)</f>
      </c>
      <c r="K141" s="336">
        <f t="shared" si="76"/>
      </c>
      <c r="L141" s="337">
        <f t="shared" si="106"/>
      </c>
      <c r="M141" s="337">
        <f t="shared" si="242"/>
      </c>
      <c r="N141" s="338">
        <f t="shared" si="397"/>
      </c>
      <c r="O141" s="338">
        <f t="shared" si="16"/>
      </c>
      <c r="P141" s="338">
        <f t="shared" si="136"/>
      </c>
      <c r="Q141" s="339">
        <f t="shared" si="272"/>
      </c>
      <c r="R141" s="339">
        <f t="shared" si="427"/>
      </c>
      <c r="S141" s="338">
        <f t="shared" si="46"/>
      </c>
      <c r="T141" s="339">
        <f t="shared" si="457"/>
      </c>
      <c r="U141" s="339">
        <f t="shared" si="166"/>
      </c>
      <c r="V141" s="338">
        <f t="shared" si="302"/>
      </c>
      <c r="W141" s="335">
        <f>SUM(W136:W140)</f>
      </c>
      <c r="X141" s="335">
        <f>SUM(X136:X140)</f>
      </c>
      <c r="Y141" s="335">
        <f>SUM(Y136:Y140)</f>
      </c>
      <c r="Z141" s="335">
        <f>SUM(Z136:Z140)</f>
      </c>
      <c r="AA141" s="335">
        <f>SUM(AA136:AA140)</f>
      </c>
      <c r="AB141" s="340">
        <f t="shared" si="487"/>
      </c>
      <c r="AC141" s="341"/>
      <c r="AD141" s="342"/>
      <c r="AE141" s="335">
        <f>SUM(AE136:AE140)</f>
      </c>
      <c r="AF141" s="335">
        <f>SUM(AF136:AF140)</f>
      </c>
      <c r="AG141" s="335">
        <f>SUM(AG136:AG140)</f>
      </c>
      <c r="AH141" s="335">
        <f>SUM(AH136:AH140)</f>
      </c>
      <c r="AI141" s="335">
        <f>SUM(AI136:AI140)</f>
      </c>
      <c r="AJ141" s="335">
        <f>SUM(AJ136:AJ140)</f>
      </c>
    </row>
    <row customHeight="true" ht="18.601190476190478" r="142">
      <c r="A142" s="310"/>
      <c r="B142" s="343" t="s">
        <v>290</v>
      </c>
      <c r="C142" s="344">
        <f>C141+C135</f>
      </c>
      <c r="D142" s="354">
        <f>D141+D135</f>
      </c>
      <c r="E142" s="354">
        <f>E141+E135</f>
      </c>
      <c r="F142" s="354">
        <f>F141+F135</f>
      </c>
      <c r="G142" s="354">
        <f>G141+G135</f>
      </c>
      <c r="H142" s="354">
        <f>H141+H135</f>
      </c>
      <c r="I142" s="354">
        <f>I141+I135</f>
      </c>
      <c r="J142" s="354">
        <f>J141+J135</f>
      </c>
      <c r="K142" s="346">
        <f t="shared" si="76"/>
      </c>
      <c r="L142" s="346">
        <f t="shared" si="106"/>
      </c>
      <c r="M142" s="346">
        <f t="shared" si="242"/>
      </c>
      <c r="N142" s="346">
        <f t="shared" si="397"/>
      </c>
      <c r="O142" s="346">
        <f t="shared" si="16"/>
      </c>
      <c r="P142" s="346">
        <f t="shared" si="136"/>
      </c>
      <c r="Q142" s="347">
        <f t="shared" si="272"/>
      </c>
      <c r="R142" s="347">
        <f t="shared" si="427"/>
      </c>
      <c r="S142" s="346">
        <f t="shared" si="46"/>
      </c>
      <c r="T142" s="347">
        <f t="shared" si="457"/>
      </c>
      <c r="U142" s="347">
        <f t="shared" si="166"/>
      </c>
      <c r="V142" s="346">
        <f t="shared" si="302"/>
      </c>
      <c r="W142" s="354">
        <f>W141+W135</f>
      </c>
      <c r="X142" s="354">
        <f>X141+X135</f>
      </c>
      <c r="Y142" s="354">
        <f>Y141+Y135</f>
      </c>
      <c r="Z142" s="354">
        <f>Z141+Z135</f>
      </c>
      <c r="AA142" s="354">
        <f>AA141+AA135</f>
      </c>
      <c r="AB142" s="350">
        <f t="shared" si="487"/>
      </c>
      <c r="AC142" s="343"/>
      <c r="AD142" s="343"/>
      <c r="AE142" s="354">
        <f>AE141+AE135</f>
      </c>
      <c r="AF142" s="354">
        <f>AF141+AF135</f>
      </c>
      <c r="AG142" s="354">
        <f>AG141+AG135</f>
      </c>
      <c r="AH142" s="354">
        <f>AH141+AH135</f>
      </c>
      <c r="AI142" s="354">
        <f>AI141+AI135</f>
      </c>
      <c r="AJ142" s="354">
        <f>AJ141+AJ135</f>
      </c>
    </row>
    <row customHeight="true" ht="18.601190476190478" r="143">
      <c r="A143" s="297" t="s">
        <v>246</v>
      </c>
      <c r="B143" s="298" t="s">
        <v>247</v>
      </c>
      <c r="C143" s="298" t="s">
        <v>248</v>
      </c>
      <c r="D143" s="299" t="s">
        <v>249</v>
      </c>
      <c r="E143" s="298" t="s">
        <v>250</v>
      </c>
      <c r="F143" s="298" t="s">
        <v>251</v>
      </c>
      <c r="G143" s="299" t="s">
        <v>252</v>
      </c>
      <c r="H143" s="300" t="s">
        <v>253</v>
      </c>
      <c r="I143" s="301" t="s">
        <v>254</v>
      </c>
      <c r="J143" s="301" t="s">
        <v>255</v>
      </c>
      <c r="K143" s="302" t="s">
        <v>256</v>
      </c>
      <c r="L143" s="301" t="s">
        <v>257</v>
      </c>
      <c r="M143" s="298" t="s">
        <v>258</v>
      </c>
      <c r="N143" s="302" t="s">
        <v>259</v>
      </c>
      <c r="O143" s="303" t="s">
        <v>260</v>
      </c>
      <c r="P143" s="303" t="s">
        <v>261</v>
      </c>
      <c r="Q143" s="299" t="s">
        <v>262</v>
      </c>
      <c r="R143" s="304" t="s">
        <v>263</v>
      </c>
      <c r="S143" s="302" t="s">
        <v>264</v>
      </c>
      <c r="T143" s="305" t="s">
        <v>265</v>
      </c>
      <c r="U143" s="306" t="s">
        <v>266</v>
      </c>
      <c r="V143" s="302" t="s">
        <v>267</v>
      </c>
      <c r="W143" s="307" t="s">
        <v>268</v>
      </c>
      <c r="X143" s="308" t="s">
        <v>269</v>
      </c>
      <c r="Y143" s="307" t="s">
        <v>270</v>
      </c>
      <c r="Z143" s="309" t="s">
        <v>271</v>
      </c>
      <c r="AA143" s="309" t="s">
        <v>272</v>
      </c>
      <c r="AB143" s="301" t="s">
        <v>273</v>
      </c>
      <c r="AC143" s="300" t="s">
        <v>274</v>
      </c>
      <c r="AD143" s="301" t="s">
        <v>275</v>
      </c>
      <c r="AE143" s="300" t="s">
        <v>276</v>
      </c>
      <c r="AF143" s="300" t="s">
        <v>277</v>
      </c>
      <c r="AG143" s="301" t="s">
        <v>278</v>
      </c>
      <c r="AH143" s="300" t="s">
        <v>279</v>
      </c>
      <c r="AI143" s="301" t="s">
        <v>280</v>
      </c>
      <c r="AJ143" s="300" t="s">
        <v>281</v>
      </c>
    </row>
    <row customHeight="true" ht="18.601190476190478" r="144">
      <c r="A144" s="310">
        <v>46222</v>
      </c>
      <c r="B144" s="311" t="s">
        <v>282</v>
      </c>
      <c r="C144" s="312" t="s">
        <v>292</v>
      </c>
      <c r="D144" s="313">
        <f t="shared" ref="D144:D148" si="198">E144+F144</f>
      </c>
      <c r="E144" s="312">
        <v>2344.36</v>
      </c>
      <c r="F144" s="314">
        <v>2555</v>
      </c>
      <c r="G144" s="314">
        <v>5646.8</v>
      </c>
      <c r="H144" s="315">
        <v>0</v>
      </c>
      <c r="I144" s="316">
        <f t="shared" ref="I144:I148" si="357">G144-H144</f>
      </c>
      <c r="J144" s="316">
        <f t="shared" ref="J144:J148" si="519">(G144-AA144)/12+AA144</f>
      </c>
      <c r="K144" s="317">
        <f t="shared" ref="K144:K156" si="77">G144/D144</f>
      </c>
      <c r="L144" s="318">
        <f t="shared" ref="L144:L156" si="107">(G144-H144)/D144</f>
      </c>
      <c r="M144" s="319">
        <f t="shared" ref="M144:M156" si="243">(AA144+Z144/12)/D144</f>
      </c>
      <c r="N144" s="320">
        <f t="shared" ref="N144:N156" si="398">G144/Y144</f>
      </c>
      <c r="O144" s="320">
        <f t="shared" ref="O144:O156" si="17">D144/Y144</f>
      </c>
      <c r="P144" s="320">
        <f t="shared" ref="P144:P156" si="137">D144/AE144</f>
      </c>
      <c r="Q144" s="321">
        <f t="shared" ref="Q144:Q156" si="273">Y144/W144</f>
      </c>
      <c r="R144" s="322">
        <f t="shared" ref="R144:R156" si="428">AG144/AF144</f>
      </c>
      <c r="S144" s="320">
        <f t="shared" ref="S144:S156" si="47">D144/AH144</f>
      </c>
      <c r="T144" s="323">
        <f t="shared" ref="T144:T156" si="458">AI144/AH144</f>
      </c>
      <c r="U144" s="323">
        <f t="shared" ref="U144:U156" si="167">AJ144/AH144</f>
      </c>
      <c r="V144" s="320">
        <f t="shared" ref="V144:V156" si="303">D144/AJ144</f>
      </c>
      <c r="W144" s="325">
        <v>11</v>
      </c>
      <c r="X144" s="325">
        <v>5</v>
      </c>
      <c r="Y144" s="325">
        <v>4</v>
      </c>
      <c r="Z144" s="326">
        <v>2035.8</v>
      </c>
      <c r="AA144" s="326">
        <v>3611</v>
      </c>
      <c r="AB144" s="321">
        <f t="shared" ref="AB144:AB156" si="488">AA144/G144</f>
      </c>
      <c r="AC144" s="327" t="s">
        <v>284</v>
      </c>
      <c r="AD144" s="353" t="s">
        <v>285</v>
      </c>
      <c r="AE144" s="329">
        <v>3</v>
      </c>
      <c r="AF144" s="330">
        <v>57686</v>
      </c>
      <c r="AG144" s="330">
        <v>1059</v>
      </c>
      <c r="AH144" s="330">
        <v>1096</v>
      </c>
      <c r="AI144" s="329">
        <v>134</v>
      </c>
      <c r="AJ144" s="331">
        <v>129</v>
      </c>
    </row>
    <row customHeight="true" ht="18.601190476190478" r="145">
      <c r="A145" s="310"/>
      <c r="B145" s="311" t="s">
        <v>282</v>
      </c>
      <c r="C145" s="312" t="s">
        <v>293</v>
      </c>
      <c r="D145" s="313">
        <f t="shared" si="198"/>
      </c>
      <c r="E145" s="312">
        <v>2686.89</v>
      </c>
      <c r="F145" s="314">
        <v>2000</v>
      </c>
      <c r="G145" s="314">
        <v>16225.56</v>
      </c>
      <c r="H145" s="315">
        <v>970.92</v>
      </c>
      <c r="I145" s="316">
        <f t="shared" si="357"/>
      </c>
      <c r="J145" s="316">
        <f t="shared" si="519"/>
      </c>
      <c r="K145" s="317">
        <f t="shared" si="77"/>
      </c>
      <c r="L145" s="318">
        <f t="shared" si="107"/>
      </c>
      <c r="M145" s="319">
        <f t="shared" si="243"/>
      </c>
      <c r="N145" s="320">
        <f t="shared" si="398"/>
      </c>
      <c r="O145" s="320">
        <f t="shared" si="17"/>
      </c>
      <c r="P145" s="320">
        <f t="shared" si="137"/>
      </c>
      <c r="Q145" s="321">
        <f t="shared" si="273"/>
      </c>
      <c r="R145" s="322">
        <f t="shared" si="428"/>
      </c>
      <c r="S145" s="320">
        <f t="shared" si="47"/>
      </c>
      <c r="T145" s="323">
        <f t="shared" si="458"/>
      </c>
      <c r="U145" s="323">
        <f t="shared" si="167"/>
      </c>
      <c r="V145" s="320">
        <f t="shared" si="303"/>
      </c>
      <c r="W145" s="325">
        <v>18</v>
      </c>
      <c r="X145" s="325">
        <v>6</v>
      </c>
      <c r="Y145" s="325">
        <v>4</v>
      </c>
      <c r="Z145" s="326">
        <v>16225.56</v>
      </c>
      <c r="AA145" s="326">
        <v>0</v>
      </c>
      <c r="AB145" s="321">
        <f t="shared" si="488"/>
      </c>
      <c r="AC145" s="327" t="s">
        <v>284</v>
      </c>
      <c r="AD145" s="353" t="s">
        <v>285</v>
      </c>
      <c r="AE145" s="329">
        <v>4</v>
      </c>
      <c r="AF145" s="330">
        <v>53514</v>
      </c>
      <c r="AG145" s="330">
        <v>1377</v>
      </c>
      <c r="AH145" s="330">
        <v>1455</v>
      </c>
      <c r="AI145" s="331">
        <v>131</v>
      </c>
      <c r="AJ145" s="331">
        <v>150</v>
      </c>
    </row>
    <row r="146">
      <c r="A146" s="310"/>
      <c r="B146" s="311" t="s">
        <v>282</v>
      </c>
      <c r="C146" s="312" t="s">
        <v>294</v>
      </c>
      <c r="D146" s="313">
        <f t="shared" si="198"/>
      </c>
      <c r="E146" s="312">
        <v>1996.98</v>
      </c>
      <c r="F146" s="314">
        <v>2999.83</v>
      </c>
      <c r="G146" s="314">
        <v>9468.36</v>
      </c>
      <c r="H146" s="315">
        <v>4079.16</v>
      </c>
      <c r="I146" s="316">
        <f t="shared" si="357"/>
      </c>
      <c r="J146" s="316">
        <f t="shared" si="519"/>
      </c>
      <c r="K146" s="317">
        <f t="shared" si="77"/>
      </c>
      <c r="L146" s="318">
        <f t="shared" si="107"/>
      </c>
      <c r="M146" s="319">
        <f t="shared" si="243"/>
      </c>
      <c r="N146" s="320">
        <f t="shared" si="398"/>
      </c>
      <c r="O146" s="320">
        <f t="shared" si="17"/>
      </c>
      <c r="P146" s="320">
        <f t="shared" si="137"/>
      </c>
      <c r="Q146" s="321">
        <f t="shared" si="273"/>
      </c>
      <c r="R146" s="322">
        <f t="shared" si="428"/>
      </c>
      <c r="S146" s="320">
        <f t="shared" si="47"/>
      </c>
      <c r="T146" s="323">
        <f t="shared" si="458"/>
      </c>
      <c r="U146" s="323">
        <f t="shared" si="167"/>
      </c>
      <c r="V146" s="320">
        <f t="shared" si="303"/>
      </c>
      <c r="W146" s="325">
        <v>14</v>
      </c>
      <c r="X146" s="325">
        <v>5</v>
      </c>
      <c r="Y146" s="325">
        <v>7</v>
      </c>
      <c r="Z146" s="326">
        <v>9468.36</v>
      </c>
      <c r="AA146" s="326">
        <v>0</v>
      </c>
      <c r="AB146" s="321">
        <f t="shared" si="488"/>
      </c>
      <c r="AC146" s="327" t="s">
        <v>284</v>
      </c>
      <c r="AD146" s="353" t="s">
        <v>285</v>
      </c>
      <c r="AE146" s="331">
        <v>7</v>
      </c>
      <c r="AF146" s="330">
        <v>61978</v>
      </c>
      <c r="AG146" s="330">
        <v>1285</v>
      </c>
      <c r="AH146" s="330">
        <v>1366</v>
      </c>
      <c r="AI146" s="331">
        <v>145</v>
      </c>
      <c r="AJ146" s="331">
        <v>174</v>
      </c>
    </row>
    <row r="147">
      <c r="A147" s="310"/>
      <c r="B147" s="311" t="s">
        <v>282</v>
      </c>
      <c r="C147" s="312" t="s">
        <v>295</v>
      </c>
      <c r="D147" s="313">
        <f t="shared" si="198"/>
      </c>
      <c r="E147" s="312">
        <v>3544.84</v>
      </c>
      <c r="F147" s="314">
        <v>5037.86</v>
      </c>
      <c r="G147" s="314">
        <v>7504.92</v>
      </c>
      <c r="H147" s="315">
        <v>1128.6</v>
      </c>
      <c r="I147" s="316">
        <f t="shared" si="357"/>
      </c>
      <c r="J147" s="316">
        <f t="shared" si="519"/>
      </c>
      <c r="K147" s="317">
        <f t="shared" si="77"/>
      </c>
      <c r="L147" s="318">
        <f t="shared" si="107"/>
      </c>
      <c r="M147" s="319">
        <f t="shared" si="243"/>
      </c>
      <c r="N147" s="320">
        <f t="shared" si="398"/>
      </c>
      <c r="O147" s="320">
        <f t="shared" si="17"/>
      </c>
      <c r="P147" s="320">
        <f t="shared" si="137"/>
      </c>
      <c r="Q147" s="321">
        <f t="shared" si="273"/>
      </c>
      <c r="R147" s="322">
        <f t="shared" si="428"/>
      </c>
      <c r="S147" s="320">
        <f t="shared" si="47"/>
      </c>
      <c r="T147" s="323">
        <f t="shared" si="458"/>
      </c>
      <c r="U147" s="323">
        <f t="shared" si="167"/>
      </c>
      <c r="V147" s="320">
        <f t="shared" si="303"/>
      </c>
      <c r="W147" s="325">
        <v>7</v>
      </c>
      <c r="X147" s="325">
        <v>3</v>
      </c>
      <c r="Y147" s="325">
        <v>7</v>
      </c>
      <c r="Z147" s="315">
        <v>7504.92</v>
      </c>
      <c r="AA147" s="326">
        <v>0</v>
      </c>
      <c r="AB147" s="321">
        <f t="shared" si="488"/>
      </c>
      <c r="AC147" s="327" t="s">
        <v>284</v>
      </c>
      <c r="AD147" s="353" t="s">
        <v>285</v>
      </c>
      <c r="AE147" s="329">
        <v>7</v>
      </c>
      <c r="AF147" s="330">
        <v>120718</v>
      </c>
      <c r="AG147" s="330">
        <v>2312</v>
      </c>
      <c r="AH147" s="330">
        <v>2450</v>
      </c>
      <c r="AI147" s="331">
        <v>157</v>
      </c>
      <c r="AJ147" s="331">
        <v>193</v>
      </c>
    </row>
    <row r="148">
      <c r="A148" s="310"/>
      <c r="B148" s="311" t="s">
        <v>282</v>
      </c>
      <c r="C148" s="312" t="s">
        <v>296</v>
      </c>
      <c r="D148" s="313">
        <f t="shared" si="198"/>
      </c>
      <c r="E148" s="312">
        <v>2967.14</v>
      </c>
      <c r="F148" s="314">
        <v>2939.8</v>
      </c>
      <c r="G148" s="314">
        <v>11263.32</v>
      </c>
      <c r="H148" s="315">
        <v>4461.48</v>
      </c>
      <c r="I148" s="316">
        <f t="shared" si="357"/>
      </c>
      <c r="J148" s="316">
        <f t="shared" si="519"/>
      </c>
      <c r="K148" s="317">
        <f t="shared" si="77"/>
      </c>
      <c r="L148" s="318">
        <f t="shared" si="107"/>
      </c>
      <c r="M148" s="319">
        <f t="shared" si="243"/>
      </c>
      <c r="N148" s="320">
        <f t="shared" si="398"/>
      </c>
      <c r="O148" s="320">
        <f t="shared" si="17"/>
      </c>
      <c r="P148" s="320">
        <f t="shared" si="137"/>
      </c>
      <c r="Q148" s="321">
        <f t="shared" si="273"/>
      </c>
      <c r="R148" s="322">
        <f t="shared" si="428"/>
      </c>
      <c r="S148" s="320">
        <f t="shared" si="47"/>
      </c>
      <c r="T148" s="323">
        <f t="shared" si="458"/>
      </c>
      <c r="U148" s="323">
        <f t="shared" si="167"/>
      </c>
      <c r="V148" s="320">
        <f t="shared" si="303"/>
      </c>
      <c r="W148" s="325">
        <v>8</v>
      </c>
      <c r="X148" s="325">
        <v>3</v>
      </c>
      <c r="Y148" s="325">
        <v>6</v>
      </c>
      <c r="Z148" s="326">
        <v>11263.32</v>
      </c>
      <c r="AA148" s="326">
        <v>0</v>
      </c>
      <c r="AB148" s="321">
        <f t="shared" si="488"/>
      </c>
      <c r="AC148" s="327" t="s">
        <v>284</v>
      </c>
      <c r="AD148" s="353" t="s">
        <v>285</v>
      </c>
      <c r="AE148" s="329">
        <v>5</v>
      </c>
      <c r="AF148" s="330">
        <v>85413</v>
      </c>
      <c r="AG148" s="330">
        <v>1651</v>
      </c>
      <c r="AH148" s="330">
        <v>1744</v>
      </c>
      <c r="AI148" s="331">
        <v>143</v>
      </c>
      <c r="AJ148" s="331">
        <v>147</v>
      </c>
    </row>
    <row r="149">
      <c r="A149" s="310"/>
      <c r="B149" s="333" t="s">
        <v>290</v>
      </c>
      <c r="C149" s="334">
        <v>5</v>
      </c>
      <c r="D149" s="335">
        <f>SUM(D144:D148)</f>
      </c>
      <c r="E149" s="335">
        <f>SUM(E144:E148)</f>
      </c>
      <c r="F149" s="335">
        <f>SUM(F144:F148)</f>
      </c>
      <c r="G149" s="335">
        <f>SUM(G144:G148)</f>
      </c>
      <c r="H149" s="335">
        <f>SUM(H144:H148)</f>
      </c>
      <c r="I149" s="335">
        <f>SUM(I144:I148)</f>
      </c>
      <c r="J149" s="335">
        <f>SUM(J144:J148)</f>
      </c>
      <c r="K149" s="336">
        <f t="shared" si="77"/>
      </c>
      <c r="L149" s="337">
        <f t="shared" si="107"/>
      </c>
      <c r="M149" s="337">
        <f t="shared" si="243"/>
      </c>
      <c r="N149" s="338">
        <f t="shared" si="398"/>
      </c>
      <c r="O149" s="338">
        <f t="shared" si="17"/>
      </c>
      <c r="P149" s="338">
        <f t="shared" si="137"/>
      </c>
      <c r="Q149" s="339">
        <f t="shared" si="273"/>
      </c>
      <c r="R149" s="339">
        <f t="shared" si="428"/>
      </c>
      <c r="S149" s="338">
        <f t="shared" si="47"/>
      </c>
      <c r="T149" s="339">
        <f t="shared" si="458"/>
      </c>
      <c r="U149" s="339">
        <f t="shared" si="167"/>
      </c>
      <c r="V149" s="338">
        <f t="shared" si="303"/>
      </c>
      <c r="W149" s="335">
        <f>SUM(W144:W148)</f>
      </c>
      <c r="X149" s="335">
        <f>SUM(X144:X148)</f>
      </c>
      <c r="Y149" s="335">
        <f>SUM(Y144:Y148)</f>
      </c>
      <c r="Z149" s="335">
        <f>SUM(Z144:Z148)</f>
      </c>
      <c r="AA149" s="335">
        <f>SUM(AA144:AA148)</f>
      </c>
      <c r="AB149" s="340">
        <f t="shared" si="488"/>
      </c>
      <c r="AC149" s="341"/>
      <c r="AD149" s="342"/>
      <c r="AE149" s="335">
        <f>SUM(AE144:AE148)</f>
      </c>
      <c r="AF149" s="335">
        <f>SUM(AF144:AF148)</f>
      </c>
      <c r="AG149" s="335">
        <f>SUM(AG144:AG148)</f>
      </c>
      <c r="AH149" s="335">
        <f>SUM(AH144:AH148)</f>
      </c>
      <c r="AI149" s="335">
        <f>SUM(AI144:AI148)</f>
      </c>
      <c r="AJ149" s="335">
        <f>SUM(AJ144:AJ148)</f>
      </c>
    </row>
    <row r="150">
      <c r="A150" s="310"/>
      <c r="B150" s="311" t="s">
        <v>297</v>
      </c>
      <c r="C150" s="312" t="s">
        <v>283</v>
      </c>
      <c r="D150" s="313">
        <f t="shared" ref="D150:D154" si="199">E150+F150</f>
      </c>
      <c r="E150" s="312">
        <v>3497.82</v>
      </c>
      <c r="F150" s="314">
        <v>3012.03</v>
      </c>
      <c r="G150" s="352">
        <f t="shared" ref="G150:G154" si="321">Z150+AA150</f>
      </c>
      <c r="H150" s="315">
        <v>2142.7199999999993</v>
      </c>
      <c r="I150" s="316">
        <f t="shared" ref="I150:I154" si="358">G150-H150</f>
      </c>
      <c r="J150" s="316">
        <f t="shared" ref="J150:J154" si="520">(G150-AA150)/12+AA150</f>
      </c>
      <c r="K150" s="317">
        <f t="shared" si="77"/>
      </c>
      <c r="L150" s="318">
        <f t="shared" si="107"/>
      </c>
      <c r="M150" s="319">
        <f t="shared" si="243"/>
      </c>
      <c r="N150" s="320">
        <f t="shared" si="398"/>
      </c>
      <c r="O150" s="320">
        <f t="shared" si="17"/>
      </c>
      <c r="P150" s="320">
        <f t="shared" si="137"/>
      </c>
      <c r="Q150" s="321">
        <f t="shared" si="273"/>
      </c>
      <c r="R150" s="322">
        <f t="shared" si="428"/>
      </c>
      <c r="S150" s="320">
        <f t="shared" si="47"/>
      </c>
      <c r="T150" s="323">
        <f t="shared" si="458"/>
      </c>
      <c r="U150" s="323">
        <f t="shared" si="167"/>
      </c>
      <c r="V150" s="320">
        <f t="shared" si="303"/>
      </c>
      <c r="W150" s="325">
        <v>9</v>
      </c>
      <c r="X150" s="325">
        <v>4</v>
      </c>
      <c r="Y150" s="325">
        <v>6</v>
      </c>
      <c r="Z150" s="326">
        <v>10139.04</v>
      </c>
      <c r="AA150" s="326">
        <v>0</v>
      </c>
      <c r="AB150" s="321">
        <f t="shared" si="488"/>
      </c>
      <c r="AC150" s="327" t="s">
        <v>284</v>
      </c>
      <c r="AD150" s="328" t="s">
        <v>291</v>
      </c>
      <c r="AE150" s="329">
        <v>5</v>
      </c>
      <c r="AF150" s="330">
        <v>106809</v>
      </c>
      <c r="AG150" s="330">
        <v>1802</v>
      </c>
      <c r="AH150" s="330">
        <v>1922</v>
      </c>
      <c r="AI150" s="329">
        <v>131</v>
      </c>
      <c r="AJ150" s="331">
        <v>152</v>
      </c>
    </row>
    <row r="151">
      <c r="A151" s="310"/>
      <c r="B151" s="311" t="s">
        <v>297</v>
      </c>
      <c r="C151" s="332" t="s">
        <v>286</v>
      </c>
      <c r="D151" s="313">
        <f t="shared" si="199"/>
      </c>
      <c r="E151" s="312">
        <v>7294.38</v>
      </c>
      <c r="F151" s="314">
        <v>2452.91</v>
      </c>
      <c r="G151" s="352">
        <f t="shared" si="321"/>
      </c>
      <c r="H151" s="315">
        <v>0</v>
      </c>
      <c r="I151" s="316">
        <f t="shared" si="358"/>
      </c>
      <c r="J151" s="316">
        <f t="shared" si="520"/>
      </c>
      <c r="K151" s="317">
        <f t="shared" si="77"/>
      </c>
      <c r="L151" s="318">
        <f t="shared" si="107"/>
      </c>
      <c r="M151" s="319">
        <f t="shared" si="243"/>
      </c>
      <c r="N151" s="320">
        <f t="shared" si="398"/>
      </c>
      <c r="O151" s="320">
        <f t="shared" si="17"/>
      </c>
      <c r="P151" s="320">
        <f t="shared" si="137"/>
      </c>
      <c r="Q151" s="321">
        <f t="shared" si="273"/>
      </c>
      <c r="R151" s="322">
        <f t="shared" si="428"/>
      </c>
      <c r="S151" s="320">
        <f t="shared" si="47"/>
      </c>
      <c r="T151" s="323">
        <f t="shared" si="458"/>
      </c>
      <c r="U151" s="323">
        <f t="shared" si="167"/>
      </c>
      <c r="V151" s="320">
        <f t="shared" si="303"/>
      </c>
      <c r="W151" s="325">
        <v>12</v>
      </c>
      <c r="X151" s="325">
        <v>4</v>
      </c>
      <c r="Y151" s="325">
        <v>6</v>
      </c>
      <c r="Z151" s="326">
        <v>9930.600000000006</v>
      </c>
      <c r="AA151" s="326">
        <v>2922.1499999999996</v>
      </c>
      <c r="AB151" s="321">
        <f t="shared" si="488"/>
      </c>
      <c r="AC151" s="327" t="s">
        <v>284</v>
      </c>
      <c r="AD151" s="328" t="s">
        <v>291</v>
      </c>
      <c r="AE151" s="329">
        <v>6</v>
      </c>
      <c r="AF151" s="330">
        <v>146237</v>
      </c>
      <c r="AG151" s="330">
        <v>5440</v>
      </c>
      <c r="AH151" s="330">
        <v>5859</v>
      </c>
      <c r="AI151" s="331">
        <v>269</v>
      </c>
      <c r="AJ151" s="331">
        <v>266</v>
      </c>
    </row>
    <row r="152">
      <c r="A152" s="310"/>
      <c r="B152" s="311" t="s">
        <v>297</v>
      </c>
      <c r="C152" s="332" t="s">
        <v>287</v>
      </c>
      <c r="D152" s="313">
        <f t="shared" si="199"/>
      </c>
      <c r="E152" s="312">
        <v>6666.37</v>
      </c>
      <c r="F152" s="314">
        <v>3002.57</v>
      </c>
      <c r="G152" s="352">
        <f t="shared" si="321"/>
      </c>
      <c r="H152" s="315">
        <v>0</v>
      </c>
      <c r="I152" s="316">
        <f t="shared" si="358"/>
      </c>
      <c r="J152" s="316">
        <f t="shared" si="520"/>
      </c>
      <c r="K152" s="317">
        <f t="shared" si="77"/>
      </c>
      <c r="L152" s="318">
        <f t="shared" si="107"/>
      </c>
      <c r="M152" s="319">
        <f t="shared" si="243"/>
      </c>
      <c r="N152" s="320">
        <f t="shared" si="398"/>
      </c>
      <c r="O152" s="320">
        <f t="shared" si="17"/>
      </c>
      <c r="P152" s="320">
        <f t="shared" si="137"/>
      </c>
      <c r="Q152" s="321">
        <f t="shared" si="273"/>
      </c>
      <c r="R152" s="322">
        <f t="shared" si="428"/>
      </c>
      <c r="S152" s="320">
        <f t="shared" si="47"/>
      </c>
      <c r="T152" s="323">
        <f t="shared" si="458"/>
      </c>
      <c r="U152" s="323">
        <f t="shared" si="167"/>
      </c>
      <c r="V152" s="320">
        <f t="shared" si="303"/>
      </c>
      <c r="W152" s="325">
        <v>16</v>
      </c>
      <c r="X152" s="325">
        <v>3</v>
      </c>
      <c r="Y152" s="325">
        <v>7</v>
      </c>
      <c r="Z152" s="326">
        <v>9995.399999999994</v>
      </c>
      <c r="AA152" s="326">
        <v>581</v>
      </c>
      <c r="AB152" s="321">
        <f t="shared" si="488"/>
      </c>
      <c r="AC152" s="327" t="s">
        <v>284</v>
      </c>
      <c r="AD152" s="328" t="s">
        <v>291</v>
      </c>
      <c r="AE152" s="331">
        <v>6</v>
      </c>
      <c r="AF152" s="330">
        <v>160981</v>
      </c>
      <c r="AG152" s="330">
        <v>5400</v>
      </c>
      <c r="AH152" s="330">
        <v>5889</v>
      </c>
      <c r="AI152" s="331">
        <v>313</v>
      </c>
      <c r="AJ152" s="331">
        <v>274</v>
      </c>
    </row>
    <row r="153">
      <c r="A153" s="310"/>
      <c r="B153" s="311" t="s">
        <v>297</v>
      </c>
      <c r="C153" s="312" t="s">
        <v>288</v>
      </c>
      <c r="D153" s="313">
        <f t="shared" si="199"/>
      </c>
      <c r="E153" s="312">
        <v>3174.79</v>
      </c>
      <c r="F153" s="314">
        <v>3000</v>
      </c>
      <c r="G153" s="352">
        <f t="shared" si="321"/>
      </c>
      <c r="H153" s="315">
        <v>0</v>
      </c>
      <c r="I153" s="316">
        <f t="shared" si="358"/>
      </c>
      <c r="J153" s="316">
        <f t="shared" si="520"/>
      </c>
      <c r="K153" s="317">
        <f t="shared" si="77"/>
      </c>
      <c r="L153" s="318">
        <f t="shared" si="107"/>
      </c>
      <c r="M153" s="319">
        <f t="shared" si="243"/>
      </c>
      <c r="N153" s="320">
        <f t="shared" si="398"/>
      </c>
      <c r="O153" s="320">
        <f t="shared" si="17"/>
      </c>
      <c r="P153" s="320">
        <f t="shared" si="137"/>
      </c>
      <c r="Q153" s="321">
        <f t="shared" si="273"/>
      </c>
      <c r="R153" s="322">
        <f t="shared" si="428"/>
      </c>
      <c r="S153" s="320">
        <f t="shared" si="47"/>
      </c>
      <c r="T153" s="323">
        <f t="shared" si="458"/>
      </c>
      <c r="U153" s="323">
        <f t="shared" si="167"/>
      </c>
      <c r="V153" s="320">
        <f t="shared" si="303"/>
      </c>
      <c r="W153" s="325">
        <v>11</v>
      </c>
      <c r="X153" s="325">
        <v>8</v>
      </c>
      <c r="Y153" s="325">
        <v>5</v>
      </c>
      <c r="Z153" s="315">
        <v>11011.919999999998</v>
      </c>
      <c r="AA153" s="326">
        <v>0</v>
      </c>
      <c r="AB153" s="321">
        <f t="shared" si="488"/>
      </c>
      <c r="AC153" s="327" t="s">
        <v>284</v>
      </c>
      <c r="AD153" s="328" t="s">
        <v>291</v>
      </c>
      <c r="AE153" s="329">
        <v>3</v>
      </c>
      <c r="AF153" s="330">
        <v>121759</v>
      </c>
      <c r="AG153" s="330">
        <v>2499</v>
      </c>
      <c r="AH153" s="330">
        <v>2720</v>
      </c>
      <c r="AI153" s="331">
        <v>156</v>
      </c>
      <c r="AJ153" s="331">
        <v>168</v>
      </c>
    </row>
    <row r="154">
      <c r="A154" s="310"/>
      <c r="B154" s="311" t="s">
        <v>297</v>
      </c>
      <c r="C154" s="332" t="s">
        <v>289</v>
      </c>
      <c r="D154" s="313">
        <f t="shared" si="199"/>
      </c>
      <c r="E154" s="312">
        <v>3145.97</v>
      </c>
      <c r="F154" s="314">
        <v>2936.27</v>
      </c>
      <c r="G154" s="352">
        <f t="shared" si="321"/>
      </c>
      <c r="H154" s="315">
        <v>0</v>
      </c>
      <c r="I154" s="316">
        <f t="shared" si="358"/>
      </c>
      <c r="J154" s="316">
        <f t="shared" si="520"/>
      </c>
      <c r="K154" s="317">
        <f t="shared" si="77"/>
      </c>
      <c r="L154" s="318">
        <f t="shared" si="107"/>
      </c>
      <c r="M154" s="319">
        <f t="shared" si="243"/>
      </c>
      <c r="N154" s="320">
        <f t="shared" si="398"/>
      </c>
      <c r="O154" s="320">
        <f t="shared" si="17"/>
      </c>
      <c r="P154" s="320">
        <f t="shared" si="137"/>
      </c>
      <c r="Q154" s="321">
        <f t="shared" si="273"/>
      </c>
      <c r="R154" s="322">
        <f t="shared" si="428"/>
      </c>
      <c r="S154" s="320">
        <f t="shared" si="47"/>
      </c>
      <c r="T154" s="323">
        <f t="shared" si="458"/>
      </c>
      <c r="U154" s="323">
        <f t="shared" si="167"/>
      </c>
      <c r="V154" s="320">
        <f t="shared" si="303"/>
      </c>
      <c r="W154" s="325">
        <v>6</v>
      </c>
      <c r="X154" s="325">
        <v>1</v>
      </c>
      <c r="Y154" s="325">
        <v>3</v>
      </c>
      <c r="Z154" s="326">
        <v>6496.199999999997</v>
      </c>
      <c r="AA154" s="326">
        <v>0</v>
      </c>
      <c r="AB154" s="321">
        <f t="shared" si="488"/>
      </c>
      <c r="AC154" s="327" t="s">
        <v>284</v>
      </c>
      <c r="AD154" s="328" t="s">
        <v>291</v>
      </c>
      <c r="AE154" s="329">
        <v>2</v>
      </c>
      <c r="AF154" s="330">
        <v>135434</v>
      </c>
      <c r="AG154" s="330">
        <v>2205</v>
      </c>
      <c r="AH154" s="330">
        <v>2334</v>
      </c>
      <c r="AI154" s="331">
        <v>127</v>
      </c>
      <c r="AJ154" s="331">
        <v>153</v>
      </c>
    </row>
    <row r="155">
      <c r="A155" s="310"/>
      <c r="B155" s="333" t="s">
        <v>290</v>
      </c>
      <c r="C155" s="334">
        <v>5</v>
      </c>
      <c r="D155" s="335">
        <f>SUM(D150:D154)</f>
      </c>
      <c r="E155" s="335">
        <f>SUM(E150:E154)</f>
      </c>
      <c r="F155" s="335">
        <f>SUM(F150:F154)</f>
      </c>
      <c r="G155" s="335">
        <f>SUM(G150:G154)</f>
      </c>
      <c r="H155" s="335">
        <f>SUM(H150:H154)</f>
      </c>
      <c r="I155" s="335">
        <f>SUM(I150:I154)</f>
      </c>
      <c r="J155" s="335">
        <f>SUM(J150:J154)</f>
      </c>
      <c r="K155" s="336">
        <f t="shared" si="77"/>
      </c>
      <c r="L155" s="337">
        <f t="shared" si="107"/>
      </c>
      <c r="M155" s="337">
        <f t="shared" si="243"/>
      </c>
      <c r="N155" s="338">
        <f t="shared" si="398"/>
      </c>
      <c r="O155" s="338">
        <f t="shared" si="17"/>
      </c>
      <c r="P155" s="338">
        <f t="shared" si="137"/>
      </c>
      <c r="Q155" s="339">
        <f t="shared" si="273"/>
      </c>
      <c r="R155" s="339">
        <f t="shared" si="428"/>
      </c>
      <c r="S155" s="338">
        <f t="shared" si="47"/>
      </c>
      <c r="T155" s="339">
        <f t="shared" si="458"/>
      </c>
      <c r="U155" s="339">
        <f t="shared" si="167"/>
      </c>
      <c r="V155" s="338">
        <f t="shared" si="303"/>
      </c>
      <c r="W155" s="335">
        <f>SUM(W150:W154)</f>
      </c>
      <c r="X155" s="335">
        <f>SUM(X150:X154)</f>
      </c>
      <c r="Y155" s="335">
        <f>SUM(Y150:Y154)</f>
      </c>
      <c r="Z155" s="335">
        <f>SUM(Z150:Z154)</f>
      </c>
      <c r="AA155" s="335">
        <f>SUM(AA150:AA154)</f>
      </c>
      <c r="AB155" s="340">
        <f t="shared" si="488"/>
      </c>
      <c r="AC155" s="341"/>
      <c r="AD155" s="342"/>
      <c r="AE155" s="335">
        <f>SUM(AE150:AE154)</f>
      </c>
      <c r="AF155" s="335">
        <f>SUM(AF150:AF154)</f>
      </c>
      <c r="AG155" s="335">
        <f>SUM(AG150:AG154)</f>
      </c>
      <c r="AH155" s="335">
        <f>SUM(AH150:AH154)</f>
      </c>
      <c r="AI155" s="335">
        <f>SUM(AI150:AI154)</f>
      </c>
      <c r="AJ155" s="335">
        <f>SUM(AJ150:AJ154)</f>
      </c>
    </row>
    <row r="156">
      <c r="A156" s="310"/>
      <c r="B156" s="343" t="s">
        <v>290</v>
      </c>
      <c r="C156" s="344">
        <f>C155+C149</f>
      </c>
      <c r="D156" s="354">
        <f>D155+D149</f>
      </c>
      <c r="E156" s="354">
        <f>E155+E149</f>
      </c>
      <c r="F156" s="354">
        <f>F155+F149</f>
      </c>
      <c r="G156" s="354">
        <f>G155+G149</f>
      </c>
      <c r="H156" s="354">
        <f>H155+H149</f>
      </c>
      <c r="I156" s="354">
        <f>I155+I149</f>
      </c>
      <c r="J156" s="354">
        <f>J155+J149</f>
      </c>
      <c r="K156" s="346">
        <f t="shared" si="77"/>
      </c>
      <c r="L156" s="346">
        <f t="shared" si="107"/>
      </c>
      <c r="M156" s="346">
        <f t="shared" si="243"/>
      </c>
      <c r="N156" s="346">
        <f t="shared" si="398"/>
      </c>
      <c r="O156" s="346">
        <f t="shared" si="17"/>
      </c>
      <c r="P156" s="346">
        <f t="shared" si="137"/>
      </c>
      <c r="Q156" s="347">
        <f t="shared" si="273"/>
      </c>
      <c r="R156" s="347">
        <f t="shared" si="428"/>
      </c>
      <c r="S156" s="346">
        <f t="shared" si="47"/>
      </c>
      <c r="T156" s="347">
        <f t="shared" si="458"/>
      </c>
      <c r="U156" s="347">
        <f t="shared" si="167"/>
      </c>
      <c r="V156" s="346">
        <f t="shared" si="303"/>
      </c>
      <c r="W156" s="354">
        <f>W155+W149</f>
      </c>
      <c r="X156" s="354">
        <f>X155+X149</f>
      </c>
      <c r="Y156" s="354">
        <f>Y155+Y149</f>
      </c>
      <c r="Z156" s="354">
        <f>Z155+Z149</f>
      </c>
      <c r="AA156" s="354">
        <f>AA155+AA149</f>
      </c>
      <c r="AB156" s="350">
        <f t="shared" si="488"/>
      </c>
      <c r="AC156" s="343"/>
      <c r="AD156" s="343"/>
      <c r="AE156" s="354">
        <f>AE155+AE149</f>
      </c>
      <c r="AF156" s="354">
        <f>AF155+AF149</f>
      </c>
      <c r="AG156" s="354">
        <f>AG155+AG149</f>
      </c>
      <c r="AH156" s="354">
        <f>AH155+AH149</f>
      </c>
      <c r="AI156" s="354">
        <f>AI155+AI149</f>
      </c>
      <c r="AJ156" s="354">
        <f>AJ155+AJ149</f>
      </c>
    </row>
    <row r="157">
      <c r="A157" s="297" t="s">
        <v>246</v>
      </c>
      <c r="B157" s="298" t="s">
        <v>247</v>
      </c>
      <c r="C157" s="298" t="s">
        <v>248</v>
      </c>
      <c r="D157" s="299" t="s">
        <v>249</v>
      </c>
      <c r="E157" s="298" t="s">
        <v>250</v>
      </c>
      <c r="F157" s="298" t="s">
        <v>251</v>
      </c>
      <c r="G157" s="299" t="s">
        <v>252</v>
      </c>
      <c r="H157" s="300" t="s">
        <v>253</v>
      </c>
      <c r="I157" s="301" t="s">
        <v>254</v>
      </c>
      <c r="J157" s="301" t="s">
        <v>255</v>
      </c>
      <c r="K157" s="302" t="s">
        <v>256</v>
      </c>
      <c r="L157" s="301" t="s">
        <v>257</v>
      </c>
      <c r="M157" s="298" t="s">
        <v>258</v>
      </c>
      <c r="N157" s="302" t="s">
        <v>259</v>
      </c>
      <c r="O157" s="303" t="s">
        <v>260</v>
      </c>
      <c r="P157" s="303" t="s">
        <v>261</v>
      </c>
      <c r="Q157" s="299" t="s">
        <v>262</v>
      </c>
      <c r="R157" s="304" t="s">
        <v>263</v>
      </c>
      <c r="S157" s="302" t="s">
        <v>264</v>
      </c>
      <c r="T157" s="305" t="s">
        <v>265</v>
      </c>
      <c r="U157" s="306" t="s">
        <v>266</v>
      </c>
      <c r="V157" s="302" t="s">
        <v>267</v>
      </c>
      <c r="W157" s="307" t="s">
        <v>268</v>
      </c>
      <c r="X157" s="308" t="s">
        <v>269</v>
      </c>
      <c r="Y157" s="307" t="s">
        <v>270</v>
      </c>
      <c r="Z157" s="309" t="s">
        <v>271</v>
      </c>
      <c r="AA157" s="309" t="s">
        <v>272</v>
      </c>
      <c r="AB157" s="301" t="s">
        <v>273</v>
      </c>
      <c r="AC157" s="300" t="s">
        <v>274</v>
      </c>
      <c r="AD157" s="301" t="s">
        <v>275</v>
      </c>
      <c r="AE157" s="300" t="s">
        <v>276</v>
      </c>
      <c r="AF157" s="300" t="s">
        <v>277</v>
      </c>
      <c r="AG157" s="301" t="s">
        <v>278</v>
      </c>
      <c r="AH157" s="300" t="s">
        <v>279</v>
      </c>
      <c r="AI157" s="301" t="s">
        <v>280</v>
      </c>
      <c r="AJ157" s="300" t="s">
        <v>281</v>
      </c>
    </row>
    <row r="158">
      <c r="A158" s="310">
        <v>46223</v>
      </c>
      <c r="B158" s="311" t="s">
        <v>282</v>
      </c>
      <c r="C158" s="312" t="s">
        <v>292</v>
      </c>
      <c r="D158" s="313">
        <f t="shared" ref="D158:D162" si="200">E158+F158</f>
      </c>
      <c r="E158" s="312">
        <v>2746.57</v>
      </c>
      <c r="F158" s="314">
        <v>2555</v>
      </c>
      <c r="G158" s="314">
        <v>8389.68</v>
      </c>
      <c r="H158" s="315">
        <v>6837.72</v>
      </c>
      <c r="I158" s="316">
        <f t="shared" ref="I158:I162" si="359">G158-H158</f>
      </c>
      <c r="J158" s="316">
        <f t="shared" ref="J158:J162" si="521">(G158-AA158)/12+AA158</f>
      </c>
      <c r="K158" s="317">
        <f t="shared" ref="K158:K170" si="78">G158/D158</f>
      </c>
      <c r="L158" s="318">
        <f t="shared" ref="L158:L170" si="108">(G158-H158)/D158</f>
      </c>
      <c r="M158" s="319">
        <f t="shared" ref="M158:M170" si="244">(AA158+Z158/12)/D158</f>
      </c>
      <c r="N158" s="320">
        <f t="shared" ref="N158:N170" si="399">G158/Y158</f>
      </c>
      <c r="O158" s="320">
        <f t="shared" ref="O158:O170" si="18">D158/Y158</f>
      </c>
      <c r="P158" s="320">
        <f t="shared" ref="P158:P170" si="138">D158/AE158</f>
      </c>
      <c r="Q158" s="321">
        <f t="shared" ref="Q158:Q170" si="274">Y158/W158</f>
      </c>
      <c r="R158" s="322">
        <f t="shared" ref="R158:R170" si="429">AG158/AF158</f>
      </c>
      <c r="S158" s="320">
        <f t="shared" ref="S158:S170" si="48">D158/AH158</f>
      </c>
      <c r="T158" s="323">
        <f t="shared" ref="T158:T170" si="459">AI158/AH158</f>
      </c>
      <c r="U158" s="323">
        <f t="shared" ref="U158:U170" si="168">AJ158/AH158</f>
      </c>
      <c r="V158" s="320">
        <f t="shared" ref="V158:V170" si="304">D158/AJ158</f>
      </c>
      <c r="W158" s="325">
        <v>10</v>
      </c>
      <c r="X158" s="325">
        <v>5</v>
      </c>
      <c r="Y158" s="325">
        <v>4</v>
      </c>
      <c r="Z158" s="326">
        <v>8389.68</v>
      </c>
      <c r="AA158" s="326">
        <v>0</v>
      </c>
      <c r="AB158" s="321">
        <f t="shared" ref="AB158:AB170" si="489">AA158/G158</f>
      </c>
      <c r="AC158" s="327" t="s">
        <v>284</v>
      </c>
      <c r="AD158" s="353" t="s">
        <v>285</v>
      </c>
      <c r="AE158" s="329">
        <v>4</v>
      </c>
      <c r="AF158" s="330">
        <v>95107</v>
      </c>
      <c r="AG158" s="330">
        <v>1301</v>
      </c>
      <c r="AH158" s="330">
        <v>1327</v>
      </c>
      <c r="AI158" s="329">
        <v>123</v>
      </c>
      <c r="AJ158" s="331">
        <v>168</v>
      </c>
    </row>
    <row r="159">
      <c r="A159" s="310"/>
      <c r="B159" s="311" t="s">
        <v>282</v>
      </c>
      <c r="C159" s="312" t="s">
        <v>293</v>
      </c>
      <c r="D159" s="313">
        <f t="shared" si="200"/>
      </c>
      <c r="E159" s="312">
        <v>3355.04</v>
      </c>
      <c r="F159" s="314">
        <v>2445.48</v>
      </c>
      <c r="G159" s="314">
        <v>8304</v>
      </c>
      <c r="H159" s="315">
        <v>5515.32</v>
      </c>
      <c r="I159" s="316">
        <f t="shared" si="359"/>
      </c>
      <c r="J159" s="316">
        <f t="shared" si="521"/>
      </c>
      <c r="K159" s="317">
        <f t="shared" si="78"/>
      </c>
      <c r="L159" s="318">
        <f t="shared" si="108"/>
      </c>
      <c r="M159" s="319">
        <f t="shared" si="244"/>
      </c>
      <c r="N159" s="320">
        <f t="shared" si="399"/>
      </c>
      <c r="O159" s="320">
        <f t="shared" si="18"/>
      </c>
      <c r="P159" s="320">
        <f t="shared" si="138"/>
      </c>
      <c r="Q159" s="321">
        <f t="shared" si="274"/>
      </c>
      <c r="R159" s="322">
        <f t="shared" si="429"/>
      </c>
      <c r="S159" s="320">
        <f t="shared" si="48"/>
      </c>
      <c r="T159" s="323">
        <f t="shared" si="459"/>
      </c>
      <c r="U159" s="323">
        <f t="shared" si="168"/>
      </c>
      <c r="V159" s="320">
        <f t="shared" si="304"/>
      </c>
      <c r="W159" s="325">
        <v>15</v>
      </c>
      <c r="X159" s="325">
        <v>9</v>
      </c>
      <c r="Y159" s="325">
        <v>4</v>
      </c>
      <c r="Z159" s="326">
        <v>8304</v>
      </c>
      <c r="AA159" s="326">
        <v>0</v>
      </c>
      <c r="AB159" s="321">
        <f t="shared" si="489"/>
      </c>
      <c r="AC159" s="327" t="s">
        <v>284</v>
      </c>
      <c r="AD159" s="353" t="s">
        <v>285</v>
      </c>
      <c r="AE159" s="329">
        <v>4</v>
      </c>
      <c r="AF159" s="330">
        <v>107526</v>
      </c>
      <c r="AG159" s="330">
        <v>1543</v>
      </c>
      <c r="AH159" s="330">
        <v>1605</v>
      </c>
      <c r="AI159" s="331">
        <v>158</v>
      </c>
      <c r="AJ159" s="331">
        <v>193</v>
      </c>
    </row>
    <row r="160">
      <c r="A160" s="310"/>
      <c r="B160" s="311" t="s">
        <v>282</v>
      </c>
      <c r="C160" s="312" t="s">
        <v>294</v>
      </c>
      <c r="D160" s="313">
        <f t="shared" si="200"/>
      </c>
      <c r="E160" s="312">
        <v>1667.26</v>
      </c>
      <c r="F160" s="314">
        <v>2718.8</v>
      </c>
      <c r="G160" s="314">
        <v>4853.52</v>
      </c>
      <c r="H160" s="315">
        <v>1320.8399999999983</v>
      </c>
      <c r="I160" s="316">
        <f t="shared" si="359"/>
      </c>
      <c r="J160" s="316">
        <f t="shared" si="521"/>
      </c>
      <c r="K160" s="317">
        <f t="shared" si="78"/>
      </c>
      <c r="L160" s="318">
        <f t="shared" si="108"/>
      </c>
      <c r="M160" s="319">
        <f t="shared" si="244"/>
      </c>
      <c r="N160" s="320">
        <f t="shared" si="399"/>
      </c>
      <c r="O160" s="320">
        <f t="shared" si="18"/>
      </c>
      <c r="P160" s="320">
        <f t="shared" si="138"/>
      </c>
      <c r="Q160" s="321">
        <f t="shared" si="274"/>
      </c>
      <c r="R160" s="322">
        <f t="shared" si="429"/>
      </c>
      <c r="S160" s="320">
        <f t="shared" si="48"/>
      </c>
      <c r="T160" s="323">
        <f t="shared" si="459"/>
      </c>
      <c r="U160" s="323">
        <f t="shared" si="168"/>
      </c>
      <c r="V160" s="320">
        <f t="shared" si="304"/>
      </c>
      <c r="W160" s="325">
        <v>4</v>
      </c>
      <c r="X160" s="325">
        <v>2</v>
      </c>
      <c r="Y160" s="325">
        <v>2</v>
      </c>
      <c r="Z160" s="326">
        <v>4853.52</v>
      </c>
      <c r="AA160" s="326">
        <v>0</v>
      </c>
      <c r="AB160" s="321">
        <f t="shared" si="489"/>
      </c>
      <c r="AC160" s="327" t="s">
        <v>284</v>
      </c>
      <c r="AD160" s="353" t="s">
        <v>285</v>
      </c>
      <c r="AE160" s="331">
        <v>2</v>
      </c>
      <c r="AF160" s="330">
        <v>77135</v>
      </c>
      <c r="AG160" s="330">
        <v>982</v>
      </c>
      <c r="AH160" s="330">
        <v>1032</v>
      </c>
      <c r="AI160" s="331">
        <v>92</v>
      </c>
      <c r="AJ160" s="331">
        <v>139</v>
      </c>
    </row>
    <row r="161">
      <c r="A161" s="310"/>
      <c r="B161" s="311" t="s">
        <v>282</v>
      </c>
      <c r="C161" s="312" t="s">
        <v>295</v>
      </c>
      <c r="D161" s="313">
        <f t="shared" si="200"/>
      </c>
      <c r="E161" s="312">
        <v>1461.12</v>
      </c>
      <c r="F161" s="314">
        <v>2240.07</v>
      </c>
      <c r="G161" s="314">
        <v>1509.84</v>
      </c>
      <c r="H161" s="315">
        <v>2080.2000000000007</v>
      </c>
      <c r="I161" s="316">
        <f t="shared" si="359"/>
      </c>
      <c r="J161" s="316">
        <f t="shared" si="521"/>
      </c>
      <c r="K161" s="317">
        <f t="shared" si="78"/>
      </c>
      <c r="L161" s="318">
        <f t="shared" si="108"/>
      </c>
      <c r="M161" s="319">
        <f t="shared" si="244"/>
      </c>
      <c r="N161" s="320">
        <f t="shared" si="399"/>
      </c>
      <c r="O161" s="320">
        <f t="shared" si="18"/>
      </c>
      <c r="P161" s="320">
        <f t="shared" si="138"/>
      </c>
      <c r="Q161" s="321">
        <f t="shared" si="274"/>
      </c>
      <c r="R161" s="322">
        <f t="shared" si="429"/>
      </c>
      <c r="S161" s="320">
        <f t="shared" si="48"/>
      </c>
      <c r="T161" s="323">
        <f t="shared" si="459"/>
      </c>
      <c r="U161" s="323">
        <f t="shared" si="168"/>
      </c>
      <c r="V161" s="320">
        <f t="shared" si="304"/>
      </c>
      <c r="W161" s="325">
        <v>7</v>
      </c>
      <c r="X161" s="325">
        <v>5</v>
      </c>
      <c r="Y161" s="325">
        <v>1</v>
      </c>
      <c r="Z161" s="315">
        <v>1509.84</v>
      </c>
      <c r="AA161" s="326">
        <v>0</v>
      </c>
      <c r="AB161" s="321">
        <f t="shared" si="489"/>
      </c>
      <c r="AC161" s="327" t="s">
        <v>284</v>
      </c>
      <c r="AD161" s="353" t="s">
        <v>285</v>
      </c>
      <c r="AE161" s="329">
        <v>1</v>
      </c>
      <c r="AF161" s="330">
        <v>55293</v>
      </c>
      <c r="AG161" s="330">
        <v>824</v>
      </c>
      <c r="AH161" s="330">
        <v>862</v>
      </c>
      <c r="AI161" s="331">
        <v>87</v>
      </c>
      <c r="AJ161" s="331">
        <v>112</v>
      </c>
    </row>
    <row r="162">
      <c r="A162" s="310"/>
      <c r="B162" s="311" t="s">
        <v>282</v>
      </c>
      <c r="C162" s="312" t="s">
        <v>296</v>
      </c>
      <c r="D162" s="313">
        <f t="shared" si="200"/>
      </c>
      <c r="E162" s="312">
        <v>1707.66</v>
      </c>
      <c r="F162" s="314">
        <v>2575.68</v>
      </c>
      <c r="G162" s="352">
        <f>Z162+AA162</f>
      </c>
      <c r="H162" s="315">
        <v>0</v>
      </c>
      <c r="I162" s="316">
        <f t="shared" si="359"/>
      </c>
      <c r="J162" s="316">
        <f t="shared" si="521"/>
      </c>
      <c r="K162" s="317">
        <f t="shared" si="78"/>
      </c>
      <c r="L162" s="318">
        <f t="shared" si="108"/>
      </c>
      <c r="M162" s="319">
        <f t="shared" si="244"/>
      </c>
      <c r="N162" s="320">
        <f t="shared" si="399"/>
      </c>
      <c r="O162" s="320">
        <f t="shared" si="18"/>
      </c>
      <c r="P162" s="320">
        <f t="shared" si="138"/>
      </c>
      <c r="Q162" s="321">
        <f t="shared" si="274"/>
      </c>
      <c r="R162" s="322">
        <f t="shared" si="429"/>
      </c>
      <c r="S162" s="320">
        <f t="shared" si="48"/>
      </c>
      <c r="T162" s="323">
        <f t="shared" si="459"/>
      </c>
      <c r="U162" s="323">
        <f t="shared" si="168"/>
      </c>
      <c r="V162" s="320">
        <f t="shared" si="304"/>
      </c>
      <c r="W162" s="325">
        <v>7</v>
      </c>
      <c r="X162" s="325">
        <v>2</v>
      </c>
      <c r="Y162" s="325">
        <v>3</v>
      </c>
      <c r="Z162" s="326">
        <v>2577.959999999999</v>
      </c>
      <c r="AA162" s="326">
        <v>0</v>
      </c>
      <c r="AB162" s="321">
        <f t="shared" si="489"/>
      </c>
      <c r="AC162" s="327" t="s">
        <v>284</v>
      </c>
      <c r="AD162" s="353" t="s">
        <v>285</v>
      </c>
      <c r="AE162" s="329">
        <v>3</v>
      </c>
      <c r="AF162" s="330">
        <v>65282</v>
      </c>
      <c r="AG162" s="330">
        <v>1138</v>
      </c>
      <c r="AH162" s="330">
        <v>1169</v>
      </c>
      <c r="AI162" s="331">
        <v>118</v>
      </c>
      <c r="AJ162" s="331">
        <v>147</v>
      </c>
    </row>
    <row r="163">
      <c r="A163" s="310"/>
      <c r="B163" s="333" t="s">
        <v>290</v>
      </c>
      <c r="C163" s="334">
        <v>5</v>
      </c>
      <c r="D163" s="335">
        <f>SUM(D158:D162)</f>
      </c>
      <c r="E163" s="335">
        <f>SUM(E158:E162)</f>
      </c>
      <c r="F163" s="335">
        <f>SUM(F158:F162)</f>
      </c>
      <c r="G163" s="335">
        <f>SUM(G158:G162)</f>
      </c>
      <c r="H163" s="335">
        <f>SUM(H158:H162)</f>
      </c>
      <c r="I163" s="335">
        <f>SUM(I158:I162)</f>
      </c>
      <c r="J163" s="335">
        <f>SUM(J158:J162)</f>
      </c>
      <c r="K163" s="336">
        <f t="shared" si="78"/>
      </c>
      <c r="L163" s="337">
        <f t="shared" si="108"/>
      </c>
      <c r="M163" s="337">
        <f t="shared" si="244"/>
      </c>
      <c r="N163" s="338">
        <f t="shared" si="399"/>
      </c>
      <c r="O163" s="338">
        <f t="shared" si="18"/>
      </c>
      <c r="P163" s="338">
        <f t="shared" si="138"/>
      </c>
      <c r="Q163" s="339">
        <f t="shared" si="274"/>
      </c>
      <c r="R163" s="339">
        <f t="shared" si="429"/>
      </c>
      <c r="S163" s="338">
        <f t="shared" si="48"/>
      </c>
      <c r="T163" s="339">
        <f t="shared" si="459"/>
      </c>
      <c r="U163" s="339">
        <f t="shared" si="168"/>
      </c>
      <c r="V163" s="338">
        <f t="shared" si="304"/>
      </c>
      <c r="W163" s="335">
        <f>SUM(W158:W162)</f>
      </c>
      <c r="X163" s="335">
        <f>SUM(X158:X162)</f>
      </c>
      <c r="Y163" s="335">
        <f>SUM(Y158:Y162)</f>
      </c>
      <c r="Z163" s="335">
        <f>SUM(Z158:Z162)</f>
      </c>
      <c r="AA163" s="335">
        <f>SUM(AA158:AA162)</f>
      </c>
      <c r="AB163" s="340">
        <f t="shared" si="489"/>
      </c>
      <c r="AC163" s="341"/>
      <c r="AD163" s="342"/>
      <c r="AE163" s="335">
        <f>SUM(AE158:AE162)</f>
      </c>
      <c r="AF163" s="335">
        <f>SUM(AF158:AF162)</f>
      </c>
      <c r="AG163" s="335">
        <f>SUM(AG158:AG162)</f>
      </c>
      <c r="AH163" s="335">
        <f>SUM(AH158:AH162)</f>
      </c>
      <c r="AI163" s="335">
        <f>SUM(AI158:AI162)</f>
      </c>
      <c r="AJ163" s="335">
        <f>SUM(AJ158:AJ162)</f>
      </c>
    </row>
    <row r="164">
      <c r="A164" s="310"/>
      <c r="B164" s="311" t="s">
        <v>297</v>
      </c>
      <c r="C164" s="312" t="s">
        <v>283</v>
      </c>
      <c r="D164" s="313">
        <f t="shared" ref="D164:D168" si="201">E164+F164</f>
      </c>
      <c r="E164" s="312">
        <v>2654.75</v>
      </c>
      <c r="F164" s="314">
        <v>2540.27</v>
      </c>
      <c r="G164" s="352">
        <f t="shared" ref="G164:G168" si="322">Z164+AA164</f>
      </c>
      <c r="H164" s="315">
        <v>1149.12</v>
      </c>
      <c r="I164" s="316">
        <f t="shared" ref="I164:I168" si="360">G164-H164</f>
      </c>
      <c r="J164" s="316">
        <f t="shared" ref="J164:J168" si="522">(G164-AA164)/12+AA164</f>
      </c>
      <c r="K164" s="317">
        <f t="shared" si="78"/>
      </c>
      <c r="L164" s="318">
        <f t="shared" si="108"/>
      </c>
      <c r="M164" s="319">
        <f t="shared" si="244"/>
      </c>
      <c r="N164" s="320">
        <f t="shared" si="399"/>
      </c>
      <c r="O164" s="320">
        <f t="shared" si="18"/>
      </c>
      <c r="P164" s="320">
        <f t="shared" si="138"/>
      </c>
      <c r="Q164" s="321">
        <f t="shared" si="274"/>
      </c>
      <c r="R164" s="322">
        <f t="shared" si="429"/>
      </c>
      <c r="S164" s="320">
        <f t="shared" si="48"/>
      </c>
      <c r="T164" s="323">
        <f t="shared" si="459"/>
      </c>
      <c r="U164" s="323">
        <f t="shared" si="168"/>
      </c>
      <c r="V164" s="320">
        <f t="shared" si="304"/>
      </c>
      <c r="W164" s="325">
        <v>10</v>
      </c>
      <c r="X164" s="325">
        <v>6</v>
      </c>
      <c r="Y164" s="325">
        <v>4</v>
      </c>
      <c r="Z164" s="326">
        <v>3559.6800000000003</v>
      </c>
      <c r="AA164" s="326">
        <v>603</v>
      </c>
      <c r="AB164" s="321">
        <f t="shared" si="489"/>
      </c>
      <c r="AC164" s="327" t="s">
        <v>284</v>
      </c>
      <c r="AD164" s="328" t="s">
        <v>291</v>
      </c>
      <c r="AE164" s="329">
        <v>4</v>
      </c>
      <c r="AF164" s="330">
        <v>112197</v>
      </c>
      <c r="AG164" s="330">
        <v>2174</v>
      </c>
      <c r="AH164" s="330">
        <v>2343</v>
      </c>
      <c r="AI164" s="329">
        <v>156</v>
      </c>
      <c r="AJ164" s="331">
        <v>177</v>
      </c>
    </row>
    <row r="165">
      <c r="A165" s="310"/>
      <c r="B165" s="311" t="s">
        <v>297</v>
      </c>
      <c r="C165" s="332" t="s">
        <v>286</v>
      </c>
      <c r="D165" s="313">
        <f t="shared" si="201"/>
      </c>
      <c r="E165" s="312">
        <v>1116.62</v>
      </c>
      <c r="F165" s="314">
        <v>2402.02</v>
      </c>
      <c r="G165" s="352">
        <f t="shared" si="322"/>
      </c>
      <c r="H165" s="315">
        <v>0</v>
      </c>
      <c r="I165" s="316">
        <f t="shared" si="360"/>
      </c>
      <c r="J165" s="316">
        <f t="shared" si="522"/>
      </c>
      <c r="K165" s="317">
        <f t="shared" si="78"/>
      </c>
      <c r="L165" s="318">
        <f t="shared" si="108"/>
      </c>
      <c r="M165" s="319">
        <f t="shared" si="244"/>
      </c>
      <c r="N165" s="320">
        <f t="shared" si="399"/>
      </c>
      <c r="O165" s="320">
        <f t="shared" si="18"/>
      </c>
      <c r="P165" s="320">
        <f t="shared" si="138"/>
      </c>
      <c r="Q165" s="321">
        <f t="shared" si="274"/>
      </c>
      <c r="R165" s="322">
        <f t="shared" si="429"/>
      </c>
      <c r="S165" s="320">
        <f t="shared" si="48"/>
      </c>
      <c r="T165" s="323">
        <f t="shared" si="459"/>
      </c>
      <c r="U165" s="323">
        <f t="shared" si="168"/>
      </c>
      <c r="V165" s="320">
        <f t="shared" si="304"/>
      </c>
      <c r="W165" s="325">
        <v>3</v>
      </c>
      <c r="X165" s="325">
        <v>2</v>
      </c>
      <c r="Y165" s="325">
        <v>2</v>
      </c>
      <c r="Z165" s="326">
        <v>7265.4000000000015</v>
      </c>
      <c r="AA165" s="326">
        <v>0</v>
      </c>
      <c r="AB165" s="321">
        <f t="shared" si="489"/>
      </c>
      <c r="AC165" s="327" t="s">
        <v>284</v>
      </c>
      <c r="AD165" s="328" t="s">
        <v>291</v>
      </c>
      <c r="AE165" s="329">
        <v>2</v>
      </c>
      <c r="AF165" s="330">
        <v>67130</v>
      </c>
      <c r="AG165" s="330">
        <v>752</v>
      </c>
      <c r="AH165" s="330">
        <v>771</v>
      </c>
      <c r="AI165" s="331">
        <v>86</v>
      </c>
      <c r="AJ165" s="331">
        <v>113</v>
      </c>
    </row>
    <row r="166">
      <c r="A166" s="310"/>
      <c r="B166" s="311" t="s">
        <v>297</v>
      </c>
      <c r="C166" s="332" t="s">
        <v>287</v>
      </c>
      <c r="D166" s="313">
        <f t="shared" si="201"/>
      </c>
      <c r="E166" s="312">
        <v>1807.89</v>
      </c>
      <c r="F166" s="314">
        <v>2444.84</v>
      </c>
      <c r="G166" s="352">
        <f t="shared" si="322"/>
      </c>
      <c r="H166" s="315">
        <v>0</v>
      </c>
      <c r="I166" s="316">
        <f t="shared" si="360"/>
      </c>
      <c r="J166" s="316">
        <f t="shared" si="522"/>
      </c>
      <c r="K166" s="317">
        <f t="shared" si="78"/>
      </c>
      <c r="L166" s="318">
        <f t="shared" si="108"/>
      </c>
      <c r="M166" s="319">
        <f t="shared" si="244"/>
      </c>
      <c r="N166" s="320">
        <f t="shared" si="399"/>
      </c>
      <c r="O166" s="320">
        <f t="shared" si="18"/>
      </c>
      <c r="P166" s="320">
        <f t="shared" si="138"/>
      </c>
      <c r="Q166" s="321">
        <f t="shared" si="274"/>
      </c>
      <c r="R166" s="322">
        <f t="shared" si="429"/>
      </c>
      <c r="S166" s="320">
        <f t="shared" si="48"/>
      </c>
      <c r="T166" s="323">
        <f t="shared" si="459"/>
      </c>
      <c r="U166" s="323">
        <f t="shared" si="168"/>
      </c>
      <c r="V166" s="320">
        <f t="shared" si="304"/>
      </c>
      <c r="W166" s="325">
        <v>10</v>
      </c>
      <c r="X166" s="325">
        <v>6</v>
      </c>
      <c r="Y166" s="325">
        <v>2</v>
      </c>
      <c r="Z166" s="326">
        <v>2792.6399999999994</v>
      </c>
      <c r="AA166" s="326">
        <v>0</v>
      </c>
      <c r="AB166" s="321">
        <f t="shared" si="489"/>
      </c>
      <c r="AC166" s="327" t="s">
        <v>284</v>
      </c>
      <c r="AD166" s="328" t="s">
        <v>291</v>
      </c>
      <c r="AE166" s="331">
        <v>2</v>
      </c>
      <c r="AF166" s="330">
        <v>80410</v>
      </c>
      <c r="AG166" s="330">
        <v>1169</v>
      </c>
      <c r="AH166" s="330">
        <v>1187</v>
      </c>
      <c r="AI166" s="331">
        <v>118</v>
      </c>
      <c r="AJ166" s="331">
        <v>156</v>
      </c>
    </row>
    <row r="167">
      <c r="A167" s="310"/>
      <c r="B167" s="311" t="s">
        <v>297</v>
      </c>
      <c r="C167" s="312" t="s">
        <v>288</v>
      </c>
      <c r="D167" s="313">
        <f t="shared" si="201"/>
      </c>
      <c r="E167" s="312">
        <v>2341.71</v>
      </c>
      <c r="F167" s="314">
        <v>2029.54</v>
      </c>
      <c r="G167" s="352">
        <f t="shared" si="322"/>
      </c>
      <c r="H167" s="315">
        <v>0</v>
      </c>
      <c r="I167" s="316">
        <f t="shared" si="360"/>
      </c>
      <c r="J167" s="316">
        <f t="shared" si="522"/>
      </c>
      <c r="K167" s="317">
        <f t="shared" si="78"/>
      </c>
      <c r="L167" s="318">
        <f t="shared" si="108"/>
      </c>
      <c r="M167" s="319">
        <f t="shared" si="244"/>
      </c>
      <c r="N167" s="320">
        <f t="shared" si="399"/>
      </c>
      <c r="O167" s="320">
        <f t="shared" si="18"/>
      </c>
      <c r="P167" s="320">
        <f t="shared" si="138"/>
      </c>
      <c r="Q167" s="321">
        <f t="shared" si="274"/>
      </c>
      <c r="R167" s="322">
        <f t="shared" si="429"/>
      </c>
      <c r="S167" s="320">
        <f t="shared" si="48"/>
      </c>
      <c r="T167" s="323">
        <f t="shared" si="459"/>
      </c>
      <c r="U167" s="323">
        <f t="shared" si="168"/>
      </c>
      <c r="V167" s="320">
        <f t="shared" si="304"/>
      </c>
      <c r="W167" s="325">
        <v>10</v>
      </c>
      <c r="X167" s="325">
        <v>5</v>
      </c>
      <c r="Y167" s="325">
        <v>1</v>
      </c>
      <c r="Z167" s="315">
        <v>3048.8399999999965</v>
      </c>
      <c r="AA167" s="326">
        <v>0</v>
      </c>
      <c r="AB167" s="321">
        <f t="shared" si="489"/>
      </c>
      <c r="AC167" s="327" t="s">
        <v>284</v>
      </c>
      <c r="AD167" s="328" t="s">
        <v>291</v>
      </c>
      <c r="AE167" s="329">
        <v>1</v>
      </c>
      <c r="AF167" s="330">
        <v>63535</v>
      </c>
      <c r="AG167" s="330">
        <v>1359</v>
      </c>
      <c r="AH167" s="330">
        <v>1403</v>
      </c>
      <c r="AI167" s="331">
        <v>112</v>
      </c>
      <c r="AJ167" s="331">
        <v>140</v>
      </c>
    </row>
    <row r="168">
      <c r="A168" s="310"/>
      <c r="B168" s="311" t="s">
        <v>297</v>
      </c>
      <c r="C168" s="332" t="s">
        <v>289</v>
      </c>
      <c r="D168" s="313">
        <f t="shared" si="201"/>
      </c>
      <c r="E168" s="312">
        <v>1660.95</v>
      </c>
      <c r="F168" s="314">
        <v>1978.22</v>
      </c>
      <c r="G168" s="352">
        <f t="shared" si="322"/>
      </c>
      <c r="H168" s="315">
        <v>0</v>
      </c>
      <c r="I168" s="316">
        <f t="shared" si="360"/>
      </c>
      <c r="J168" s="316">
        <f t="shared" si="522"/>
      </c>
      <c r="K168" s="317">
        <f t="shared" si="78"/>
      </c>
      <c r="L168" s="318">
        <f t="shared" si="108"/>
      </c>
      <c r="M168" s="319">
        <f t="shared" si="244"/>
      </c>
      <c r="N168" s="320">
        <f t="shared" si="399"/>
      </c>
      <c r="O168" s="320">
        <f t="shared" si="18"/>
      </c>
      <c r="P168" s="320">
        <f t="shared" si="138"/>
      </c>
      <c r="Q168" s="321">
        <f t="shared" si="274"/>
      </c>
      <c r="R168" s="322">
        <f t="shared" si="429"/>
      </c>
      <c r="S168" s="320">
        <f t="shared" si="48"/>
      </c>
      <c r="T168" s="323">
        <f t="shared" si="459"/>
      </c>
      <c r="U168" s="323">
        <f t="shared" si="168"/>
      </c>
      <c r="V168" s="320">
        <f t="shared" si="304"/>
      </c>
      <c r="W168" s="325">
        <v>2</v>
      </c>
      <c r="X168" s="325">
        <v>1</v>
      </c>
      <c r="Y168" s="325">
        <v>3</v>
      </c>
      <c r="Z168" s="326">
        <v>5178.600000000006</v>
      </c>
      <c r="AA168" s="326">
        <v>0</v>
      </c>
      <c r="AB168" s="321">
        <f t="shared" si="489"/>
      </c>
      <c r="AC168" s="327" t="s">
        <v>284</v>
      </c>
      <c r="AD168" s="328" t="s">
        <v>291</v>
      </c>
      <c r="AE168" s="329">
        <v>2</v>
      </c>
      <c r="AF168" s="330">
        <v>61746</v>
      </c>
      <c r="AG168" s="330">
        <v>860</v>
      </c>
      <c r="AH168" s="330">
        <v>858</v>
      </c>
      <c r="AI168" s="331">
        <v>71</v>
      </c>
      <c r="AJ168" s="331">
        <v>123</v>
      </c>
    </row>
    <row r="169">
      <c r="A169" s="310"/>
      <c r="B169" s="333" t="s">
        <v>290</v>
      </c>
      <c r="C169" s="334">
        <v>5</v>
      </c>
      <c r="D169" s="335">
        <f>SUM(D164:D168)</f>
      </c>
      <c r="E169" s="335">
        <f>SUM(E164:E168)</f>
      </c>
      <c r="F169" s="335">
        <f>SUM(F164:F168)</f>
      </c>
      <c r="G169" s="335">
        <f>SUM(G164:G168)</f>
      </c>
      <c r="H169" s="335">
        <f>SUM(H164:H168)</f>
      </c>
      <c r="I169" s="335">
        <f>SUM(I164:I168)</f>
      </c>
      <c r="J169" s="335">
        <f>SUM(J164:J168)</f>
      </c>
      <c r="K169" s="336">
        <f t="shared" si="78"/>
      </c>
      <c r="L169" s="337">
        <f t="shared" si="108"/>
      </c>
      <c r="M169" s="337">
        <f t="shared" si="244"/>
      </c>
      <c r="N169" s="338">
        <f t="shared" si="399"/>
      </c>
      <c r="O169" s="338">
        <f t="shared" si="18"/>
      </c>
      <c r="P169" s="338">
        <f t="shared" si="138"/>
      </c>
      <c r="Q169" s="339">
        <f t="shared" si="274"/>
      </c>
      <c r="R169" s="339">
        <f t="shared" si="429"/>
      </c>
      <c r="S169" s="338">
        <f t="shared" si="48"/>
      </c>
      <c r="T169" s="339">
        <f t="shared" si="459"/>
      </c>
      <c r="U169" s="339">
        <f t="shared" si="168"/>
      </c>
      <c r="V169" s="338">
        <f t="shared" si="304"/>
      </c>
      <c r="W169" s="335">
        <f>SUM(W164:W168)</f>
      </c>
      <c r="X169" s="335">
        <f>SUM(X164:X168)</f>
      </c>
      <c r="Y169" s="335">
        <f>SUM(Y164:Y168)</f>
      </c>
      <c r="Z169" s="335">
        <f>SUM(Z164:Z168)</f>
      </c>
      <c r="AA169" s="335">
        <f>SUM(AA164:AA168)</f>
      </c>
      <c r="AB169" s="340">
        <f t="shared" si="489"/>
      </c>
      <c r="AC169" s="341"/>
      <c r="AD169" s="342"/>
      <c r="AE169" s="335">
        <f>SUM(AE164:AE168)</f>
      </c>
      <c r="AF169" s="335">
        <f>SUM(AF164:AF168)</f>
      </c>
      <c r="AG169" s="335">
        <f>SUM(AG164:AG168)</f>
      </c>
      <c r="AH169" s="335">
        <f>SUM(AH164:AH168)</f>
      </c>
      <c r="AI169" s="335">
        <f>SUM(AI164:AI168)</f>
      </c>
      <c r="AJ169" s="335">
        <f>SUM(AJ164:AJ168)</f>
      </c>
    </row>
    <row r="170">
      <c r="A170" s="310"/>
      <c r="B170" s="343" t="s">
        <v>290</v>
      </c>
      <c r="C170" s="344">
        <f>C169+C163</f>
      </c>
      <c r="D170" s="354">
        <f>D169+D163</f>
      </c>
      <c r="E170" s="354">
        <f>E169+E163</f>
      </c>
      <c r="F170" s="354">
        <f>F169+F163</f>
      </c>
      <c r="G170" s="354">
        <f>G169+G163</f>
      </c>
      <c r="H170" s="354">
        <f>H169+H163</f>
      </c>
      <c r="I170" s="354">
        <f>I169+I163</f>
      </c>
      <c r="J170" s="354">
        <f>J169+J163</f>
      </c>
      <c r="K170" s="346">
        <f t="shared" si="78"/>
      </c>
      <c r="L170" s="346">
        <f t="shared" si="108"/>
      </c>
      <c r="M170" s="346">
        <f t="shared" si="244"/>
      </c>
      <c r="N170" s="346">
        <f t="shared" si="399"/>
      </c>
      <c r="O170" s="346">
        <f t="shared" si="18"/>
      </c>
      <c r="P170" s="346">
        <f t="shared" si="138"/>
      </c>
      <c r="Q170" s="347">
        <f t="shared" si="274"/>
      </c>
      <c r="R170" s="347">
        <f t="shared" si="429"/>
      </c>
      <c r="S170" s="346">
        <f t="shared" si="48"/>
      </c>
      <c r="T170" s="347">
        <f t="shared" si="459"/>
      </c>
      <c r="U170" s="347">
        <f t="shared" si="168"/>
      </c>
      <c r="V170" s="346">
        <f t="shared" si="304"/>
      </c>
      <c r="W170" s="354">
        <f>W169+W163</f>
      </c>
      <c r="X170" s="354">
        <f>X169+X163</f>
      </c>
      <c r="Y170" s="354">
        <f>Y169+Y163</f>
      </c>
      <c r="Z170" s="354">
        <f>Z169+Z163</f>
      </c>
      <c r="AA170" s="354">
        <f>AA169+AA163</f>
      </c>
      <c r="AB170" s="350">
        <f t="shared" si="489"/>
      </c>
      <c r="AC170" s="343"/>
      <c r="AD170" s="343"/>
      <c r="AE170" s="354">
        <f>AE169+AE163</f>
      </c>
      <c r="AF170" s="354">
        <f>AF169+AF163</f>
      </c>
      <c r="AG170" s="354">
        <f>AG169+AG163</f>
      </c>
      <c r="AH170" s="354">
        <f>AH169+AH163</f>
      </c>
      <c r="AI170" s="354">
        <f>AI169+AI163</f>
      </c>
      <c r="AJ170" s="354">
        <f>AJ169+AJ163</f>
      </c>
    </row>
    <row r="171">
      <c r="A171" s="297" t="s">
        <v>246</v>
      </c>
      <c r="B171" s="298" t="s">
        <v>247</v>
      </c>
      <c r="C171" s="298" t="s">
        <v>248</v>
      </c>
      <c r="D171" s="299" t="s">
        <v>249</v>
      </c>
      <c r="E171" s="298" t="s">
        <v>250</v>
      </c>
      <c r="F171" s="298" t="s">
        <v>251</v>
      </c>
      <c r="G171" s="299" t="s">
        <v>252</v>
      </c>
      <c r="H171" s="300" t="s">
        <v>253</v>
      </c>
      <c r="I171" s="301" t="s">
        <v>254</v>
      </c>
      <c r="J171" s="301" t="s">
        <v>255</v>
      </c>
      <c r="K171" s="302" t="s">
        <v>256</v>
      </c>
      <c r="L171" s="301" t="s">
        <v>257</v>
      </c>
      <c r="M171" s="298" t="s">
        <v>258</v>
      </c>
      <c r="N171" s="302" t="s">
        <v>259</v>
      </c>
      <c r="O171" s="303" t="s">
        <v>260</v>
      </c>
      <c r="P171" s="303" t="s">
        <v>261</v>
      </c>
      <c r="Q171" s="299" t="s">
        <v>262</v>
      </c>
      <c r="R171" s="304" t="s">
        <v>263</v>
      </c>
      <c r="S171" s="302" t="s">
        <v>264</v>
      </c>
      <c r="T171" s="305" t="s">
        <v>265</v>
      </c>
      <c r="U171" s="306" t="s">
        <v>266</v>
      </c>
      <c r="V171" s="302" t="s">
        <v>267</v>
      </c>
      <c r="W171" s="307" t="s">
        <v>268</v>
      </c>
      <c r="X171" s="308" t="s">
        <v>269</v>
      </c>
      <c r="Y171" s="307" t="s">
        <v>270</v>
      </c>
      <c r="Z171" s="309" t="s">
        <v>271</v>
      </c>
      <c r="AA171" s="309" t="s">
        <v>272</v>
      </c>
      <c r="AB171" s="301" t="s">
        <v>273</v>
      </c>
      <c r="AC171" s="300" t="s">
        <v>274</v>
      </c>
      <c r="AD171" s="301" t="s">
        <v>275</v>
      </c>
      <c r="AE171" s="300" t="s">
        <v>276</v>
      </c>
      <c r="AF171" s="300" t="s">
        <v>277</v>
      </c>
      <c r="AG171" s="301" t="s">
        <v>278</v>
      </c>
      <c r="AH171" s="300" t="s">
        <v>279</v>
      </c>
      <c r="AI171" s="301" t="s">
        <v>280</v>
      </c>
      <c r="AJ171" s="300" t="s">
        <v>281</v>
      </c>
    </row>
    <row r="172">
      <c r="A172" s="310">
        <v>46224</v>
      </c>
      <c r="B172" s="311" t="s">
        <v>282</v>
      </c>
      <c r="C172" s="312" t="s">
        <v>292</v>
      </c>
      <c r="D172" s="313">
        <f t="shared" ref="D172:D176" si="202">E172+F172</f>
      </c>
      <c r="E172" s="312">
        <v>1556.7</v>
      </c>
      <c r="F172" s="314">
        <v>2000</v>
      </c>
      <c r="G172" s="314">
        <v>2601.36</v>
      </c>
      <c r="H172" s="315">
        <v>628.56</v>
      </c>
      <c r="I172" s="316">
        <f t="shared" ref="I172:I176" si="361">G172-H172</f>
      </c>
      <c r="J172" s="316">
        <f t="shared" ref="J172:J176" si="523">(G172-AA172)/12+AA172</f>
      </c>
      <c r="K172" s="317">
        <f t="shared" ref="K172:K184" si="79">G172/D172</f>
      </c>
      <c r="L172" s="318">
        <f t="shared" ref="L172:L184" si="109">(G172-H172)/D172</f>
      </c>
      <c r="M172" s="319">
        <f t="shared" ref="M172:M184" si="245">(AA172+Z172/12)/D172</f>
      </c>
      <c r="N172" s="320">
        <f t="shared" ref="N172:N184" si="400">G172/Y172</f>
      </c>
      <c r="O172" s="320">
        <f t="shared" ref="O172:O184" si="19">D172/Y172</f>
      </c>
      <c r="P172" s="320">
        <f t="shared" ref="P172:P184" si="139">D172/AE172</f>
      </c>
      <c r="Q172" s="321">
        <f t="shared" ref="Q172:Q184" si="275">Y172/W172</f>
      </c>
      <c r="R172" s="322">
        <f t="shared" ref="R172:R184" si="430">AG172/AF172</f>
      </c>
      <c r="S172" s="320">
        <f t="shared" ref="S172:S184" si="49">D172/AH172</f>
      </c>
      <c r="T172" s="323">
        <f t="shared" ref="T172:T184" si="460">AI172/AH172</f>
      </c>
      <c r="U172" s="323">
        <f t="shared" ref="U172:U184" si="169">AJ172/AH172</f>
      </c>
      <c r="V172" s="320">
        <f t="shared" ref="V172:V184" si="305">D172/AJ172</f>
      </c>
      <c r="W172" s="325">
        <v>6</v>
      </c>
      <c r="X172" s="325">
        <v>3</v>
      </c>
      <c r="Y172" s="325">
        <v>2</v>
      </c>
      <c r="Z172" s="326">
        <v>2601.36</v>
      </c>
      <c r="AA172" s="326">
        <v>0</v>
      </c>
      <c r="AB172" s="321">
        <f t="shared" ref="AB172:AB184" si="490">AA172/G172</f>
      </c>
      <c r="AC172" s="327" t="s">
        <v>284</v>
      </c>
      <c r="AD172" s="353" t="s">
        <v>285</v>
      </c>
      <c r="AE172" s="329">
        <v>2</v>
      </c>
      <c r="AF172" s="330">
        <v>53973</v>
      </c>
      <c r="AG172" s="330">
        <v>835</v>
      </c>
      <c r="AH172" s="330">
        <v>846</v>
      </c>
      <c r="AI172" s="329">
        <v>88</v>
      </c>
      <c r="AJ172" s="331">
        <v>111</v>
      </c>
    </row>
    <row r="173">
      <c r="A173" s="310"/>
      <c r="B173" s="311" t="s">
        <v>282</v>
      </c>
      <c r="C173" s="312" t="s">
        <v>293</v>
      </c>
      <c r="D173" s="313">
        <f t="shared" si="202"/>
      </c>
      <c r="E173" s="312">
        <v>1885.17</v>
      </c>
      <c r="F173" s="314">
        <v>2000</v>
      </c>
      <c r="G173" s="314">
        <v>5733</v>
      </c>
      <c r="H173" s="315">
        <v>685.8</v>
      </c>
      <c r="I173" s="316">
        <f t="shared" si="361"/>
      </c>
      <c r="J173" s="316">
        <f t="shared" si="523"/>
      </c>
      <c r="K173" s="317">
        <f t="shared" si="79"/>
      </c>
      <c r="L173" s="318">
        <f t="shared" si="109"/>
      </c>
      <c r="M173" s="319">
        <f t="shared" si="245"/>
      </c>
      <c r="N173" s="320">
        <f t="shared" si="400"/>
      </c>
      <c r="O173" s="320">
        <f t="shared" si="19"/>
      </c>
      <c r="P173" s="320">
        <f t="shared" si="139"/>
      </c>
      <c r="Q173" s="321">
        <f t="shared" si="275"/>
      </c>
      <c r="R173" s="322">
        <f t="shared" si="430"/>
      </c>
      <c r="S173" s="320">
        <f t="shared" si="49"/>
      </c>
      <c r="T173" s="323">
        <f t="shared" si="460"/>
      </c>
      <c r="U173" s="323">
        <f t="shared" si="169"/>
      </c>
      <c r="V173" s="320">
        <f t="shared" si="305"/>
      </c>
      <c r="W173" s="325">
        <v>7</v>
      </c>
      <c r="X173" s="325">
        <v>3</v>
      </c>
      <c r="Y173" s="325">
        <v>4</v>
      </c>
      <c r="Z173" s="326">
        <v>5733</v>
      </c>
      <c r="AA173" s="326">
        <v>0</v>
      </c>
      <c r="AB173" s="321">
        <f t="shared" si="490"/>
      </c>
      <c r="AC173" s="327" t="s">
        <v>284</v>
      </c>
      <c r="AD173" s="353" t="s">
        <v>285</v>
      </c>
      <c r="AE173" s="329">
        <v>3</v>
      </c>
      <c r="AF173" s="330">
        <v>62172</v>
      </c>
      <c r="AG173" s="330">
        <v>926</v>
      </c>
      <c r="AH173" s="330">
        <v>942</v>
      </c>
      <c r="AI173" s="331">
        <v>97</v>
      </c>
      <c r="AJ173" s="331">
        <v>112</v>
      </c>
    </row>
    <row r="174">
      <c r="A174" s="310"/>
      <c r="B174" s="311" t="s">
        <v>282</v>
      </c>
      <c r="C174" s="312" t="s">
        <v>294</v>
      </c>
      <c r="D174" s="313">
        <f t="shared" si="202"/>
      </c>
      <c r="E174" s="312">
        <v>2686.67</v>
      </c>
      <c r="F174" s="314">
        <v>1983.15</v>
      </c>
      <c r="G174" s="314">
        <v>16381.33</v>
      </c>
      <c r="H174" s="315">
        <v>2115.37</v>
      </c>
      <c r="I174" s="316">
        <f t="shared" si="361"/>
      </c>
      <c r="J174" s="316">
        <f t="shared" si="523"/>
      </c>
      <c r="K174" s="317">
        <f t="shared" si="79"/>
      </c>
      <c r="L174" s="318">
        <f t="shared" si="109"/>
      </c>
      <c r="M174" s="319">
        <f t="shared" si="245"/>
      </c>
      <c r="N174" s="320">
        <f t="shared" si="400"/>
      </c>
      <c r="O174" s="320">
        <f t="shared" si="19"/>
      </c>
      <c r="P174" s="320">
        <f t="shared" si="139"/>
      </c>
      <c r="Q174" s="321">
        <f t="shared" si="275"/>
      </c>
      <c r="R174" s="322">
        <f t="shared" si="430"/>
      </c>
      <c r="S174" s="320">
        <f t="shared" si="49"/>
      </c>
      <c r="T174" s="323">
        <f t="shared" si="460"/>
      </c>
      <c r="U174" s="323">
        <f t="shared" si="169"/>
      </c>
      <c r="V174" s="320">
        <f t="shared" si="305"/>
      </c>
      <c r="W174" s="325">
        <v>20</v>
      </c>
      <c r="X174" s="325">
        <v>8</v>
      </c>
      <c r="Y174" s="325">
        <v>11</v>
      </c>
      <c r="Z174" s="326">
        <v>14934.48</v>
      </c>
      <c r="AA174" s="326">
        <v>1446.85</v>
      </c>
      <c r="AB174" s="321">
        <f t="shared" si="490"/>
      </c>
      <c r="AC174" s="327" t="s">
        <v>284</v>
      </c>
      <c r="AD174" s="353" t="s">
        <v>285</v>
      </c>
      <c r="AE174" s="331">
        <v>11</v>
      </c>
      <c r="AF174" s="330">
        <v>76535</v>
      </c>
      <c r="AG174" s="330">
        <v>1606</v>
      </c>
      <c r="AH174" s="330">
        <v>1709</v>
      </c>
      <c r="AI174" s="331">
        <v>127</v>
      </c>
      <c r="AJ174" s="331">
        <v>145</v>
      </c>
    </row>
    <row r="175">
      <c r="A175" s="310"/>
      <c r="B175" s="311" t="s">
        <v>282</v>
      </c>
      <c r="C175" s="312" t="s">
        <v>295</v>
      </c>
      <c r="D175" s="313">
        <f t="shared" si="202"/>
      </c>
      <c r="E175" s="312">
        <v>2797.46</v>
      </c>
      <c r="F175" s="314">
        <v>3016.85</v>
      </c>
      <c r="G175" s="314">
        <v>4824.36</v>
      </c>
      <c r="H175" s="315">
        <v>0</v>
      </c>
      <c r="I175" s="316">
        <f t="shared" si="361"/>
      </c>
      <c r="J175" s="316">
        <f t="shared" si="523"/>
      </c>
      <c r="K175" s="317">
        <f t="shared" si="79"/>
      </c>
      <c r="L175" s="318">
        <f t="shared" si="109"/>
      </c>
      <c r="M175" s="319">
        <f t="shared" si="245"/>
      </c>
      <c r="N175" s="320">
        <f t="shared" si="400"/>
      </c>
      <c r="O175" s="320">
        <f t="shared" si="19"/>
      </c>
      <c r="P175" s="320">
        <f t="shared" si="139"/>
      </c>
      <c r="Q175" s="321">
        <f t="shared" si="275"/>
      </c>
      <c r="R175" s="322">
        <f t="shared" si="430"/>
      </c>
      <c r="S175" s="320">
        <f t="shared" si="49"/>
      </c>
      <c r="T175" s="323">
        <f t="shared" si="460"/>
      </c>
      <c r="U175" s="323">
        <f t="shared" si="169"/>
      </c>
      <c r="V175" s="320">
        <f t="shared" si="305"/>
      </c>
      <c r="W175" s="325">
        <v>5</v>
      </c>
      <c r="X175" s="325">
        <v>0</v>
      </c>
      <c r="Y175" s="325">
        <v>3</v>
      </c>
      <c r="Z175" s="315">
        <v>4824.36</v>
      </c>
      <c r="AA175" s="326">
        <v>0</v>
      </c>
      <c r="AB175" s="321">
        <f t="shared" si="490"/>
      </c>
      <c r="AC175" s="327" t="s">
        <v>284</v>
      </c>
      <c r="AD175" s="353" t="s">
        <v>285</v>
      </c>
      <c r="AE175" s="329">
        <v>2</v>
      </c>
      <c r="AF175" s="330">
        <v>103907</v>
      </c>
      <c r="AG175" s="330">
        <v>1585</v>
      </c>
      <c r="AH175" s="330">
        <v>1644</v>
      </c>
      <c r="AI175" s="331">
        <v>115</v>
      </c>
      <c r="AJ175" s="331">
        <v>140</v>
      </c>
    </row>
    <row r="176">
      <c r="A176" s="310"/>
      <c r="B176" s="311" t="s">
        <v>282</v>
      </c>
      <c r="C176" s="312" t="s">
        <v>296</v>
      </c>
      <c r="D176" s="313">
        <f t="shared" si="202"/>
      </c>
      <c r="E176" s="312">
        <v>2633.82</v>
      </c>
      <c r="F176" s="314">
        <v>1975.55</v>
      </c>
      <c r="G176" s="352">
        <v>4725</v>
      </c>
      <c r="H176" s="315">
        <v>0</v>
      </c>
      <c r="I176" s="316">
        <f t="shared" si="361"/>
      </c>
      <c r="J176" s="316">
        <f t="shared" si="523"/>
      </c>
      <c r="K176" s="317">
        <f t="shared" si="79"/>
      </c>
      <c r="L176" s="318">
        <f t="shared" si="109"/>
      </c>
      <c r="M176" s="319">
        <f t="shared" si="245"/>
      </c>
      <c r="N176" s="320">
        <f t="shared" si="400"/>
      </c>
      <c r="O176" s="320">
        <f t="shared" si="19"/>
      </c>
      <c r="P176" s="320">
        <f t="shared" si="139"/>
      </c>
      <c r="Q176" s="321">
        <f t="shared" si="275"/>
      </c>
      <c r="R176" s="322">
        <f t="shared" si="430"/>
      </c>
      <c r="S176" s="320">
        <f t="shared" si="49"/>
      </c>
      <c r="T176" s="323">
        <f t="shared" si="460"/>
      </c>
      <c r="U176" s="323">
        <f t="shared" si="169"/>
      </c>
      <c r="V176" s="320">
        <f t="shared" si="305"/>
      </c>
      <c r="W176" s="325">
        <v>5</v>
      </c>
      <c r="X176" s="325">
        <v>2</v>
      </c>
      <c r="Y176" s="325">
        <v>1</v>
      </c>
      <c r="Z176" s="326">
        <v>4724.999999999996</v>
      </c>
      <c r="AA176" s="326">
        <v>0</v>
      </c>
      <c r="AB176" s="321">
        <f t="shared" si="490"/>
      </c>
      <c r="AC176" s="327" t="s">
        <v>284</v>
      </c>
      <c r="AD176" s="353" t="s">
        <v>285</v>
      </c>
      <c r="AE176" s="329">
        <v>1</v>
      </c>
      <c r="AF176" s="330">
        <v>86295</v>
      </c>
      <c r="AG176" s="330">
        <v>1436</v>
      </c>
      <c r="AH176" s="330">
        <v>1510</v>
      </c>
      <c r="AI176" s="331">
        <v>116</v>
      </c>
      <c r="AJ176" s="331">
        <v>124</v>
      </c>
    </row>
    <row r="177">
      <c r="A177" s="310"/>
      <c r="B177" s="333" t="s">
        <v>290</v>
      </c>
      <c r="C177" s="334">
        <v>5</v>
      </c>
      <c r="D177" s="335">
        <f>SUM(D172:D176)</f>
      </c>
      <c r="E177" s="335">
        <f>SUM(E172:E176)</f>
      </c>
      <c r="F177" s="335">
        <f>SUM(F172:F176)</f>
      </c>
      <c r="G177" s="335">
        <f>SUM(G172:G176)</f>
      </c>
      <c r="H177" s="335">
        <f>SUM(H172:H176)</f>
      </c>
      <c r="I177" s="335">
        <f>SUM(I172:I176)</f>
      </c>
      <c r="J177" s="335">
        <f>SUM(J172:J176)</f>
      </c>
      <c r="K177" s="336">
        <f t="shared" si="79"/>
      </c>
      <c r="L177" s="337">
        <f t="shared" si="109"/>
      </c>
      <c r="M177" s="337">
        <f t="shared" si="245"/>
      </c>
      <c r="N177" s="338">
        <f t="shared" si="400"/>
      </c>
      <c r="O177" s="338">
        <f t="shared" si="19"/>
      </c>
      <c r="P177" s="338">
        <f t="shared" si="139"/>
      </c>
      <c r="Q177" s="339">
        <f t="shared" si="275"/>
      </c>
      <c r="R177" s="339">
        <f t="shared" si="430"/>
      </c>
      <c r="S177" s="338">
        <f t="shared" si="49"/>
      </c>
      <c r="T177" s="339">
        <f t="shared" si="460"/>
      </c>
      <c r="U177" s="339">
        <f t="shared" si="169"/>
      </c>
      <c r="V177" s="338">
        <f t="shared" si="305"/>
      </c>
      <c r="W177" s="335">
        <f>SUM(W172:W176)</f>
      </c>
      <c r="X177" s="335">
        <f>SUM(X172:X176)</f>
      </c>
      <c r="Y177" s="335">
        <f>SUM(Y172:Y176)</f>
      </c>
      <c r="Z177" s="335">
        <f>SUM(Z172:Z176)</f>
      </c>
      <c r="AA177" s="335">
        <f>SUM(AA172:AA176)</f>
      </c>
      <c r="AB177" s="340">
        <f t="shared" si="490"/>
      </c>
      <c r="AC177" s="341"/>
      <c r="AD177" s="342"/>
      <c r="AE177" s="335">
        <f>SUM(AE172:AE176)</f>
      </c>
      <c r="AF177" s="335">
        <f>SUM(AF172:AF176)</f>
      </c>
      <c r="AG177" s="335">
        <f>SUM(AG172:AG176)</f>
      </c>
      <c r="AH177" s="335">
        <f>SUM(AH172:AH176)</f>
      </c>
      <c r="AI177" s="335">
        <f>SUM(AI172:AI176)</f>
      </c>
      <c r="AJ177" s="335">
        <f>SUM(AJ172:AJ176)</f>
      </c>
    </row>
    <row r="178">
      <c r="A178" s="310"/>
      <c r="B178" s="311" t="s">
        <v>297</v>
      </c>
      <c r="C178" s="312" t="s">
        <v>283</v>
      </c>
      <c r="D178" s="313">
        <f t="shared" ref="D178:D182" si="203">E178+F178</f>
      </c>
      <c r="E178" s="312">
        <v>1928.79</v>
      </c>
      <c r="F178" s="314">
        <v>2005.03</v>
      </c>
      <c r="G178" s="352">
        <f t="shared" ref="G178:G182" si="323">Z178+AA178</f>
      </c>
      <c r="H178" s="315">
        <v>1647</v>
      </c>
      <c r="I178" s="316">
        <f t="shared" ref="I178:I182" si="362">G178-H178</f>
      </c>
      <c r="J178" s="316">
        <f t="shared" ref="J178:J182" si="524">(G178-AA178)/12+AA178</f>
      </c>
      <c r="K178" s="317">
        <f t="shared" si="79"/>
      </c>
      <c r="L178" s="318">
        <f t="shared" si="109"/>
      </c>
      <c r="M178" s="319">
        <f t="shared" si="245"/>
      </c>
      <c r="N178" s="320">
        <f t="shared" si="400"/>
      </c>
      <c r="O178" s="320">
        <f t="shared" si="19"/>
      </c>
      <c r="P178" s="320">
        <f t="shared" si="139"/>
      </c>
      <c r="Q178" s="321">
        <f t="shared" si="275"/>
      </c>
      <c r="R178" s="322">
        <f t="shared" si="430"/>
      </c>
      <c r="S178" s="320">
        <f t="shared" si="49"/>
      </c>
      <c r="T178" s="323">
        <f t="shared" si="460"/>
      </c>
      <c r="U178" s="323">
        <f t="shared" si="169"/>
      </c>
      <c r="V178" s="320">
        <f t="shared" si="305"/>
      </c>
      <c r="W178" s="325">
        <v>6</v>
      </c>
      <c r="X178" s="325">
        <v>2</v>
      </c>
      <c r="Y178" s="325">
        <v>2</v>
      </c>
      <c r="Z178" s="326">
        <v>1647</v>
      </c>
      <c r="AA178" s="326">
        <v>0</v>
      </c>
      <c r="AB178" s="321">
        <f t="shared" si="490"/>
      </c>
      <c r="AC178" s="327" t="s">
        <v>284</v>
      </c>
      <c r="AD178" s="328" t="s">
        <v>291</v>
      </c>
      <c r="AE178" s="329">
        <v>2</v>
      </c>
      <c r="AF178" s="330">
        <v>70099</v>
      </c>
      <c r="AG178" s="330">
        <v>887</v>
      </c>
      <c r="AH178" s="330">
        <v>899</v>
      </c>
      <c r="AI178" s="329">
        <v>75</v>
      </c>
      <c r="AJ178" s="331">
        <v>88</v>
      </c>
    </row>
    <row r="179">
      <c r="A179" s="310"/>
      <c r="B179" s="311" t="s">
        <v>297</v>
      </c>
      <c r="C179" s="332" t="s">
        <v>286</v>
      </c>
      <c r="D179" s="313">
        <f t="shared" si="203"/>
      </c>
      <c r="E179" s="312">
        <v>2209.34</v>
      </c>
      <c r="F179" s="314">
        <v>2019.42</v>
      </c>
      <c r="G179" s="352">
        <f t="shared" si="323"/>
      </c>
      <c r="H179" s="315">
        <v>0</v>
      </c>
      <c r="I179" s="316">
        <f t="shared" si="362"/>
      </c>
      <c r="J179" s="316">
        <f t="shared" si="524"/>
      </c>
      <c r="K179" s="317">
        <f t="shared" si="79"/>
      </c>
      <c r="L179" s="318">
        <f t="shared" si="109"/>
      </c>
      <c r="M179" s="319">
        <f t="shared" si="245"/>
      </c>
      <c r="N179" s="320">
        <f t="shared" si="400"/>
      </c>
      <c r="O179" s="320">
        <f t="shared" si="19"/>
      </c>
      <c r="P179" s="320">
        <f t="shared" si="139"/>
      </c>
      <c r="Q179" s="321">
        <f t="shared" si="275"/>
      </c>
      <c r="R179" s="322">
        <f t="shared" si="430"/>
      </c>
      <c r="S179" s="320">
        <f t="shared" si="49"/>
      </c>
      <c r="T179" s="323">
        <f t="shared" si="460"/>
      </c>
      <c r="U179" s="323">
        <f t="shared" si="169"/>
      </c>
      <c r="V179" s="320">
        <f t="shared" si="305"/>
      </c>
      <c r="W179" s="325">
        <v>2</v>
      </c>
      <c r="X179" s="325">
        <v>0</v>
      </c>
      <c r="Y179" s="325">
        <v>1</v>
      </c>
      <c r="Z179" s="326">
        <v>970.9200000000055</v>
      </c>
      <c r="AA179" s="326">
        <v>0</v>
      </c>
      <c r="AB179" s="321">
        <f t="shared" si="490"/>
      </c>
      <c r="AC179" s="327" t="s">
        <v>284</v>
      </c>
      <c r="AD179" s="328" t="s">
        <v>291</v>
      </c>
      <c r="AE179" s="329">
        <v>1</v>
      </c>
      <c r="AF179" s="330">
        <v>58883</v>
      </c>
      <c r="AG179" s="330">
        <v>891</v>
      </c>
      <c r="AH179" s="330">
        <v>918</v>
      </c>
      <c r="AI179" s="331">
        <v>73</v>
      </c>
      <c r="AJ179" s="331">
        <v>96</v>
      </c>
    </row>
    <row r="180">
      <c r="A180" s="310"/>
      <c r="B180" s="311" t="s">
        <v>297</v>
      </c>
      <c r="C180" s="332" t="s">
        <v>287</v>
      </c>
      <c r="D180" s="313">
        <f t="shared" si="203"/>
      </c>
      <c r="E180" s="312">
        <v>2090.48</v>
      </c>
      <c r="F180" s="314">
        <v>2000</v>
      </c>
      <c r="G180" s="352">
        <f t="shared" si="323"/>
      </c>
      <c r="H180" s="315">
        <v>0</v>
      </c>
      <c r="I180" s="316">
        <f t="shared" si="362"/>
      </c>
      <c r="J180" s="316">
        <f t="shared" si="524"/>
      </c>
      <c r="K180" s="317">
        <f t="shared" si="79"/>
      </c>
      <c r="L180" s="318">
        <f t="shared" si="109"/>
      </c>
      <c r="M180" s="319">
        <f t="shared" si="245"/>
      </c>
      <c r="N180" s="320">
        <f t="shared" si="400"/>
      </c>
      <c r="O180" s="320">
        <f t="shared" si="19"/>
      </c>
      <c r="P180" s="320">
        <f t="shared" si="139"/>
      </c>
      <c r="Q180" s="321">
        <f t="shared" si="275"/>
      </c>
      <c r="R180" s="322">
        <f t="shared" si="430"/>
      </c>
      <c r="S180" s="320">
        <f t="shared" si="49"/>
      </c>
      <c r="T180" s="323">
        <f t="shared" si="460"/>
      </c>
      <c r="U180" s="323">
        <f t="shared" si="169"/>
      </c>
      <c r="V180" s="320">
        <f t="shared" si="305"/>
      </c>
      <c r="W180" s="325">
        <v>7</v>
      </c>
      <c r="X180" s="325">
        <v>3</v>
      </c>
      <c r="Y180" s="325">
        <v>2</v>
      </c>
      <c r="Z180" s="326">
        <v>3230.279999999999</v>
      </c>
      <c r="AA180" s="326">
        <v>0</v>
      </c>
      <c r="AB180" s="321">
        <f t="shared" si="490"/>
      </c>
      <c r="AC180" s="327" t="s">
        <v>284</v>
      </c>
      <c r="AD180" s="328" t="s">
        <v>291</v>
      </c>
      <c r="AE180" s="331">
        <v>2</v>
      </c>
      <c r="AF180" s="330">
        <v>69220</v>
      </c>
      <c r="AG180" s="330">
        <v>920</v>
      </c>
      <c r="AH180" s="330">
        <v>968</v>
      </c>
      <c r="AI180" s="331">
        <v>92</v>
      </c>
      <c r="AJ180" s="331">
        <v>115</v>
      </c>
    </row>
    <row r="181">
      <c r="A181" s="310"/>
      <c r="B181" s="311" t="s">
        <v>297</v>
      </c>
      <c r="C181" s="312" t="s">
        <v>288</v>
      </c>
      <c r="D181" s="313">
        <f t="shared" si="203"/>
      </c>
      <c r="E181" s="312">
        <v>1050.38</v>
      </c>
      <c r="F181" s="314">
        <v>1984.15</v>
      </c>
      <c r="G181" s="352">
        <f t="shared" si="323"/>
      </c>
      <c r="H181" s="315">
        <v>0</v>
      </c>
      <c r="I181" s="316">
        <f t="shared" si="362"/>
      </c>
      <c r="J181" s="316">
        <f t="shared" si="524"/>
      </c>
      <c r="K181" s="317">
        <f t="shared" si="79"/>
      </c>
      <c r="L181" s="318">
        <f t="shared" si="109"/>
      </c>
      <c r="M181" s="319">
        <f t="shared" si="245"/>
      </c>
      <c r="N181" s="320">
        <f t="shared" si="400"/>
      </c>
      <c r="O181" s="320">
        <f t="shared" si="19"/>
      </c>
      <c r="P181" s="320">
        <f t="shared" si="139"/>
      </c>
      <c r="Q181" s="321">
        <f t="shared" si="275"/>
      </c>
      <c r="R181" s="322">
        <f t="shared" si="430"/>
      </c>
      <c r="S181" s="320">
        <f t="shared" si="49"/>
      </c>
      <c r="T181" s="323">
        <f t="shared" si="460"/>
      </c>
      <c r="U181" s="323">
        <f t="shared" si="169"/>
      </c>
      <c r="V181" s="320">
        <f t="shared" si="305"/>
      </c>
      <c r="W181" s="325">
        <v>4</v>
      </c>
      <c r="X181" s="325">
        <v>0</v>
      </c>
      <c r="Y181" s="325">
        <v>2</v>
      </c>
      <c r="Z181" s="315">
        <v>3339.3600000000006</v>
      </c>
      <c r="AA181" s="326">
        <v>0</v>
      </c>
      <c r="AB181" s="321">
        <f t="shared" si="490"/>
      </c>
      <c r="AC181" s="327" t="s">
        <v>284</v>
      </c>
      <c r="AD181" s="328" t="s">
        <v>291</v>
      </c>
      <c r="AE181" s="329">
        <v>2</v>
      </c>
      <c r="AF181" s="330">
        <v>50039</v>
      </c>
      <c r="AG181" s="330">
        <v>686</v>
      </c>
      <c r="AH181" s="330">
        <v>697</v>
      </c>
      <c r="AI181" s="331">
        <v>66</v>
      </c>
      <c r="AJ181" s="331">
        <v>75</v>
      </c>
    </row>
    <row r="182">
      <c r="A182" s="310"/>
      <c r="B182" s="311" t="s">
        <v>297</v>
      </c>
      <c r="C182" s="332" t="s">
        <v>289</v>
      </c>
      <c r="D182" s="313">
        <f t="shared" si="203"/>
      </c>
      <c r="E182" s="312">
        <v>747.43</v>
      </c>
      <c r="F182" s="314">
        <v>2015.85</v>
      </c>
      <c r="G182" s="352">
        <f t="shared" si="323"/>
      </c>
      <c r="H182" s="315">
        <v>0</v>
      </c>
      <c r="I182" s="316">
        <f t="shared" si="362"/>
      </c>
      <c r="J182" s="316">
        <f t="shared" si="524"/>
      </c>
      <c r="K182" s="317">
        <f t="shared" si="79"/>
      </c>
      <c r="L182" s="318">
        <f t="shared" si="109"/>
      </c>
      <c r="M182" s="319">
        <f t="shared" si="245"/>
      </c>
      <c r="N182" s="320">
        <f t="shared" si="400"/>
      </c>
      <c r="O182" s="320">
        <f t="shared" si="19"/>
      </c>
      <c r="P182" s="320">
        <f t="shared" si="139"/>
      </c>
      <c r="Q182" s="321">
        <f t="shared" si="275"/>
      </c>
      <c r="R182" s="322">
        <f t="shared" si="430"/>
      </c>
      <c r="S182" s="320">
        <f t="shared" si="49"/>
      </c>
      <c r="T182" s="323">
        <f t="shared" si="460"/>
      </c>
      <c r="U182" s="323">
        <f t="shared" si="169"/>
      </c>
      <c r="V182" s="320">
        <f t="shared" si="305"/>
      </c>
      <c r="W182" s="325">
        <v>3</v>
      </c>
      <c r="X182" s="325">
        <v>1</v>
      </c>
      <c r="Y182" s="325">
        <v>0</v>
      </c>
      <c r="Z182" s="326">
        <v>0</v>
      </c>
      <c r="AA182" s="326">
        <v>0</v>
      </c>
      <c r="AB182" s="321">
        <f t="shared" si="490"/>
      </c>
      <c r="AC182" s="327" t="s">
        <v>284</v>
      </c>
      <c r="AD182" s="328" t="s">
        <v>291</v>
      </c>
      <c r="AE182" s="329">
        <v>0</v>
      </c>
      <c r="AF182" s="330">
        <v>43812</v>
      </c>
      <c r="AG182" s="330">
        <v>427</v>
      </c>
      <c r="AH182" s="330">
        <v>421</v>
      </c>
      <c r="AI182" s="331">
        <v>42</v>
      </c>
      <c r="AJ182" s="331">
        <v>65</v>
      </c>
    </row>
    <row r="183">
      <c r="A183" s="310"/>
      <c r="B183" s="333" t="s">
        <v>290</v>
      </c>
      <c r="C183" s="334">
        <v>5</v>
      </c>
      <c r="D183" s="335">
        <f>SUM(D178:D182)</f>
      </c>
      <c r="E183" s="335">
        <f>SUM(E178:E182)</f>
      </c>
      <c r="F183" s="335">
        <f>SUM(F178:F182)</f>
      </c>
      <c r="G183" s="335">
        <f>SUM(G178:G182)</f>
      </c>
      <c r="H183" s="335">
        <f>SUM(H178:H182)</f>
      </c>
      <c r="I183" s="335">
        <f>SUM(I178:I182)</f>
      </c>
      <c r="J183" s="335">
        <f>SUM(J178:J182)</f>
      </c>
      <c r="K183" s="336">
        <f t="shared" si="79"/>
      </c>
      <c r="L183" s="337">
        <f t="shared" si="109"/>
      </c>
      <c r="M183" s="337">
        <f t="shared" si="245"/>
      </c>
      <c r="N183" s="338">
        <f t="shared" si="400"/>
      </c>
      <c r="O183" s="338">
        <f t="shared" si="19"/>
      </c>
      <c r="P183" s="338">
        <f t="shared" si="139"/>
      </c>
      <c r="Q183" s="339">
        <f t="shared" si="275"/>
      </c>
      <c r="R183" s="339">
        <f t="shared" si="430"/>
      </c>
      <c r="S183" s="338">
        <f t="shared" si="49"/>
      </c>
      <c r="T183" s="339">
        <f t="shared" si="460"/>
      </c>
      <c r="U183" s="339">
        <f t="shared" si="169"/>
      </c>
      <c r="V183" s="338">
        <f t="shared" si="305"/>
      </c>
      <c r="W183" s="335">
        <f>SUM(W178:W182)</f>
      </c>
      <c r="X183" s="335">
        <f>SUM(X178:X182)</f>
      </c>
      <c r="Y183" s="335">
        <f>SUM(Y178:Y182)</f>
      </c>
      <c r="Z183" s="335">
        <f>SUM(Z178:Z182)</f>
      </c>
      <c r="AA183" s="335">
        <f>SUM(AA178:AA182)</f>
      </c>
      <c r="AB183" s="340">
        <f t="shared" si="490"/>
      </c>
      <c r="AC183" s="341"/>
      <c r="AD183" s="342"/>
      <c r="AE183" s="335">
        <f>SUM(AE178:AE182)</f>
      </c>
      <c r="AF183" s="335">
        <f>SUM(AF178:AF182)</f>
      </c>
      <c r="AG183" s="335">
        <f>SUM(AG178:AG182)</f>
      </c>
      <c r="AH183" s="335">
        <f>SUM(AH178:AH182)</f>
      </c>
      <c r="AI183" s="335">
        <f>SUM(AI178:AI182)</f>
      </c>
      <c r="AJ183" s="335">
        <f>SUM(AJ178:AJ182)</f>
      </c>
    </row>
    <row r="184">
      <c r="A184" s="310"/>
      <c r="B184" s="343" t="s">
        <v>290</v>
      </c>
      <c r="C184" s="344">
        <f>C183+C177</f>
      </c>
      <c r="D184" s="354">
        <f>D183+D177</f>
      </c>
      <c r="E184" s="354">
        <f>E183+E177</f>
      </c>
      <c r="F184" s="354">
        <f>F183+F177</f>
      </c>
      <c r="G184" s="354">
        <f>G183+G177</f>
      </c>
      <c r="H184" s="354">
        <f>H183+H177</f>
      </c>
      <c r="I184" s="354">
        <f>I183+I177</f>
      </c>
      <c r="J184" s="354">
        <f>J183+J177</f>
      </c>
      <c r="K184" s="346">
        <f t="shared" si="79"/>
      </c>
      <c r="L184" s="346">
        <f t="shared" si="109"/>
      </c>
      <c r="M184" s="346">
        <f t="shared" si="245"/>
      </c>
      <c r="N184" s="346">
        <f t="shared" si="400"/>
      </c>
      <c r="O184" s="346">
        <f t="shared" si="19"/>
      </c>
      <c r="P184" s="346">
        <f t="shared" si="139"/>
      </c>
      <c r="Q184" s="347">
        <f t="shared" si="275"/>
      </c>
      <c r="R184" s="347">
        <f t="shared" si="430"/>
      </c>
      <c r="S184" s="346">
        <f t="shared" si="49"/>
      </c>
      <c r="T184" s="347">
        <f t="shared" si="460"/>
      </c>
      <c r="U184" s="347">
        <f t="shared" si="169"/>
      </c>
      <c r="V184" s="346">
        <f t="shared" si="305"/>
      </c>
      <c r="W184" s="354">
        <f>W183+W177</f>
      </c>
      <c r="X184" s="354">
        <f>X183+X177</f>
      </c>
      <c r="Y184" s="354">
        <f>Y183+Y177</f>
      </c>
      <c r="Z184" s="354">
        <f>Z183+Z177</f>
      </c>
      <c r="AA184" s="354">
        <f>AA183+AA177</f>
      </c>
      <c r="AB184" s="350">
        <f t="shared" si="490"/>
      </c>
      <c r="AC184" s="343"/>
      <c r="AD184" s="343"/>
      <c r="AE184" s="354">
        <f>AE183+AE177</f>
      </c>
      <c r="AF184" s="354">
        <f>AF183+AF177</f>
      </c>
      <c r="AG184" s="354">
        <f>AG183+AG177</f>
      </c>
      <c r="AH184" s="354">
        <f>AH183+AH177</f>
      </c>
      <c r="AI184" s="354">
        <f>AI183+AI177</f>
      </c>
      <c r="AJ184" s="354">
        <f>AJ183+AJ177</f>
      </c>
    </row>
    <row r="185">
      <c r="A185" s="297" t="s">
        <v>246</v>
      </c>
      <c r="B185" s="298" t="s">
        <v>247</v>
      </c>
      <c r="C185" s="298" t="s">
        <v>248</v>
      </c>
      <c r="D185" s="299" t="s">
        <v>249</v>
      </c>
      <c r="E185" s="298" t="s">
        <v>250</v>
      </c>
      <c r="F185" s="298" t="s">
        <v>251</v>
      </c>
      <c r="G185" s="299" t="s">
        <v>252</v>
      </c>
      <c r="H185" s="300" t="s">
        <v>253</v>
      </c>
      <c r="I185" s="301" t="s">
        <v>254</v>
      </c>
      <c r="J185" s="301" t="s">
        <v>255</v>
      </c>
      <c r="K185" s="302" t="s">
        <v>256</v>
      </c>
      <c r="L185" s="301" t="s">
        <v>257</v>
      </c>
      <c r="M185" s="298" t="s">
        <v>258</v>
      </c>
      <c r="N185" s="302" t="s">
        <v>259</v>
      </c>
      <c r="O185" s="303" t="s">
        <v>260</v>
      </c>
      <c r="P185" s="303" t="s">
        <v>261</v>
      </c>
      <c r="Q185" s="299" t="s">
        <v>262</v>
      </c>
      <c r="R185" s="304" t="s">
        <v>263</v>
      </c>
      <c r="S185" s="302" t="s">
        <v>264</v>
      </c>
      <c r="T185" s="305" t="s">
        <v>265</v>
      </c>
      <c r="U185" s="306" t="s">
        <v>266</v>
      </c>
      <c r="V185" s="302" t="s">
        <v>267</v>
      </c>
      <c r="W185" s="307" t="s">
        <v>268</v>
      </c>
      <c r="X185" s="308" t="s">
        <v>269</v>
      </c>
      <c r="Y185" s="307" t="s">
        <v>270</v>
      </c>
      <c r="Z185" s="309" t="s">
        <v>271</v>
      </c>
      <c r="AA185" s="309" t="s">
        <v>272</v>
      </c>
      <c r="AB185" s="301" t="s">
        <v>273</v>
      </c>
      <c r="AC185" s="300" t="s">
        <v>274</v>
      </c>
      <c r="AD185" s="301" t="s">
        <v>275</v>
      </c>
      <c r="AE185" s="300" t="s">
        <v>276</v>
      </c>
      <c r="AF185" s="300" t="s">
        <v>277</v>
      </c>
      <c r="AG185" s="301" t="s">
        <v>278</v>
      </c>
      <c r="AH185" s="300" t="s">
        <v>279</v>
      </c>
      <c r="AI185" s="301" t="s">
        <v>280</v>
      </c>
      <c r="AJ185" s="300" t="s">
        <v>281</v>
      </c>
    </row>
    <row r="186">
      <c r="A186" s="310">
        <v>46225</v>
      </c>
      <c r="B186" s="311" t="s">
        <v>282</v>
      </c>
      <c r="C186" s="312" t="s">
        <v>292</v>
      </c>
      <c r="D186" s="313">
        <f t="shared" ref="D186:D190" si="204">E186+F186</f>
      </c>
      <c r="E186" s="312">
        <v>1539.86</v>
      </c>
      <c r="F186" s="314">
        <v>2000</v>
      </c>
      <c r="G186" s="314">
        <v>3839.4</v>
      </c>
      <c r="H186" s="315">
        <v>0</v>
      </c>
      <c r="I186" s="316">
        <f t="shared" ref="I186:I190" si="363">G186-H186</f>
      </c>
      <c r="J186" s="316">
        <f t="shared" ref="J186:J190" si="525">(G186-AA186)/12+AA186</f>
      </c>
      <c r="K186" s="317">
        <f t="shared" ref="K186:K198" si="80">G186/D186</f>
      </c>
      <c r="L186" s="318">
        <f t="shared" ref="L186:L198" si="110">(G186-H186)/D186</f>
      </c>
      <c r="M186" s="319">
        <f t="shared" ref="M186:M198" si="246">(AA186+Z186/12)/D186</f>
      </c>
      <c r="N186" s="320">
        <f t="shared" ref="N186:N198" si="401">G186/Y186</f>
      </c>
      <c r="O186" s="320">
        <f t="shared" ref="O186:O198" si="20">D186/Y186</f>
      </c>
      <c r="P186" s="320">
        <f t="shared" ref="P186:P198" si="140">D186/AE186</f>
      </c>
      <c r="Q186" s="321">
        <f t="shared" ref="Q186:Q198" si="276">Y186/W186</f>
      </c>
      <c r="R186" s="322">
        <f t="shared" ref="R186:R198" si="431">AG186/AF186</f>
      </c>
      <c r="S186" s="320">
        <f t="shared" ref="S186:S198" si="50">D186/AH186</f>
      </c>
      <c r="T186" s="323">
        <f t="shared" ref="T186:T198" si="461">AI186/AH186</f>
      </c>
      <c r="U186" s="323">
        <f t="shared" ref="U186:U198" si="170">AJ186/AH186</f>
      </c>
      <c r="V186" s="320">
        <f t="shared" ref="V186:V198" si="306">D186/AJ186</f>
      </c>
      <c r="W186" s="325">
        <v>5</v>
      </c>
      <c r="X186" s="325">
        <v>3</v>
      </c>
      <c r="Y186" s="325">
        <v>3</v>
      </c>
      <c r="Z186" s="326">
        <v>3839.4</v>
      </c>
      <c r="AA186" s="326">
        <v>0</v>
      </c>
      <c r="AB186" s="321">
        <f t="shared" ref="AB186:AB198" si="491">AA186/G186</f>
      </c>
      <c r="AC186" s="327" t="s">
        <v>284</v>
      </c>
      <c r="AD186" s="353" t="s">
        <v>285</v>
      </c>
      <c r="AE186" s="329">
        <v>2</v>
      </c>
      <c r="AF186" s="330">
        <v>55255</v>
      </c>
      <c r="AG186" s="330">
        <v>685</v>
      </c>
      <c r="AH186" s="330">
        <v>691</v>
      </c>
      <c r="AI186" s="329">
        <v>88</v>
      </c>
      <c r="AJ186" s="331">
        <v>95</v>
      </c>
    </row>
    <row r="187">
      <c r="A187" s="310"/>
      <c r="B187" s="311" t="s">
        <v>282</v>
      </c>
      <c r="C187" s="312" t="s">
        <v>293</v>
      </c>
      <c r="D187" s="313">
        <f t="shared" si="204"/>
      </c>
      <c r="E187" s="312">
        <v>1759.85</v>
      </c>
      <c r="F187" s="314">
        <v>1995.91</v>
      </c>
      <c r="G187" s="314">
        <v>7127.64</v>
      </c>
      <c r="H187" s="315">
        <v>657.72</v>
      </c>
      <c r="I187" s="316">
        <f t="shared" si="363"/>
      </c>
      <c r="J187" s="316">
        <f t="shared" si="525"/>
      </c>
      <c r="K187" s="317">
        <f t="shared" si="80"/>
      </c>
      <c r="L187" s="318">
        <f t="shared" si="110"/>
      </c>
      <c r="M187" s="319">
        <f t="shared" si="246"/>
      </c>
      <c r="N187" s="320">
        <f t="shared" si="401"/>
      </c>
      <c r="O187" s="320">
        <f t="shared" si="20"/>
      </c>
      <c r="P187" s="320">
        <f t="shared" si="140"/>
      </c>
      <c r="Q187" s="321">
        <f t="shared" si="276"/>
      </c>
      <c r="R187" s="322">
        <f t="shared" si="431"/>
      </c>
      <c r="S187" s="320">
        <f t="shared" si="50"/>
      </c>
      <c r="T187" s="323">
        <f t="shared" si="461"/>
      </c>
      <c r="U187" s="323">
        <f t="shared" si="170"/>
      </c>
      <c r="V187" s="320">
        <f t="shared" si="306"/>
      </c>
      <c r="W187" s="325">
        <v>9</v>
      </c>
      <c r="X187" s="325">
        <v>3</v>
      </c>
      <c r="Y187" s="325">
        <v>3</v>
      </c>
      <c r="Z187" s="326">
        <v>7127.64</v>
      </c>
      <c r="AA187" s="326">
        <v>0</v>
      </c>
      <c r="AB187" s="321">
        <f t="shared" si="491"/>
      </c>
      <c r="AC187" s="327" t="s">
        <v>284</v>
      </c>
      <c r="AD187" s="353" t="s">
        <v>285</v>
      </c>
      <c r="AE187" s="329">
        <v>2</v>
      </c>
      <c r="AF187" s="330">
        <v>53933</v>
      </c>
      <c r="AG187" s="330">
        <v>885</v>
      </c>
      <c r="AH187" s="330">
        <v>914</v>
      </c>
      <c r="AI187" s="331">
        <v>103</v>
      </c>
      <c r="AJ187" s="331">
        <v>115</v>
      </c>
    </row>
    <row r="188">
      <c r="A188" s="310"/>
      <c r="B188" s="311" t="s">
        <v>282</v>
      </c>
      <c r="C188" s="312" t="s">
        <v>294</v>
      </c>
      <c r="D188" s="313">
        <f t="shared" si="204"/>
      </c>
      <c r="E188" s="312">
        <v>1440.38</v>
      </c>
      <c r="F188" s="314">
        <v>1997.85</v>
      </c>
      <c r="G188" s="314">
        <v>4480.92</v>
      </c>
      <c r="H188" s="315">
        <v>3000.24</v>
      </c>
      <c r="I188" s="316">
        <f t="shared" si="363"/>
      </c>
      <c r="J188" s="316">
        <f t="shared" si="525"/>
      </c>
      <c r="K188" s="317">
        <f t="shared" si="80"/>
      </c>
      <c r="L188" s="318">
        <f t="shared" si="110"/>
      </c>
      <c r="M188" s="319">
        <f t="shared" si="246"/>
      </c>
      <c r="N188" s="320">
        <f t="shared" si="401"/>
      </c>
      <c r="O188" s="320">
        <f t="shared" si="20"/>
      </c>
      <c r="P188" s="320">
        <f t="shared" si="140"/>
      </c>
      <c r="Q188" s="321">
        <f t="shared" si="276"/>
      </c>
      <c r="R188" s="322">
        <f t="shared" si="431"/>
      </c>
      <c r="S188" s="320">
        <f t="shared" si="50"/>
      </c>
      <c r="T188" s="323">
        <f t="shared" si="461"/>
      </c>
      <c r="U188" s="323">
        <f t="shared" si="170"/>
      </c>
      <c r="V188" s="320">
        <f t="shared" si="306"/>
      </c>
      <c r="W188" s="325">
        <v>5</v>
      </c>
      <c r="X188" s="325">
        <v>1</v>
      </c>
      <c r="Y188" s="325">
        <v>3</v>
      </c>
      <c r="Z188" s="326">
        <v>4480.92</v>
      </c>
      <c r="AA188" s="326">
        <v>0</v>
      </c>
      <c r="AB188" s="321">
        <f t="shared" si="491"/>
      </c>
      <c r="AC188" s="327" t="s">
        <v>284</v>
      </c>
      <c r="AD188" s="353" t="s">
        <v>285</v>
      </c>
      <c r="AE188" s="331">
        <v>2</v>
      </c>
      <c r="AF188" s="330">
        <v>48823</v>
      </c>
      <c r="AG188" s="330">
        <v>778</v>
      </c>
      <c r="AH188" s="330">
        <v>807</v>
      </c>
      <c r="AI188" s="331">
        <v>74</v>
      </c>
      <c r="AJ188" s="331">
        <v>98</v>
      </c>
    </row>
    <row r="189">
      <c r="A189" s="310"/>
      <c r="B189" s="311" t="s">
        <v>282</v>
      </c>
      <c r="C189" s="312" t="s">
        <v>295</v>
      </c>
      <c r="D189" s="313">
        <f t="shared" si="204"/>
      </c>
      <c r="E189" s="312">
        <v>1505.91</v>
      </c>
      <c r="F189" s="314">
        <v>1984.48</v>
      </c>
      <c r="G189" s="314">
        <v>6188.4</v>
      </c>
      <c r="H189" s="315">
        <v>3406.3200000000006</v>
      </c>
      <c r="I189" s="316">
        <f t="shared" si="363"/>
      </c>
      <c r="J189" s="316">
        <f t="shared" si="525"/>
      </c>
      <c r="K189" s="317">
        <f t="shared" si="80"/>
      </c>
      <c r="L189" s="318">
        <f t="shared" si="110"/>
      </c>
      <c r="M189" s="319">
        <f t="shared" si="246"/>
      </c>
      <c r="N189" s="320">
        <f t="shared" si="401"/>
      </c>
      <c r="O189" s="320">
        <f t="shared" si="20"/>
      </c>
      <c r="P189" s="320">
        <f t="shared" si="140"/>
      </c>
      <c r="Q189" s="321">
        <f t="shared" si="276"/>
      </c>
      <c r="R189" s="322">
        <f t="shared" si="431"/>
      </c>
      <c r="S189" s="320">
        <f t="shared" si="50"/>
      </c>
      <c r="T189" s="323">
        <f t="shared" si="461"/>
      </c>
      <c r="U189" s="323">
        <f t="shared" si="170"/>
      </c>
      <c r="V189" s="320">
        <f t="shared" si="306"/>
      </c>
      <c r="W189" s="325">
        <v>5</v>
      </c>
      <c r="X189" s="325">
        <v>4</v>
      </c>
      <c r="Y189" s="325">
        <v>3</v>
      </c>
      <c r="Z189" s="315">
        <v>6188.4</v>
      </c>
      <c r="AA189" s="326">
        <v>0</v>
      </c>
      <c r="AB189" s="321">
        <f t="shared" si="491"/>
      </c>
      <c r="AC189" s="327" t="s">
        <v>284</v>
      </c>
      <c r="AD189" s="353" t="s">
        <v>285</v>
      </c>
      <c r="AE189" s="329">
        <v>1</v>
      </c>
      <c r="AF189" s="330">
        <v>57670</v>
      </c>
      <c r="AG189" s="330">
        <v>803</v>
      </c>
      <c r="AH189" s="330">
        <v>824</v>
      </c>
      <c r="AI189" s="331">
        <v>108</v>
      </c>
      <c r="AJ189" s="331">
        <v>127</v>
      </c>
    </row>
    <row r="190">
      <c r="A190" s="310"/>
      <c r="B190" s="311" t="s">
        <v>282</v>
      </c>
      <c r="C190" s="312" t="s">
        <v>296</v>
      </c>
      <c r="D190" s="313">
        <f t="shared" si="204"/>
      </c>
      <c r="E190" s="312">
        <v>1737.96</v>
      </c>
      <c r="F190" s="314">
        <v>1999.26</v>
      </c>
      <c r="G190" s="352">
        <v>4391.28</v>
      </c>
      <c r="H190" s="315">
        <v>0</v>
      </c>
      <c r="I190" s="316">
        <f t="shared" si="363"/>
      </c>
      <c r="J190" s="316">
        <f t="shared" si="525"/>
      </c>
      <c r="K190" s="317">
        <f t="shared" si="80"/>
      </c>
      <c r="L190" s="318">
        <f t="shared" si="110"/>
      </c>
      <c r="M190" s="319">
        <f t="shared" si="246"/>
      </c>
      <c r="N190" s="320">
        <f t="shared" si="401"/>
      </c>
      <c r="O190" s="320">
        <f t="shared" si="20"/>
      </c>
      <c r="P190" s="320">
        <f t="shared" si="140"/>
      </c>
      <c r="Q190" s="321">
        <f t="shared" si="276"/>
      </c>
      <c r="R190" s="322">
        <f t="shared" si="431"/>
      </c>
      <c r="S190" s="320">
        <f t="shared" si="50"/>
      </c>
      <c r="T190" s="323">
        <f t="shared" si="461"/>
      </c>
      <c r="U190" s="323">
        <f t="shared" si="170"/>
      </c>
      <c r="V190" s="320">
        <f t="shared" si="306"/>
      </c>
      <c r="W190" s="325">
        <v>8</v>
      </c>
      <c r="X190" s="325">
        <v>6</v>
      </c>
      <c r="Y190" s="325">
        <v>4</v>
      </c>
      <c r="Z190" s="326">
        <v>4391.28</v>
      </c>
      <c r="AA190" s="326">
        <v>0</v>
      </c>
      <c r="AB190" s="321">
        <f t="shared" si="491"/>
      </c>
      <c r="AC190" s="327" t="s">
        <v>284</v>
      </c>
      <c r="AD190" s="353" t="s">
        <v>285</v>
      </c>
      <c r="AE190" s="329">
        <v>4</v>
      </c>
      <c r="AF190" s="330">
        <v>57351</v>
      </c>
      <c r="AG190" s="330">
        <v>1149</v>
      </c>
      <c r="AH190" s="330">
        <v>1189</v>
      </c>
      <c r="AI190" s="331">
        <v>92</v>
      </c>
      <c r="AJ190" s="331">
        <v>106</v>
      </c>
    </row>
    <row r="191">
      <c r="A191" s="310"/>
      <c r="B191" s="333" t="s">
        <v>290</v>
      </c>
      <c r="C191" s="334">
        <v>5</v>
      </c>
      <c r="D191" s="335">
        <f>SUM(D186:D190)</f>
      </c>
      <c r="E191" s="335">
        <f>SUM(E186:E190)</f>
      </c>
      <c r="F191" s="335">
        <f>SUM(F186:F190)</f>
      </c>
      <c r="G191" s="335">
        <f>SUM(G186:G190)</f>
      </c>
      <c r="H191" s="335">
        <f>SUM(H186:H190)</f>
      </c>
      <c r="I191" s="335">
        <f>SUM(I186:I190)</f>
      </c>
      <c r="J191" s="335">
        <f>SUM(J186:J190)</f>
      </c>
      <c r="K191" s="336">
        <f t="shared" si="80"/>
      </c>
      <c r="L191" s="337">
        <f t="shared" si="110"/>
      </c>
      <c r="M191" s="337">
        <f t="shared" si="246"/>
      </c>
      <c r="N191" s="338">
        <f t="shared" si="401"/>
      </c>
      <c r="O191" s="338">
        <f t="shared" si="20"/>
      </c>
      <c r="P191" s="338">
        <f t="shared" si="140"/>
      </c>
      <c r="Q191" s="339">
        <f t="shared" si="276"/>
      </c>
      <c r="R191" s="339">
        <f t="shared" si="431"/>
      </c>
      <c r="S191" s="338">
        <f t="shared" si="50"/>
      </c>
      <c r="T191" s="339">
        <f t="shared" si="461"/>
      </c>
      <c r="U191" s="339">
        <f t="shared" si="170"/>
      </c>
      <c r="V191" s="338">
        <f t="shared" si="306"/>
      </c>
      <c r="W191" s="335">
        <f>SUM(W186:W190)</f>
      </c>
      <c r="X191" s="335">
        <f>SUM(X186:X190)</f>
      </c>
      <c r="Y191" s="335">
        <f>SUM(Y186:Y190)</f>
      </c>
      <c r="Z191" s="335">
        <f>SUM(Z186:Z190)</f>
      </c>
      <c r="AA191" s="335">
        <f>SUM(AA186:AA190)</f>
      </c>
      <c r="AB191" s="340">
        <f t="shared" si="491"/>
      </c>
      <c r="AC191" s="341"/>
      <c r="AD191" s="342"/>
      <c r="AE191" s="335">
        <f>SUM(AE186:AE190)</f>
      </c>
      <c r="AF191" s="335">
        <f>SUM(AF186:AF190)</f>
      </c>
      <c r="AG191" s="335">
        <f>SUM(AG186:AG190)</f>
      </c>
      <c r="AH191" s="335">
        <f>SUM(AH186:AH190)</f>
      </c>
      <c r="AI191" s="335">
        <f>SUM(AI186:AI190)</f>
      </c>
      <c r="AJ191" s="335">
        <f>SUM(AJ186:AJ190)</f>
      </c>
    </row>
    <row r="192">
      <c r="A192" s="310"/>
      <c r="B192" s="311" t="s">
        <v>297</v>
      </c>
      <c r="C192" s="312" t="s">
        <v>283</v>
      </c>
      <c r="D192" s="313">
        <f t="shared" ref="D192:D196" si="205">E192+F192</f>
      </c>
      <c r="E192" s="312">
        <v>1501.25</v>
      </c>
      <c r="F192" s="314">
        <v>2004.08</v>
      </c>
      <c r="G192" s="352">
        <f t="shared" ref="G192:G196" si="324">Z192+AA192</f>
      </c>
      <c r="H192" s="315">
        <v>1172.88</v>
      </c>
      <c r="I192" s="316">
        <f t="shared" ref="I192:I196" si="364">G192-H192</f>
      </c>
      <c r="J192" s="316">
        <f t="shared" ref="J192:J196" si="526">(G192-AA192)/12+AA192</f>
      </c>
      <c r="K192" s="317">
        <f t="shared" si="80"/>
      </c>
      <c r="L192" s="318">
        <f t="shared" si="110"/>
      </c>
      <c r="M192" s="319">
        <f t="shared" si="246"/>
      </c>
      <c r="N192" s="320">
        <f t="shared" si="401"/>
      </c>
      <c r="O192" s="320">
        <f t="shared" si="20"/>
      </c>
      <c r="P192" s="320">
        <f t="shared" si="140"/>
      </c>
      <c r="Q192" s="321">
        <f t="shared" si="276"/>
      </c>
      <c r="R192" s="322">
        <f t="shared" si="431"/>
      </c>
      <c r="S192" s="320">
        <f t="shared" si="50"/>
      </c>
      <c r="T192" s="323">
        <f t="shared" si="461"/>
      </c>
      <c r="U192" s="323">
        <f t="shared" si="170"/>
      </c>
      <c r="V192" s="320">
        <f t="shared" si="306"/>
      </c>
      <c r="W192" s="325">
        <v>5</v>
      </c>
      <c r="X192" s="325">
        <v>3</v>
      </c>
      <c r="Y192" s="325">
        <v>1</v>
      </c>
      <c r="Z192" s="326">
        <v>1172.880000000001</v>
      </c>
      <c r="AA192" s="326">
        <v>0</v>
      </c>
      <c r="AB192" s="321">
        <f t="shared" si="491"/>
      </c>
      <c r="AC192" s="327" t="s">
        <v>284</v>
      </c>
      <c r="AD192" s="328" t="s">
        <v>291</v>
      </c>
      <c r="AE192" s="329">
        <v>1</v>
      </c>
      <c r="AF192" s="330">
        <v>58402</v>
      </c>
      <c r="AG192" s="330">
        <v>1111</v>
      </c>
      <c r="AH192" s="330">
        <v>1170</v>
      </c>
      <c r="AI192" s="329">
        <v>94</v>
      </c>
      <c r="AJ192" s="331">
        <v>109</v>
      </c>
    </row>
    <row r="193">
      <c r="A193" s="310"/>
      <c r="B193" s="311" t="s">
        <v>297</v>
      </c>
      <c r="C193" s="332" t="s">
        <v>286</v>
      </c>
      <c r="D193" s="313">
        <f t="shared" si="205"/>
      </c>
      <c r="E193" s="312">
        <v>1743.91</v>
      </c>
      <c r="F193" s="314">
        <v>1497.34</v>
      </c>
      <c r="G193" s="352">
        <f t="shared" si="324"/>
      </c>
      <c r="H193" s="315">
        <v>0</v>
      </c>
      <c r="I193" s="316">
        <f t="shared" si="364"/>
      </c>
      <c r="J193" s="316">
        <f t="shared" si="526"/>
      </c>
      <c r="K193" s="317">
        <f t="shared" si="80"/>
      </c>
      <c r="L193" s="318">
        <f t="shared" si="110"/>
      </c>
      <c r="M193" s="319">
        <f t="shared" si="246"/>
      </c>
      <c r="N193" s="320">
        <f t="shared" si="401"/>
      </c>
      <c r="O193" s="320">
        <f t="shared" si="20"/>
      </c>
      <c r="P193" s="320">
        <f t="shared" si="140"/>
      </c>
      <c r="Q193" s="321">
        <f t="shared" si="276"/>
      </c>
      <c r="R193" s="322">
        <f t="shared" si="431"/>
      </c>
      <c r="S193" s="320">
        <f t="shared" si="50"/>
      </c>
      <c r="T193" s="323">
        <f t="shared" si="461"/>
      </c>
      <c r="U193" s="323">
        <f t="shared" si="170"/>
      </c>
      <c r="V193" s="320">
        <f t="shared" si="306"/>
      </c>
      <c r="W193" s="325">
        <v>2</v>
      </c>
      <c r="X193" s="325">
        <v>0</v>
      </c>
      <c r="Y193" s="325">
        <v>1</v>
      </c>
      <c r="Z193" s="326">
        <v>1337.0400000000009</v>
      </c>
      <c r="AA193" s="326">
        <v>0</v>
      </c>
      <c r="AB193" s="321">
        <f t="shared" si="491"/>
      </c>
      <c r="AC193" s="327" t="s">
        <v>284</v>
      </c>
      <c r="AD193" s="328" t="s">
        <v>291</v>
      </c>
      <c r="AE193" s="329">
        <v>1</v>
      </c>
      <c r="AF193" s="330">
        <v>62674</v>
      </c>
      <c r="AG193" s="330">
        <v>991</v>
      </c>
      <c r="AH193" s="330">
        <v>1056</v>
      </c>
      <c r="AI193" s="331">
        <v>76</v>
      </c>
      <c r="AJ193" s="331">
        <v>92</v>
      </c>
    </row>
    <row r="194">
      <c r="A194" s="310"/>
      <c r="B194" s="311" t="s">
        <v>297</v>
      </c>
      <c r="C194" s="332" t="s">
        <v>287</v>
      </c>
      <c r="D194" s="313">
        <f t="shared" si="205"/>
      </c>
      <c r="E194" s="312">
        <v>1865.2</v>
      </c>
      <c r="F194" s="314">
        <v>1021.41</v>
      </c>
      <c r="G194" s="352">
        <f t="shared" si="324"/>
      </c>
      <c r="H194" s="315">
        <v>506</v>
      </c>
      <c r="I194" s="316">
        <f t="shared" si="364"/>
      </c>
      <c r="J194" s="316">
        <f t="shared" si="526"/>
      </c>
      <c r="K194" s="317">
        <f t="shared" si="80"/>
      </c>
      <c r="L194" s="318">
        <f t="shared" si="110"/>
      </c>
      <c r="M194" s="319">
        <f t="shared" si="246"/>
      </c>
      <c r="N194" s="320">
        <f t="shared" si="401"/>
      </c>
      <c r="O194" s="320">
        <f t="shared" si="20"/>
      </c>
      <c r="P194" s="320">
        <f t="shared" si="140"/>
      </c>
      <c r="Q194" s="321">
        <f t="shared" si="276"/>
      </c>
      <c r="R194" s="322">
        <f t="shared" si="431"/>
      </c>
      <c r="S194" s="320">
        <f t="shared" si="50"/>
      </c>
      <c r="T194" s="323">
        <f t="shared" si="461"/>
      </c>
      <c r="U194" s="323">
        <f t="shared" si="170"/>
      </c>
      <c r="V194" s="320">
        <f t="shared" si="306"/>
      </c>
      <c r="W194" s="325">
        <v>3</v>
      </c>
      <c r="X194" s="325">
        <v>0</v>
      </c>
      <c r="Y194" s="325">
        <v>3</v>
      </c>
      <c r="Z194" s="326">
        <v>716.0399999999972</v>
      </c>
      <c r="AA194" s="326">
        <v>1533</v>
      </c>
      <c r="AB194" s="321">
        <f t="shared" si="491"/>
      </c>
      <c r="AC194" s="327" t="s">
        <v>284</v>
      </c>
      <c r="AD194" s="328" t="s">
        <v>291</v>
      </c>
      <c r="AE194" s="331">
        <v>1</v>
      </c>
      <c r="AF194" s="330">
        <v>53949</v>
      </c>
      <c r="AG194" s="330">
        <v>1079</v>
      </c>
      <c r="AH194" s="330">
        <v>1119</v>
      </c>
      <c r="AI194" s="331">
        <v>74</v>
      </c>
      <c r="AJ194" s="331">
        <v>96</v>
      </c>
    </row>
    <row r="195">
      <c r="A195" s="310"/>
      <c r="B195" s="311" t="s">
        <v>297</v>
      </c>
      <c r="C195" s="312" t="s">
        <v>288</v>
      </c>
      <c r="D195" s="313">
        <f t="shared" si="205"/>
      </c>
      <c r="E195" s="312">
        <v>3134.36</v>
      </c>
      <c r="F195" s="314">
        <v>998.07</v>
      </c>
      <c r="G195" s="352">
        <f t="shared" si="324"/>
      </c>
      <c r="H195" s="315">
        <v>701</v>
      </c>
      <c r="I195" s="316">
        <f t="shared" si="364"/>
      </c>
      <c r="J195" s="316">
        <f t="shared" si="526"/>
      </c>
      <c r="K195" s="317">
        <f t="shared" si="80"/>
      </c>
      <c r="L195" s="318">
        <f t="shared" si="110"/>
      </c>
      <c r="M195" s="319">
        <f t="shared" si="246"/>
      </c>
      <c r="N195" s="320">
        <f t="shared" si="401"/>
      </c>
      <c r="O195" s="320">
        <f t="shared" si="20"/>
      </c>
      <c r="P195" s="320">
        <f t="shared" si="140"/>
      </c>
      <c r="Q195" s="321">
        <f t="shared" si="276"/>
      </c>
      <c r="R195" s="322">
        <f t="shared" si="431"/>
      </c>
      <c r="S195" s="320">
        <f t="shared" si="50"/>
      </c>
      <c r="T195" s="323">
        <f t="shared" si="461"/>
      </c>
      <c r="U195" s="323">
        <f t="shared" si="170"/>
      </c>
      <c r="V195" s="320">
        <f t="shared" si="306"/>
      </c>
      <c r="W195" s="325">
        <v>14</v>
      </c>
      <c r="X195" s="325">
        <v>5</v>
      </c>
      <c r="Y195" s="325">
        <v>7</v>
      </c>
      <c r="Z195" s="315">
        <v>7837.560000000005</v>
      </c>
      <c r="AA195" s="326">
        <v>1140</v>
      </c>
      <c r="AB195" s="321">
        <f t="shared" si="491"/>
      </c>
      <c r="AC195" s="327" t="s">
        <v>284</v>
      </c>
      <c r="AD195" s="328" t="s">
        <v>291</v>
      </c>
      <c r="AE195" s="329">
        <v>7</v>
      </c>
      <c r="AF195" s="330">
        <v>83212</v>
      </c>
      <c r="AG195" s="330">
        <v>2322</v>
      </c>
      <c r="AH195" s="330">
        <v>2440</v>
      </c>
      <c r="AI195" s="331">
        <v>129</v>
      </c>
      <c r="AJ195" s="331">
        <v>143</v>
      </c>
    </row>
    <row r="196">
      <c r="A196" s="310"/>
      <c r="B196" s="311" t="s">
        <v>297</v>
      </c>
      <c r="C196" s="332" t="s">
        <v>289</v>
      </c>
      <c r="D196" s="313">
        <f t="shared" si="205"/>
      </c>
      <c r="E196" s="312">
        <v>3823.64</v>
      </c>
      <c r="F196" s="314">
        <v>1001.6</v>
      </c>
      <c r="G196" s="352">
        <f t="shared" si="324"/>
      </c>
      <c r="H196" s="315">
        <v>0</v>
      </c>
      <c r="I196" s="316">
        <f t="shared" si="364"/>
      </c>
      <c r="J196" s="316">
        <f t="shared" si="526"/>
      </c>
      <c r="K196" s="317">
        <f t="shared" si="80"/>
      </c>
      <c r="L196" s="318">
        <f t="shared" si="110"/>
      </c>
      <c r="M196" s="319">
        <f t="shared" si="246"/>
      </c>
      <c r="N196" s="320">
        <f t="shared" si="401"/>
      </c>
      <c r="O196" s="320">
        <f t="shared" si="20"/>
      </c>
      <c r="P196" s="320">
        <f t="shared" si="140"/>
      </c>
      <c r="Q196" s="321">
        <f t="shared" si="276"/>
      </c>
      <c r="R196" s="322">
        <f t="shared" si="431"/>
      </c>
      <c r="S196" s="320">
        <f t="shared" si="50"/>
      </c>
      <c r="T196" s="323">
        <f t="shared" si="461"/>
      </c>
      <c r="U196" s="323">
        <f t="shared" si="170"/>
      </c>
      <c r="V196" s="320">
        <f t="shared" si="306"/>
      </c>
      <c r="W196" s="325">
        <v>9</v>
      </c>
      <c r="X196" s="325">
        <v>0</v>
      </c>
      <c r="Y196" s="325">
        <v>6</v>
      </c>
      <c r="Z196" s="326">
        <v>22134.839999999997</v>
      </c>
      <c r="AA196" s="326">
        <v>0</v>
      </c>
      <c r="AB196" s="321">
        <f t="shared" si="491"/>
      </c>
      <c r="AC196" s="327" t="s">
        <v>284</v>
      </c>
      <c r="AD196" s="328" t="s">
        <v>291</v>
      </c>
      <c r="AE196" s="329">
        <v>6</v>
      </c>
      <c r="AF196" s="330">
        <v>85866</v>
      </c>
      <c r="AG196" s="330">
        <v>3424</v>
      </c>
      <c r="AH196" s="330">
        <v>3670</v>
      </c>
      <c r="AI196" s="331">
        <v>166</v>
      </c>
      <c r="AJ196" s="331">
        <v>173</v>
      </c>
    </row>
    <row r="197">
      <c r="A197" s="310"/>
      <c r="B197" s="333" t="s">
        <v>290</v>
      </c>
      <c r="C197" s="334">
        <v>5</v>
      </c>
      <c r="D197" s="335">
        <f>SUM(D192:D196)</f>
      </c>
      <c r="E197" s="335">
        <f>SUM(E192:E196)</f>
      </c>
      <c r="F197" s="335">
        <f>SUM(F192:F196)</f>
      </c>
      <c r="G197" s="335">
        <f>SUM(G192:G196)</f>
      </c>
      <c r="H197" s="335">
        <f>SUM(H192:H196)</f>
      </c>
      <c r="I197" s="335">
        <f>SUM(I192:I196)</f>
      </c>
      <c r="J197" s="335">
        <f>SUM(J192:J196)</f>
      </c>
      <c r="K197" s="336">
        <f t="shared" si="80"/>
      </c>
      <c r="L197" s="337">
        <f t="shared" si="110"/>
      </c>
      <c r="M197" s="337">
        <f t="shared" si="246"/>
      </c>
      <c r="N197" s="338">
        <f t="shared" si="401"/>
      </c>
      <c r="O197" s="338">
        <f t="shared" si="20"/>
      </c>
      <c r="P197" s="338">
        <f t="shared" si="140"/>
      </c>
      <c r="Q197" s="339">
        <f t="shared" si="276"/>
      </c>
      <c r="R197" s="339">
        <f t="shared" si="431"/>
      </c>
      <c r="S197" s="338">
        <f t="shared" si="50"/>
      </c>
      <c r="T197" s="339">
        <f t="shared" si="461"/>
      </c>
      <c r="U197" s="339">
        <f t="shared" si="170"/>
      </c>
      <c r="V197" s="338">
        <f t="shared" si="306"/>
      </c>
      <c r="W197" s="335">
        <f>SUM(W192:W196)</f>
      </c>
      <c r="X197" s="335">
        <f>SUM(X192:X196)</f>
      </c>
      <c r="Y197" s="335">
        <f>SUM(Y192:Y196)</f>
      </c>
      <c r="Z197" s="335">
        <f>SUM(Z192:Z196)</f>
      </c>
      <c r="AA197" s="335">
        <f>SUM(AA192:AA196)</f>
      </c>
      <c r="AB197" s="340">
        <f t="shared" si="491"/>
      </c>
      <c r="AC197" s="341"/>
      <c r="AD197" s="342"/>
      <c r="AE197" s="335">
        <f>SUM(AE192:AE196)</f>
      </c>
      <c r="AF197" s="335">
        <f>SUM(AF192:AF196)</f>
      </c>
      <c r="AG197" s="335">
        <f>SUM(AG192:AG196)</f>
      </c>
      <c r="AH197" s="335">
        <f>SUM(AH192:AH196)</f>
      </c>
      <c r="AI197" s="335">
        <f>SUM(AI192:AI196)</f>
      </c>
      <c r="AJ197" s="335">
        <f>SUM(AJ192:AJ196)</f>
      </c>
    </row>
    <row r="198">
      <c r="A198" s="310"/>
      <c r="B198" s="343" t="s">
        <v>290</v>
      </c>
      <c r="C198" s="344">
        <f>C197+C191</f>
      </c>
      <c r="D198" s="354">
        <f>D197+D191</f>
      </c>
      <c r="E198" s="354">
        <f>E197+E191</f>
      </c>
      <c r="F198" s="354">
        <f>F197+F191</f>
      </c>
      <c r="G198" s="354">
        <f>G197+G191</f>
      </c>
      <c r="H198" s="354">
        <f>H197+H191</f>
      </c>
      <c r="I198" s="354">
        <f>I197+I191</f>
      </c>
      <c r="J198" s="354">
        <f>J197+J191</f>
      </c>
      <c r="K198" s="346">
        <f t="shared" si="80"/>
      </c>
      <c r="L198" s="346">
        <f t="shared" si="110"/>
      </c>
      <c r="M198" s="346">
        <f t="shared" si="246"/>
      </c>
      <c r="N198" s="346">
        <f t="shared" si="401"/>
      </c>
      <c r="O198" s="346">
        <f t="shared" si="20"/>
      </c>
      <c r="P198" s="346">
        <f t="shared" si="140"/>
      </c>
      <c r="Q198" s="347">
        <f t="shared" si="276"/>
      </c>
      <c r="R198" s="347">
        <f t="shared" si="431"/>
      </c>
      <c r="S198" s="346">
        <f t="shared" si="50"/>
      </c>
      <c r="T198" s="347">
        <f t="shared" si="461"/>
      </c>
      <c r="U198" s="347">
        <f t="shared" si="170"/>
      </c>
      <c r="V198" s="346">
        <f t="shared" si="306"/>
      </c>
      <c r="W198" s="354">
        <f>W197+W191</f>
      </c>
      <c r="X198" s="354">
        <f>X197+X191</f>
      </c>
      <c r="Y198" s="354">
        <f>Y197+Y191</f>
      </c>
      <c r="Z198" s="354">
        <f>Z197+Z191</f>
      </c>
      <c r="AA198" s="354">
        <f>AA197+AA191</f>
      </c>
      <c r="AB198" s="350">
        <f t="shared" si="491"/>
      </c>
      <c r="AC198" s="343"/>
      <c r="AD198" s="343"/>
      <c r="AE198" s="354">
        <f>AE197+AE191</f>
      </c>
      <c r="AF198" s="354">
        <f>AF197+AF191</f>
      </c>
      <c r="AG198" s="354">
        <f>AG197+AG191</f>
      </c>
      <c r="AH198" s="354">
        <f>AH197+AH191</f>
      </c>
      <c r="AI198" s="354">
        <f>AI197+AI191</f>
      </c>
      <c r="AJ198" s="354">
        <f>AJ197+AJ191</f>
      </c>
    </row>
    <row r="199">
      <c r="A199" s="297" t="s">
        <v>246</v>
      </c>
      <c r="B199" s="298" t="s">
        <v>247</v>
      </c>
      <c r="C199" s="298" t="s">
        <v>248</v>
      </c>
      <c r="D199" s="299" t="s">
        <v>249</v>
      </c>
      <c r="E199" s="298" t="s">
        <v>250</v>
      </c>
      <c r="F199" s="298" t="s">
        <v>251</v>
      </c>
      <c r="G199" s="299" t="s">
        <v>252</v>
      </c>
      <c r="H199" s="300" t="s">
        <v>253</v>
      </c>
      <c r="I199" s="301" t="s">
        <v>254</v>
      </c>
      <c r="J199" s="301" t="s">
        <v>255</v>
      </c>
      <c r="K199" s="302" t="s">
        <v>256</v>
      </c>
      <c r="L199" s="301" t="s">
        <v>257</v>
      </c>
      <c r="M199" s="298" t="s">
        <v>258</v>
      </c>
      <c r="N199" s="302" t="s">
        <v>259</v>
      </c>
      <c r="O199" s="303" t="s">
        <v>260</v>
      </c>
      <c r="P199" s="303" t="s">
        <v>261</v>
      </c>
      <c r="Q199" s="299" t="s">
        <v>262</v>
      </c>
      <c r="R199" s="304" t="s">
        <v>263</v>
      </c>
      <c r="S199" s="302" t="s">
        <v>264</v>
      </c>
      <c r="T199" s="305" t="s">
        <v>265</v>
      </c>
      <c r="U199" s="306" t="s">
        <v>266</v>
      </c>
      <c r="V199" s="302" t="s">
        <v>267</v>
      </c>
      <c r="W199" s="307" t="s">
        <v>268</v>
      </c>
      <c r="X199" s="308" t="s">
        <v>269</v>
      </c>
      <c r="Y199" s="307" t="s">
        <v>270</v>
      </c>
      <c r="Z199" s="309" t="s">
        <v>271</v>
      </c>
      <c r="AA199" s="309" t="s">
        <v>272</v>
      </c>
      <c r="AB199" s="301" t="s">
        <v>273</v>
      </c>
      <c r="AC199" s="300" t="s">
        <v>274</v>
      </c>
      <c r="AD199" s="301" t="s">
        <v>275</v>
      </c>
      <c r="AE199" s="300" t="s">
        <v>276</v>
      </c>
      <c r="AF199" s="300" t="s">
        <v>277</v>
      </c>
      <c r="AG199" s="301" t="s">
        <v>278</v>
      </c>
      <c r="AH199" s="300" t="s">
        <v>279</v>
      </c>
      <c r="AI199" s="301" t="s">
        <v>280</v>
      </c>
      <c r="AJ199" s="300" t="s">
        <v>281</v>
      </c>
    </row>
    <row r="200">
      <c r="A200" s="310">
        <v>46226</v>
      </c>
      <c r="B200" s="311" t="s">
        <v>282</v>
      </c>
      <c r="C200" s="312" t="s">
        <v>292</v>
      </c>
      <c r="D200" s="313">
        <f t="shared" ref="D200:D204" si="206">E200+F200</f>
      </c>
      <c r="E200" s="355">
        <v>2672.79</v>
      </c>
      <c r="F200" s="314">
        <v>2000</v>
      </c>
      <c r="G200" s="314">
        <v>2541.24</v>
      </c>
      <c r="H200" s="315">
        <v>1788.48</v>
      </c>
      <c r="I200" s="316">
        <f t="shared" ref="I200:I204" si="365">G200-H200</f>
      </c>
      <c r="J200" s="316">
        <f t="shared" ref="J200:J204" si="527">(G200-AA200)/12+AA200</f>
      </c>
      <c r="K200" s="317">
        <f t="shared" ref="K200:K212" si="81">G200/D200</f>
      </c>
      <c r="L200" s="318">
        <f t="shared" ref="L200:L212" si="111">(G200-H200)/D200</f>
      </c>
      <c r="M200" s="319">
        <f t="shared" ref="M200:M212" si="247">(AA200+Z200/12)/D200</f>
      </c>
      <c r="N200" s="320">
        <f t="shared" ref="N200:N212" si="402">G200/Y200</f>
      </c>
      <c r="O200" s="320">
        <f t="shared" ref="O200:O212" si="21">D200/Y200</f>
      </c>
      <c r="P200" s="320">
        <f t="shared" ref="P200:P212" si="141">D200/AE200</f>
      </c>
      <c r="Q200" s="321">
        <f t="shared" ref="Q200:Q212" si="277">Y200/W200</f>
      </c>
      <c r="R200" s="322">
        <f t="shared" ref="R200:R212" si="432">AG200/AF200</f>
      </c>
      <c r="S200" s="320">
        <f t="shared" ref="S200:S212" si="51">D200/AH200</f>
      </c>
      <c r="T200" s="323">
        <f t="shared" ref="T200:T212" si="462">AI200/AH200</f>
      </c>
      <c r="U200" s="323">
        <f t="shared" ref="U200:U212" si="171">AJ200/AH200</f>
      </c>
      <c r="V200" s="320">
        <f t="shared" ref="V200:V212" si="307">D200/AJ200</f>
      </c>
      <c r="W200" s="325">
        <v>7</v>
      </c>
      <c r="X200" s="325">
        <v>3</v>
      </c>
      <c r="Y200" s="325">
        <v>2</v>
      </c>
      <c r="Z200" s="326">
        <v>2541.24</v>
      </c>
      <c r="AA200" s="326">
        <v>0</v>
      </c>
      <c r="AB200" s="321">
        <f t="shared" ref="AB200:AB212" si="492">AA200/G200</f>
      </c>
      <c r="AC200" s="327" t="s">
        <v>284</v>
      </c>
      <c r="AD200" s="353" t="s">
        <v>285</v>
      </c>
      <c r="AE200" s="329">
        <v>2</v>
      </c>
      <c r="AF200" s="330">
        <v>80746</v>
      </c>
      <c r="AG200" s="330">
        <v>1594</v>
      </c>
      <c r="AH200" s="330">
        <v>1680</v>
      </c>
      <c r="AI200" s="329">
        <v>127</v>
      </c>
      <c r="AJ200" s="331">
        <v>120</v>
      </c>
    </row>
    <row r="201">
      <c r="A201" s="310"/>
      <c r="B201" s="311" t="s">
        <v>282</v>
      </c>
      <c r="C201" s="312" t="s">
        <v>293</v>
      </c>
      <c r="D201" s="313">
        <f t="shared" si="206"/>
      </c>
      <c r="E201" s="312">
        <v>2429.97</v>
      </c>
      <c r="F201" s="314">
        <v>1993.67</v>
      </c>
      <c r="G201" s="314">
        <v>12717.04</v>
      </c>
      <c r="H201" s="315">
        <v>6714.4</v>
      </c>
      <c r="I201" s="316">
        <f t="shared" si="365"/>
      </c>
      <c r="J201" s="316">
        <f t="shared" si="527"/>
      </c>
      <c r="K201" s="317">
        <f t="shared" si="81"/>
      </c>
      <c r="L201" s="318">
        <f t="shared" si="111"/>
      </c>
      <c r="M201" s="319">
        <f t="shared" si="247"/>
      </c>
      <c r="N201" s="320">
        <f t="shared" si="402"/>
      </c>
      <c r="O201" s="320">
        <f t="shared" si="21"/>
      </c>
      <c r="P201" s="320">
        <f t="shared" si="141"/>
      </c>
      <c r="Q201" s="321">
        <f t="shared" si="277"/>
      </c>
      <c r="R201" s="322">
        <f t="shared" si="432"/>
      </c>
      <c r="S201" s="320">
        <f t="shared" si="51"/>
      </c>
      <c r="T201" s="323">
        <f t="shared" si="462"/>
      </c>
      <c r="U201" s="323">
        <f t="shared" si="171"/>
      </c>
      <c r="V201" s="320">
        <f t="shared" si="307"/>
      </c>
      <c r="W201" s="325">
        <v>10</v>
      </c>
      <c r="X201" s="325">
        <v>2</v>
      </c>
      <c r="Y201" s="325">
        <v>6</v>
      </c>
      <c r="Z201" s="326">
        <v>11693.04</v>
      </c>
      <c r="AA201" s="326">
        <v>1024</v>
      </c>
      <c r="AB201" s="321">
        <f t="shared" si="492"/>
      </c>
      <c r="AC201" s="327" t="s">
        <v>284</v>
      </c>
      <c r="AD201" s="353" t="s">
        <v>285</v>
      </c>
      <c r="AE201" s="329">
        <v>6</v>
      </c>
      <c r="AF201" s="330">
        <v>73627</v>
      </c>
      <c r="AG201" s="330">
        <v>1479</v>
      </c>
      <c r="AH201" s="330">
        <v>1570</v>
      </c>
      <c r="AI201" s="331">
        <v>128</v>
      </c>
      <c r="AJ201" s="331">
        <v>139</v>
      </c>
    </row>
    <row r="202">
      <c r="A202" s="310"/>
      <c r="B202" s="311" t="s">
        <v>282</v>
      </c>
      <c r="C202" s="312" t="s">
        <v>294</v>
      </c>
      <c r="D202" s="313">
        <f t="shared" si="206"/>
      </c>
      <c r="E202" s="312">
        <v>3211.1</v>
      </c>
      <c r="F202" s="312">
        <v>2006.33</v>
      </c>
      <c r="G202" s="314">
        <v>13902.839999999998</v>
      </c>
      <c r="H202" s="315">
        <v>7170.120000000001</v>
      </c>
      <c r="I202" s="316">
        <f t="shared" si="365"/>
      </c>
      <c r="J202" s="316">
        <f t="shared" si="527"/>
      </c>
      <c r="K202" s="317">
        <f t="shared" si="81"/>
      </c>
      <c r="L202" s="318">
        <f t="shared" si="111"/>
      </c>
      <c r="M202" s="319">
        <f t="shared" si="247"/>
      </c>
      <c r="N202" s="320">
        <f t="shared" si="402"/>
      </c>
      <c r="O202" s="320">
        <f t="shared" si="21"/>
      </c>
      <c r="P202" s="320">
        <f t="shared" si="141"/>
      </c>
      <c r="Q202" s="321">
        <f t="shared" si="277"/>
      </c>
      <c r="R202" s="322">
        <f t="shared" si="432"/>
      </c>
      <c r="S202" s="320">
        <f t="shared" si="51"/>
      </c>
      <c r="T202" s="323">
        <f t="shared" si="462"/>
      </c>
      <c r="U202" s="323">
        <f t="shared" si="171"/>
      </c>
      <c r="V202" s="320">
        <f t="shared" si="307"/>
      </c>
      <c r="W202" s="325">
        <v>11</v>
      </c>
      <c r="X202" s="325">
        <v>4</v>
      </c>
      <c r="Y202" s="325">
        <v>7</v>
      </c>
      <c r="Z202" s="326">
        <v>13902.839999999998</v>
      </c>
      <c r="AA202" s="326">
        <v>0</v>
      </c>
      <c r="AB202" s="321">
        <f t="shared" si="492"/>
      </c>
      <c r="AC202" s="327" t="s">
        <v>284</v>
      </c>
      <c r="AD202" s="353" t="s">
        <v>285</v>
      </c>
      <c r="AE202" s="331">
        <v>7</v>
      </c>
      <c r="AF202" s="330">
        <v>90061</v>
      </c>
      <c r="AG202" s="330">
        <v>1970</v>
      </c>
      <c r="AH202" s="330">
        <v>2124</v>
      </c>
      <c r="AI202" s="331">
        <v>165</v>
      </c>
      <c r="AJ202" s="331">
        <v>158</v>
      </c>
    </row>
    <row r="203">
      <c r="A203" s="310"/>
      <c r="B203" s="311" t="s">
        <v>282</v>
      </c>
      <c r="C203" s="312" t="s">
        <v>295</v>
      </c>
      <c r="D203" s="313">
        <f t="shared" si="206"/>
      </c>
      <c r="E203" s="312">
        <v>2105.53</v>
      </c>
      <c r="F203" s="314">
        <v>3000</v>
      </c>
      <c r="G203" s="314">
        <v>5873.039999999997</v>
      </c>
      <c r="H203" s="315">
        <v>5157</v>
      </c>
      <c r="I203" s="316">
        <f t="shared" si="365"/>
      </c>
      <c r="J203" s="316">
        <f t="shared" si="527"/>
      </c>
      <c r="K203" s="317">
        <f t="shared" si="81"/>
      </c>
      <c r="L203" s="318">
        <f t="shared" si="111"/>
      </c>
      <c r="M203" s="319">
        <f t="shared" si="247"/>
      </c>
      <c r="N203" s="320">
        <f t="shared" si="402"/>
      </c>
      <c r="O203" s="320">
        <f t="shared" si="21"/>
      </c>
      <c r="P203" s="320">
        <f t="shared" si="141"/>
      </c>
      <c r="Q203" s="321">
        <f t="shared" si="277"/>
      </c>
      <c r="R203" s="322">
        <f t="shared" si="432"/>
      </c>
      <c r="S203" s="320">
        <f t="shared" si="51"/>
      </c>
      <c r="T203" s="323">
        <f t="shared" si="462"/>
      </c>
      <c r="U203" s="323">
        <f t="shared" si="171"/>
      </c>
      <c r="V203" s="320">
        <f t="shared" si="307"/>
      </c>
      <c r="W203" s="325">
        <v>7</v>
      </c>
      <c r="X203" s="325">
        <v>2</v>
      </c>
      <c r="Y203" s="325">
        <v>2</v>
      </c>
      <c r="Z203" s="315">
        <v>5873.0400000000045</v>
      </c>
      <c r="AA203" s="326">
        <v>0</v>
      </c>
      <c r="AB203" s="321">
        <f t="shared" si="492"/>
      </c>
      <c r="AC203" s="327" t="s">
        <v>284</v>
      </c>
      <c r="AD203" s="353" t="s">
        <v>285</v>
      </c>
      <c r="AE203" s="329">
        <v>2</v>
      </c>
      <c r="AF203" s="330">
        <v>101045</v>
      </c>
      <c r="AG203" s="330">
        <v>1441</v>
      </c>
      <c r="AH203" s="330">
        <v>1510</v>
      </c>
      <c r="AI203" s="331">
        <v>120</v>
      </c>
      <c r="AJ203" s="331">
        <v>130</v>
      </c>
    </row>
    <row r="204">
      <c r="A204" s="310"/>
      <c r="B204" s="311" t="s">
        <v>282</v>
      </c>
      <c r="C204" s="312" t="s">
        <v>296</v>
      </c>
      <c r="D204" s="313">
        <f t="shared" si="206"/>
      </c>
      <c r="E204" s="312">
        <v>1720.24</v>
      </c>
      <c r="F204" s="314">
        <v>2475.86</v>
      </c>
      <c r="G204" s="352">
        <v>3501.3600000000006</v>
      </c>
      <c r="H204" s="315">
        <v>0</v>
      </c>
      <c r="I204" s="316">
        <f t="shared" si="365"/>
      </c>
      <c r="J204" s="316">
        <f t="shared" si="527"/>
      </c>
      <c r="K204" s="317">
        <f t="shared" si="81"/>
      </c>
      <c r="L204" s="318">
        <f t="shared" si="111"/>
      </c>
      <c r="M204" s="319">
        <f t="shared" si="247"/>
      </c>
      <c r="N204" s="320">
        <f t="shared" si="402"/>
      </c>
      <c r="O204" s="320">
        <f t="shared" si="21"/>
      </c>
      <c r="P204" s="320">
        <f t="shared" si="141"/>
      </c>
      <c r="Q204" s="321">
        <f t="shared" si="277"/>
      </c>
      <c r="R204" s="322">
        <f t="shared" si="432"/>
      </c>
      <c r="S204" s="320">
        <f t="shared" si="51"/>
      </c>
      <c r="T204" s="323">
        <f t="shared" si="462"/>
      </c>
      <c r="U204" s="323">
        <f t="shared" si="171"/>
      </c>
      <c r="V204" s="320">
        <f t="shared" si="307"/>
      </c>
      <c r="W204" s="325">
        <v>9</v>
      </c>
      <c r="X204" s="325">
        <v>3</v>
      </c>
      <c r="Y204" s="325">
        <v>2</v>
      </c>
      <c r="Z204" s="326">
        <v>3501.3599999999933</v>
      </c>
      <c r="AA204" s="326">
        <v>0</v>
      </c>
      <c r="AB204" s="321">
        <f t="shared" si="492"/>
      </c>
      <c r="AC204" s="327" t="s">
        <v>284</v>
      </c>
      <c r="AD204" s="353" t="s">
        <v>285</v>
      </c>
      <c r="AE204" s="329">
        <v>2</v>
      </c>
      <c r="AF204" s="330">
        <v>80648</v>
      </c>
      <c r="AG204" s="330">
        <v>1005</v>
      </c>
      <c r="AH204" s="330">
        <v>1009</v>
      </c>
      <c r="AI204" s="331">
        <v>98</v>
      </c>
      <c r="AJ204" s="331">
        <v>118</v>
      </c>
    </row>
    <row r="205">
      <c r="A205" s="310"/>
      <c r="B205" s="333" t="s">
        <v>290</v>
      </c>
      <c r="C205" s="334">
        <v>5</v>
      </c>
      <c r="D205" s="335">
        <f>SUM(D200:D204)</f>
      </c>
      <c r="E205" s="335">
        <f>SUM(E200:E204)</f>
      </c>
      <c r="F205" s="335">
        <f>SUM(F200:F204)</f>
      </c>
      <c r="G205" s="356">
        <f>SUM(G200:G204)</f>
      </c>
      <c r="H205" s="335">
        <f>SUM(H200:H204)</f>
      </c>
      <c r="I205" s="335">
        <f>SUM(I200:I204)</f>
      </c>
      <c r="J205" s="335">
        <f>SUM(J200:J204)</f>
      </c>
      <c r="K205" s="336">
        <f t="shared" si="81"/>
      </c>
      <c r="L205" s="337">
        <f t="shared" si="111"/>
      </c>
      <c r="M205" s="337">
        <f t="shared" si="247"/>
      </c>
      <c r="N205" s="338">
        <f t="shared" si="402"/>
      </c>
      <c r="O205" s="338">
        <f t="shared" si="21"/>
      </c>
      <c r="P205" s="338">
        <f t="shared" si="141"/>
      </c>
      <c r="Q205" s="339">
        <f t="shared" si="277"/>
      </c>
      <c r="R205" s="339">
        <f t="shared" si="432"/>
      </c>
      <c r="S205" s="338">
        <f t="shared" si="51"/>
      </c>
      <c r="T205" s="339">
        <f t="shared" si="462"/>
      </c>
      <c r="U205" s="339">
        <f t="shared" si="171"/>
      </c>
      <c r="V205" s="338">
        <f t="shared" si="307"/>
      </c>
      <c r="W205" s="335">
        <f>SUM(W200:W204)</f>
      </c>
      <c r="X205" s="335">
        <f>SUM(X200:X204)</f>
      </c>
      <c r="Y205" s="335">
        <f>SUM(Y200:Y204)</f>
      </c>
      <c r="Z205" s="335">
        <f>SUM(Z200:Z204)</f>
      </c>
      <c r="AA205" s="335">
        <f>SUM(AA200:AA204)</f>
      </c>
      <c r="AB205" s="340">
        <f t="shared" si="492"/>
      </c>
      <c r="AC205" s="341"/>
      <c r="AD205" s="342"/>
      <c r="AE205" s="335">
        <f>SUM(AE200:AE204)</f>
      </c>
      <c r="AF205" s="335">
        <f>SUM(AF200:AF204)</f>
      </c>
      <c r="AG205" s="335">
        <f>SUM(AG200:AG204)</f>
      </c>
      <c r="AH205" s="335">
        <f>SUM(AH200:AH204)</f>
      </c>
      <c r="AI205" s="335">
        <f>SUM(AI200:AI204)</f>
      </c>
      <c r="AJ205" s="335">
        <f>SUM(AJ200:AJ204)</f>
      </c>
    </row>
    <row r="206">
      <c r="A206" s="310"/>
      <c r="B206" s="311" t="s">
        <v>297</v>
      </c>
      <c r="C206" s="312" t="s">
        <v>283</v>
      </c>
      <c r="D206" s="313">
        <f t="shared" ref="D206:D210" si="207">E206+F206</f>
      </c>
      <c r="E206" s="312">
        <v>1624.3</v>
      </c>
      <c r="F206" s="357">
        <v>1524.23</v>
      </c>
      <c r="G206" s="358">
        <f t="shared" ref="G206:G210" si="325">Z206+AA206</f>
      </c>
      <c r="H206" s="359">
        <v>2059.56</v>
      </c>
      <c r="I206" s="316">
        <f t="shared" ref="I206:I210" si="366">G206-H206</f>
      </c>
      <c r="J206" s="316">
        <f t="shared" ref="J206:J210" si="528">(G206-AA206)/12+AA206</f>
      </c>
      <c r="K206" s="317">
        <f t="shared" si="81"/>
      </c>
      <c r="L206" s="318">
        <f t="shared" si="111"/>
      </c>
      <c r="M206" s="319">
        <f t="shared" si="247"/>
      </c>
      <c r="N206" s="320">
        <f t="shared" si="402"/>
      </c>
      <c r="O206" s="320">
        <f t="shared" si="21"/>
      </c>
      <c r="P206" s="320">
        <f t="shared" si="141"/>
      </c>
      <c r="Q206" s="321">
        <f t="shared" si="277"/>
      </c>
      <c r="R206" s="322">
        <f t="shared" si="432"/>
      </c>
      <c r="S206" s="320">
        <f t="shared" si="51"/>
      </c>
      <c r="T206" s="323">
        <f t="shared" si="462"/>
      </c>
      <c r="U206" s="323">
        <f t="shared" si="171"/>
      </c>
      <c r="V206" s="320">
        <f t="shared" si="307"/>
      </c>
      <c r="W206" s="325">
        <v>6</v>
      </c>
      <c r="X206" s="325">
        <v>2</v>
      </c>
      <c r="Y206" s="325">
        <v>1</v>
      </c>
      <c r="Z206" s="326">
        <v>2059.560000000005</v>
      </c>
      <c r="AA206" s="326">
        <v>0</v>
      </c>
      <c r="AB206" s="321">
        <f t="shared" si="492"/>
      </c>
      <c r="AC206" s="327" t="s">
        <v>284</v>
      </c>
      <c r="AD206" s="328" t="s">
        <v>291</v>
      </c>
      <c r="AE206" s="329">
        <v>1</v>
      </c>
      <c r="AF206" s="330">
        <v>51496</v>
      </c>
      <c r="AG206" s="330">
        <v>793</v>
      </c>
      <c r="AH206" s="330">
        <v>816</v>
      </c>
      <c r="AI206" s="331">
        <v>74</v>
      </c>
      <c r="AJ206" s="331">
        <v>85</v>
      </c>
    </row>
    <row r="207">
      <c r="A207" s="310"/>
      <c r="B207" s="311" t="s">
        <v>297</v>
      </c>
      <c r="C207" s="332" t="s">
        <v>286</v>
      </c>
      <c r="D207" s="313">
        <f t="shared" si="207"/>
      </c>
      <c r="E207" s="312">
        <v>2208.28</v>
      </c>
      <c r="F207" s="357">
        <v>1999.91</v>
      </c>
      <c r="G207" s="358">
        <f t="shared" si="325"/>
      </c>
      <c r="H207" s="359">
        <v>651.24</v>
      </c>
      <c r="I207" s="316">
        <f t="shared" si="366"/>
      </c>
      <c r="J207" s="316">
        <f t="shared" si="528"/>
      </c>
      <c r="K207" s="317">
        <f t="shared" si="81"/>
      </c>
      <c r="L207" s="318">
        <f t="shared" si="111"/>
      </c>
      <c r="M207" s="319">
        <f t="shared" si="247"/>
      </c>
      <c r="N207" s="320">
        <f t="shared" si="402"/>
      </c>
      <c r="O207" s="320">
        <f t="shared" si="21"/>
      </c>
      <c r="P207" s="320">
        <f t="shared" si="141"/>
      </c>
      <c r="Q207" s="321">
        <f t="shared" si="277"/>
      </c>
      <c r="R207" s="322">
        <f t="shared" si="432"/>
      </c>
      <c r="S207" s="320">
        <f t="shared" si="51"/>
      </c>
      <c r="T207" s="323">
        <f t="shared" si="462"/>
      </c>
      <c r="U207" s="323">
        <f t="shared" si="171"/>
      </c>
      <c r="V207" s="320">
        <f t="shared" si="307"/>
      </c>
      <c r="W207" s="325">
        <v>9</v>
      </c>
      <c r="X207" s="325">
        <v>3</v>
      </c>
      <c r="Y207" s="325">
        <v>4</v>
      </c>
      <c r="Z207" s="326">
        <v>2817.720000000001</v>
      </c>
      <c r="AA207" s="326">
        <v>0</v>
      </c>
      <c r="AB207" s="321">
        <f t="shared" si="492"/>
      </c>
      <c r="AC207" s="327" t="s">
        <v>284</v>
      </c>
      <c r="AD207" s="328" t="s">
        <v>291</v>
      </c>
      <c r="AE207" s="329">
        <v>4</v>
      </c>
      <c r="AF207" s="330">
        <v>80156</v>
      </c>
      <c r="AG207" s="330">
        <v>1086</v>
      </c>
      <c r="AH207" s="330">
        <v>1103</v>
      </c>
      <c r="AI207" s="331">
        <v>111</v>
      </c>
      <c r="AJ207" s="331">
        <v>139</v>
      </c>
    </row>
    <row r="208">
      <c r="A208" s="310"/>
      <c r="B208" s="311" t="s">
        <v>297</v>
      </c>
      <c r="C208" s="332" t="s">
        <v>287</v>
      </c>
      <c r="D208" s="313">
        <f t="shared" si="207"/>
      </c>
      <c r="E208" s="312">
        <v>3109.09</v>
      </c>
      <c r="F208" s="357">
        <v>1500</v>
      </c>
      <c r="G208" s="358">
        <f t="shared" si="325"/>
      </c>
      <c r="H208" s="359">
        <v>0</v>
      </c>
      <c r="I208" s="316">
        <f t="shared" si="366"/>
      </c>
      <c r="J208" s="316">
        <f t="shared" si="528"/>
      </c>
      <c r="K208" s="317">
        <f t="shared" si="81"/>
      </c>
      <c r="L208" s="318">
        <f t="shared" si="111"/>
      </c>
      <c r="M208" s="319">
        <f t="shared" si="247"/>
      </c>
      <c r="N208" s="320">
        <f t="shared" si="402"/>
      </c>
      <c r="O208" s="320">
        <f t="shared" si="21"/>
      </c>
      <c r="P208" s="320">
        <f t="shared" si="141"/>
      </c>
      <c r="Q208" s="321">
        <f t="shared" si="277"/>
      </c>
      <c r="R208" s="322">
        <f t="shared" si="432"/>
      </c>
      <c r="S208" s="320">
        <f t="shared" si="51"/>
      </c>
      <c r="T208" s="323">
        <f t="shared" si="462"/>
      </c>
      <c r="U208" s="323">
        <f t="shared" si="171"/>
      </c>
      <c r="V208" s="320">
        <f t="shared" si="307"/>
      </c>
      <c r="W208" s="325">
        <v>7</v>
      </c>
      <c r="X208" s="325">
        <v>1</v>
      </c>
      <c r="Y208" s="325">
        <v>5</v>
      </c>
      <c r="Z208" s="326">
        <v>9240.479999999996</v>
      </c>
      <c r="AA208" s="326">
        <v>0</v>
      </c>
      <c r="AB208" s="321">
        <f t="shared" si="492"/>
      </c>
      <c r="AC208" s="327" t="s">
        <v>284</v>
      </c>
      <c r="AD208" s="328" t="s">
        <v>291</v>
      </c>
      <c r="AE208" s="331">
        <v>5</v>
      </c>
      <c r="AF208" s="330">
        <v>76351</v>
      </c>
      <c r="AG208" s="330">
        <v>1371</v>
      </c>
      <c r="AH208" s="330">
        <v>1437</v>
      </c>
      <c r="AI208" s="331">
        <v>128</v>
      </c>
      <c r="AJ208" s="331">
        <v>127</v>
      </c>
    </row>
    <row r="209">
      <c r="A209" s="310"/>
      <c r="B209" s="311" t="s">
        <v>297</v>
      </c>
      <c r="C209" s="312" t="s">
        <v>288</v>
      </c>
      <c r="D209" s="313">
        <f t="shared" si="207"/>
      </c>
      <c r="E209" s="312">
        <v>2979.26</v>
      </c>
      <c r="F209" s="357">
        <v>2007.41</v>
      </c>
      <c r="G209" s="358">
        <f t="shared" si="325"/>
      </c>
      <c r="H209" s="359">
        <v>0</v>
      </c>
      <c r="I209" s="316">
        <f t="shared" si="366"/>
      </c>
      <c r="J209" s="316">
        <f t="shared" si="528"/>
      </c>
      <c r="K209" s="317">
        <f t="shared" si="81"/>
      </c>
      <c r="L209" s="318">
        <f t="shared" si="111"/>
      </c>
      <c r="M209" s="319">
        <f t="shared" si="247"/>
      </c>
      <c r="N209" s="320">
        <f t="shared" si="402"/>
      </c>
      <c r="O209" s="320">
        <f t="shared" si="21"/>
      </c>
      <c r="P209" s="320">
        <f t="shared" si="141"/>
      </c>
      <c r="Q209" s="321">
        <f t="shared" si="277"/>
      </c>
      <c r="R209" s="322">
        <f t="shared" si="432"/>
      </c>
      <c r="S209" s="320">
        <f t="shared" si="51"/>
      </c>
      <c r="T209" s="323">
        <f t="shared" si="462"/>
      </c>
      <c r="U209" s="323">
        <f t="shared" si="171"/>
      </c>
      <c r="V209" s="320">
        <f t="shared" si="307"/>
      </c>
      <c r="W209" s="325">
        <v>11</v>
      </c>
      <c r="X209" s="325">
        <v>8</v>
      </c>
      <c r="Y209" s="325">
        <v>6</v>
      </c>
      <c r="Z209" s="315">
        <v>16252.320000000007</v>
      </c>
      <c r="AA209" s="326">
        <v>0</v>
      </c>
      <c r="AB209" s="321">
        <f t="shared" si="492"/>
      </c>
      <c r="AC209" s="327" t="s">
        <v>284</v>
      </c>
      <c r="AD209" s="328" t="s">
        <v>291</v>
      </c>
      <c r="AE209" s="329">
        <v>2</v>
      </c>
      <c r="AF209" s="330">
        <v>73138</v>
      </c>
      <c r="AG209" s="330">
        <v>1368</v>
      </c>
      <c r="AH209" s="330">
        <v>1436</v>
      </c>
      <c r="AI209" s="331">
        <v>115</v>
      </c>
      <c r="AJ209" s="331">
        <v>146</v>
      </c>
    </row>
    <row r="210">
      <c r="A210" s="310"/>
      <c r="B210" s="311" t="s">
        <v>297</v>
      </c>
      <c r="C210" s="332" t="s">
        <v>289</v>
      </c>
      <c r="D210" s="313">
        <f t="shared" si="207"/>
      </c>
      <c r="E210" s="312">
        <v>1781.44</v>
      </c>
      <c r="F210" s="357">
        <v>2992.59</v>
      </c>
      <c r="G210" s="358">
        <f t="shared" si="325"/>
      </c>
      <c r="H210" s="359">
        <v>0</v>
      </c>
      <c r="I210" s="316">
        <f t="shared" si="366"/>
      </c>
      <c r="J210" s="316">
        <f t="shared" si="528"/>
      </c>
      <c r="K210" s="317">
        <f t="shared" si="81"/>
      </c>
      <c r="L210" s="318">
        <f t="shared" si="111"/>
      </c>
      <c r="M210" s="319">
        <f t="shared" si="247"/>
      </c>
      <c r="N210" s="320">
        <f t="shared" si="402"/>
      </c>
      <c r="O210" s="320">
        <f t="shared" si="21"/>
      </c>
      <c r="P210" s="320">
        <f t="shared" si="141"/>
      </c>
      <c r="Q210" s="321">
        <f t="shared" si="277"/>
      </c>
      <c r="R210" s="322">
        <f t="shared" si="432"/>
      </c>
      <c r="S210" s="320">
        <f t="shared" si="51"/>
      </c>
      <c r="T210" s="323">
        <f t="shared" si="462"/>
      </c>
      <c r="U210" s="323">
        <f t="shared" si="171"/>
      </c>
      <c r="V210" s="320">
        <f t="shared" si="307"/>
      </c>
      <c r="W210" s="325">
        <v>5</v>
      </c>
      <c r="X210" s="325">
        <v>2</v>
      </c>
      <c r="Y210" s="325">
        <v>6</v>
      </c>
      <c r="Z210" s="326">
        <v>13149</v>
      </c>
      <c r="AA210" s="326">
        <v>0</v>
      </c>
      <c r="AB210" s="321">
        <f t="shared" si="492"/>
      </c>
      <c r="AC210" s="327" t="s">
        <v>284</v>
      </c>
      <c r="AD210" s="328" t="s">
        <v>291</v>
      </c>
      <c r="AE210" s="329">
        <v>5</v>
      </c>
      <c r="AF210" s="330">
        <v>87014</v>
      </c>
      <c r="AG210" s="330">
        <v>1450</v>
      </c>
      <c r="AH210" s="330">
        <v>1534</v>
      </c>
      <c r="AI210" s="331">
        <v>106</v>
      </c>
      <c r="AJ210" s="331">
        <v>113</v>
      </c>
    </row>
    <row r="211">
      <c r="A211" s="310"/>
      <c r="B211" s="333" t="s">
        <v>290</v>
      </c>
      <c r="C211" s="334">
        <v>5</v>
      </c>
      <c r="D211" s="335">
        <f>SUM(D206:D210)</f>
      </c>
      <c r="E211" s="335">
        <f>SUM(E206:E210)</f>
      </c>
      <c r="F211" s="335">
        <f>SUM(F206:F210)</f>
      </c>
      <c r="G211" s="360">
        <f>SUM(G206:G210)</f>
      </c>
      <c r="H211" s="335">
        <f>SUM(H206:H210)</f>
      </c>
      <c r="I211" s="335">
        <f>SUM(I206:I210)</f>
      </c>
      <c r="J211" s="335">
        <f>SUM(J206:J210)</f>
      </c>
      <c r="K211" s="336">
        <f t="shared" si="81"/>
      </c>
      <c r="L211" s="337">
        <f t="shared" si="111"/>
      </c>
      <c r="M211" s="337">
        <f t="shared" si="247"/>
      </c>
      <c r="N211" s="338">
        <f t="shared" si="402"/>
      </c>
      <c r="O211" s="338">
        <f t="shared" si="21"/>
      </c>
      <c r="P211" s="338">
        <f t="shared" si="141"/>
      </c>
      <c r="Q211" s="339">
        <f t="shared" si="277"/>
      </c>
      <c r="R211" s="339">
        <f t="shared" si="432"/>
      </c>
      <c r="S211" s="338">
        <f t="shared" si="51"/>
      </c>
      <c r="T211" s="339">
        <f t="shared" si="462"/>
      </c>
      <c r="U211" s="339">
        <f t="shared" si="171"/>
      </c>
      <c r="V211" s="338">
        <f t="shared" si="307"/>
      </c>
      <c r="W211" s="335">
        <f>SUM(W206:W210)</f>
      </c>
      <c r="X211" s="335">
        <f>SUM(X206:X210)</f>
      </c>
      <c r="Y211" s="335">
        <f>SUM(Y206:Y210)</f>
      </c>
      <c r="Z211" s="335">
        <f>SUM(Z206:Z210)</f>
      </c>
      <c r="AA211" s="335">
        <f>SUM(AA206:AA210)</f>
      </c>
      <c r="AB211" s="340">
        <f t="shared" si="492"/>
      </c>
      <c r="AC211" s="341"/>
      <c r="AD211" s="342"/>
      <c r="AE211" s="335">
        <f>SUM(AE206:AE210)</f>
      </c>
      <c r="AF211" s="335">
        <f>SUM(AF206:AF210)</f>
      </c>
      <c r="AG211" s="335">
        <f>SUM(AG206:AG210)</f>
      </c>
      <c r="AH211" s="335">
        <f>SUM(AH206:AH210)</f>
      </c>
      <c r="AI211" s="335">
        <f>SUM(AI206:AI210)</f>
      </c>
      <c r="AJ211" s="335">
        <f>SUM(AJ206:AJ210)</f>
      </c>
    </row>
    <row r="212">
      <c r="A212" s="310"/>
      <c r="B212" s="343" t="s">
        <v>290</v>
      </c>
      <c r="C212" s="344">
        <f>C211+C205</f>
      </c>
      <c r="D212" s="354">
        <f>D211+D205</f>
      </c>
      <c r="E212" s="354">
        <f>E211+E205</f>
      </c>
      <c r="F212" s="354">
        <f>F211+F205</f>
      </c>
      <c r="G212" s="354">
        <f>G211+G205</f>
      </c>
      <c r="H212" s="354">
        <f>H211+H205</f>
      </c>
      <c r="I212" s="354">
        <f>I211+I205</f>
      </c>
      <c r="J212" s="354">
        <f>J211+J205</f>
      </c>
      <c r="K212" s="346">
        <f t="shared" si="81"/>
      </c>
      <c r="L212" s="346">
        <f t="shared" si="111"/>
      </c>
      <c r="M212" s="346">
        <f t="shared" si="247"/>
      </c>
      <c r="N212" s="346">
        <f t="shared" si="402"/>
      </c>
      <c r="O212" s="346">
        <f t="shared" si="21"/>
      </c>
      <c r="P212" s="346">
        <f t="shared" si="141"/>
      </c>
      <c r="Q212" s="347">
        <f t="shared" si="277"/>
      </c>
      <c r="R212" s="347">
        <f t="shared" si="432"/>
      </c>
      <c r="S212" s="346">
        <f t="shared" si="51"/>
      </c>
      <c r="T212" s="347">
        <f t="shared" si="462"/>
      </c>
      <c r="U212" s="347">
        <f t="shared" si="171"/>
      </c>
      <c r="V212" s="346">
        <f t="shared" si="307"/>
      </c>
      <c r="W212" s="354">
        <f>W211+W205</f>
      </c>
      <c r="X212" s="354">
        <f>X211+X205</f>
      </c>
      <c r="Y212" s="354">
        <f>Y211+Y205</f>
      </c>
      <c r="Z212" s="354">
        <f>Z211+Z205</f>
      </c>
      <c r="AA212" s="354">
        <f>AA211+AA205</f>
      </c>
      <c r="AB212" s="350">
        <f t="shared" si="492"/>
      </c>
      <c r="AC212" s="343"/>
      <c r="AD212" s="343"/>
      <c r="AE212" s="354">
        <f>AE211+AE205</f>
      </c>
      <c r="AF212" s="354">
        <f>AF211+AF205</f>
      </c>
      <c r="AG212" s="354">
        <f>AG211+AG205</f>
      </c>
      <c r="AH212" s="354">
        <f>AH211+AH205</f>
      </c>
      <c r="AI212" s="354">
        <f>AI211+AI205</f>
      </c>
      <c r="AJ212" s="354">
        <f>AJ211+AJ205</f>
      </c>
    </row>
    <row r="213">
      <c r="A213" s="297" t="s">
        <v>246</v>
      </c>
      <c r="B213" s="298" t="s">
        <v>247</v>
      </c>
      <c r="C213" s="298" t="s">
        <v>248</v>
      </c>
      <c r="D213" s="299" t="s">
        <v>249</v>
      </c>
      <c r="E213" s="298" t="s">
        <v>250</v>
      </c>
      <c r="F213" s="298" t="s">
        <v>251</v>
      </c>
      <c r="G213" s="361" t="s">
        <v>252</v>
      </c>
      <c r="H213" s="300" t="s">
        <v>253</v>
      </c>
      <c r="I213" s="301" t="s">
        <v>254</v>
      </c>
      <c r="J213" s="301" t="s">
        <v>255</v>
      </c>
      <c r="K213" s="302" t="s">
        <v>256</v>
      </c>
      <c r="L213" s="301" t="s">
        <v>257</v>
      </c>
      <c r="M213" s="298" t="s">
        <v>258</v>
      </c>
      <c r="N213" s="302" t="s">
        <v>259</v>
      </c>
      <c r="O213" s="303" t="s">
        <v>260</v>
      </c>
      <c r="P213" s="303" t="s">
        <v>261</v>
      </c>
      <c r="Q213" s="299" t="s">
        <v>262</v>
      </c>
      <c r="R213" s="304" t="s">
        <v>263</v>
      </c>
      <c r="S213" s="302" t="s">
        <v>264</v>
      </c>
      <c r="T213" s="305" t="s">
        <v>265</v>
      </c>
      <c r="U213" s="306" t="s">
        <v>266</v>
      </c>
      <c r="V213" s="302" t="s">
        <v>267</v>
      </c>
      <c r="W213" s="307" t="s">
        <v>268</v>
      </c>
      <c r="X213" s="308" t="s">
        <v>269</v>
      </c>
      <c r="Y213" s="307" t="s">
        <v>270</v>
      </c>
      <c r="Z213" s="309" t="s">
        <v>271</v>
      </c>
      <c r="AA213" s="309" t="s">
        <v>272</v>
      </c>
      <c r="AB213" s="301" t="s">
        <v>273</v>
      </c>
      <c r="AC213" s="300" t="s">
        <v>274</v>
      </c>
      <c r="AD213" s="301" t="s">
        <v>275</v>
      </c>
      <c r="AE213" s="300" t="s">
        <v>276</v>
      </c>
      <c r="AF213" s="300" t="s">
        <v>277</v>
      </c>
      <c r="AG213" s="301" t="s">
        <v>278</v>
      </c>
      <c r="AH213" s="300" t="s">
        <v>279</v>
      </c>
      <c r="AI213" s="301" t="s">
        <v>280</v>
      </c>
      <c r="AJ213" s="300" t="s">
        <v>281</v>
      </c>
    </row>
    <row r="214">
      <c r="A214" s="310">
        <v>46227</v>
      </c>
      <c r="B214" s="311" t="s">
        <v>282</v>
      </c>
      <c r="C214" s="312" t="s">
        <v>283</v>
      </c>
      <c r="D214" s="313">
        <f t="shared" ref="D214:D218" si="208">E214+F214</f>
      </c>
      <c r="E214" s="312">
        <v>3404.43</v>
      </c>
      <c r="F214" s="357">
        <v>2000</v>
      </c>
      <c r="G214" s="358">
        <f t="shared" ref="G214:G218" si="326">Z214+AA214</f>
      </c>
      <c r="H214" s="359">
        <v>2819.88</v>
      </c>
      <c r="I214" s="316">
        <f t="shared" ref="I214:I218" si="367">G214-H214</f>
      </c>
      <c r="J214" s="316">
        <f t="shared" ref="J214:J218" si="529">(G214-AA214)/12+AA214</f>
      </c>
      <c r="K214" s="317">
        <f t="shared" ref="K214:K220" si="82">G214/D214</f>
      </c>
      <c r="L214" s="318">
        <f t="shared" ref="L214:L220" si="112">(G214-H214)/D214</f>
      </c>
      <c r="M214" s="319">
        <f t="shared" ref="M214:M220" si="248">(AA214+Z214/12)/D214</f>
      </c>
      <c r="N214" s="320">
        <f t="shared" ref="N214:N220" si="403">G214/Y214</f>
      </c>
      <c r="O214" s="320">
        <f t="shared" ref="O214:O220" si="22">D214/Y214</f>
      </c>
      <c r="P214" s="320">
        <f t="shared" ref="P214:P220" si="142">D214/AE214</f>
      </c>
      <c r="Q214" s="321">
        <f t="shared" ref="Q214:Q220" si="278">Y214/W214</f>
      </c>
      <c r="R214" s="322">
        <f t="shared" ref="R214:R220" si="433">AG214/AF214</f>
      </c>
      <c r="S214" s="320">
        <f t="shared" ref="S214:S220" si="52">D214/AH214</f>
      </c>
      <c r="T214" s="323">
        <f t="shared" ref="T214:T220" si="463">AI214/AH214</f>
      </c>
      <c r="U214" s="323">
        <f t="shared" ref="U214:U220" si="172">AJ214/AH214</f>
      </c>
      <c r="V214" s="320">
        <f t="shared" ref="V214:V220" si="308">D214/AJ214</f>
      </c>
      <c r="W214" s="325">
        <v>14</v>
      </c>
      <c r="X214" s="325">
        <v>4</v>
      </c>
      <c r="Y214" s="325">
        <v>5</v>
      </c>
      <c r="Z214" s="326">
        <v>12264.72</v>
      </c>
      <c r="AA214" s="326">
        <v>0</v>
      </c>
      <c r="AB214" s="321">
        <f t="shared" ref="AB214:AB220" si="493">AA214/G214</f>
      </c>
      <c r="AC214" s="327" t="s">
        <v>284</v>
      </c>
      <c r="AD214" s="328" t="s">
        <v>291</v>
      </c>
      <c r="AE214" s="329">
        <v>5</v>
      </c>
      <c r="AF214" s="330">
        <v>85145</v>
      </c>
      <c r="AG214" s="330">
        <v>1524</v>
      </c>
      <c r="AH214" s="330">
        <v>1579</v>
      </c>
      <c r="AI214" s="331">
        <v>117</v>
      </c>
      <c r="AJ214" s="331">
        <v>145</v>
      </c>
    </row>
    <row r="215">
      <c r="A215" s="310"/>
      <c r="B215" s="311" t="s">
        <v>282</v>
      </c>
      <c r="C215" s="332" t="s">
        <v>286</v>
      </c>
      <c r="D215" s="313">
        <f t="shared" si="208"/>
      </c>
      <c r="E215" s="312">
        <v>2628.77</v>
      </c>
      <c r="F215" s="357">
        <v>2485.1</v>
      </c>
      <c r="G215" s="358">
        <f t="shared" si="326"/>
      </c>
      <c r="H215" s="359">
        <v>0</v>
      </c>
      <c r="I215" s="316">
        <f t="shared" si="367"/>
      </c>
      <c r="J215" s="316">
        <f t="shared" si="529"/>
      </c>
      <c r="K215" s="317">
        <f t="shared" si="82"/>
      </c>
      <c r="L215" s="318">
        <f t="shared" si="112"/>
      </c>
      <c r="M215" s="319">
        <f t="shared" si="248"/>
      </c>
      <c r="N215" s="320">
        <f t="shared" si="403"/>
      </c>
      <c r="O215" s="320">
        <f t="shared" si="22"/>
      </c>
      <c r="P215" s="320">
        <f t="shared" si="142"/>
      </c>
      <c r="Q215" s="321">
        <f t="shared" si="278"/>
      </c>
      <c r="R215" s="322">
        <f t="shared" si="433"/>
      </c>
      <c r="S215" s="320">
        <f t="shared" si="52"/>
      </c>
      <c r="T215" s="323">
        <f t="shared" si="463"/>
      </c>
      <c r="U215" s="323">
        <f t="shared" si="172"/>
      </c>
      <c r="V215" s="320">
        <f t="shared" si="308"/>
      </c>
      <c r="W215" s="325">
        <v>6</v>
      </c>
      <c r="X215" s="325">
        <v>5</v>
      </c>
      <c r="Y215" s="325">
        <v>3</v>
      </c>
      <c r="Z215" s="326">
        <v>368.28000000000065</v>
      </c>
      <c r="AA215" s="326">
        <v>2464</v>
      </c>
      <c r="AB215" s="321">
        <f t="shared" si="493"/>
      </c>
      <c r="AC215" s="327" t="s">
        <v>284</v>
      </c>
      <c r="AD215" s="328" t="s">
        <v>291</v>
      </c>
      <c r="AE215" s="329">
        <v>3</v>
      </c>
      <c r="AF215" s="330">
        <v>86873</v>
      </c>
      <c r="AG215" s="330">
        <v>1406</v>
      </c>
      <c r="AH215" s="330">
        <v>1461</v>
      </c>
      <c r="AI215" s="331">
        <v>137</v>
      </c>
      <c r="AJ215" s="331">
        <v>177</v>
      </c>
    </row>
    <row r="216">
      <c r="A216" s="310"/>
      <c r="B216" s="311" t="s">
        <v>282</v>
      </c>
      <c r="C216" s="332" t="s">
        <v>287</v>
      </c>
      <c r="D216" s="313">
        <f t="shared" si="208"/>
      </c>
      <c r="E216" s="312">
        <v>3102.73</v>
      </c>
      <c r="F216" s="357">
        <v>2523.39</v>
      </c>
      <c r="G216" s="358">
        <f t="shared" si="326"/>
      </c>
      <c r="H216" s="359">
        <v>0</v>
      </c>
      <c r="I216" s="316">
        <f t="shared" si="367"/>
      </c>
      <c r="J216" s="316">
        <f t="shared" si="529"/>
      </c>
      <c r="K216" s="317">
        <f t="shared" si="82"/>
      </c>
      <c r="L216" s="318">
        <f t="shared" si="112"/>
      </c>
      <c r="M216" s="319">
        <f t="shared" si="248"/>
      </c>
      <c r="N216" s="320">
        <f t="shared" si="403"/>
      </c>
      <c r="O216" s="320">
        <f t="shared" si="22"/>
      </c>
      <c r="P216" s="320">
        <f t="shared" si="142"/>
      </c>
      <c r="Q216" s="321">
        <f t="shared" si="278"/>
      </c>
      <c r="R216" s="322">
        <f t="shared" si="433"/>
      </c>
      <c r="S216" s="320">
        <f t="shared" si="52"/>
      </c>
      <c r="T216" s="323">
        <f t="shared" si="463"/>
      </c>
      <c r="U216" s="323">
        <f t="shared" si="172"/>
      </c>
      <c r="V216" s="320">
        <f t="shared" si="308"/>
      </c>
      <c r="W216" s="325">
        <v>11</v>
      </c>
      <c r="X216" s="325">
        <v>5</v>
      </c>
      <c r="Y216" s="325">
        <v>5</v>
      </c>
      <c r="Z216" s="326">
        <v>8318.400000000001</v>
      </c>
      <c r="AA216" s="326">
        <v>0</v>
      </c>
      <c r="AB216" s="321">
        <f t="shared" si="493"/>
      </c>
      <c r="AC216" s="327" t="s">
        <v>284</v>
      </c>
      <c r="AD216" s="328" t="s">
        <v>291</v>
      </c>
      <c r="AE216" s="331">
        <v>4</v>
      </c>
      <c r="AF216" s="330">
        <v>96698</v>
      </c>
      <c r="AG216" s="330">
        <v>1542</v>
      </c>
      <c r="AH216" s="330">
        <v>1606</v>
      </c>
      <c r="AI216" s="331">
        <v>150</v>
      </c>
      <c r="AJ216" s="331">
        <v>163</v>
      </c>
    </row>
    <row r="217">
      <c r="A217" s="310"/>
      <c r="B217" s="311" t="s">
        <v>282</v>
      </c>
      <c r="C217" s="312" t="s">
        <v>288</v>
      </c>
      <c r="D217" s="313">
        <f t="shared" si="208"/>
      </c>
      <c r="E217" s="312">
        <v>3153.75</v>
      </c>
      <c r="F217" s="357">
        <v>1991.51</v>
      </c>
      <c r="G217" s="358">
        <f t="shared" si="326"/>
      </c>
      <c r="H217" s="359">
        <v>0</v>
      </c>
      <c r="I217" s="316">
        <f t="shared" si="367"/>
      </c>
      <c r="J217" s="316">
        <f t="shared" si="529"/>
      </c>
      <c r="K217" s="317">
        <f t="shared" si="82"/>
      </c>
      <c r="L217" s="318">
        <f t="shared" si="112"/>
      </c>
      <c r="M217" s="319">
        <f t="shared" si="248"/>
      </c>
      <c r="N217" s="320">
        <f t="shared" si="403"/>
      </c>
      <c r="O217" s="320">
        <f t="shared" si="22"/>
      </c>
      <c r="P217" s="320">
        <f t="shared" si="142"/>
      </c>
      <c r="Q217" s="321">
        <f t="shared" si="278"/>
      </c>
      <c r="R217" s="322">
        <f t="shared" si="433"/>
      </c>
      <c r="S217" s="320">
        <f t="shared" si="52"/>
      </c>
      <c r="T217" s="323">
        <f t="shared" si="463"/>
      </c>
      <c r="U217" s="323">
        <f t="shared" si="172"/>
      </c>
      <c r="V217" s="320">
        <f t="shared" si="308"/>
      </c>
      <c r="W217" s="325">
        <v>9</v>
      </c>
      <c r="X217" s="325">
        <v>6</v>
      </c>
      <c r="Y217" s="325">
        <v>3</v>
      </c>
      <c r="Z217" s="315">
        <v>3635.279999999999</v>
      </c>
      <c r="AA217" s="326">
        <v>0</v>
      </c>
      <c r="AB217" s="321">
        <f t="shared" si="493"/>
      </c>
      <c r="AC217" s="327" t="s">
        <v>284</v>
      </c>
      <c r="AD217" s="328" t="s">
        <v>291</v>
      </c>
      <c r="AE217" s="329">
        <v>3</v>
      </c>
      <c r="AF217" s="330">
        <v>77941</v>
      </c>
      <c r="AG217" s="330">
        <v>1653</v>
      </c>
      <c r="AH217" s="330">
        <v>1758</v>
      </c>
      <c r="AI217" s="331">
        <v>135</v>
      </c>
      <c r="AJ217" s="331">
        <v>166</v>
      </c>
    </row>
    <row r="218">
      <c r="A218" s="310"/>
      <c r="B218" s="311" t="s">
        <v>282</v>
      </c>
      <c r="C218" s="332" t="s">
        <v>289</v>
      </c>
      <c r="D218" s="313">
        <f t="shared" si="208"/>
      </c>
      <c r="E218" s="312">
        <v>1185.49</v>
      </c>
      <c r="F218" s="357">
        <v>2000</v>
      </c>
      <c r="G218" s="358">
        <f t="shared" si="326"/>
      </c>
      <c r="H218" s="359">
        <v>0</v>
      </c>
      <c r="I218" s="316">
        <f t="shared" si="367"/>
      </c>
      <c r="J218" s="316">
        <f t="shared" si="529"/>
      </c>
      <c r="K218" s="317">
        <f t="shared" si="82"/>
      </c>
      <c r="L218" s="318">
        <f t="shared" si="112"/>
      </c>
      <c r="M218" s="319">
        <f t="shared" si="248"/>
      </c>
      <c r="N218" s="320">
        <f t="shared" si="403"/>
      </c>
      <c r="O218" s="320">
        <f t="shared" si="22"/>
      </c>
      <c r="P218" s="320">
        <f t="shared" si="142"/>
      </c>
      <c r="Q218" s="321">
        <f t="shared" si="278"/>
      </c>
      <c r="R218" s="322">
        <f t="shared" si="433"/>
      </c>
      <c r="S218" s="320">
        <f t="shared" si="52"/>
      </c>
      <c r="T218" s="323">
        <f t="shared" si="463"/>
      </c>
      <c r="U218" s="323">
        <f t="shared" si="172"/>
      </c>
      <c r="V218" s="320">
        <f t="shared" si="308"/>
      </c>
      <c r="W218" s="325">
        <v>3</v>
      </c>
      <c r="X218" s="325">
        <v>0</v>
      </c>
      <c r="Y218" s="325">
        <v>2</v>
      </c>
      <c r="Z218" s="326">
        <v>1149.119999999999</v>
      </c>
      <c r="AA218" s="326">
        <v>2365.5</v>
      </c>
      <c r="AB218" s="321">
        <f t="shared" si="493"/>
      </c>
      <c r="AC218" s="327" t="s">
        <v>284</v>
      </c>
      <c r="AD218" s="328" t="s">
        <v>291</v>
      </c>
      <c r="AE218" s="329">
        <v>1</v>
      </c>
      <c r="AF218" s="330">
        <v>58453</v>
      </c>
      <c r="AG218" s="330">
        <v>692</v>
      </c>
      <c r="AH218" s="330">
        <v>710</v>
      </c>
      <c r="AI218" s="331">
        <v>68</v>
      </c>
      <c r="AJ218" s="331">
        <v>88</v>
      </c>
    </row>
    <row r="219">
      <c r="A219" s="310"/>
      <c r="B219" s="333" t="s">
        <v>290</v>
      </c>
      <c r="C219" s="334">
        <v>5</v>
      </c>
      <c r="D219" s="335">
        <f>SUM(D214:D218)</f>
      </c>
      <c r="E219" s="335">
        <f>SUM(E214:E218)</f>
      </c>
      <c r="F219" s="335">
        <f>SUM(F214:F218)</f>
      </c>
      <c r="G219" s="360">
        <f>SUM(G214:G218)</f>
      </c>
      <c r="H219" s="335">
        <f>SUM(H214:H218)</f>
      </c>
      <c r="I219" s="335">
        <f>SUM(I214:I218)</f>
      </c>
      <c r="J219" s="335">
        <f>SUM(J214:J218)</f>
      </c>
      <c r="K219" s="336">
        <f t="shared" si="82"/>
      </c>
      <c r="L219" s="337">
        <f t="shared" si="112"/>
      </c>
      <c r="M219" s="337">
        <f t="shared" si="248"/>
      </c>
      <c r="N219" s="338">
        <f t="shared" si="403"/>
      </c>
      <c r="O219" s="338">
        <f t="shared" si="22"/>
      </c>
      <c r="P219" s="338">
        <f t="shared" si="142"/>
      </c>
      <c r="Q219" s="339">
        <f t="shared" si="278"/>
      </c>
      <c r="R219" s="339">
        <f t="shared" si="433"/>
      </c>
      <c r="S219" s="338">
        <f t="shared" si="52"/>
      </c>
      <c r="T219" s="339">
        <f t="shared" si="463"/>
      </c>
      <c r="U219" s="339">
        <f t="shared" si="172"/>
      </c>
      <c r="V219" s="338">
        <f t="shared" si="308"/>
      </c>
      <c r="W219" s="335">
        <f>SUM(W214:W218)</f>
      </c>
      <c r="X219" s="335">
        <f>SUM(X214:X218)</f>
      </c>
      <c r="Y219" s="335">
        <f>SUM(Y214:Y218)</f>
      </c>
      <c r="Z219" s="335">
        <f>SUM(Z214:Z218)</f>
      </c>
      <c r="AA219" s="335">
        <f>SUM(AA214:AA218)</f>
      </c>
      <c r="AB219" s="340">
        <f t="shared" si="493"/>
      </c>
      <c r="AC219" s="341"/>
      <c r="AD219" s="342"/>
      <c r="AE219" s="335">
        <f>SUM(AE214:AE218)</f>
      </c>
      <c r="AF219" s="335">
        <f>SUM(AF214:AF218)</f>
      </c>
      <c r="AG219" s="335">
        <f>SUM(AG214:AG218)</f>
      </c>
      <c r="AH219" s="335">
        <f>SUM(AH214:AH218)</f>
      </c>
      <c r="AI219" s="335">
        <f>SUM(AI214:AI218)</f>
      </c>
      <c r="AJ219" s="335">
        <f>SUM(AJ214:AJ218)</f>
      </c>
    </row>
    <row r="220">
      <c r="A220" s="310"/>
      <c r="B220" s="343" t="s">
        <v>290</v>
      </c>
      <c r="C220" s="344">
        <f>C219</f>
      </c>
      <c r="D220" s="344">
        <f>D219</f>
      </c>
      <c r="E220" s="344">
        <f>E219</f>
      </c>
      <c r="F220" s="344">
        <f>F219</f>
      </c>
      <c r="G220" s="344">
        <f>G219</f>
      </c>
      <c r="H220" s="344">
        <f>H219</f>
      </c>
      <c r="I220" s="344">
        <f>I219</f>
      </c>
      <c r="J220" s="344">
        <f>J219</f>
      </c>
      <c r="K220" s="346">
        <f t="shared" si="82"/>
      </c>
      <c r="L220" s="346">
        <f t="shared" si="112"/>
      </c>
      <c r="M220" s="346">
        <f t="shared" si="248"/>
      </c>
      <c r="N220" s="346">
        <f t="shared" si="403"/>
      </c>
      <c r="O220" s="346">
        <f t="shared" si="22"/>
      </c>
      <c r="P220" s="346">
        <f t="shared" si="142"/>
      </c>
      <c r="Q220" s="347">
        <f t="shared" si="278"/>
      </c>
      <c r="R220" s="347">
        <f t="shared" si="433"/>
      </c>
      <c r="S220" s="346">
        <f t="shared" si="52"/>
      </c>
      <c r="T220" s="347">
        <f t="shared" si="463"/>
      </c>
      <c r="U220" s="347">
        <f t="shared" si="172"/>
      </c>
      <c r="V220" s="346">
        <f t="shared" si="308"/>
      </c>
      <c r="W220" s="344">
        <f>W219</f>
      </c>
      <c r="X220" s="344">
        <f>X219</f>
      </c>
      <c r="Y220" s="344">
        <f>Y219</f>
      </c>
      <c r="Z220" s="344">
        <f>Z219</f>
      </c>
      <c r="AA220" s="344">
        <f>AA219</f>
      </c>
      <c r="AB220" s="350">
        <f t="shared" si="493"/>
      </c>
      <c r="AC220" s="343"/>
      <c r="AD220" s="343"/>
      <c r="AE220" s="344">
        <f>AE219</f>
      </c>
      <c r="AF220" s="344">
        <f>AF219</f>
      </c>
      <c r="AG220" s="344">
        <f>AG219</f>
      </c>
      <c r="AH220" s="344">
        <f>AH219</f>
      </c>
      <c r="AI220" s="344">
        <f>AI219</f>
      </c>
      <c r="AJ220" s="344">
        <f>AJ219</f>
      </c>
    </row>
    <row r="221">
      <c r="A221" s="297" t="s">
        <v>246</v>
      </c>
      <c r="B221" s="298" t="s">
        <v>247</v>
      </c>
      <c r="C221" s="298" t="s">
        <v>248</v>
      </c>
      <c r="D221" s="299" t="s">
        <v>249</v>
      </c>
      <c r="E221" s="298" t="s">
        <v>250</v>
      </c>
      <c r="F221" s="298" t="s">
        <v>251</v>
      </c>
      <c r="G221" s="299" t="s">
        <v>252</v>
      </c>
      <c r="H221" s="300" t="s">
        <v>253</v>
      </c>
      <c r="I221" s="301" t="s">
        <v>254</v>
      </c>
      <c r="J221" s="301" t="s">
        <v>255</v>
      </c>
      <c r="K221" s="302" t="s">
        <v>256</v>
      </c>
      <c r="L221" s="301" t="s">
        <v>257</v>
      </c>
      <c r="M221" s="298" t="s">
        <v>258</v>
      </c>
      <c r="N221" s="302" t="s">
        <v>259</v>
      </c>
      <c r="O221" s="303" t="s">
        <v>260</v>
      </c>
      <c r="P221" s="303" t="s">
        <v>261</v>
      </c>
      <c r="Q221" s="299" t="s">
        <v>262</v>
      </c>
      <c r="R221" s="304" t="s">
        <v>263</v>
      </c>
      <c r="S221" s="302" t="s">
        <v>264</v>
      </c>
      <c r="T221" s="305" t="s">
        <v>265</v>
      </c>
      <c r="U221" s="306" t="s">
        <v>266</v>
      </c>
      <c r="V221" s="302" t="s">
        <v>267</v>
      </c>
      <c r="W221" s="307" t="s">
        <v>268</v>
      </c>
      <c r="X221" s="308" t="s">
        <v>269</v>
      </c>
      <c r="Y221" s="307" t="s">
        <v>270</v>
      </c>
      <c r="Z221" s="309" t="s">
        <v>271</v>
      </c>
      <c r="AA221" s="309" t="s">
        <v>272</v>
      </c>
      <c r="AB221" s="301" t="s">
        <v>273</v>
      </c>
      <c r="AC221" s="300" t="s">
        <v>274</v>
      </c>
      <c r="AD221" s="301" t="s">
        <v>275</v>
      </c>
      <c r="AE221" s="300" t="s">
        <v>276</v>
      </c>
      <c r="AF221" s="300" t="s">
        <v>277</v>
      </c>
      <c r="AG221" s="301" t="s">
        <v>278</v>
      </c>
      <c r="AH221" s="300" t="s">
        <v>279</v>
      </c>
      <c r="AI221" s="301" t="s">
        <v>280</v>
      </c>
      <c r="AJ221" s="300" t="s">
        <v>281</v>
      </c>
    </row>
    <row r="222">
      <c r="A222" s="310">
        <v>46228</v>
      </c>
      <c r="B222" s="311" t="s">
        <v>282</v>
      </c>
      <c r="C222" s="312" t="s">
        <v>292</v>
      </c>
      <c r="D222" s="313">
        <f t="shared" ref="D222:D226" si="209">E222+F222</f>
      </c>
      <c r="E222" s="355">
        <v>2883.57</v>
      </c>
      <c r="F222" s="314">
        <v>2000</v>
      </c>
      <c r="G222" s="314">
        <v>325</v>
      </c>
      <c r="H222" s="315">
        <v>0</v>
      </c>
      <c r="I222" s="316">
        <f t="shared" ref="I222:I226" si="368">G222-H222</f>
      </c>
      <c r="J222" s="316">
        <f t="shared" ref="J222:J226" si="530">(G222-AA222)/12+AA222</f>
      </c>
      <c r="K222" s="317">
        <f t="shared" ref="K222:K234" si="83">G222/D222</f>
      </c>
      <c r="L222" s="318">
        <f t="shared" ref="L222:L234" si="113">(G222-H222)/D222</f>
      </c>
      <c r="M222" s="319">
        <f t="shared" ref="M222:M234" si="249">(AA222+Z222/12)/D222</f>
      </c>
      <c r="N222" s="320">
        <f t="shared" ref="N222:N234" si="404">G222/Y222</f>
      </c>
      <c r="O222" s="320">
        <f t="shared" ref="O222:O234" si="23">D222/Y222</f>
      </c>
      <c r="P222" s="320">
        <f t="shared" ref="P222:P234" si="143">D222/AE222</f>
      </c>
      <c r="Q222" s="321">
        <f t="shared" ref="Q222:Q234" si="279">Y222/W222</f>
      </c>
      <c r="R222" s="322">
        <f t="shared" ref="R222:R234" si="434">AG222/AF222</f>
      </c>
      <c r="S222" s="320">
        <f t="shared" ref="S222:S234" si="53">D222/AH222</f>
      </c>
      <c r="T222" s="323">
        <f t="shared" ref="T222:T234" si="464">AI222/AH222</f>
      </c>
      <c r="U222" s="323">
        <f t="shared" ref="U222:U234" si="173">AJ222/AH222</f>
      </c>
      <c r="V222" s="320">
        <f t="shared" ref="V222:V234" si="309">D222/AJ222</f>
      </c>
      <c r="W222" s="325">
        <v>7</v>
      </c>
      <c r="X222" s="325">
        <v>2</v>
      </c>
      <c r="Y222" s="325">
        <v>1</v>
      </c>
      <c r="Z222" s="326">
        <v>0</v>
      </c>
      <c r="AA222" s="326">
        <v>325</v>
      </c>
      <c r="AB222" s="321">
        <f t="shared" ref="AB222:AB234" si="494">AA222/G222</f>
      </c>
      <c r="AC222" s="327" t="s">
        <v>284</v>
      </c>
      <c r="AD222" s="353" t="s">
        <v>285</v>
      </c>
      <c r="AE222" s="329">
        <v>1</v>
      </c>
      <c r="AF222" s="330">
        <v>67054</v>
      </c>
      <c r="AG222" s="330">
        <v>1488</v>
      </c>
      <c r="AH222" s="330">
        <v>1568</v>
      </c>
      <c r="AI222" s="329">
        <v>111</v>
      </c>
      <c r="AJ222" s="331">
        <v>126</v>
      </c>
    </row>
    <row r="223">
      <c r="A223" s="310"/>
      <c r="B223" s="311" t="s">
        <v>282</v>
      </c>
      <c r="C223" s="312" t="s">
        <v>293</v>
      </c>
      <c r="D223" s="313">
        <f t="shared" si="209"/>
      </c>
      <c r="E223" s="312">
        <v>3986.08</v>
      </c>
      <c r="F223" s="314">
        <v>2000</v>
      </c>
      <c r="G223" s="314">
        <v>13154.96</v>
      </c>
      <c r="H223" s="315">
        <v>506</v>
      </c>
      <c r="I223" s="316">
        <f t="shared" si="368"/>
      </c>
      <c r="J223" s="316">
        <f t="shared" si="530"/>
      </c>
      <c r="K223" s="317">
        <f t="shared" si="83"/>
      </c>
      <c r="L223" s="318">
        <f t="shared" si="113"/>
      </c>
      <c r="M223" s="319">
        <f t="shared" si="249"/>
      </c>
      <c r="N223" s="320">
        <f t="shared" si="404"/>
      </c>
      <c r="O223" s="320">
        <f t="shared" si="23"/>
      </c>
      <c r="P223" s="320">
        <f t="shared" si="143"/>
      </c>
      <c r="Q223" s="321">
        <f t="shared" si="279"/>
      </c>
      <c r="R223" s="322">
        <f t="shared" si="434"/>
      </c>
      <c r="S223" s="320">
        <f t="shared" si="53"/>
      </c>
      <c r="T223" s="323">
        <f t="shared" si="464"/>
      </c>
      <c r="U223" s="323">
        <f t="shared" si="173"/>
      </c>
      <c r="V223" s="320">
        <f t="shared" si="309"/>
      </c>
      <c r="W223" s="325">
        <v>13</v>
      </c>
      <c r="X223" s="325">
        <v>8</v>
      </c>
      <c r="Y223" s="325">
        <v>9</v>
      </c>
      <c r="Z223" s="326">
        <v>12648.96</v>
      </c>
      <c r="AA223" s="326">
        <v>506</v>
      </c>
      <c r="AB223" s="321">
        <f t="shared" si="494"/>
      </c>
      <c r="AC223" s="327" t="s">
        <v>284</v>
      </c>
      <c r="AD223" s="353" t="s">
        <v>285</v>
      </c>
      <c r="AE223" s="329">
        <v>7</v>
      </c>
      <c r="AF223" s="330">
        <v>95206</v>
      </c>
      <c r="AG223" s="330">
        <v>2584</v>
      </c>
      <c r="AH223" s="330">
        <v>2706</v>
      </c>
      <c r="AI223" s="331">
        <v>208</v>
      </c>
      <c r="AJ223" s="331">
        <v>185</v>
      </c>
    </row>
    <row r="224">
      <c r="A224" s="310"/>
      <c r="B224" s="311" t="s">
        <v>282</v>
      </c>
      <c r="C224" s="312" t="s">
        <v>294</v>
      </c>
      <c r="D224" s="313">
        <f t="shared" si="209"/>
      </c>
      <c r="E224" s="312">
        <v>4402.5</v>
      </c>
      <c r="F224" s="312">
        <v>1984.97</v>
      </c>
      <c r="G224" s="314">
        <v>12483.239999999998</v>
      </c>
      <c r="H224" s="315">
        <v>0</v>
      </c>
      <c r="I224" s="316">
        <f t="shared" si="368"/>
      </c>
      <c r="J224" s="316">
        <f t="shared" si="530"/>
      </c>
      <c r="K224" s="317">
        <f t="shared" si="83"/>
      </c>
      <c r="L224" s="318">
        <f t="shared" si="113"/>
      </c>
      <c r="M224" s="319">
        <f t="shared" si="249"/>
      </c>
      <c r="N224" s="320">
        <f t="shared" si="404"/>
      </c>
      <c r="O224" s="320">
        <f t="shared" si="23"/>
      </c>
      <c r="P224" s="320">
        <f t="shared" si="143"/>
      </c>
      <c r="Q224" s="321">
        <f t="shared" si="279"/>
      </c>
      <c r="R224" s="322">
        <f t="shared" si="434"/>
      </c>
      <c r="S224" s="320">
        <f t="shared" si="53"/>
      </c>
      <c r="T224" s="323">
        <f t="shared" si="464"/>
      </c>
      <c r="U224" s="323">
        <f t="shared" si="173"/>
      </c>
      <c r="V224" s="320">
        <f t="shared" si="309"/>
      </c>
      <c r="W224" s="325">
        <v>12</v>
      </c>
      <c r="X224" s="325">
        <v>0</v>
      </c>
      <c r="Y224" s="325">
        <v>8</v>
      </c>
      <c r="Z224" s="326">
        <v>8447.64</v>
      </c>
      <c r="AA224" s="326">
        <v>4035.6000000000004</v>
      </c>
      <c r="AB224" s="321">
        <f t="shared" si="494"/>
      </c>
      <c r="AC224" s="327" t="s">
        <v>284</v>
      </c>
      <c r="AD224" s="353" t="s">
        <v>285</v>
      </c>
      <c r="AE224" s="331">
        <v>8</v>
      </c>
      <c r="AF224" s="330">
        <v>90350</v>
      </c>
      <c r="AG224" s="330">
        <v>3481</v>
      </c>
      <c r="AH224" s="330">
        <v>3730</v>
      </c>
      <c r="AI224" s="331">
        <v>239</v>
      </c>
      <c r="AJ224" s="331">
        <v>195</v>
      </c>
    </row>
    <row r="225">
      <c r="A225" s="310"/>
      <c r="B225" s="311" t="s">
        <v>282</v>
      </c>
      <c r="C225" s="312" t="s">
        <v>295</v>
      </c>
      <c r="D225" s="313">
        <f t="shared" si="209"/>
      </c>
      <c r="E225" s="312">
        <v>3706.09</v>
      </c>
      <c r="F225" s="314">
        <v>2015.03</v>
      </c>
      <c r="G225" s="314">
        <v>7484.520000000004</v>
      </c>
      <c r="H225" s="315">
        <v>1736.64</v>
      </c>
      <c r="I225" s="316">
        <f t="shared" si="368"/>
      </c>
      <c r="J225" s="316">
        <f t="shared" si="530"/>
      </c>
      <c r="K225" s="317">
        <f t="shared" si="83"/>
      </c>
      <c r="L225" s="318">
        <f t="shared" si="113"/>
      </c>
      <c r="M225" s="319">
        <f t="shared" si="249"/>
      </c>
      <c r="N225" s="320">
        <f t="shared" si="404"/>
      </c>
      <c r="O225" s="320">
        <f t="shared" si="23"/>
      </c>
      <c r="P225" s="320">
        <f t="shared" si="143"/>
      </c>
      <c r="Q225" s="321">
        <f t="shared" si="279"/>
      </c>
      <c r="R225" s="322">
        <f t="shared" si="434"/>
      </c>
      <c r="S225" s="320">
        <f t="shared" si="53"/>
      </c>
      <c r="T225" s="323">
        <f t="shared" si="464"/>
      </c>
      <c r="U225" s="323">
        <f t="shared" si="173"/>
      </c>
      <c r="V225" s="320">
        <f t="shared" si="309"/>
      </c>
      <c r="W225" s="325">
        <v>8</v>
      </c>
      <c r="X225" s="325">
        <v>3</v>
      </c>
      <c r="Y225" s="325">
        <v>3</v>
      </c>
      <c r="Z225" s="315">
        <v>6386.52</v>
      </c>
      <c r="AA225" s="326">
        <v>1098</v>
      </c>
      <c r="AB225" s="321">
        <f t="shared" si="494"/>
      </c>
      <c r="AC225" s="327" t="s">
        <v>284</v>
      </c>
      <c r="AD225" s="353" t="s">
        <v>285</v>
      </c>
      <c r="AE225" s="329">
        <v>3</v>
      </c>
      <c r="AF225" s="330">
        <v>91256</v>
      </c>
      <c r="AG225" s="330">
        <v>1855</v>
      </c>
      <c r="AH225" s="330">
        <v>1932</v>
      </c>
      <c r="AI225" s="331">
        <v>146</v>
      </c>
      <c r="AJ225" s="331">
        <v>155</v>
      </c>
    </row>
    <row r="226">
      <c r="A226" s="310"/>
      <c r="B226" s="311" t="s">
        <v>282</v>
      </c>
      <c r="C226" s="312" t="s">
        <v>296</v>
      </c>
      <c r="D226" s="313">
        <f t="shared" si="209"/>
      </c>
      <c r="E226" s="312">
        <v>2464.61</v>
      </c>
      <c r="F226" s="314">
        <v>1996.47</v>
      </c>
      <c r="G226" s="352">
        <v>1871.6399999999921</v>
      </c>
      <c r="H226" s="315">
        <v>0</v>
      </c>
      <c r="I226" s="316">
        <f t="shared" si="368"/>
      </c>
      <c r="J226" s="316">
        <f t="shared" si="530"/>
      </c>
      <c r="K226" s="317">
        <f t="shared" si="83"/>
      </c>
      <c r="L226" s="318">
        <f t="shared" si="113"/>
      </c>
      <c r="M226" s="319">
        <f t="shared" si="249"/>
      </c>
      <c r="N226" s="320">
        <f t="shared" si="404"/>
      </c>
      <c r="O226" s="320">
        <f t="shared" si="23"/>
      </c>
      <c r="P226" s="320">
        <f t="shared" si="143"/>
      </c>
      <c r="Q226" s="321">
        <f t="shared" si="279"/>
      </c>
      <c r="R226" s="322">
        <f t="shared" si="434"/>
      </c>
      <c r="S226" s="320">
        <f t="shared" si="53"/>
      </c>
      <c r="T226" s="323">
        <f t="shared" si="464"/>
      </c>
      <c r="U226" s="323">
        <f t="shared" si="173"/>
      </c>
      <c r="V226" s="320">
        <f t="shared" si="309"/>
      </c>
      <c r="W226" s="325">
        <v>8</v>
      </c>
      <c r="X226" s="325">
        <v>5</v>
      </c>
      <c r="Y226" s="325">
        <v>1</v>
      </c>
      <c r="Z226" s="326">
        <v>1871.6399999999994</v>
      </c>
      <c r="AA226" s="326">
        <v>0</v>
      </c>
      <c r="AB226" s="321">
        <f t="shared" si="494"/>
      </c>
      <c r="AC226" s="327" t="s">
        <v>284</v>
      </c>
      <c r="AD226" s="353" t="s">
        <v>285</v>
      </c>
      <c r="AE226" s="329">
        <v>1</v>
      </c>
      <c r="AF226" s="330">
        <v>80901</v>
      </c>
      <c r="AG226" s="330">
        <v>1545</v>
      </c>
      <c r="AH226" s="330">
        <v>1652</v>
      </c>
      <c r="AI226" s="331">
        <v>145</v>
      </c>
      <c r="AJ226" s="331">
        <v>132</v>
      </c>
    </row>
    <row r="227">
      <c r="A227" s="310"/>
      <c r="B227" s="333" t="s">
        <v>290</v>
      </c>
      <c r="C227" s="334">
        <v>5</v>
      </c>
      <c r="D227" s="335">
        <f>SUM(D222:D226)</f>
      </c>
      <c r="E227" s="335">
        <f>SUM(E222:E226)</f>
      </c>
      <c r="F227" s="335">
        <f>SUM(F222:F226)</f>
      </c>
      <c r="G227" s="356">
        <f>SUM(G222:G226)</f>
      </c>
      <c r="H227" s="335">
        <f>SUM(H222:H226)</f>
      </c>
      <c r="I227" s="335">
        <f>SUM(I222:I226)</f>
      </c>
      <c r="J227" s="335">
        <f>SUM(J222:J226)</f>
      </c>
      <c r="K227" s="336">
        <f t="shared" si="83"/>
      </c>
      <c r="L227" s="337">
        <f t="shared" si="113"/>
      </c>
      <c r="M227" s="337">
        <f t="shared" si="249"/>
      </c>
      <c r="N227" s="338">
        <f t="shared" si="404"/>
      </c>
      <c r="O227" s="338">
        <f t="shared" si="23"/>
      </c>
      <c r="P227" s="338">
        <f t="shared" si="143"/>
      </c>
      <c r="Q227" s="339">
        <f t="shared" si="279"/>
      </c>
      <c r="R227" s="339">
        <f t="shared" si="434"/>
      </c>
      <c r="S227" s="338">
        <f t="shared" si="53"/>
      </c>
      <c r="T227" s="339">
        <f t="shared" si="464"/>
      </c>
      <c r="U227" s="339">
        <f t="shared" si="173"/>
      </c>
      <c r="V227" s="338">
        <f t="shared" si="309"/>
      </c>
      <c r="W227" s="335">
        <f>SUM(W222:W226)</f>
      </c>
      <c r="X227" s="335">
        <f>SUM(X222:X226)</f>
      </c>
      <c r="Y227" s="335">
        <f>SUM(Y222:Y226)</f>
      </c>
      <c r="Z227" s="335">
        <f>SUM(Z222:Z226)</f>
      </c>
      <c r="AA227" s="335">
        <f>SUM(AA222:AA226)</f>
      </c>
      <c r="AB227" s="340">
        <f t="shared" si="494"/>
      </c>
      <c r="AC227" s="341"/>
      <c r="AD227" s="342"/>
      <c r="AE227" s="335">
        <f>SUM(AE222:AE226)</f>
      </c>
      <c r="AF227" s="335">
        <f>SUM(AF222:AF226)</f>
      </c>
      <c r="AG227" s="335">
        <f>SUM(AG222:AG226)</f>
      </c>
      <c r="AH227" s="335">
        <f>SUM(AH222:AH226)</f>
      </c>
      <c r="AI227" s="335">
        <f>SUM(AI222:AI226)</f>
      </c>
      <c r="AJ227" s="335">
        <f>SUM(AJ222:AJ226)</f>
      </c>
    </row>
    <row r="228">
      <c r="A228" s="310"/>
      <c r="B228" s="311" t="s">
        <v>297</v>
      </c>
      <c r="C228" s="312" t="s">
        <v>283</v>
      </c>
      <c r="D228" s="313">
        <f t="shared" ref="D228:D232" si="210">E228+F228</f>
      </c>
      <c r="E228" s="312">
        <v>2261.82</v>
      </c>
      <c r="F228" s="357">
        <v>2003.53</v>
      </c>
      <c r="G228" s="358">
        <f t="shared" ref="G228:G232" si="327">Z228+AA228</f>
      </c>
      <c r="H228" s="359">
        <v>0</v>
      </c>
      <c r="I228" s="316">
        <f t="shared" ref="I228:I232" si="369">G228-H228</f>
      </c>
      <c r="J228" s="316">
        <f t="shared" ref="J228:J232" si="531">(G228-AA228)/12+AA228</f>
      </c>
      <c r="K228" s="317">
        <f t="shared" si="83"/>
      </c>
      <c r="L228" s="318">
        <f t="shared" si="113"/>
      </c>
      <c r="M228" s="319">
        <f t="shared" si="249"/>
      </c>
      <c r="N228" s="320">
        <f t="shared" si="404"/>
      </c>
      <c r="O228" s="320">
        <f t="shared" si="23"/>
      </c>
      <c r="P228" s="320">
        <f t="shared" si="143"/>
      </c>
      <c r="Q228" s="321">
        <f t="shared" si="279"/>
      </c>
      <c r="R228" s="322">
        <f t="shared" si="434"/>
      </c>
      <c r="S228" s="320">
        <f t="shared" si="53"/>
      </c>
      <c r="T228" s="323">
        <f t="shared" si="464"/>
      </c>
      <c r="U228" s="323">
        <f t="shared" si="173"/>
      </c>
      <c r="V228" s="320">
        <f t="shared" si="309"/>
      </c>
      <c r="W228" s="325">
        <v>8</v>
      </c>
      <c r="X228" s="325">
        <v>2</v>
      </c>
      <c r="Y228" s="325">
        <v>4</v>
      </c>
      <c r="Z228" s="326">
        <v>3919.3200000000033</v>
      </c>
      <c r="AA228" s="326">
        <v>0</v>
      </c>
      <c r="AB228" s="321">
        <f t="shared" si="494"/>
      </c>
      <c r="AC228" s="327" t="s">
        <v>284</v>
      </c>
      <c r="AD228" s="328" t="s">
        <v>291</v>
      </c>
      <c r="AE228" s="329">
        <v>4</v>
      </c>
      <c r="AF228" s="330">
        <v>87177</v>
      </c>
      <c r="AG228" s="330">
        <v>1221</v>
      </c>
      <c r="AH228" s="330">
        <v>1276</v>
      </c>
      <c r="AI228" s="331">
        <v>104</v>
      </c>
      <c r="AJ228" s="331">
        <v>123</v>
      </c>
    </row>
    <row r="229">
      <c r="A229" s="310"/>
      <c r="B229" s="311" t="s">
        <v>297</v>
      </c>
      <c r="C229" s="332" t="s">
        <v>286</v>
      </c>
      <c r="D229" s="313">
        <f t="shared" si="210"/>
      </c>
      <c r="E229" s="312">
        <v>2755.96</v>
      </c>
      <c r="F229" s="357">
        <v>2000</v>
      </c>
      <c r="G229" s="358">
        <f t="shared" si="327"/>
      </c>
      <c r="H229" s="359">
        <v>0</v>
      </c>
      <c r="I229" s="316">
        <f t="shared" si="369"/>
      </c>
      <c r="J229" s="316">
        <f t="shared" si="531"/>
      </c>
      <c r="K229" s="317">
        <f t="shared" si="83"/>
      </c>
      <c r="L229" s="318">
        <f t="shared" si="113"/>
      </c>
      <c r="M229" s="319">
        <f t="shared" si="249"/>
      </c>
      <c r="N229" s="320">
        <f t="shared" si="404"/>
      </c>
      <c r="O229" s="320">
        <f t="shared" si="23"/>
      </c>
      <c r="P229" s="320">
        <f t="shared" si="143"/>
      </c>
      <c r="Q229" s="321">
        <f t="shared" si="279"/>
      </c>
      <c r="R229" s="322">
        <f t="shared" si="434"/>
      </c>
      <c r="S229" s="320">
        <f t="shared" si="53"/>
      </c>
      <c r="T229" s="323">
        <f t="shared" si="464"/>
      </c>
      <c r="U229" s="323">
        <f t="shared" si="173"/>
      </c>
      <c r="V229" s="320">
        <f t="shared" si="309"/>
      </c>
      <c r="W229" s="325">
        <v>5</v>
      </c>
      <c r="X229" s="325">
        <v>3</v>
      </c>
      <c r="Y229" s="325">
        <v>1</v>
      </c>
      <c r="Z229" s="326">
        <v>5667.479999999996</v>
      </c>
      <c r="AA229" s="326">
        <v>0</v>
      </c>
      <c r="AB229" s="321">
        <f t="shared" si="494"/>
      </c>
      <c r="AC229" s="327" t="s">
        <v>284</v>
      </c>
      <c r="AD229" s="328" t="s">
        <v>291</v>
      </c>
      <c r="AE229" s="329">
        <v>1</v>
      </c>
      <c r="AF229" s="330">
        <v>90532</v>
      </c>
      <c r="AG229" s="330">
        <v>1623</v>
      </c>
      <c r="AH229" s="330">
        <v>1721</v>
      </c>
      <c r="AI229" s="331">
        <v>139</v>
      </c>
      <c r="AJ229" s="331">
        <v>142</v>
      </c>
    </row>
    <row r="230">
      <c r="A230" s="310"/>
      <c r="B230" s="311" t="s">
        <v>297</v>
      </c>
      <c r="C230" s="332" t="s">
        <v>287</v>
      </c>
      <c r="D230" s="313">
        <f t="shared" si="210"/>
      </c>
      <c r="E230" s="312">
        <v>2601.38</v>
      </c>
      <c r="F230" s="357">
        <v>2000</v>
      </c>
      <c r="G230" s="358">
        <f t="shared" si="327"/>
      </c>
      <c r="H230" s="359">
        <v>0</v>
      </c>
      <c r="I230" s="316">
        <f t="shared" si="369"/>
      </c>
      <c r="J230" s="316">
        <f t="shared" si="531"/>
      </c>
      <c r="K230" s="317">
        <f t="shared" si="83"/>
      </c>
      <c r="L230" s="318">
        <f t="shared" si="113"/>
      </c>
      <c r="M230" s="319">
        <f t="shared" si="249"/>
      </c>
      <c r="N230" s="320">
        <f t="shared" si="404"/>
      </c>
      <c r="O230" s="320">
        <f t="shared" si="23"/>
      </c>
      <c r="P230" s="320">
        <f t="shared" si="143"/>
      </c>
      <c r="Q230" s="321">
        <f t="shared" si="279"/>
      </c>
      <c r="R230" s="322">
        <f t="shared" si="434"/>
      </c>
      <c r="S230" s="320">
        <f t="shared" si="53"/>
      </c>
      <c r="T230" s="323">
        <f t="shared" si="464"/>
      </c>
      <c r="U230" s="323">
        <f t="shared" si="173"/>
      </c>
      <c r="V230" s="320">
        <f t="shared" si="309"/>
      </c>
      <c r="W230" s="325">
        <v>7</v>
      </c>
      <c r="X230" s="325">
        <v>3</v>
      </c>
      <c r="Y230" s="325">
        <v>4</v>
      </c>
      <c r="Z230" s="326">
        <v>7050.240000000005</v>
      </c>
      <c r="AA230" s="326">
        <v>0</v>
      </c>
      <c r="AB230" s="321">
        <f t="shared" si="494"/>
      </c>
      <c r="AC230" s="327" t="s">
        <v>284</v>
      </c>
      <c r="AD230" s="328" t="s">
        <v>291</v>
      </c>
      <c r="AE230" s="331">
        <v>2</v>
      </c>
      <c r="AF230" s="330">
        <v>92084</v>
      </c>
      <c r="AG230" s="330">
        <v>1438</v>
      </c>
      <c r="AH230" s="330">
        <v>1513</v>
      </c>
      <c r="AI230" s="331">
        <v>103</v>
      </c>
      <c r="AJ230" s="331">
        <v>126</v>
      </c>
    </row>
    <row r="231">
      <c r="A231" s="310"/>
      <c r="B231" s="311" t="s">
        <v>297</v>
      </c>
      <c r="C231" s="312" t="s">
        <v>288</v>
      </c>
      <c r="D231" s="313">
        <f t="shared" si="210"/>
      </c>
      <c r="E231" s="312">
        <v>1757.65</v>
      </c>
      <c r="F231" s="357">
        <v>1986.45</v>
      </c>
      <c r="G231" s="358">
        <f t="shared" si="327"/>
      </c>
      <c r="H231" s="359">
        <v>0</v>
      </c>
      <c r="I231" s="316">
        <f t="shared" si="369"/>
      </c>
      <c r="J231" s="316">
        <f t="shared" si="531"/>
      </c>
      <c r="K231" s="317">
        <f t="shared" si="83"/>
      </c>
      <c r="L231" s="318">
        <f t="shared" si="113"/>
      </c>
      <c r="M231" s="319">
        <f t="shared" si="249"/>
      </c>
      <c r="N231" s="320">
        <f t="shared" si="404"/>
      </c>
      <c r="O231" s="320">
        <f t="shared" si="23"/>
      </c>
      <c r="P231" s="320">
        <f t="shared" si="143"/>
      </c>
      <c r="Q231" s="321">
        <f t="shared" si="279"/>
      </c>
      <c r="R231" s="322">
        <f t="shared" si="434"/>
      </c>
      <c r="S231" s="320">
        <f t="shared" si="53"/>
      </c>
      <c r="T231" s="323">
        <f t="shared" si="464"/>
      </c>
      <c r="U231" s="323">
        <f t="shared" si="173"/>
      </c>
      <c r="V231" s="320">
        <f t="shared" si="309"/>
      </c>
      <c r="W231" s="325">
        <v>9</v>
      </c>
      <c r="X231" s="325">
        <v>3</v>
      </c>
      <c r="Y231" s="325">
        <v>2</v>
      </c>
      <c r="Z231" s="315">
        <v>3574.7999999999956</v>
      </c>
      <c r="AA231" s="326">
        <v>0</v>
      </c>
      <c r="AB231" s="321">
        <f t="shared" si="494"/>
      </c>
      <c r="AC231" s="327" t="s">
        <v>284</v>
      </c>
      <c r="AD231" s="328" t="s">
        <v>291</v>
      </c>
      <c r="AE231" s="329">
        <v>2</v>
      </c>
      <c r="AF231" s="330">
        <v>75313</v>
      </c>
      <c r="AG231" s="330">
        <v>1274</v>
      </c>
      <c r="AH231" s="330">
        <v>1382</v>
      </c>
      <c r="AI231" s="331">
        <v>111</v>
      </c>
      <c r="AJ231" s="331">
        <v>128</v>
      </c>
    </row>
    <row r="232">
      <c r="A232" s="310"/>
      <c r="B232" s="311" t="s">
        <v>297</v>
      </c>
      <c r="C232" s="332" t="s">
        <v>289</v>
      </c>
      <c r="D232" s="313">
        <f t="shared" si="210"/>
      </c>
      <c r="E232" s="312">
        <v>1361.71</v>
      </c>
      <c r="F232" s="357">
        <v>2001.84</v>
      </c>
      <c r="G232" s="358">
        <f t="shared" si="327"/>
      </c>
      <c r="H232" s="359">
        <v>0</v>
      </c>
      <c r="I232" s="316">
        <f t="shared" si="369"/>
      </c>
      <c r="J232" s="316">
        <f t="shared" si="531"/>
      </c>
      <c r="K232" s="317">
        <f t="shared" si="83"/>
      </c>
      <c r="L232" s="318">
        <f t="shared" si="113"/>
      </c>
      <c r="M232" s="319">
        <f t="shared" si="249"/>
      </c>
      <c r="N232" s="320">
        <f t="shared" si="404"/>
      </c>
      <c r="O232" s="320">
        <f t="shared" si="23"/>
      </c>
      <c r="P232" s="320">
        <f t="shared" si="143"/>
      </c>
      <c r="Q232" s="321">
        <f t="shared" si="279"/>
      </c>
      <c r="R232" s="322">
        <f t="shared" si="434"/>
      </c>
      <c r="S232" s="320">
        <f t="shared" si="53"/>
      </c>
      <c r="T232" s="323">
        <f t="shared" si="464"/>
      </c>
      <c r="U232" s="323">
        <f t="shared" si="173"/>
      </c>
      <c r="V232" s="320">
        <f t="shared" si="309"/>
      </c>
      <c r="W232" s="325">
        <v>10</v>
      </c>
      <c r="X232" s="325">
        <v>3</v>
      </c>
      <c r="Y232" s="325">
        <v>1</v>
      </c>
      <c r="Z232" s="326">
        <v>608.0400000000009</v>
      </c>
      <c r="AA232" s="326">
        <v>0</v>
      </c>
      <c r="AB232" s="321">
        <f t="shared" si="494"/>
      </c>
      <c r="AC232" s="327" t="s">
        <v>284</v>
      </c>
      <c r="AD232" s="328" t="s">
        <v>291</v>
      </c>
      <c r="AE232" s="329">
        <v>1</v>
      </c>
      <c r="AF232" s="330">
        <v>62621</v>
      </c>
      <c r="AG232" s="330">
        <v>1009</v>
      </c>
      <c r="AH232" s="330">
        <v>1030</v>
      </c>
      <c r="AI232" s="331">
        <v>76</v>
      </c>
      <c r="AJ232" s="331">
        <v>102</v>
      </c>
    </row>
    <row r="233">
      <c r="A233" s="310"/>
      <c r="B233" s="333" t="s">
        <v>290</v>
      </c>
      <c r="C233" s="334">
        <v>5</v>
      </c>
      <c r="D233" s="335">
        <f>SUM(D228:D232)</f>
      </c>
      <c r="E233" s="335">
        <f>SUM(E228:E232)</f>
      </c>
      <c r="F233" s="335">
        <f>SUM(F228:F232)</f>
      </c>
      <c r="G233" s="360">
        <f>SUM(G228:G232)</f>
      </c>
      <c r="H233" s="335">
        <f>SUM(H228:H232)</f>
      </c>
      <c r="I233" s="335">
        <f>SUM(I228:I232)</f>
      </c>
      <c r="J233" s="335">
        <f>SUM(J228:J232)</f>
      </c>
      <c r="K233" s="336">
        <f t="shared" si="83"/>
      </c>
      <c r="L233" s="337">
        <f t="shared" si="113"/>
      </c>
      <c r="M233" s="337">
        <f t="shared" si="249"/>
      </c>
      <c r="N233" s="338">
        <f t="shared" si="404"/>
      </c>
      <c r="O233" s="338">
        <f t="shared" si="23"/>
      </c>
      <c r="P233" s="338">
        <f t="shared" si="143"/>
      </c>
      <c r="Q233" s="339">
        <f t="shared" si="279"/>
      </c>
      <c r="R233" s="339">
        <f t="shared" si="434"/>
      </c>
      <c r="S233" s="338">
        <f t="shared" si="53"/>
      </c>
      <c r="T233" s="339">
        <f t="shared" si="464"/>
      </c>
      <c r="U233" s="339">
        <f t="shared" si="173"/>
      </c>
      <c r="V233" s="338">
        <f t="shared" si="309"/>
      </c>
      <c r="W233" s="335">
        <f>SUM(W228:W232)</f>
      </c>
      <c r="X233" s="335">
        <f>SUM(X228:X232)</f>
      </c>
      <c r="Y233" s="335">
        <f>SUM(Y228:Y232)</f>
      </c>
      <c r="Z233" s="335">
        <f>SUM(Z228:Z232)</f>
      </c>
      <c r="AA233" s="335">
        <f>SUM(AA228:AA232)</f>
      </c>
      <c r="AB233" s="340">
        <f t="shared" si="494"/>
      </c>
      <c r="AC233" s="341"/>
      <c r="AD233" s="342"/>
      <c r="AE233" s="335">
        <f>SUM(AE228:AE232)</f>
      </c>
      <c r="AF233" s="335">
        <f>SUM(AF228:AF232)</f>
      </c>
      <c r="AG233" s="335">
        <f>SUM(AG228:AG232)</f>
      </c>
      <c r="AH233" s="335">
        <f>SUM(AH228:AH232)</f>
      </c>
      <c r="AI233" s="335">
        <f>SUM(AI228:AI232)</f>
      </c>
      <c r="AJ233" s="335">
        <f>SUM(AJ228:AJ232)</f>
      </c>
    </row>
    <row r="234">
      <c r="A234" s="310"/>
      <c r="B234" s="343" t="s">
        <v>290</v>
      </c>
      <c r="C234" s="344">
        <f>C233+C227</f>
      </c>
      <c r="D234" s="354">
        <f>D233+D227</f>
      </c>
      <c r="E234" s="354">
        <f>E233+E227</f>
      </c>
      <c r="F234" s="354">
        <f>F233+F227</f>
      </c>
      <c r="G234" s="354">
        <f>G233+G227</f>
      </c>
      <c r="H234" s="354">
        <f>H233+H227</f>
      </c>
      <c r="I234" s="354">
        <f>I233+I227</f>
      </c>
      <c r="J234" s="354">
        <f>J233+J227</f>
      </c>
      <c r="K234" s="346">
        <f t="shared" si="83"/>
      </c>
      <c r="L234" s="346">
        <f t="shared" si="113"/>
      </c>
      <c r="M234" s="346">
        <f t="shared" si="249"/>
      </c>
      <c r="N234" s="346">
        <f t="shared" si="404"/>
      </c>
      <c r="O234" s="346">
        <f t="shared" si="23"/>
      </c>
      <c r="P234" s="346">
        <f t="shared" si="143"/>
      </c>
      <c r="Q234" s="347">
        <f t="shared" si="279"/>
      </c>
      <c r="R234" s="347">
        <f t="shared" si="434"/>
      </c>
      <c r="S234" s="346">
        <f t="shared" si="53"/>
      </c>
      <c r="T234" s="347">
        <f t="shared" si="464"/>
      </c>
      <c r="U234" s="347">
        <f t="shared" si="173"/>
      </c>
      <c r="V234" s="346">
        <f t="shared" si="309"/>
      </c>
      <c r="W234" s="354">
        <f>W233+W227</f>
      </c>
      <c r="X234" s="354">
        <f>X233+X227</f>
      </c>
      <c r="Y234" s="354">
        <f>Y233+Y227</f>
      </c>
      <c r="Z234" s="354">
        <f>Z233+Z227</f>
      </c>
      <c r="AA234" s="354">
        <f>AA233+AA227</f>
      </c>
      <c r="AB234" s="350">
        <f t="shared" si="494"/>
      </c>
      <c r="AC234" s="343"/>
      <c r="AD234" s="343"/>
      <c r="AE234" s="354">
        <f>AE233+AE227</f>
      </c>
      <c r="AF234" s="354">
        <f>AF233+AF227</f>
      </c>
      <c r="AG234" s="354">
        <f>AG233+AG227</f>
      </c>
      <c r="AH234" s="354">
        <f>AH233+AH227</f>
      </c>
      <c r="AI234" s="354">
        <f>AI233+AI227</f>
      </c>
      <c r="AJ234" s="354">
        <f>AJ233+AJ227</f>
      </c>
    </row>
    <row r="235">
      <c r="A235" s="297" t="s">
        <v>246</v>
      </c>
      <c r="B235" s="298" t="s">
        <v>247</v>
      </c>
      <c r="C235" s="298" t="s">
        <v>248</v>
      </c>
      <c r="D235" s="299" t="s">
        <v>249</v>
      </c>
      <c r="E235" s="298" t="s">
        <v>250</v>
      </c>
      <c r="F235" s="298" t="s">
        <v>251</v>
      </c>
      <c r="G235" s="361" t="s">
        <v>252</v>
      </c>
      <c r="H235" s="300" t="s">
        <v>253</v>
      </c>
      <c r="I235" s="301" t="s">
        <v>254</v>
      </c>
      <c r="J235" s="301" t="s">
        <v>255</v>
      </c>
      <c r="K235" s="302" t="s">
        <v>256</v>
      </c>
      <c r="L235" s="301" t="s">
        <v>257</v>
      </c>
      <c r="M235" s="298" t="s">
        <v>258</v>
      </c>
      <c r="N235" s="302" t="s">
        <v>259</v>
      </c>
      <c r="O235" s="303" t="s">
        <v>260</v>
      </c>
      <c r="P235" s="303" t="s">
        <v>261</v>
      </c>
      <c r="Q235" s="299" t="s">
        <v>262</v>
      </c>
      <c r="R235" s="304" t="s">
        <v>263</v>
      </c>
      <c r="S235" s="302" t="s">
        <v>264</v>
      </c>
      <c r="T235" s="305" t="s">
        <v>265</v>
      </c>
      <c r="U235" s="306" t="s">
        <v>266</v>
      </c>
      <c r="V235" s="302" t="s">
        <v>267</v>
      </c>
      <c r="W235" s="307" t="s">
        <v>268</v>
      </c>
      <c r="X235" s="308" t="s">
        <v>269</v>
      </c>
      <c r="Y235" s="307" t="s">
        <v>270</v>
      </c>
      <c r="Z235" s="309" t="s">
        <v>271</v>
      </c>
      <c r="AA235" s="309" t="s">
        <v>272</v>
      </c>
      <c r="AB235" s="301" t="s">
        <v>273</v>
      </c>
      <c r="AC235" s="300" t="s">
        <v>274</v>
      </c>
      <c r="AD235" s="301" t="s">
        <v>275</v>
      </c>
      <c r="AE235" s="300" t="s">
        <v>276</v>
      </c>
      <c r="AF235" s="300" t="s">
        <v>277</v>
      </c>
      <c r="AG235" s="301" t="s">
        <v>278</v>
      </c>
      <c r="AH235" s="300" t="s">
        <v>279</v>
      </c>
      <c r="AI235" s="301" t="s">
        <v>280</v>
      </c>
      <c r="AJ235" s="300" t="s">
        <v>281</v>
      </c>
    </row>
    <row r="236">
      <c r="A236" s="310">
        <v>46229</v>
      </c>
      <c r="B236" s="311" t="s">
        <v>297</v>
      </c>
      <c r="C236" s="312" t="s">
        <v>283</v>
      </c>
      <c r="D236" s="313">
        <f t="shared" ref="D236:D240" si="211">E236+F236</f>
      </c>
      <c r="E236" s="312">
        <v>1596.83</v>
      </c>
      <c r="F236" s="357">
        <v>2000</v>
      </c>
      <c r="G236" s="358">
        <f t="shared" ref="G236:G240" si="328">Z236+AA236</f>
      </c>
      <c r="H236" s="359">
        <v>590.76</v>
      </c>
      <c r="I236" s="316">
        <f t="shared" ref="I236:I240" si="370">G236-H236</f>
      </c>
      <c r="J236" s="316">
        <f t="shared" ref="J236:J240" si="532">(G236-AA236)/12+AA236</f>
      </c>
      <c r="K236" s="317">
        <f t="shared" ref="K236:K242" si="84">G236/D236</f>
      </c>
      <c r="L236" s="318">
        <f t="shared" ref="L236:L242" si="114">(G236-H236)/D236</f>
      </c>
      <c r="M236" s="319">
        <f t="shared" ref="M236:M242" si="250">(AA236+Z236/12)/D236</f>
      </c>
      <c r="N236" s="320">
        <f t="shared" ref="N236:N242" si="405">G236/Y236</f>
      </c>
      <c r="O236" s="320">
        <f t="shared" ref="O236:O242" si="24">D236/Y236</f>
      </c>
      <c r="P236" s="320">
        <f t="shared" ref="P236:P242" si="144">D236/AE236</f>
      </c>
      <c r="Q236" s="321">
        <f t="shared" ref="Q236:Q242" si="280">Y236/W236</f>
      </c>
      <c r="R236" s="322">
        <f t="shared" ref="R236:R242" si="435">AG236/AF236</f>
      </c>
      <c r="S236" s="320">
        <f t="shared" ref="S236:S242" si="54">D236/AH236</f>
      </c>
      <c r="T236" s="323">
        <f t="shared" ref="T236:T242" si="465">AI236/AH236</f>
      </c>
      <c r="U236" s="323">
        <f t="shared" ref="U236:U242" si="174">AJ236/AH236</f>
      </c>
      <c r="V236" s="320">
        <f t="shared" ref="V236:V242" si="310">D236/AJ236</f>
      </c>
      <c r="W236" s="325">
        <v>7</v>
      </c>
      <c r="X236" s="325">
        <v>5</v>
      </c>
      <c r="Y236" s="325">
        <v>4</v>
      </c>
      <c r="Z236" s="326">
        <v>5423.76</v>
      </c>
      <c r="AA236" s="326">
        <v>0</v>
      </c>
      <c r="AB236" s="321">
        <f t="shared" ref="AB236:AB242" si="495">AA236/G236</f>
      </c>
      <c r="AC236" s="327" t="s">
        <v>284</v>
      </c>
      <c r="AD236" s="328" t="s">
        <v>298</v>
      </c>
      <c r="AE236" s="329">
        <v>3</v>
      </c>
      <c r="AF236" s="330">
        <v>59797</v>
      </c>
      <c r="AG236" s="330">
        <v>1153</v>
      </c>
      <c r="AH236" s="330">
        <v>1182</v>
      </c>
      <c r="AI236" s="331">
        <v>91</v>
      </c>
      <c r="AJ236" s="331">
        <v>99</v>
      </c>
    </row>
    <row r="237">
      <c r="A237" s="310"/>
      <c r="B237" s="311" t="s">
        <v>297</v>
      </c>
      <c r="C237" s="332" t="s">
        <v>286</v>
      </c>
      <c r="D237" s="313">
        <f t="shared" si="211"/>
      </c>
      <c r="E237" s="312">
        <v>1006.62</v>
      </c>
      <c r="F237" s="357">
        <v>1977.15</v>
      </c>
      <c r="G237" s="358">
        <f t="shared" si="328"/>
      </c>
      <c r="H237" s="359">
        <v>1217.16</v>
      </c>
      <c r="I237" s="316">
        <f t="shared" si="370"/>
      </c>
      <c r="J237" s="316">
        <f t="shared" si="532"/>
      </c>
      <c r="K237" s="317">
        <f t="shared" si="84"/>
      </c>
      <c r="L237" s="318">
        <f t="shared" si="114"/>
      </c>
      <c r="M237" s="319">
        <f t="shared" si="250"/>
      </c>
      <c r="N237" s="320">
        <f t="shared" si="405"/>
      </c>
      <c r="O237" s="320">
        <f t="shared" si="24"/>
      </c>
      <c r="P237" s="320">
        <f t="shared" si="144"/>
      </c>
      <c r="Q237" s="321">
        <f t="shared" si="280"/>
      </c>
      <c r="R237" s="322">
        <f t="shared" si="435"/>
      </c>
      <c r="S237" s="320">
        <f t="shared" si="54"/>
      </c>
      <c r="T237" s="323">
        <f t="shared" si="465"/>
      </c>
      <c r="U237" s="323">
        <f t="shared" si="174"/>
      </c>
      <c r="V237" s="320">
        <f t="shared" si="310"/>
      </c>
      <c r="W237" s="325">
        <v>10</v>
      </c>
      <c r="X237" s="325">
        <v>4</v>
      </c>
      <c r="Y237" s="325">
        <v>5</v>
      </c>
      <c r="Z237" s="326">
        <v>9457.56</v>
      </c>
      <c r="AA237" s="326">
        <v>0</v>
      </c>
      <c r="AB237" s="321">
        <f t="shared" si="495"/>
      </c>
      <c r="AC237" s="327" t="s">
        <v>284</v>
      </c>
      <c r="AD237" s="328" t="s">
        <v>298</v>
      </c>
      <c r="AE237" s="329">
        <v>5</v>
      </c>
      <c r="AF237" s="330">
        <v>50671</v>
      </c>
      <c r="AG237" s="330">
        <v>840</v>
      </c>
      <c r="AH237" s="330">
        <v>841</v>
      </c>
      <c r="AI237" s="331">
        <v>92</v>
      </c>
      <c r="AJ237" s="331">
        <v>104</v>
      </c>
    </row>
    <row r="238">
      <c r="A238" s="310"/>
      <c r="B238" s="311" t="s">
        <v>297</v>
      </c>
      <c r="C238" s="332" t="s">
        <v>287</v>
      </c>
      <c r="D238" s="313">
        <f t="shared" si="211"/>
      </c>
      <c r="E238" s="312">
        <v>2212.58</v>
      </c>
      <c r="F238" s="357">
        <v>2022.85</v>
      </c>
      <c r="G238" s="358">
        <f t="shared" si="328"/>
      </c>
      <c r="H238" s="359">
        <v>498.96</v>
      </c>
      <c r="I238" s="316">
        <f t="shared" si="370"/>
      </c>
      <c r="J238" s="316">
        <f t="shared" si="532"/>
      </c>
      <c r="K238" s="317">
        <f t="shared" si="84"/>
      </c>
      <c r="L238" s="318">
        <f t="shared" si="114"/>
      </c>
      <c r="M238" s="319">
        <f t="shared" si="250"/>
      </c>
      <c r="N238" s="320">
        <f t="shared" si="405"/>
      </c>
      <c r="O238" s="320">
        <f t="shared" si="24"/>
      </c>
      <c r="P238" s="320">
        <f t="shared" si="144"/>
      </c>
      <c r="Q238" s="321">
        <f t="shared" si="280"/>
      </c>
      <c r="R238" s="322">
        <f t="shared" si="435"/>
      </c>
      <c r="S238" s="320">
        <f t="shared" si="54"/>
      </c>
      <c r="T238" s="323">
        <f t="shared" si="465"/>
      </c>
      <c r="U238" s="323">
        <f t="shared" si="174"/>
      </c>
      <c r="V238" s="320">
        <f t="shared" si="310"/>
      </c>
      <c r="W238" s="325">
        <v>8</v>
      </c>
      <c r="X238" s="325">
        <v>2</v>
      </c>
      <c r="Y238" s="325">
        <v>5</v>
      </c>
      <c r="Z238" s="326">
        <v>6733.799999999999</v>
      </c>
      <c r="AA238" s="326">
        <v>0</v>
      </c>
      <c r="AB238" s="321">
        <f t="shared" si="495"/>
      </c>
      <c r="AC238" s="327" t="s">
        <v>284</v>
      </c>
      <c r="AD238" s="328" t="s">
        <v>298</v>
      </c>
      <c r="AE238" s="331">
        <v>5</v>
      </c>
      <c r="AF238" s="330">
        <v>67440</v>
      </c>
      <c r="AG238" s="330">
        <v>1302</v>
      </c>
      <c r="AH238" s="330">
        <v>1340</v>
      </c>
      <c r="AI238" s="331">
        <v>106</v>
      </c>
      <c r="AJ238" s="331">
        <v>102</v>
      </c>
    </row>
    <row r="239">
      <c r="A239" s="310"/>
      <c r="B239" s="311" t="s">
        <v>297</v>
      </c>
      <c r="C239" s="312" t="s">
        <v>288</v>
      </c>
      <c r="D239" s="313">
        <f t="shared" si="211"/>
      </c>
      <c r="E239" s="312">
        <v>3261.81</v>
      </c>
      <c r="F239" s="357">
        <v>3000</v>
      </c>
      <c r="G239" s="358">
        <f t="shared" si="328"/>
      </c>
      <c r="H239" s="359">
        <v>0</v>
      </c>
      <c r="I239" s="316">
        <f t="shared" si="370"/>
      </c>
      <c r="J239" s="316">
        <f t="shared" si="532"/>
      </c>
      <c r="K239" s="317">
        <f t="shared" si="84"/>
      </c>
      <c r="L239" s="318">
        <f t="shared" si="114"/>
      </c>
      <c r="M239" s="319">
        <f t="shared" si="250"/>
      </c>
      <c r="N239" s="320">
        <f t="shared" si="405"/>
      </c>
      <c r="O239" s="320">
        <f t="shared" si="24"/>
      </c>
      <c r="P239" s="320">
        <f t="shared" si="144"/>
      </c>
      <c r="Q239" s="321">
        <f t="shared" si="280"/>
      </c>
      <c r="R239" s="322">
        <f t="shared" si="435"/>
      </c>
      <c r="S239" s="320">
        <f t="shared" si="54"/>
      </c>
      <c r="T239" s="323">
        <f t="shared" si="465"/>
      </c>
      <c r="U239" s="323">
        <f t="shared" si="174"/>
      </c>
      <c r="V239" s="320">
        <f t="shared" si="310"/>
      </c>
      <c r="W239" s="325">
        <v>12</v>
      </c>
      <c r="X239" s="325">
        <v>5</v>
      </c>
      <c r="Y239" s="325">
        <v>4</v>
      </c>
      <c r="Z239" s="315">
        <v>3646.0800000000017</v>
      </c>
      <c r="AA239" s="326">
        <v>0</v>
      </c>
      <c r="AB239" s="321">
        <f t="shared" si="495"/>
      </c>
      <c r="AC239" s="327" t="s">
        <v>284</v>
      </c>
      <c r="AD239" s="328" t="s">
        <v>298</v>
      </c>
      <c r="AE239" s="329">
        <v>4</v>
      </c>
      <c r="AF239" s="330">
        <v>114160</v>
      </c>
      <c r="AG239" s="330">
        <v>2311</v>
      </c>
      <c r="AH239" s="330">
        <v>2440</v>
      </c>
      <c r="AI239" s="331">
        <v>179</v>
      </c>
      <c r="AJ239" s="331">
        <v>159</v>
      </c>
    </row>
    <row r="240">
      <c r="A240" s="310"/>
      <c r="B240" s="311" t="s">
        <v>297</v>
      </c>
      <c r="C240" s="332" t="s">
        <v>289</v>
      </c>
      <c r="D240" s="313">
        <f t="shared" si="211"/>
      </c>
      <c r="E240" s="312">
        <v>1224.31</v>
      </c>
      <c r="F240" s="357">
        <v>2000</v>
      </c>
      <c r="G240" s="358">
        <f t="shared" si="328"/>
      </c>
      <c r="H240" s="359">
        <v>0</v>
      </c>
      <c r="I240" s="316">
        <f t="shared" si="370"/>
      </c>
      <c r="J240" s="316">
        <f t="shared" si="532"/>
      </c>
      <c r="K240" s="317">
        <f t="shared" si="84"/>
      </c>
      <c r="L240" s="318">
        <f t="shared" si="114"/>
      </c>
      <c r="M240" s="319">
        <f t="shared" si="250"/>
      </c>
      <c r="N240" s="320">
        <f t="shared" si="405"/>
      </c>
      <c r="O240" s="320">
        <f t="shared" si="24"/>
      </c>
      <c r="P240" s="320">
        <f t="shared" si="144"/>
      </c>
      <c r="Q240" s="321">
        <f t="shared" si="280"/>
      </c>
      <c r="R240" s="322">
        <f t="shared" si="435"/>
      </c>
      <c r="S240" s="320">
        <f t="shared" si="54"/>
      </c>
      <c r="T240" s="323">
        <f t="shared" si="465"/>
      </c>
      <c r="U240" s="323">
        <f t="shared" si="174"/>
      </c>
      <c r="V240" s="320">
        <f t="shared" si="310"/>
      </c>
      <c r="W240" s="325">
        <v>8</v>
      </c>
      <c r="X240" s="325">
        <v>6</v>
      </c>
      <c r="Y240" s="325">
        <v>2</v>
      </c>
      <c r="Z240" s="326">
        <v>6886.079999999998</v>
      </c>
      <c r="AA240" s="326">
        <v>0</v>
      </c>
      <c r="AB240" s="321">
        <f t="shared" si="495"/>
      </c>
      <c r="AC240" s="327" t="s">
        <v>284</v>
      </c>
      <c r="AD240" s="328" t="s">
        <v>298</v>
      </c>
      <c r="AE240" s="329">
        <v>2</v>
      </c>
      <c r="AF240" s="330">
        <v>51233</v>
      </c>
      <c r="AG240" s="330">
        <v>910</v>
      </c>
      <c r="AH240" s="330">
        <v>956</v>
      </c>
      <c r="AI240" s="331">
        <v>81</v>
      </c>
      <c r="AJ240" s="331">
        <v>89</v>
      </c>
    </row>
    <row r="241">
      <c r="A241" s="310"/>
      <c r="B241" s="333" t="s">
        <v>290</v>
      </c>
      <c r="C241" s="334">
        <v>5</v>
      </c>
      <c r="D241" s="335">
        <f>SUM(D236:D240)</f>
      </c>
      <c r="E241" s="335">
        <f>SUM(E236:E240)</f>
      </c>
      <c r="F241" s="335">
        <f>SUM(F236:F240)</f>
      </c>
      <c r="G241" s="360">
        <f>SUM(G236:G240)</f>
      </c>
      <c r="H241" s="335">
        <f>SUM(H236:H240)</f>
      </c>
      <c r="I241" s="335">
        <f>SUM(I236:I240)</f>
      </c>
      <c r="J241" s="335">
        <f>SUM(J236:J240)</f>
      </c>
      <c r="K241" s="336">
        <f t="shared" si="84"/>
      </c>
      <c r="L241" s="337">
        <f t="shared" si="114"/>
      </c>
      <c r="M241" s="337">
        <f t="shared" si="250"/>
      </c>
      <c r="N241" s="338">
        <f t="shared" si="405"/>
      </c>
      <c r="O241" s="338">
        <f t="shared" si="24"/>
      </c>
      <c r="P241" s="338">
        <f t="shared" si="144"/>
      </c>
      <c r="Q241" s="339">
        <f t="shared" si="280"/>
      </c>
      <c r="R241" s="339">
        <f t="shared" si="435"/>
      </c>
      <c r="S241" s="338">
        <f t="shared" si="54"/>
      </c>
      <c r="T241" s="339">
        <f t="shared" si="465"/>
      </c>
      <c r="U241" s="339">
        <f t="shared" si="174"/>
      </c>
      <c r="V241" s="338">
        <f t="shared" si="310"/>
      </c>
      <c r="W241" s="335">
        <f>SUM(W236:W240)</f>
      </c>
      <c r="X241" s="335">
        <f>SUM(X236:X240)</f>
      </c>
      <c r="Y241" s="335">
        <f>SUM(Y236:Y240)</f>
      </c>
      <c r="Z241" s="335">
        <f>SUM(Z236:Z240)</f>
      </c>
      <c r="AA241" s="335">
        <f>SUM(AA236:AA240)</f>
      </c>
      <c r="AB241" s="340">
        <f t="shared" si="495"/>
      </c>
      <c r="AC241" s="341"/>
      <c r="AD241" s="342"/>
      <c r="AE241" s="335">
        <f>SUM(AE236:AE240)</f>
      </c>
      <c r="AF241" s="335">
        <f>SUM(AF236:AF240)</f>
      </c>
      <c r="AG241" s="335">
        <f>SUM(AG236:AG240)</f>
      </c>
      <c r="AH241" s="335">
        <f>SUM(AH236:AH240)</f>
      </c>
      <c r="AI241" s="335">
        <f>SUM(AI236:AI240)</f>
      </c>
      <c r="AJ241" s="335">
        <f>SUM(AJ236:AJ240)</f>
      </c>
    </row>
    <row r="242">
      <c r="A242" s="310"/>
      <c r="B242" s="343" t="s">
        <v>290</v>
      </c>
      <c r="C242" s="344">
        <f>C241</f>
      </c>
      <c r="D242" s="344">
        <f>D241</f>
      </c>
      <c r="E242" s="344">
        <f>E241</f>
      </c>
      <c r="F242" s="344">
        <f>F241</f>
      </c>
      <c r="G242" s="344">
        <f>G241</f>
      </c>
      <c r="H242" s="344">
        <f>H241</f>
      </c>
      <c r="I242" s="344">
        <f>I241</f>
      </c>
      <c r="J242" s="344">
        <f>J241</f>
      </c>
      <c r="K242" s="346">
        <f t="shared" si="84"/>
      </c>
      <c r="L242" s="346">
        <f t="shared" si="114"/>
      </c>
      <c r="M242" s="346">
        <f t="shared" si="250"/>
      </c>
      <c r="N242" s="346">
        <f t="shared" si="405"/>
      </c>
      <c r="O242" s="346">
        <f t="shared" si="24"/>
      </c>
      <c r="P242" s="346">
        <f t="shared" si="144"/>
      </c>
      <c r="Q242" s="347">
        <f t="shared" si="280"/>
      </c>
      <c r="R242" s="347">
        <f t="shared" si="435"/>
      </c>
      <c r="S242" s="346">
        <f t="shared" si="54"/>
      </c>
      <c r="T242" s="347">
        <f t="shared" si="465"/>
      </c>
      <c r="U242" s="347">
        <f t="shared" si="174"/>
      </c>
      <c r="V242" s="346">
        <f t="shared" si="310"/>
      </c>
      <c r="W242" s="344">
        <f>W241</f>
      </c>
      <c r="X242" s="344">
        <f>X241</f>
      </c>
      <c r="Y242" s="344">
        <f>Y241</f>
      </c>
      <c r="Z242" s="344">
        <f>Z241</f>
      </c>
      <c r="AA242" s="344">
        <f>AA241</f>
      </c>
      <c r="AB242" s="350">
        <f t="shared" si="495"/>
      </c>
      <c r="AC242" s="343"/>
      <c r="AD242" s="343"/>
      <c r="AE242" s="344">
        <f>AE241</f>
      </c>
      <c r="AF242" s="344">
        <f>AF241</f>
      </c>
      <c r="AG242" s="344">
        <f>AG241</f>
      </c>
      <c r="AH242" s="344">
        <f>AH241</f>
      </c>
      <c r="AI242" s="344">
        <f>AI241</f>
      </c>
      <c r="AJ242" s="344">
        <f>AJ241</f>
      </c>
    </row>
    <row r="243">
      <c r="A243" s="297" t="s">
        <v>246</v>
      </c>
      <c r="B243" s="298" t="s">
        <v>247</v>
      </c>
      <c r="C243" s="298" t="s">
        <v>248</v>
      </c>
      <c r="D243" s="299" t="s">
        <v>249</v>
      </c>
      <c r="E243" s="298" t="s">
        <v>250</v>
      </c>
      <c r="F243" s="298" t="s">
        <v>251</v>
      </c>
      <c r="G243" s="299" t="s">
        <v>252</v>
      </c>
      <c r="H243" s="300" t="s">
        <v>253</v>
      </c>
      <c r="I243" s="301" t="s">
        <v>254</v>
      </c>
      <c r="J243" s="301" t="s">
        <v>255</v>
      </c>
      <c r="K243" s="302" t="s">
        <v>256</v>
      </c>
      <c r="L243" s="301" t="s">
        <v>257</v>
      </c>
      <c r="M243" s="298" t="s">
        <v>258</v>
      </c>
      <c r="N243" s="302" t="s">
        <v>259</v>
      </c>
      <c r="O243" s="303" t="s">
        <v>260</v>
      </c>
      <c r="P243" s="303" t="s">
        <v>261</v>
      </c>
      <c r="Q243" s="299" t="s">
        <v>262</v>
      </c>
      <c r="R243" s="304" t="s">
        <v>263</v>
      </c>
      <c r="S243" s="302" t="s">
        <v>264</v>
      </c>
      <c r="T243" s="305" t="s">
        <v>265</v>
      </c>
      <c r="U243" s="306" t="s">
        <v>266</v>
      </c>
      <c r="V243" s="302" t="s">
        <v>267</v>
      </c>
      <c r="W243" s="307" t="s">
        <v>268</v>
      </c>
      <c r="X243" s="308" t="s">
        <v>269</v>
      </c>
      <c r="Y243" s="307" t="s">
        <v>270</v>
      </c>
      <c r="Z243" s="309" t="s">
        <v>271</v>
      </c>
      <c r="AA243" s="309" t="s">
        <v>272</v>
      </c>
      <c r="AB243" s="301" t="s">
        <v>273</v>
      </c>
      <c r="AC243" s="300" t="s">
        <v>274</v>
      </c>
      <c r="AD243" s="301" t="s">
        <v>275</v>
      </c>
      <c r="AE243" s="300" t="s">
        <v>276</v>
      </c>
      <c r="AF243" s="300" t="s">
        <v>277</v>
      </c>
      <c r="AG243" s="301" t="s">
        <v>278</v>
      </c>
      <c r="AH243" s="300" t="s">
        <v>279</v>
      </c>
      <c r="AI243" s="301" t="s">
        <v>280</v>
      </c>
      <c r="AJ243" s="300" t="s">
        <v>281</v>
      </c>
    </row>
    <row r="244">
      <c r="A244" s="310">
        <v>46230</v>
      </c>
      <c r="B244" s="311" t="s">
        <v>282</v>
      </c>
      <c r="C244" s="312" t="s">
        <v>292</v>
      </c>
      <c r="D244" s="313">
        <f t="shared" ref="D244:D248" si="212">E244+F244</f>
      </c>
      <c r="E244" s="355">
        <v>1687.68</v>
      </c>
      <c r="F244" s="314">
        <v>2000</v>
      </c>
      <c r="G244" s="314">
        <f t="shared" ref="G244:G248" si="329">Z244+AA244</f>
      </c>
      <c r="H244" s="315">
        <v>4648.32</v>
      </c>
      <c r="I244" s="316">
        <f t="shared" ref="I244:I248" si="371">G244-H244</f>
      </c>
      <c r="J244" s="316">
        <f t="shared" ref="J244:J248" si="533">(G244-AA244)/12+AA244</f>
      </c>
      <c r="K244" s="317">
        <f t="shared" ref="K244:K256" si="85">G244/D244</f>
      </c>
      <c r="L244" s="318">
        <f t="shared" ref="L244:L256" si="115">(G244-H244)/D244</f>
      </c>
      <c r="M244" s="319">
        <f t="shared" ref="M244:M256" si="251">(AA244+Z244/12)/D244</f>
      </c>
      <c r="N244" s="320">
        <f t="shared" ref="N244:N256" si="406">G244/Y244</f>
      </c>
      <c r="O244" s="320">
        <f t="shared" ref="O244:O256" si="25">D244/Y244</f>
      </c>
      <c r="P244" s="320">
        <f t="shared" ref="P244:P256" si="145">D244/AE244</f>
      </c>
      <c r="Q244" s="321">
        <f t="shared" ref="Q244:Q256" si="281">Y244/W244</f>
      </c>
      <c r="R244" s="322">
        <f t="shared" ref="R244:R256" si="436">AG244/AF244</f>
      </c>
      <c r="S244" s="320">
        <f t="shared" ref="S244:S256" si="55">D244/AH244</f>
      </c>
      <c r="T244" s="323">
        <f t="shared" ref="T244:T256" si="466">AI244/AH244</f>
      </c>
      <c r="U244" s="323">
        <f t="shared" ref="U244:U256" si="175">AJ244/AH244</f>
      </c>
      <c r="V244" s="320">
        <f t="shared" ref="V244:V256" si="311">D244/AJ244</f>
      </c>
      <c r="W244" s="325">
        <v>9</v>
      </c>
      <c r="X244" s="325">
        <v>5</v>
      </c>
      <c r="Y244" s="325">
        <v>6</v>
      </c>
      <c r="Z244" s="326">
        <v>10089.36</v>
      </c>
      <c r="AA244" s="326">
        <v>0</v>
      </c>
      <c r="AB244" s="321">
        <f t="shared" ref="AB244:AB256" si="496">AA244/G244</f>
      </c>
      <c r="AC244" s="327" t="s">
        <v>284</v>
      </c>
      <c r="AD244" s="353" t="s">
        <v>298</v>
      </c>
      <c r="AE244" s="329">
        <v>6</v>
      </c>
      <c r="AF244" s="330">
        <v>55129</v>
      </c>
      <c r="AG244" s="330">
        <v>1071</v>
      </c>
      <c r="AH244" s="330">
        <v>1094</v>
      </c>
      <c r="AI244" s="329">
        <v>104</v>
      </c>
      <c r="AJ244" s="331">
        <v>91</v>
      </c>
    </row>
    <row r="245">
      <c r="A245" s="310"/>
      <c r="B245" s="311" t="s">
        <v>282</v>
      </c>
      <c r="C245" s="312" t="s">
        <v>293</v>
      </c>
      <c r="D245" s="313">
        <f t="shared" si="212"/>
      </c>
      <c r="E245" s="312">
        <v>1828.28</v>
      </c>
      <c r="F245" s="314">
        <v>2491.68</v>
      </c>
      <c r="G245" s="314">
        <f t="shared" si="329"/>
      </c>
      <c r="H245" s="315">
        <v>3881.52</v>
      </c>
      <c r="I245" s="316">
        <f t="shared" si="371"/>
      </c>
      <c r="J245" s="316">
        <f t="shared" si="533"/>
      </c>
      <c r="K245" s="317">
        <f t="shared" si="85"/>
      </c>
      <c r="L245" s="318">
        <f t="shared" si="115"/>
      </c>
      <c r="M245" s="319">
        <f t="shared" si="251"/>
      </c>
      <c r="N245" s="320">
        <f t="shared" si="406"/>
      </c>
      <c r="O245" s="320">
        <f t="shared" si="25"/>
      </c>
      <c r="P245" s="320">
        <f t="shared" si="145"/>
      </c>
      <c r="Q245" s="321">
        <f t="shared" si="281"/>
      </c>
      <c r="R245" s="322">
        <f t="shared" si="436"/>
      </c>
      <c r="S245" s="320">
        <f t="shared" si="55"/>
      </c>
      <c r="T245" s="323">
        <f t="shared" si="466"/>
      </c>
      <c r="U245" s="323">
        <f t="shared" si="175"/>
      </c>
      <c r="V245" s="320">
        <f t="shared" si="311"/>
      </c>
      <c r="W245" s="325">
        <v>8</v>
      </c>
      <c r="X245" s="325">
        <v>3</v>
      </c>
      <c r="Y245" s="325">
        <v>6</v>
      </c>
      <c r="Z245" s="326">
        <v>12958.919999999998</v>
      </c>
      <c r="AA245" s="326">
        <v>0</v>
      </c>
      <c r="AB245" s="321">
        <f t="shared" si="496"/>
      </c>
      <c r="AC245" s="327" t="s">
        <v>284</v>
      </c>
      <c r="AD245" s="353" t="s">
        <v>298</v>
      </c>
      <c r="AE245" s="329">
        <v>6</v>
      </c>
      <c r="AF245" s="330">
        <v>70680</v>
      </c>
      <c r="AG245" s="330">
        <v>1125</v>
      </c>
      <c r="AH245" s="330">
        <v>1135</v>
      </c>
      <c r="AI245" s="331">
        <v>95</v>
      </c>
      <c r="AJ245" s="331">
        <v>104</v>
      </c>
    </row>
    <row r="246">
      <c r="A246" s="310"/>
      <c r="B246" s="311" t="s">
        <v>282</v>
      </c>
      <c r="C246" s="312" t="s">
        <v>294</v>
      </c>
      <c r="D246" s="313">
        <f t="shared" si="212"/>
      </c>
      <c r="E246" s="312">
        <v>2133.39</v>
      </c>
      <c r="F246" s="312">
        <v>3008.32</v>
      </c>
      <c r="G246" s="314">
        <f t="shared" si="329"/>
      </c>
      <c r="H246" s="315">
        <v>0</v>
      </c>
      <c r="I246" s="316">
        <f t="shared" si="371"/>
      </c>
      <c r="J246" s="316">
        <f t="shared" si="533"/>
      </c>
      <c r="K246" s="317">
        <f t="shared" si="85"/>
      </c>
      <c r="L246" s="318">
        <f t="shared" si="115"/>
      </c>
      <c r="M246" s="319">
        <f t="shared" si="251"/>
      </c>
      <c r="N246" s="320">
        <f t="shared" si="406"/>
      </c>
      <c r="O246" s="320">
        <f t="shared" si="25"/>
      </c>
      <c r="P246" s="320">
        <f t="shared" si="145"/>
      </c>
      <c r="Q246" s="321">
        <f t="shared" si="281"/>
      </c>
      <c r="R246" s="322">
        <f t="shared" si="436"/>
      </c>
      <c r="S246" s="320">
        <f t="shared" si="55"/>
      </c>
      <c r="T246" s="323">
        <f t="shared" si="466"/>
      </c>
      <c r="U246" s="323">
        <f t="shared" si="175"/>
      </c>
      <c r="V246" s="320">
        <f t="shared" si="311"/>
      </c>
      <c r="W246" s="325">
        <v>5</v>
      </c>
      <c r="X246" s="325">
        <v>0</v>
      </c>
      <c r="Y246" s="325">
        <v>4</v>
      </c>
      <c r="Z246" s="326">
        <v>7798.84</v>
      </c>
      <c r="AA246" s="326">
        <v>1024</v>
      </c>
      <c r="AB246" s="321">
        <f t="shared" si="496"/>
      </c>
      <c r="AC246" s="327" t="s">
        <v>284</v>
      </c>
      <c r="AD246" s="353" t="s">
        <v>298</v>
      </c>
      <c r="AE246" s="331">
        <v>3</v>
      </c>
      <c r="AF246" s="330">
        <v>91280</v>
      </c>
      <c r="AG246" s="330">
        <v>1426</v>
      </c>
      <c r="AH246" s="330">
        <v>1467</v>
      </c>
      <c r="AI246" s="331">
        <v>129</v>
      </c>
      <c r="AJ246" s="331">
        <v>127</v>
      </c>
    </row>
    <row r="247">
      <c r="A247" s="310"/>
      <c r="B247" s="311" t="s">
        <v>282</v>
      </c>
      <c r="C247" s="312" t="s">
        <v>295</v>
      </c>
      <c r="D247" s="313">
        <f t="shared" si="212"/>
      </c>
      <c r="E247" s="312">
        <v>1877.3</v>
      </c>
      <c r="F247" s="314">
        <v>2000</v>
      </c>
      <c r="G247" s="314">
        <f t="shared" si="329"/>
      </c>
      <c r="H247" s="315">
        <v>0</v>
      </c>
      <c r="I247" s="316">
        <f t="shared" si="371"/>
      </c>
      <c r="J247" s="316">
        <f t="shared" si="533"/>
      </c>
      <c r="K247" s="317">
        <f t="shared" si="85"/>
      </c>
      <c r="L247" s="318">
        <f t="shared" si="115"/>
      </c>
      <c r="M247" s="319">
        <f t="shared" si="251"/>
      </c>
      <c r="N247" s="320">
        <f t="shared" si="406"/>
      </c>
      <c r="O247" s="320">
        <f t="shared" si="25"/>
      </c>
      <c r="P247" s="320">
        <f t="shared" si="145"/>
      </c>
      <c r="Q247" s="321">
        <f t="shared" si="281"/>
      </c>
      <c r="R247" s="322">
        <f t="shared" si="436"/>
      </c>
      <c r="S247" s="320">
        <f t="shared" si="55"/>
      </c>
      <c r="T247" s="323">
        <f t="shared" si="466"/>
      </c>
      <c r="U247" s="323">
        <f t="shared" si="175"/>
      </c>
      <c r="V247" s="320">
        <f t="shared" si="311"/>
      </c>
      <c r="W247" s="325">
        <v>9</v>
      </c>
      <c r="X247" s="325">
        <v>6</v>
      </c>
      <c r="Y247" s="325">
        <v>4</v>
      </c>
      <c r="Z247" s="315">
        <v>3190.16</v>
      </c>
      <c r="AA247" s="326">
        <v>1184</v>
      </c>
      <c r="AB247" s="321">
        <f t="shared" si="496"/>
      </c>
      <c r="AC247" s="327" t="s">
        <v>284</v>
      </c>
      <c r="AD247" s="353" t="s">
        <v>298</v>
      </c>
      <c r="AE247" s="329">
        <v>4</v>
      </c>
      <c r="AF247" s="330">
        <v>65646</v>
      </c>
      <c r="AG247" s="330">
        <v>1246</v>
      </c>
      <c r="AH247" s="330">
        <v>1280</v>
      </c>
      <c r="AI247" s="331">
        <v>129</v>
      </c>
      <c r="AJ247" s="331">
        <v>113</v>
      </c>
    </row>
    <row r="248">
      <c r="A248" s="310"/>
      <c r="B248" s="311" t="s">
        <v>282</v>
      </c>
      <c r="C248" s="312" t="s">
        <v>296</v>
      </c>
      <c r="D248" s="313">
        <f t="shared" si="212"/>
      </c>
      <c r="E248" s="312">
        <v>2082.15</v>
      </c>
      <c r="F248" s="314">
        <v>2495.91</v>
      </c>
      <c r="G248" s="352">
        <f t="shared" si="329"/>
      </c>
      <c r="H248" s="315">
        <v>0</v>
      </c>
      <c r="I248" s="316">
        <f t="shared" si="371"/>
      </c>
      <c r="J248" s="316">
        <f t="shared" si="533"/>
      </c>
      <c r="K248" s="317">
        <f t="shared" si="85"/>
      </c>
      <c r="L248" s="318">
        <f t="shared" si="115"/>
      </c>
      <c r="M248" s="319">
        <f t="shared" si="251"/>
      </c>
      <c r="N248" s="320">
        <f t="shared" si="406"/>
      </c>
      <c r="O248" s="320">
        <f t="shared" si="25"/>
      </c>
      <c r="P248" s="320">
        <f t="shared" si="145"/>
      </c>
      <c r="Q248" s="321">
        <f t="shared" si="281"/>
      </c>
      <c r="R248" s="322">
        <f t="shared" si="436"/>
      </c>
      <c r="S248" s="320">
        <f t="shared" si="55"/>
      </c>
      <c r="T248" s="323">
        <f t="shared" si="466"/>
      </c>
      <c r="U248" s="323">
        <f t="shared" si="175"/>
      </c>
      <c r="V248" s="320">
        <f t="shared" si="311"/>
      </c>
      <c r="W248" s="325">
        <v>8</v>
      </c>
      <c r="X248" s="325">
        <v>1</v>
      </c>
      <c r="Y248" s="325">
        <v>2</v>
      </c>
      <c r="Z248" s="326">
        <v>3264.840000000004</v>
      </c>
      <c r="AA248" s="326">
        <v>0</v>
      </c>
      <c r="AB248" s="321">
        <f t="shared" si="496"/>
      </c>
      <c r="AC248" s="327" t="s">
        <v>284</v>
      </c>
      <c r="AD248" s="353" t="s">
        <v>298</v>
      </c>
      <c r="AE248" s="329">
        <v>2</v>
      </c>
      <c r="AF248" s="330">
        <v>76606</v>
      </c>
      <c r="AG248" s="330">
        <v>1565</v>
      </c>
      <c r="AH248" s="330">
        <v>1611</v>
      </c>
      <c r="AI248" s="331">
        <v>125</v>
      </c>
      <c r="AJ248" s="331">
        <v>121</v>
      </c>
    </row>
    <row r="249">
      <c r="A249" s="310"/>
      <c r="B249" s="333" t="s">
        <v>290</v>
      </c>
      <c r="C249" s="334">
        <v>5</v>
      </c>
      <c r="D249" s="335">
        <f>SUM(D244:D248)</f>
      </c>
      <c r="E249" s="335">
        <f>SUM(E244:E248)</f>
      </c>
      <c r="F249" s="335">
        <f>SUM(F244:F248)</f>
      </c>
      <c r="G249" s="356">
        <f>SUM(G244:G248)</f>
      </c>
      <c r="H249" s="335">
        <f>SUM(H244:H248)</f>
      </c>
      <c r="I249" s="335">
        <f>SUM(I244:I248)</f>
      </c>
      <c r="J249" s="335">
        <f>SUM(J244:J248)</f>
      </c>
      <c r="K249" s="336">
        <f t="shared" si="85"/>
      </c>
      <c r="L249" s="337">
        <f t="shared" si="115"/>
      </c>
      <c r="M249" s="337">
        <f t="shared" si="251"/>
      </c>
      <c r="N249" s="338">
        <f t="shared" si="406"/>
      </c>
      <c r="O249" s="338">
        <f t="shared" si="25"/>
      </c>
      <c r="P249" s="338">
        <f t="shared" si="145"/>
      </c>
      <c r="Q249" s="339">
        <f t="shared" si="281"/>
      </c>
      <c r="R249" s="339">
        <f t="shared" si="436"/>
      </c>
      <c r="S249" s="338">
        <f t="shared" si="55"/>
      </c>
      <c r="T249" s="339">
        <f t="shared" si="466"/>
      </c>
      <c r="U249" s="339">
        <f t="shared" si="175"/>
      </c>
      <c r="V249" s="338">
        <f t="shared" si="311"/>
      </c>
      <c r="W249" s="335">
        <f>SUM(W244:W248)</f>
      </c>
      <c r="X249" s="335">
        <f>SUM(X244:X248)</f>
      </c>
      <c r="Y249" s="335">
        <f>SUM(Y244:Y248)</f>
      </c>
      <c r="Z249" s="335">
        <f>SUM(Z244:Z248)</f>
      </c>
      <c r="AA249" s="335">
        <f>SUM(AA244:AA248)</f>
      </c>
      <c r="AB249" s="340">
        <f t="shared" si="496"/>
      </c>
      <c r="AC249" s="341"/>
      <c r="AD249" s="342"/>
      <c r="AE249" s="335">
        <f>SUM(AE244:AE248)</f>
      </c>
      <c r="AF249" s="335">
        <f>SUM(AF244:AF248)</f>
      </c>
      <c r="AG249" s="335">
        <f>SUM(AG244:AG248)</f>
      </c>
      <c r="AH249" s="335">
        <f>SUM(AH244:AH248)</f>
      </c>
      <c r="AI249" s="335">
        <f>SUM(AI244:AI248)</f>
      </c>
      <c r="AJ249" s="335">
        <f>SUM(AJ244:AJ248)</f>
      </c>
    </row>
    <row r="250">
      <c r="A250" s="310"/>
      <c r="B250" s="311" t="s">
        <v>297</v>
      </c>
      <c r="C250" s="312" t="s">
        <v>283</v>
      </c>
      <c r="D250" s="313">
        <f t="shared" ref="D250:D254" si="213">E250+F250</f>
      </c>
      <c r="E250" s="312">
        <v>2187.88</v>
      </c>
      <c r="F250" s="357">
        <v>1964.22</v>
      </c>
      <c r="G250" s="358">
        <f t="shared" ref="G250:G254" si="330">Z250+AA250</f>
      </c>
      <c r="H250" s="359">
        <v>0</v>
      </c>
      <c r="I250" s="316">
        <f t="shared" ref="I250:I254" si="372">G250-H250</f>
      </c>
      <c r="J250" s="316">
        <f t="shared" ref="J250:J254" si="534">(G250-AA250)/12+AA250</f>
      </c>
      <c r="K250" s="317">
        <f t="shared" si="85"/>
      </c>
      <c r="L250" s="318">
        <f t="shared" si="115"/>
      </c>
      <c r="M250" s="319">
        <f t="shared" si="251"/>
      </c>
      <c r="N250" s="320">
        <f t="shared" si="406"/>
      </c>
      <c r="O250" s="320">
        <f t="shared" si="25"/>
      </c>
      <c r="P250" s="320">
        <f t="shared" si="145"/>
      </c>
      <c r="Q250" s="321">
        <f t="shared" si="281"/>
      </c>
      <c r="R250" s="322">
        <f t="shared" si="436"/>
      </c>
      <c r="S250" s="320">
        <f t="shared" si="55"/>
      </c>
      <c r="T250" s="323">
        <f t="shared" si="466"/>
      </c>
      <c r="U250" s="323">
        <f t="shared" si="175"/>
      </c>
      <c r="V250" s="320">
        <f t="shared" si="311"/>
      </c>
      <c r="W250" s="325">
        <v>11</v>
      </c>
      <c r="X250" s="325">
        <v>6</v>
      </c>
      <c r="Y250" s="325">
        <v>4</v>
      </c>
      <c r="Z250" s="326">
        <v>2687.040000000001</v>
      </c>
      <c r="AA250" s="326">
        <v>0</v>
      </c>
      <c r="AB250" s="321">
        <f t="shared" si="496"/>
      </c>
      <c r="AC250" s="327" t="s">
        <v>284</v>
      </c>
      <c r="AD250" s="353" t="s">
        <v>298</v>
      </c>
      <c r="AE250" s="329">
        <v>2</v>
      </c>
      <c r="AF250" s="330">
        <v>66369</v>
      </c>
      <c r="AG250" s="330">
        <v>1730</v>
      </c>
      <c r="AH250" s="330">
        <v>1872</v>
      </c>
      <c r="AI250" s="331">
        <v>125</v>
      </c>
      <c r="AJ250" s="331">
        <v>128</v>
      </c>
    </row>
    <row r="251">
      <c r="A251" s="310"/>
      <c r="B251" s="311" t="s">
        <v>297</v>
      </c>
      <c r="C251" s="332" t="s">
        <v>286</v>
      </c>
      <c r="D251" s="313">
        <f t="shared" si="213"/>
      </c>
      <c r="E251" s="312">
        <v>1796.31</v>
      </c>
      <c r="F251" s="357">
        <v>2012.42</v>
      </c>
      <c r="G251" s="358">
        <f t="shared" si="330"/>
      </c>
      <c r="H251" s="359">
        <v>0</v>
      </c>
      <c r="I251" s="316">
        <f t="shared" si="372"/>
      </c>
      <c r="J251" s="316">
        <f t="shared" si="534"/>
      </c>
      <c r="K251" s="317">
        <f t="shared" si="85"/>
      </c>
      <c r="L251" s="318">
        <f t="shared" si="115"/>
      </c>
      <c r="M251" s="319">
        <f t="shared" si="251"/>
      </c>
      <c r="N251" s="320">
        <f t="shared" si="406"/>
      </c>
      <c r="O251" s="320">
        <f t="shared" si="25"/>
      </c>
      <c r="P251" s="320">
        <f t="shared" si="145"/>
      </c>
      <c r="Q251" s="321">
        <f t="shared" si="281"/>
      </c>
      <c r="R251" s="322">
        <f t="shared" si="436"/>
      </c>
      <c r="S251" s="320">
        <f t="shared" si="55"/>
      </c>
      <c r="T251" s="323">
        <f t="shared" si="466"/>
      </c>
      <c r="U251" s="323">
        <f t="shared" si="175"/>
      </c>
      <c r="V251" s="320">
        <f t="shared" si="311"/>
      </c>
      <c r="W251" s="325">
        <v>7</v>
      </c>
      <c r="X251" s="325">
        <v>3</v>
      </c>
      <c r="Y251" s="325">
        <v>4</v>
      </c>
      <c r="Z251" s="326">
        <v>9110.879999999997</v>
      </c>
      <c r="AA251" s="326">
        <v>0</v>
      </c>
      <c r="AB251" s="321">
        <f t="shared" si="496"/>
      </c>
      <c r="AC251" s="327" t="s">
        <v>284</v>
      </c>
      <c r="AD251" s="353" t="s">
        <v>298</v>
      </c>
      <c r="AE251" s="329">
        <v>3</v>
      </c>
      <c r="AF251" s="330">
        <v>64867</v>
      </c>
      <c r="AG251" s="330">
        <v>1471</v>
      </c>
      <c r="AH251" s="330">
        <v>1545</v>
      </c>
      <c r="AI251" s="331">
        <v>107</v>
      </c>
      <c r="AJ251" s="331">
        <v>111</v>
      </c>
    </row>
    <row r="252">
      <c r="A252" s="310"/>
      <c r="B252" s="311" t="s">
        <v>297</v>
      </c>
      <c r="C252" s="332" t="s">
        <v>287</v>
      </c>
      <c r="D252" s="313">
        <f t="shared" si="213"/>
      </c>
      <c r="E252" s="312">
        <v>3027.27</v>
      </c>
      <c r="F252" s="357">
        <v>1982.42</v>
      </c>
      <c r="G252" s="358">
        <f t="shared" si="330"/>
      </c>
      <c r="H252" s="359">
        <v>0</v>
      </c>
      <c r="I252" s="316">
        <f t="shared" si="372"/>
      </c>
      <c r="J252" s="316">
        <f t="shared" si="534"/>
      </c>
      <c r="K252" s="317">
        <f t="shared" si="85"/>
      </c>
      <c r="L252" s="318">
        <f t="shared" si="115"/>
      </c>
      <c r="M252" s="319">
        <f t="shared" si="251"/>
      </c>
      <c r="N252" s="320">
        <f t="shared" si="406"/>
      </c>
      <c r="O252" s="320">
        <f t="shared" si="25"/>
      </c>
      <c r="P252" s="320">
        <f t="shared" si="145"/>
      </c>
      <c r="Q252" s="321">
        <f t="shared" si="281"/>
      </c>
      <c r="R252" s="322">
        <f t="shared" si="436"/>
      </c>
      <c r="S252" s="320">
        <f t="shared" si="55"/>
      </c>
      <c r="T252" s="323">
        <f t="shared" si="466"/>
      </c>
      <c r="U252" s="323">
        <f t="shared" si="175"/>
      </c>
      <c r="V252" s="320">
        <f t="shared" si="311"/>
      </c>
      <c r="W252" s="325">
        <v>6</v>
      </c>
      <c r="X252" s="325">
        <v>2</v>
      </c>
      <c r="Y252" s="325">
        <v>4</v>
      </c>
      <c r="Z252" s="326">
        <v>2818.7999999999956</v>
      </c>
      <c r="AA252" s="326">
        <v>1116</v>
      </c>
      <c r="AB252" s="321">
        <f t="shared" si="496"/>
      </c>
      <c r="AC252" s="327" t="s">
        <v>284</v>
      </c>
      <c r="AD252" s="353" t="s">
        <v>298</v>
      </c>
      <c r="AE252" s="331">
        <v>4</v>
      </c>
      <c r="AF252" s="330">
        <v>80434</v>
      </c>
      <c r="AG252" s="330">
        <v>1934</v>
      </c>
      <c r="AH252" s="330">
        <v>2066</v>
      </c>
      <c r="AI252" s="331">
        <v>137</v>
      </c>
      <c r="AJ252" s="331">
        <v>132</v>
      </c>
    </row>
    <row r="253">
      <c r="A253" s="310"/>
      <c r="B253" s="311" t="s">
        <v>297</v>
      </c>
      <c r="C253" s="312" t="s">
        <v>288</v>
      </c>
      <c r="D253" s="313">
        <f t="shared" si="213"/>
      </c>
      <c r="E253" s="312">
        <v>2139.53</v>
      </c>
      <c r="F253" s="357">
        <v>2061.88</v>
      </c>
      <c r="G253" s="358">
        <f t="shared" si="330"/>
      </c>
      <c r="H253" s="359">
        <v>0</v>
      </c>
      <c r="I253" s="316">
        <f t="shared" si="372"/>
      </c>
      <c r="J253" s="316">
        <f t="shared" si="534"/>
      </c>
      <c r="K253" s="317">
        <f t="shared" si="85"/>
      </c>
      <c r="L253" s="318">
        <f t="shared" si="115"/>
      </c>
      <c r="M253" s="319">
        <f t="shared" si="251"/>
      </c>
      <c r="N253" s="320">
        <f t="shared" si="406"/>
      </c>
      <c r="O253" s="320">
        <f t="shared" si="25"/>
      </c>
      <c r="P253" s="320">
        <f t="shared" si="145"/>
      </c>
      <c r="Q253" s="321">
        <f t="shared" si="281"/>
      </c>
      <c r="R253" s="322">
        <f t="shared" si="436"/>
      </c>
      <c r="S253" s="320">
        <f t="shared" si="55"/>
      </c>
      <c r="T253" s="323">
        <f t="shared" si="466"/>
      </c>
      <c r="U253" s="323">
        <f t="shared" si="175"/>
      </c>
      <c r="V253" s="320">
        <f t="shared" si="311"/>
      </c>
      <c r="W253" s="325">
        <v>4</v>
      </c>
      <c r="X253" s="325">
        <v>2</v>
      </c>
      <c r="Y253" s="325">
        <v>2</v>
      </c>
      <c r="Z253" s="315">
        <v>1128.6000000000058</v>
      </c>
      <c r="AA253" s="326">
        <v>0</v>
      </c>
      <c r="AB253" s="321">
        <f t="shared" si="496"/>
      </c>
      <c r="AC253" s="327" t="s">
        <v>284</v>
      </c>
      <c r="AD253" s="353" t="s">
        <v>298</v>
      </c>
      <c r="AE253" s="329">
        <v>2</v>
      </c>
      <c r="AF253" s="330">
        <v>62372</v>
      </c>
      <c r="AG253" s="330">
        <v>1760</v>
      </c>
      <c r="AH253" s="330">
        <v>1868</v>
      </c>
      <c r="AI253" s="331">
        <v>161</v>
      </c>
      <c r="AJ253" s="331">
        <v>160</v>
      </c>
    </row>
    <row r="254">
      <c r="A254" s="310"/>
      <c r="B254" s="311" t="s">
        <v>297</v>
      </c>
      <c r="C254" s="332" t="s">
        <v>289</v>
      </c>
      <c r="D254" s="313">
        <f t="shared" si="213"/>
      </c>
      <c r="E254" s="312">
        <v>1302.37</v>
      </c>
      <c r="F254" s="357">
        <v>1983.15</v>
      </c>
      <c r="G254" s="358">
        <f t="shared" si="330"/>
      </c>
      <c r="H254" s="359">
        <v>0</v>
      </c>
      <c r="I254" s="316">
        <f t="shared" si="372"/>
      </c>
      <c r="J254" s="316">
        <f t="shared" si="534"/>
      </c>
      <c r="K254" s="317">
        <f t="shared" si="85"/>
      </c>
      <c r="L254" s="318">
        <f t="shared" si="115"/>
      </c>
      <c r="M254" s="319">
        <f t="shared" si="251"/>
      </c>
      <c r="N254" s="320">
        <f t="shared" si="406"/>
      </c>
      <c r="O254" s="320">
        <f t="shared" si="25"/>
      </c>
      <c r="P254" s="320">
        <f t="shared" si="145"/>
      </c>
      <c r="Q254" s="321">
        <f t="shared" si="281"/>
      </c>
      <c r="R254" s="322">
        <f t="shared" si="436"/>
      </c>
      <c r="S254" s="320">
        <f t="shared" si="55"/>
      </c>
      <c r="T254" s="323">
        <f t="shared" si="466"/>
      </c>
      <c r="U254" s="323">
        <f t="shared" si="175"/>
      </c>
      <c r="V254" s="320">
        <f t="shared" si="311"/>
      </c>
      <c r="W254" s="325">
        <v>8</v>
      </c>
      <c r="X254" s="325">
        <v>5</v>
      </c>
      <c r="Y254" s="325">
        <v>3</v>
      </c>
      <c r="Z254" s="326">
        <v>3666.5999999999985</v>
      </c>
      <c r="AA254" s="326">
        <v>0</v>
      </c>
      <c r="AB254" s="321">
        <f t="shared" si="496"/>
      </c>
      <c r="AC254" s="327" t="s">
        <v>284</v>
      </c>
      <c r="AD254" s="353" t="s">
        <v>298</v>
      </c>
      <c r="AE254" s="329">
        <v>3</v>
      </c>
      <c r="AF254" s="330">
        <v>46661</v>
      </c>
      <c r="AG254" s="330">
        <v>893</v>
      </c>
      <c r="AH254" s="330">
        <v>920</v>
      </c>
      <c r="AI254" s="331">
        <v>80</v>
      </c>
      <c r="AJ254" s="331">
        <v>85</v>
      </c>
    </row>
    <row r="255">
      <c r="A255" s="310"/>
      <c r="B255" s="333" t="s">
        <v>290</v>
      </c>
      <c r="C255" s="334">
        <v>5</v>
      </c>
      <c r="D255" s="335">
        <f>SUM(D250:D254)</f>
      </c>
      <c r="E255" s="335">
        <f>SUM(E250:E254)</f>
      </c>
      <c r="F255" s="335">
        <f>SUM(F250:F254)</f>
      </c>
      <c r="G255" s="360">
        <f>SUM(G250:G254)</f>
      </c>
      <c r="H255" s="335">
        <f>SUM(H250:H254)</f>
      </c>
      <c r="I255" s="335">
        <f>SUM(I250:I254)</f>
      </c>
      <c r="J255" s="335">
        <f>SUM(J250:J254)</f>
      </c>
      <c r="K255" s="336">
        <f t="shared" si="85"/>
      </c>
      <c r="L255" s="337">
        <f t="shared" si="115"/>
      </c>
      <c r="M255" s="337">
        <f t="shared" si="251"/>
      </c>
      <c r="N255" s="338">
        <f t="shared" si="406"/>
      </c>
      <c r="O255" s="338">
        <f t="shared" si="25"/>
      </c>
      <c r="P255" s="338">
        <f t="shared" si="145"/>
      </c>
      <c r="Q255" s="339">
        <f t="shared" si="281"/>
      </c>
      <c r="R255" s="339">
        <f t="shared" si="436"/>
      </c>
      <c r="S255" s="338">
        <f t="shared" si="55"/>
      </c>
      <c r="T255" s="339">
        <f t="shared" si="466"/>
      </c>
      <c r="U255" s="339">
        <f t="shared" si="175"/>
      </c>
      <c r="V255" s="338">
        <f t="shared" si="311"/>
      </c>
      <c r="W255" s="335">
        <f>SUM(W250:W254)</f>
      </c>
      <c r="X255" s="335">
        <f>SUM(X250:X254)</f>
      </c>
      <c r="Y255" s="335">
        <f>SUM(Y250:Y254)</f>
      </c>
      <c r="Z255" s="335">
        <f>SUM(Z250:Z254)</f>
      </c>
      <c r="AA255" s="335">
        <f>SUM(AA250:AA254)</f>
      </c>
      <c r="AB255" s="340">
        <f t="shared" si="496"/>
      </c>
      <c r="AC255" s="341"/>
      <c r="AD255" s="342"/>
      <c r="AE255" s="335">
        <f>SUM(AE250:AE254)</f>
      </c>
      <c r="AF255" s="335">
        <f>SUM(AF250:AF254)</f>
      </c>
      <c r="AG255" s="335">
        <f>SUM(AG250:AG254)</f>
      </c>
      <c r="AH255" s="335">
        <f>SUM(AH250:AH254)</f>
      </c>
      <c r="AI255" s="335">
        <f>SUM(AI250:AI254)</f>
      </c>
      <c r="AJ255" s="335">
        <f>SUM(AJ250:AJ254)</f>
      </c>
    </row>
    <row r="256">
      <c r="A256" s="310"/>
      <c r="B256" s="343" t="s">
        <v>290</v>
      </c>
      <c r="C256" s="344">
        <f>C255+C249</f>
      </c>
      <c r="D256" s="354">
        <f>D255+D249</f>
      </c>
      <c r="E256" s="354">
        <f>E255+E249</f>
      </c>
      <c r="F256" s="354">
        <f>F255+F249</f>
      </c>
      <c r="G256" s="354">
        <f>G255+G249</f>
      </c>
      <c r="H256" s="354">
        <f>H255+H249</f>
      </c>
      <c r="I256" s="354">
        <f>I255+I249</f>
      </c>
      <c r="J256" s="354">
        <f>J255+J249</f>
      </c>
      <c r="K256" s="346">
        <f t="shared" si="85"/>
      </c>
      <c r="L256" s="346">
        <f t="shared" si="115"/>
      </c>
      <c r="M256" s="346">
        <f t="shared" si="251"/>
      </c>
      <c r="N256" s="346">
        <f t="shared" si="406"/>
      </c>
      <c r="O256" s="346">
        <f t="shared" si="25"/>
      </c>
      <c r="P256" s="346">
        <f t="shared" si="145"/>
      </c>
      <c r="Q256" s="347">
        <f t="shared" si="281"/>
      </c>
      <c r="R256" s="347">
        <f t="shared" si="436"/>
      </c>
      <c r="S256" s="346">
        <f t="shared" si="55"/>
      </c>
      <c r="T256" s="347">
        <f t="shared" si="466"/>
      </c>
      <c r="U256" s="347">
        <f t="shared" si="175"/>
      </c>
      <c r="V256" s="346">
        <f t="shared" si="311"/>
      </c>
      <c r="W256" s="354">
        <f>W255+W249</f>
      </c>
      <c r="X256" s="354">
        <f>X255+X249</f>
      </c>
      <c r="Y256" s="354">
        <f>Y255+Y249</f>
      </c>
      <c r="Z256" s="354">
        <f>Z255+Z249</f>
      </c>
      <c r="AA256" s="354">
        <f>AA255+AA249</f>
      </c>
      <c r="AB256" s="350">
        <f t="shared" si="496"/>
      </c>
      <c r="AC256" s="343"/>
      <c r="AD256" s="343"/>
      <c r="AE256" s="354">
        <f>AE255+AE249</f>
      </c>
      <c r="AF256" s="354">
        <f>AF255+AF249</f>
      </c>
      <c r="AG256" s="354">
        <f>AG255+AG249</f>
      </c>
      <c r="AH256" s="354">
        <f>AH255+AH249</f>
      </c>
      <c r="AI256" s="354">
        <f>AI255+AI249</f>
      </c>
      <c r="AJ256" s="354">
        <f>AJ255+AJ249</f>
      </c>
    </row>
    <row r="257">
      <c r="A257" s="297" t="s">
        <v>246</v>
      </c>
      <c r="B257" s="298" t="s">
        <v>247</v>
      </c>
      <c r="C257" s="298" t="s">
        <v>248</v>
      </c>
      <c r="D257" s="299" t="s">
        <v>249</v>
      </c>
      <c r="E257" s="298" t="s">
        <v>250</v>
      </c>
      <c r="F257" s="298" t="s">
        <v>251</v>
      </c>
      <c r="G257" s="299" t="s">
        <v>252</v>
      </c>
      <c r="H257" s="300" t="s">
        <v>253</v>
      </c>
      <c r="I257" s="301" t="s">
        <v>254</v>
      </c>
      <c r="J257" s="301" t="s">
        <v>255</v>
      </c>
      <c r="K257" s="302" t="s">
        <v>256</v>
      </c>
      <c r="L257" s="301" t="s">
        <v>257</v>
      </c>
      <c r="M257" s="298" t="s">
        <v>258</v>
      </c>
      <c r="N257" s="302" t="s">
        <v>259</v>
      </c>
      <c r="O257" s="303" t="s">
        <v>260</v>
      </c>
      <c r="P257" s="303" t="s">
        <v>261</v>
      </c>
      <c r="Q257" s="299" t="s">
        <v>262</v>
      </c>
      <c r="R257" s="304" t="s">
        <v>263</v>
      </c>
      <c r="S257" s="302" t="s">
        <v>264</v>
      </c>
      <c r="T257" s="305" t="s">
        <v>265</v>
      </c>
      <c r="U257" s="306" t="s">
        <v>266</v>
      </c>
      <c r="V257" s="302" t="s">
        <v>267</v>
      </c>
      <c r="W257" s="307" t="s">
        <v>268</v>
      </c>
      <c r="X257" s="308" t="s">
        <v>269</v>
      </c>
      <c r="Y257" s="307" t="s">
        <v>270</v>
      </c>
      <c r="Z257" s="309" t="s">
        <v>271</v>
      </c>
      <c r="AA257" s="309" t="s">
        <v>272</v>
      </c>
      <c r="AB257" s="301" t="s">
        <v>273</v>
      </c>
      <c r="AC257" s="300" t="s">
        <v>274</v>
      </c>
      <c r="AD257" s="301" t="s">
        <v>275</v>
      </c>
      <c r="AE257" s="300" t="s">
        <v>276</v>
      </c>
      <c r="AF257" s="300" t="s">
        <v>277</v>
      </c>
      <c r="AG257" s="301" t="s">
        <v>278</v>
      </c>
      <c r="AH257" s="300" t="s">
        <v>279</v>
      </c>
      <c r="AI257" s="301" t="s">
        <v>280</v>
      </c>
      <c r="AJ257" s="300" t="s">
        <v>281</v>
      </c>
    </row>
    <row r="258">
      <c r="A258" s="310">
        <v>46231</v>
      </c>
      <c r="B258" s="311" t="s">
        <v>282</v>
      </c>
      <c r="C258" s="312" t="s">
        <v>292</v>
      </c>
      <c r="D258" s="313">
        <f t="shared" ref="D258:D262" si="214">E258+F258</f>
      </c>
      <c r="E258" s="355">
        <v>2461.76</v>
      </c>
      <c r="F258" s="314">
        <v>2000</v>
      </c>
      <c r="G258" s="314">
        <f t="shared" ref="G258:G262" si="331">Z258+AA258</f>
      </c>
      <c r="H258" s="315">
        <v>3881.52</v>
      </c>
      <c r="I258" s="316">
        <f t="shared" ref="I258:I262" si="373">G258-H258</f>
      </c>
      <c r="J258" s="316">
        <f t="shared" ref="J258:J262" si="535">(G258-AA258)/12+AA258</f>
      </c>
      <c r="K258" s="317">
        <f t="shared" ref="K258:K270" si="86">G258/D258</f>
      </c>
      <c r="L258" s="318">
        <f t="shared" ref="L258:L270" si="116">(G258-H258)/D258</f>
      </c>
      <c r="M258" s="319">
        <f t="shared" ref="M258:M270" si="252">(AA258+Z258/12)/D258</f>
      </c>
      <c r="N258" s="320">
        <f t="shared" ref="N258:N270" si="407">G258/Y258</f>
      </c>
      <c r="O258" s="320">
        <f t="shared" ref="O258:O270" si="26">D258/Y258</f>
      </c>
      <c r="P258" s="320">
        <f t="shared" ref="P258:P270" si="146">D258/AE258</f>
      </c>
      <c r="Q258" s="321">
        <f t="shared" ref="Q258:Q270" si="282">Y258/W258</f>
      </c>
      <c r="R258" s="322">
        <f t="shared" ref="R258:R270" si="437">AG258/AF258</f>
      </c>
      <c r="S258" s="320">
        <f t="shared" ref="S258:S270" si="56">D258/AH258</f>
      </c>
      <c r="T258" s="323">
        <f t="shared" ref="T258:T270" si="467">AI258/AH258</f>
      </c>
      <c r="U258" s="323">
        <f t="shared" ref="U258:U270" si="176">AJ258/AH258</f>
      </c>
      <c r="V258" s="320">
        <f t="shared" ref="V258:V270" si="312">D258/AJ258</f>
      </c>
      <c r="W258" s="325">
        <v>9</v>
      </c>
      <c r="X258" s="325">
        <v>4</v>
      </c>
      <c r="Y258" s="325">
        <v>5</v>
      </c>
      <c r="Z258" s="326">
        <v>7475.76</v>
      </c>
      <c r="AA258" s="326">
        <v>0</v>
      </c>
      <c r="AB258" s="321">
        <f t="shared" ref="AB258:AB270" si="497">AA258/G258</f>
      </c>
      <c r="AC258" s="327" t="s">
        <v>284</v>
      </c>
      <c r="AD258" s="353" t="s">
        <v>298</v>
      </c>
      <c r="AE258" s="329">
        <v>5</v>
      </c>
      <c r="AF258" s="330">
        <v>48005</v>
      </c>
      <c r="AG258" s="330">
        <v>1301</v>
      </c>
      <c r="AH258" s="330">
        <v>1355</v>
      </c>
      <c r="AI258" s="329">
        <v>137</v>
      </c>
      <c r="AJ258" s="331">
        <v>125</v>
      </c>
    </row>
    <row r="259">
      <c r="A259" s="310"/>
      <c r="B259" s="311" t="s">
        <v>282</v>
      </c>
      <c r="C259" s="312" t="s">
        <v>293</v>
      </c>
      <c r="D259" s="313">
        <f t="shared" si="214"/>
      </c>
      <c r="E259" s="312">
        <v>2817.56</v>
      </c>
      <c r="F259" s="314">
        <v>2000</v>
      </c>
      <c r="G259" s="314">
        <f t="shared" si="331"/>
      </c>
      <c r="H259" s="315">
        <v>528.12</v>
      </c>
      <c r="I259" s="316">
        <f t="shared" si="373"/>
      </c>
      <c r="J259" s="316">
        <f t="shared" si="535"/>
      </c>
      <c r="K259" s="317">
        <f t="shared" si="86"/>
      </c>
      <c r="L259" s="318">
        <f t="shared" si="116"/>
      </c>
      <c r="M259" s="319">
        <f t="shared" si="252"/>
      </c>
      <c r="N259" s="320">
        <f t="shared" si="407"/>
      </c>
      <c r="O259" s="320">
        <f t="shared" si="26"/>
      </c>
      <c r="P259" s="320">
        <f t="shared" si="146"/>
      </c>
      <c r="Q259" s="321">
        <f t="shared" si="282"/>
      </c>
      <c r="R259" s="322">
        <f t="shared" si="437"/>
      </c>
      <c r="S259" s="320">
        <f t="shared" si="56"/>
      </c>
      <c r="T259" s="323">
        <f t="shared" si="467"/>
      </c>
      <c r="U259" s="323">
        <f t="shared" si="176"/>
      </c>
      <c r="V259" s="320">
        <f t="shared" si="312"/>
      </c>
      <c r="W259" s="325">
        <v>8</v>
      </c>
      <c r="X259" s="325">
        <v>5</v>
      </c>
      <c r="Y259" s="325">
        <v>4</v>
      </c>
      <c r="Z259" s="326">
        <v>6638.76</v>
      </c>
      <c r="AA259" s="326">
        <v>0</v>
      </c>
      <c r="AB259" s="321">
        <f t="shared" si="497"/>
      </c>
      <c r="AC259" s="327" t="s">
        <v>284</v>
      </c>
      <c r="AD259" s="353" t="s">
        <v>298</v>
      </c>
      <c r="AE259" s="329">
        <v>4</v>
      </c>
      <c r="AF259" s="330">
        <v>60818</v>
      </c>
      <c r="AG259" s="330">
        <v>1514</v>
      </c>
      <c r="AH259" s="330">
        <v>1598</v>
      </c>
      <c r="AI259" s="331">
        <v>149</v>
      </c>
      <c r="AJ259" s="331">
        <v>166</v>
      </c>
    </row>
    <row r="260">
      <c r="A260" s="310"/>
      <c r="B260" s="311" t="s">
        <v>282</v>
      </c>
      <c r="C260" s="312" t="s">
        <v>294</v>
      </c>
      <c r="D260" s="313">
        <f t="shared" si="214"/>
      </c>
      <c r="E260" s="312">
        <v>1735.18</v>
      </c>
      <c r="F260" s="312">
        <v>2000</v>
      </c>
      <c r="G260" s="314">
        <f t="shared" si="331"/>
      </c>
      <c r="H260" s="315">
        <v>0</v>
      </c>
      <c r="I260" s="316">
        <f t="shared" si="373"/>
      </c>
      <c r="J260" s="316">
        <f t="shared" si="535"/>
      </c>
      <c r="K260" s="317">
        <f t="shared" si="86"/>
      </c>
      <c r="L260" s="318">
        <f t="shared" si="116"/>
      </c>
      <c r="M260" s="319">
        <f t="shared" si="252"/>
      </c>
      <c r="N260" s="320">
        <f t="shared" si="407"/>
      </c>
      <c r="O260" s="320">
        <f t="shared" si="26"/>
      </c>
      <c r="P260" s="320">
        <f t="shared" si="146"/>
      </c>
      <c r="Q260" s="321">
        <f t="shared" si="282"/>
      </c>
      <c r="R260" s="322">
        <f t="shared" si="437"/>
      </c>
      <c r="S260" s="320">
        <f t="shared" si="56"/>
      </c>
      <c r="T260" s="323">
        <f t="shared" si="467"/>
      </c>
      <c r="U260" s="323">
        <f t="shared" si="176"/>
      </c>
      <c r="V260" s="320">
        <f t="shared" si="312"/>
      </c>
      <c r="W260" s="325">
        <v>9</v>
      </c>
      <c r="X260" s="325">
        <v>3</v>
      </c>
      <c r="Y260" s="325">
        <v>3</v>
      </c>
      <c r="Z260" s="326">
        <v>11981.52</v>
      </c>
      <c r="AA260" s="326">
        <v>0</v>
      </c>
      <c r="AB260" s="321">
        <f t="shared" si="497"/>
      </c>
      <c r="AC260" s="327" t="s">
        <v>284</v>
      </c>
      <c r="AD260" s="353" t="s">
        <v>298</v>
      </c>
      <c r="AE260" s="331">
        <v>3</v>
      </c>
      <c r="AF260" s="330">
        <v>52789</v>
      </c>
      <c r="AG260" s="330">
        <v>921</v>
      </c>
      <c r="AH260" s="330">
        <v>977</v>
      </c>
      <c r="AI260" s="331">
        <v>124</v>
      </c>
      <c r="AJ260" s="331">
        <v>145</v>
      </c>
    </row>
    <row r="261">
      <c r="A261" s="310"/>
      <c r="B261" s="311" t="s">
        <v>282</v>
      </c>
      <c r="C261" s="312" t="s">
        <v>295</v>
      </c>
      <c r="D261" s="313">
        <f t="shared" si="214"/>
      </c>
      <c r="E261" s="312">
        <v>1034.78</v>
      </c>
      <c r="F261" s="314">
        <v>1959.3</v>
      </c>
      <c r="G261" s="314">
        <f t="shared" si="331"/>
      </c>
      <c r="H261" s="315">
        <v>2036.88</v>
      </c>
      <c r="I261" s="316">
        <f t="shared" si="373"/>
      </c>
      <c r="J261" s="316">
        <f t="shared" si="535"/>
      </c>
      <c r="K261" s="317">
        <f t="shared" si="86"/>
      </c>
      <c r="L261" s="318">
        <f t="shared" si="116"/>
      </c>
      <c r="M261" s="319">
        <f t="shared" si="252"/>
      </c>
      <c r="N261" s="320">
        <f t="shared" si="407"/>
      </c>
      <c r="O261" s="320">
        <f t="shared" si="26"/>
      </c>
      <c r="P261" s="320">
        <f t="shared" si="146"/>
      </c>
      <c r="Q261" s="321">
        <f t="shared" si="282"/>
      </c>
      <c r="R261" s="322">
        <f t="shared" si="437"/>
      </c>
      <c r="S261" s="320">
        <f t="shared" si="56"/>
      </c>
      <c r="T261" s="323">
        <f t="shared" si="467"/>
      </c>
      <c r="U261" s="323">
        <f t="shared" si="176"/>
      </c>
      <c r="V261" s="320">
        <f t="shared" si="312"/>
      </c>
      <c r="W261" s="325">
        <v>8</v>
      </c>
      <c r="X261" s="325">
        <v>8</v>
      </c>
      <c r="Y261" s="325">
        <v>2</v>
      </c>
      <c r="Z261" s="315">
        <v>4206.84</v>
      </c>
      <c r="AA261" s="326">
        <v>0</v>
      </c>
      <c r="AB261" s="321">
        <f t="shared" si="497"/>
      </c>
      <c r="AC261" s="327" t="s">
        <v>284</v>
      </c>
      <c r="AD261" s="353" t="s">
        <v>298</v>
      </c>
      <c r="AE261" s="329">
        <v>2</v>
      </c>
      <c r="AF261" s="330">
        <v>46792</v>
      </c>
      <c r="AG261" s="330">
        <v>673</v>
      </c>
      <c r="AH261" s="330">
        <v>687</v>
      </c>
      <c r="AI261" s="331">
        <v>61</v>
      </c>
      <c r="AJ261" s="331">
        <v>94</v>
      </c>
    </row>
    <row r="262">
      <c r="A262" s="310"/>
      <c r="B262" s="311" t="s">
        <v>282</v>
      </c>
      <c r="C262" s="312" t="s">
        <v>296</v>
      </c>
      <c r="D262" s="313">
        <f t="shared" si="214"/>
      </c>
      <c r="E262" s="312">
        <v>1851.83</v>
      </c>
      <c r="F262" s="314">
        <v>2534.78</v>
      </c>
      <c r="G262" s="352">
        <f t="shared" si="331"/>
      </c>
      <c r="H262" s="315">
        <v>1788.48</v>
      </c>
      <c r="I262" s="316">
        <f t="shared" si="373"/>
      </c>
      <c r="J262" s="316">
        <f t="shared" si="535"/>
      </c>
      <c r="K262" s="317">
        <f t="shared" si="86"/>
      </c>
      <c r="L262" s="318">
        <f t="shared" si="116"/>
      </c>
      <c r="M262" s="319">
        <f t="shared" si="252"/>
      </c>
      <c r="N262" s="320">
        <f t="shared" si="407"/>
      </c>
      <c r="O262" s="320">
        <f t="shared" si="26"/>
      </c>
      <c r="P262" s="320">
        <f t="shared" si="146"/>
      </c>
      <c r="Q262" s="321">
        <f t="shared" si="282"/>
      </c>
      <c r="R262" s="322">
        <f t="shared" si="437"/>
      </c>
      <c r="S262" s="320">
        <f t="shared" si="56"/>
      </c>
      <c r="T262" s="323">
        <f t="shared" si="467"/>
      </c>
      <c r="U262" s="323">
        <f t="shared" si="176"/>
      </c>
      <c r="V262" s="320">
        <f t="shared" si="312"/>
      </c>
      <c r="W262" s="325">
        <v>7</v>
      </c>
      <c r="X262" s="325">
        <v>2</v>
      </c>
      <c r="Y262" s="325">
        <v>5</v>
      </c>
      <c r="Z262" s="326">
        <v>4921.560000000001</v>
      </c>
      <c r="AA262" s="326">
        <v>0</v>
      </c>
      <c r="AB262" s="321">
        <f t="shared" si="497"/>
      </c>
      <c r="AC262" s="327" t="s">
        <v>284</v>
      </c>
      <c r="AD262" s="353" t="s">
        <v>298</v>
      </c>
      <c r="AE262" s="329">
        <v>5</v>
      </c>
      <c r="AF262" s="330">
        <v>74654</v>
      </c>
      <c r="AG262" s="330">
        <v>1307</v>
      </c>
      <c r="AH262" s="330">
        <v>1344</v>
      </c>
      <c r="AI262" s="331">
        <v>115</v>
      </c>
      <c r="AJ262" s="331">
        <v>147</v>
      </c>
    </row>
    <row r="263">
      <c r="A263" s="310"/>
      <c r="B263" s="333" t="s">
        <v>290</v>
      </c>
      <c r="C263" s="334">
        <v>5</v>
      </c>
      <c r="D263" s="335">
        <f>SUM(D258:D262)</f>
      </c>
      <c r="E263" s="335">
        <f>SUM(E258:E262)</f>
      </c>
      <c r="F263" s="335">
        <f>SUM(F258:F262)</f>
      </c>
      <c r="G263" s="356">
        <f>SUM(G258:G262)</f>
      </c>
      <c r="H263" s="335">
        <f>SUM(H258:H262)</f>
      </c>
      <c r="I263" s="335">
        <f>SUM(I258:I262)</f>
      </c>
      <c r="J263" s="335">
        <f>SUM(J258:J262)</f>
      </c>
      <c r="K263" s="336">
        <f t="shared" si="86"/>
      </c>
      <c r="L263" s="337">
        <f t="shared" si="116"/>
      </c>
      <c r="M263" s="337">
        <f t="shared" si="252"/>
      </c>
      <c r="N263" s="338">
        <f t="shared" si="407"/>
      </c>
      <c r="O263" s="338">
        <f t="shared" si="26"/>
      </c>
      <c r="P263" s="338">
        <f t="shared" si="146"/>
      </c>
      <c r="Q263" s="339">
        <f t="shared" si="282"/>
      </c>
      <c r="R263" s="339">
        <f t="shared" si="437"/>
      </c>
      <c r="S263" s="338">
        <f t="shared" si="56"/>
      </c>
      <c r="T263" s="339">
        <f t="shared" si="467"/>
      </c>
      <c r="U263" s="339">
        <f t="shared" si="176"/>
      </c>
      <c r="V263" s="338">
        <f t="shared" si="312"/>
      </c>
      <c r="W263" s="335">
        <f>SUM(W258:W262)</f>
      </c>
      <c r="X263" s="335">
        <f>SUM(X258:X262)</f>
      </c>
      <c r="Y263" s="335">
        <f>SUM(Y258:Y262)</f>
      </c>
      <c r="Z263" s="335">
        <f>SUM(Z258:Z262)</f>
      </c>
      <c r="AA263" s="335">
        <f>SUM(AA258:AA262)</f>
      </c>
      <c r="AB263" s="340">
        <f t="shared" si="497"/>
      </c>
      <c r="AC263" s="341"/>
      <c r="AD263" s="342"/>
      <c r="AE263" s="335">
        <f>SUM(AE258:AE262)</f>
      </c>
      <c r="AF263" s="335">
        <f>SUM(AF258:AF262)</f>
      </c>
      <c r="AG263" s="335">
        <f>SUM(AG258:AG262)</f>
      </c>
      <c r="AH263" s="335">
        <f>SUM(AH258:AH262)</f>
      </c>
      <c r="AI263" s="335">
        <f>SUM(AI258:AI262)</f>
      </c>
      <c r="AJ263" s="335">
        <f>SUM(AJ258:AJ262)</f>
      </c>
    </row>
    <row r="264">
      <c r="A264" s="310"/>
      <c r="B264" s="311" t="s">
        <v>297</v>
      </c>
      <c r="C264" s="312" t="s">
        <v>283</v>
      </c>
      <c r="D264" s="313">
        <f t="shared" ref="D264:D268" si="215">E264+F264</f>
      </c>
      <c r="E264" s="312">
        <v>1884.73</v>
      </c>
      <c r="F264" s="357">
        <v>1964.09</v>
      </c>
      <c r="G264" s="358">
        <f t="shared" ref="G264:G268" si="332">Z264+AA264</f>
      </c>
      <c r="H264" s="359">
        <v>3853.8</v>
      </c>
      <c r="I264" s="316">
        <f t="shared" ref="I264:I268" si="374">G264-H264</f>
      </c>
      <c r="J264" s="316">
        <f t="shared" ref="J264:J268" si="536">(G264-AA264)/12+AA264</f>
      </c>
      <c r="K264" s="317">
        <f t="shared" si="86"/>
      </c>
      <c r="L264" s="318">
        <f t="shared" si="116"/>
      </c>
      <c r="M264" s="319">
        <f t="shared" si="252"/>
      </c>
      <c r="N264" s="320">
        <f t="shared" si="407"/>
      </c>
      <c r="O264" s="320">
        <f t="shared" si="26"/>
      </c>
      <c r="P264" s="320">
        <f t="shared" si="146"/>
      </c>
      <c r="Q264" s="321">
        <f t="shared" si="282"/>
      </c>
      <c r="R264" s="322">
        <f t="shared" si="437"/>
      </c>
      <c r="S264" s="320">
        <f t="shared" si="56"/>
      </c>
      <c r="T264" s="323">
        <f t="shared" si="467"/>
      </c>
      <c r="U264" s="323">
        <f t="shared" si="176"/>
      </c>
      <c r="V264" s="320">
        <f t="shared" si="312"/>
      </c>
      <c r="W264" s="325">
        <v>6</v>
      </c>
      <c r="X264" s="325">
        <v>1</v>
      </c>
      <c r="Y264" s="325">
        <v>5</v>
      </c>
      <c r="Z264" s="326">
        <v>6681.239999999998</v>
      </c>
      <c r="AA264" s="326">
        <v>2744.65</v>
      </c>
      <c r="AB264" s="321">
        <f t="shared" si="497"/>
      </c>
      <c r="AC264" s="327" t="s">
        <v>284</v>
      </c>
      <c r="AD264" s="353" t="s">
        <v>298</v>
      </c>
      <c r="AE264" s="329">
        <v>4</v>
      </c>
      <c r="AF264" s="330">
        <v>65566</v>
      </c>
      <c r="AG264" s="330">
        <v>1142</v>
      </c>
      <c r="AH264" s="330">
        <v>1229</v>
      </c>
      <c r="AI264" s="331">
        <v>107</v>
      </c>
      <c r="AJ264" s="331">
        <v>123</v>
      </c>
    </row>
    <row r="265">
      <c r="A265" s="310"/>
      <c r="B265" s="311" t="s">
        <v>297</v>
      </c>
      <c r="C265" s="332" t="s">
        <v>286</v>
      </c>
      <c r="D265" s="313">
        <f t="shared" si="215"/>
      </c>
      <c r="E265" s="312">
        <v>2223.79</v>
      </c>
      <c r="F265" s="357">
        <v>2523.51</v>
      </c>
      <c r="G265" s="358">
        <f t="shared" si="332"/>
      </c>
      <c r="H265" s="359">
        <v>0</v>
      </c>
      <c r="I265" s="316">
        <f t="shared" si="374"/>
      </c>
      <c r="J265" s="316">
        <f t="shared" si="536"/>
      </c>
      <c r="K265" s="317">
        <f t="shared" si="86"/>
      </c>
      <c r="L265" s="318">
        <f t="shared" si="116"/>
      </c>
      <c r="M265" s="319">
        <f t="shared" si="252"/>
      </c>
      <c r="N265" s="320">
        <f t="shared" si="407"/>
      </c>
      <c r="O265" s="320">
        <f t="shared" si="26"/>
      </c>
      <c r="P265" s="320">
        <f t="shared" si="146"/>
      </c>
      <c r="Q265" s="321">
        <f t="shared" si="282"/>
      </c>
      <c r="R265" s="322">
        <f t="shared" si="437"/>
      </c>
      <c r="S265" s="320">
        <f t="shared" si="56"/>
      </c>
      <c r="T265" s="323">
        <f t="shared" si="467"/>
      </c>
      <c r="U265" s="323">
        <f t="shared" si="176"/>
      </c>
      <c r="V265" s="320">
        <f t="shared" si="312"/>
      </c>
      <c r="W265" s="325">
        <v>4</v>
      </c>
      <c r="X265" s="325">
        <v>2</v>
      </c>
      <c r="Y265" s="325">
        <v>3</v>
      </c>
      <c r="Z265" s="326">
        <v>1599.4800000000032</v>
      </c>
      <c r="AA265" s="326">
        <v>341</v>
      </c>
      <c r="AB265" s="321">
        <f t="shared" si="497"/>
      </c>
      <c r="AC265" s="327" t="s">
        <v>284</v>
      </c>
      <c r="AD265" s="353" t="s">
        <v>298</v>
      </c>
      <c r="AE265" s="329">
        <v>3</v>
      </c>
      <c r="AF265" s="330">
        <v>79928</v>
      </c>
      <c r="AG265" s="330">
        <v>1118</v>
      </c>
      <c r="AH265" s="330">
        <v>1150</v>
      </c>
      <c r="AI265" s="331">
        <v>107</v>
      </c>
      <c r="AJ265" s="331">
        <v>144</v>
      </c>
    </row>
    <row r="266">
      <c r="A266" s="310"/>
      <c r="B266" s="311" t="s">
        <v>297</v>
      </c>
      <c r="C266" s="332" t="s">
        <v>287</v>
      </c>
      <c r="D266" s="313">
        <f t="shared" si="215"/>
      </c>
      <c r="E266" s="312">
        <v>2140.93</v>
      </c>
      <c r="F266" s="357">
        <v>1971.95</v>
      </c>
      <c r="G266" s="358">
        <f t="shared" si="332"/>
      </c>
      <c r="H266" s="359">
        <v>0</v>
      </c>
      <c r="I266" s="316">
        <f t="shared" si="374"/>
      </c>
      <c r="J266" s="316">
        <f t="shared" si="536"/>
      </c>
      <c r="K266" s="317">
        <f t="shared" si="86"/>
      </c>
      <c r="L266" s="318">
        <f t="shared" si="116"/>
      </c>
      <c r="M266" s="319">
        <f t="shared" si="252"/>
      </c>
      <c r="N266" s="320">
        <f t="shared" si="407"/>
      </c>
      <c r="O266" s="320">
        <f t="shared" si="26"/>
      </c>
      <c r="P266" s="320">
        <f t="shared" si="146"/>
      </c>
      <c r="Q266" s="321">
        <f t="shared" si="282"/>
      </c>
      <c r="R266" s="322">
        <f t="shared" si="437"/>
      </c>
      <c r="S266" s="320">
        <f t="shared" si="56"/>
      </c>
      <c r="T266" s="323">
        <f t="shared" si="467"/>
      </c>
      <c r="U266" s="323">
        <f t="shared" si="176"/>
      </c>
      <c r="V266" s="320">
        <f t="shared" si="312"/>
      </c>
      <c r="W266" s="325">
        <v>3</v>
      </c>
      <c r="X266" s="325">
        <v>2</v>
      </c>
      <c r="Y266" s="325">
        <v>2</v>
      </c>
      <c r="Z266" s="326">
        <v>752.7599999999948</v>
      </c>
      <c r="AA266" s="326">
        <v>874</v>
      </c>
      <c r="AB266" s="321">
        <f t="shared" si="497"/>
      </c>
      <c r="AC266" s="327" t="s">
        <v>284</v>
      </c>
      <c r="AD266" s="353" t="s">
        <v>298</v>
      </c>
      <c r="AE266" s="331">
        <v>2</v>
      </c>
      <c r="AF266" s="330">
        <v>53447</v>
      </c>
      <c r="AG266" s="330">
        <v>1250</v>
      </c>
      <c r="AH266" s="330">
        <v>1316</v>
      </c>
      <c r="AI266" s="331">
        <v>80</v>
      </c>
      <c r="AJ266" s="331">
        <v>114</v>
      </c>
    </row>
    <row r="267">
      <c r="A267" s="310"/>
      <c r="B267" s="311" t="s">
        <v>297</v>
      </c>
      <c r="C267" s="312" t="s">
        <v>288</v>
      </c>
      <c r="D267" s="313">
        <f t="shared" si="215"/>
      </c>
      <c r="E267" s="312">
        <v>3365.82</v>
      </c>
      <c r="F267" s="357">
        <v>1513.87</v>
      </c>
      <c r="G267" s="358">
        <f t="shared" si="332"/>
      </c>
      <c r="H267" s="359">
        <v>0</v>
      </c>
      <c r="I267" s="316">
        <f t="shared" si="374"/>
      </c>
      <c r="J267" s="316">
        <f t="shared" si="536"/>
      </c>
      <c r="K267" s="317">
        <f t="shared" si="86"/>
      </c>
      <c r="L267" s="318">
        <f t="shared" si="116"/>
      </c>
      <c r="M267" s="319">
        <f t="shared" si="252"/>
      </c>
      <c r="N267" s="320">
        <f t="shared" si="407"/>
      </c>
      <c r="O267" s="320">
        <f t="shared" si="26"/>
      </c>
      <c r="P267" s="320">
        <f t="shared" si="146"/>
      </c>
      <c r="Q267" s="321">
        <f t="shared" si="282"/>
      </c>
      <c r="R267" s="322">
        <f t="shared" si="437"/>
      </c>
      <c r="S267" s="320">
        <f t="shared" si="56"/>
      </c>
      <c r="T267" s="323">
        <f t="shared" si="467"/>
      </c>
      <c r="U267" s="323">
        <f t="shared" si="176"/>
      </c>
      <c r="V267" s="320">
        <f t="shared" si="312"/>
      </c>
      <c r="W267" s="325">
        <v>10</v>
      </c>
      <c r="X267" s="325">
        <v>5</v>
      </c>
      <c r="Y267" s="325">
        <v>6</v>
      </c>
      <c r="Z267" s="315">
        <v>11159.64</v>
      </c>
      <c r="AA267" s="326">
        <v>678.9999999999995</v>
      </c>
      <c r="AB267" s="321">
        <f t="shared" si="497"/>
      </c>
      <c r="AC267" s="327" t="s">
        <v>284</v>
      </c>
      <c r="AD267" s="353" t="s">
        <v>298</v>
      </c>
      <c r="AE267" s="329">
        <v>5</v>
      </c>
      <c r="AF267" s="330">
        <v>63623</v>
      </c>
      <c r="AG267" s="330">
        <v>1638</v>
      </c>
      <c r="AH267" s="330">
        <v>1738</v>
      </c>
      <c r="AI267" s="331">
        <v>137</v>
      </c>
      <c r="AJ267" s="331">
        <v>196</v>
      </c>
    </row>
    <row r="268">
      <c r="A268" s="310"/>
      <c r="B268" s="311" t="s">
        <v>297</v>
      </c>
      <c r="C268" s="332" t="s">
        <v>289</v>
      </c>
      <c r="D268" s="313">
        <f t="shared" si="215"/>
      </c>
      <c r="E268" s="312">
        <v>0</v>
      </c>
      <c r="F268" s="357">
        <v>1986.19</v>
      </c>
      <c r="G268" s="358">
        <f t="shared" si="332"/>
      </c>
      <c r="H268" s="359">
        <v>0</v>
      </c>
      <c r="I268" s="316">
        <f t="shared" si="374"/>
      </c>
      <c r="J268" s="316">
        <f t="shared" si="536"/>
      </c>
      <c r="K268" s="317">
        <f t="shared" si="86"/>
      </c>
      <c r="L268" s="318">
        <f t="shared" si="116"/>
      </c>
      <c r="M268" s="319">
        <f t="shared" si="252"/>
      </c>
      <c r="N268" s="320">
        <f t="shared" si="407"/>
      </c>
      <c r="O268" s="320">
        <f t="shared" si="26"/>
      </c>
      <c r="P268" s="320">
        <f t="shared" si="146"/>
      </c>
      <c r="Q268" s="321">
        <f t="shared" si="282"/>
      </c>
      <c r="R268" s="322">
        <f t="shared" si="437"/>
      </c>
      <c r="S268" s="320">
        <f t="shared" si="56"/>
      </c>
      <c r="T268" s="323">
        <f t="shared" si="467"/>
      </c>
      <c r="U268" s="323">
        <f t="shared" si="176"/>
      </c>
      <c r="V268" s="320">
        <f t="shared" si="312"/>
      </c>
      <c r="W268" s="325">
        <v>3</v>
      </c>
      <c r="X268" s="325">
        <v>1</v>
      </c>
      <c r="Y268" s="325">
        <v>2</v>
      </c>
      <c r="Z268" s="326">
        <v>3406.3199999999997</v>
      </c>
      <c r="AA268" s="326">
        <v>0</v>
      </c>
      <c r="AB268" s="321">
        <f t="shared" si="497"/>
      </c>
      <c r="AC268" s="327" t="s">
        <v>284</v>
      </c>
      <c r="AD268" s="353" t="s">
        <v>298</v>
      </c>
      <c r="AE268" s="329">
        <v>2</v>
      </c>
      <c r="AF268" s="330">
        <v>33248</v>
      </c>
      <c r="AG268" s="330">
        <v>121</v>
      </c>
      <c r="AH268" s="330">
        <v>80</v>
      </c>
      <c r="AI268" s="331">
        <v>26</v>
      </c>
      <c r="AJ268" s="331">
        <v>40</v>
      </c>
    </row>
    <row r="269">
      <c r="A269" s="310"/>
      <c r="B269" s="333" t="s">
        <v>290</v>
      </c>
      <c r="C269" s="334">
        <v>5</v>
      </c>
      <c r="D269" s="335">
        <f>SUM(D264:D268)</f>
      </c>
      <c r="E269" s="335">
        <f>SUM(E264:E268)</f>
      </c>
      <c r="F269" s="335">
        <f>SUM(F264:F268)</f>
      </c>
      <c r="G269" s="360">
        <f>SUM(G264:G268)</f>
      </c>
      <c r="H269" s="335">
        <f>SUM(H264:H268)</f>
      </c>
      <c r="I269" s="335">
        <f>SUM(I264:I268)</f>
      </c>
      <c r="J269" s="335">
        <f>SUM(J264:J268)</f>
      </c>
      <c r="K269" s="336">
        <f t="shared" si="86"/>
      </c>
      <c r="L269" s="337">
        <f t="shared" si="116"/>
      </c>
      <c r="M269" s="337">
        <f t="shared" si="252"/>
      </c>
      <c r="N269" s="338">
        <f t="shared" si="407"/>
      </c>
      <c r="O269" s="338">
        <f t="shared" si="26"/>
      </c>
      <c r="P269" s="338">
        <f t="shared" si="146"/>
      </c>
      <c r="Q269" s="339">
        <f t="shared" si="282"/>
      </c>
      <c r="R269" s="339">
        <f t="shared" si="437"/>
      </c>
      <c r="S269" s="338">
        <f t="shared" si="56"/>
      </c>
      <c r="T269" s="339">
        <f t="shared" si="467"/>
      </c>
      <c r="U269" s="339">
        <f t="shared" si="176"/>
      </c>
      <c r="V269" s="338">
        <f t="shared" si="312"/>
      </c>
      <c r="W269" s="335">
        <f>SUM(W264:W268)</f>
      </c>
      <c r="X269" s="335">
        <f>SUM(X264:X268)</f>
      </c>
      <c r="Y269" s="335">
        <f>SUM(Y264:Y268)</f>
      </c>
      <c r="Z269" s="335">
        <f>SUM(Z264:Z268)</f>
      </c>
      <c r="AA269" s="335">
        <f>SUM(AA264:AA268)</f>
      </c>
      <c r="AB269" s="340">
        <f t="shared" si="497"/>
      </c>
      <c r="AC269" s="341"/>
      <c r="AD269" s="342"/>
      <c r="AE269" s="335">
        <f>SUM(AE264:AE268)</f>
      </c>
      <c r="AF269" s="335">
        <f>SUM(AF264:AF268)</f>
      </c>
      <c r="AG269" s="335">
        <f>SUM(AG264:AG268)</f>
      </c>
      <c r="AH269" s="335">
        <f>SUM(AH264:AH268)</f>
      </c>
      <c r="AI269" s="335">
        <f>SUM(AI264:AI268)</f>
      </c>
      <c r="AJ269" s="335">
        <f>SUM(AJ264:AJ268)</f>
      </c>
    </row>
    <row r="270">
      <c r="A270" s="310"/>
      <c r="B270" s="343" t="s">
        <v>290</v>
      </c>
      <c r="C270" s="344">
        <f>C269+C263</f>
      </c>
      <c r="D270" s="354">
        <f>D269+D263</f>
      </c>
      <c r="E270" s="354">
        <f>E269+E263</f>
      </c>
      <c r="F270" s="354">
        <f>F269+F263</f>
      </c>
      <c r="G270" s="354">
        <f>G269+G263</f>
      </c>
      <c r="H270" s="354">
        <f>H269+H263</f>
      </c>
      <c r="I270" s="354">
        <f>I269+I263</f>
      </c>
      <c r="J270" s="354">
        <f>J269+J263</f>
      </c>
      <c r="K270" s="346">
        <f t="shared" si="86"/>
      </c>
      <c r="L270" s="346">
        <f t="shared" si="116"/>
      </c>
      <c r="M270" s="346">
        <f t="shared" si="252"/>
      </c>
      <c r="N270" s="346">
        <f t="shared" si="407"/>
      </c>
      <c r="O270" s="346">
        <f t="shared" si="26"/>
      </c>
      <c r="P270" s="346">
        <f t="shared" si="146"/>
      </c>
      <c r="Q270" s="347">
        <f t="shared" si="282"/>
      </c>
      <c r="R270" s="347">
        <f t="shared" si="437"/>
      </c>
      <c r="S270" s="346">
        <f t="shared" si="56"/>
      </c>
      <c r="T270" s="347">
        <f t="shared" si="467"/>
      </c>
      <c r="U270" s="347">
        <f t="shared" si="176"/>
      </c>
      <c r="V270" s="346">
        <f t="shared" si="312"/>
      </c>
      <c r="W270" s="354">
        <f>W269+W263</f>
      </c>
      <c r="X270" s="354">
        <f>X269+X263</f>
      </c>
      <c r="Y270" s="354">
        <f>Y269+Y263</f>
      </c>
      <c r="Z270" s="354">
        <f>Z269+Z263</f>
      </c>
      <c r="AA270" s="354">
        <f>AA269+AA263</f>
      </c>
      <c r="AB270" s="350">
        <f t="shared" si="497"/>
      </c>
      <c r="AC270" s="343"/>
      <c r="AD270" s="343"/>
      <c r="AE270" s="354">
        <f>AE269+AE263</f>
      </c>
      <c r="AF270" s="354">
        <f>AF269+AF263</f>
      </c>
      <c r="AG270" s="354">
        <f>AG269+AG263</f>
      </c>
      <c r="AH270" s="354">
        <f>AH269+AH263</f>
      </c>
      <c r="AI270" s="354">
        <f>AI269+AI263</f>
      </c>
      <c r="AJ270" s="354">
        <f>AJ269+AJ263</f>
      </c>
    </row>
    <row r="271">
      <c r="A271" s="297" t="s">
        <v>246</v>
      </c>
      <c r="B271" s="298" t="s">
        <v>247</v>
      </c>
      <c r="C271" s="298" t="s">
        <v>248</v>
      </c>
      <c r="D271" s="299" t="s">
        <v>249</v>
      </c>
      <c r="E271" s="298" t="s">
        <v>250</v>
      </c>
      <c r="F271" s="298" t="s">
        <v>251</v>
      </c>
      <c r="G271" s="299" t="s">
        <v>252</v>
      </c>
      <c r="H271" s="300" t="s">
        <v>253</v>
      </c>
      <c r="I271" s="301" t="s">
        <v>254</v>
      </c>
      <c r="J271" s="301" t="s">
        <v>255</v>
      </c>
      <c r="K271" s="302" t="s">
        <v>256</v>
      </c>
      <c r="L271" s="301" t="s">
        <v>257</v>
      </c>
      <c r="M271" s="298" t="s">
        <v>258</v>
      </c>
      <c r="N271" s="302" t="s">
        <v>259</v>
      </c>
      <c r="O271" s="303" t="s">
        <v>260</v>
      </c>
      <c r="P271" s="303" t="s">
        <v>261</v>
      </c>
      <c r="Q271" s="299" t="s">
        <v>262</v>
      </c>
      <c r="R271" s="304" t="s">
        <v>263</v>
      </c>
      <c r="S271" s="302" t="s">
        <v>264</v>
      </c>
      <c r="T271" s="305" t="s">
        <v>265</v>
      </c>
      <c r="U271" s="306" t="s">
        <v>266</v>
      </c>
      <c r="V271" s="302" t="s">
        <v>267</v>
      </c>
      <c r="W271" s="307" t="s">
        <v>268</v>
      </c>
      <c r="X271" s="308" t="s">
        <v>269</v>
      </c>
      <c r="Y271" s="307" t="s">
        <v>270</v>
      </c>
      <c r="Z271" s="309" t="s">
        <v>271</v>
      </c>
      <c r="AA271" s="309" t="s">
        <v>272</v>
      </c>
      <c r="AB271" s="301" t="s">
        <v>273</v>
      </c>
      <c r="AC271" s="300" t="s">
        <v>274</v>
      </c>
      <c r="AD271" s="301" t="s">
        <v>275</v>
      </c>
      <c r="AE271" s="300" t="s">
        <v>276</v>
      </c>
      <c r="AF271" s="300" t="s">
        <v>277</v>
      </c>
      <c r="AG271" s="301" t="s">
        <v>278</v>
      </c>
      <c r="AH271" s="300" t="s">
        <v>279</v>
      </c>
      <c r="AI271" s="301" t="s">
        <v>280</v>
      </c>
      <c r="AJ271" s="300" t="s">
        <v>281</v>
      </c>
    </row>
    <row r="272">
      <c r="A272" s="310">
        <v>46232</v>
      </c>
      <c r="B272" s="311" t="s">
        <v>282</v>
      </c>
      <c r="C272" s="312" t="s">
        <v>292</v>
      </c>
      <c r="D272" s="313">
        <f t="shared" ref="D272:D276" si="216">E272+F272</f>
      </c>
      <c r="E272" s="355">
        <v>1241.02</v>
      </c>
      <c r="F272" s="314">
        <v>2000</v>
      </c>
      <c r="G272" s="314">
        <f t="shared" ref="G272:G276" si="333">Z272+AA272</f>
      </c>
      <c r="H272" s="315">
        <v>0</v>
      </c>
      <c r="I272" s="316">
        <f t="shared" ref="I272:I276" si="375">G272-H272</f>
      </c>
      <c r="J272" s="316">
        <f t="shared" ref="J272:J276" si="537">(G272-AA272)/12+AA272</f>
      </c>
      <c r="K272" s="317">
        <f t="shared" ref="K272:K284" si="87">G272/D272</f>
      </c>
      <c r="L272" s="318">
        <f t="shared" ref="L272:L284" si="117">(G272-H272)/D272</f>
      </c>
      <c r="M272" s="319">
        <f t="shared" ref="M272:M284" si="253">(AA272+Z272/12)/D272</f>
      </c>
      <c r="N272" s="320">
        <f t="shared" ref="N272:N284" si="408">G272/Y272</f>
      </c>
      <c r="O272" s="320">
        <f t="shared" ref="O272:O284" si="27">D272/Y272</f>
      </c>
      <c r="P272" s="320">
        <f t="shared" ref="P272:P284" si="147">D272/AE272</f>
      </c>
      <c r="Q272" s="321">
        <f t="shared" ref="Q272:Q284" si="283">Y272/W272</f>
      </c>
      <c r="R272" s="322">
        <f t="shared" ref="R272:R284" si="438">AG272/AF272</f>
      </c>
      <c r="S272" s="320">
        <f t="shared" ref="S272:S284" si="57">D272/AH272</f>
      </c>
      <c r="T272" s="323">
        <f t="shared" ref="T272:T284" si="468">AI272/AH272</f>
      </c>
      <c r="U272" s="323">
        <f t="shared" ref="U272:U284" si="177">AJ272/AH272</f>
      </c>
      <c r="V272" s="320">
        <f t="shared" ref="V272:V284" si="313">D272/AJ272</f>
      </c>
      <c r="W272" s="325">
        <v>7</v>
      </c>
      <c r="X272" s="325">
        <v>3</v>
      </c>
      <c r="Y272" s="325">
        <v>1</v>
      </c>
      <c r="Z272" s="326">
        <v>435.24</v>
      </c>
      <c r="AA272" s="326">
        <v>0</v>
      </c>
      <c r="AB272" s="321">
        <f t="shared" ref="AB272:AB284" si="498">AA272/G272</f>
      </c>
      <c r="AC272" s="327" t="s">
        <v>284</v>
      </c>
      <c r="AD272" s="353" t="s">
        <v>298</v>
      </c>
      <c r="AE272" s="329">
        <v>1</v>
      </c>
      <c r="AF272" s="330">
        <v>41626</v>
      </c>
      <c r="AG272" s="330">
        <v>705</v>
      </c>
      <c r="AH272" s="330">
        <v>693</v>
      </c>
      <c r="AI272" s="329">
        <v>66</v>
      </c>
      <c r="AJ272" s="331">
        <v>76</v>
      </c>
    </row>
    <row r="273">
      <c r="A273" s="310"/>
      <c r="B273" s="311" t="s">
        <v>282</v>
      </c>
      <c r="C273" s="312" t="s">
        <v>293</v>
      </c>
      <c r="D273" s="313">
        <f t="shared" si="216"/>
      </c>
      <c r="E273" s="312">
        <v>1429.13</v>
      </c>
      <c r="F273" s="314">
        <v>2000</v>
      </c>
      <c r="G273" s="314">
        <f t="shared" si="333"/>
      </c>
      <c r="H273" s="315">
        <v>6461.64</v>
      </c>
      <c r="I273" s="316">
        <f t="shared" si="375"/>
      </c>
      <c r="J273" s="316">
        <f t="shared" si="537"/>
      </c>
      <c r="K273" s="317">
        <f t="shared" si="87"/>
      </c>
      <c r="L273" s="318">
        <f t="shared" si="117"/>
      </c>
      <c r="M273" s="319">
        <f t="shared" si="253"/>
      </c>
      <c r="N273" s="320">
        <f t="shared" si="408"/>
      </c>
      <c r="O273" s="320">
        <f t="shared" si="27"/>
      </c>
      <c r="P273" s="320">
        <f t="shared" si="147"/>
      </c>
      <c r="Q273" s="321">
        <f t="shared" si="283"/>
      </c>
      <c r="R273" s="322">
        <f t="shared" si="438"/>
      </c>
      <c r="S273" s="320">
        <f t="shared" si="57"/>
      </c>
      <c r="T273" s="323">
        <f t="shared" si="468"/>
      </c>
      <c r="U273" s="323">
        <f t="shared" si="177"/>
      </c>
      <c r="V273" s="320">
        <f t="shared" si="313"/>
      </c>
      <c r="W273" s="325">
        <v>7</v>
      </c>
      <c r="X273" s="325">
        <v>2</v>
      </c>
      <c r="Y273" s="325">
        <v>3</v>
      </c>
      <c r="Z273" s="326">
        <v>8258.76</v>
      </c>
      <c r="AA273" s="326">
        <v>0</v>
      </c>
      <c r="AB273" s="321">
        <f t="shared" si="498"/>
      </c>
      <c r="AC273" s="327" t="s">
        <v>284</v>
      </c>
      <c r="AD273" s="353" t="s">
        <v>298</v>
      </c>
      <c r="AE273" s="329">
        <v>2</v>
      </c>
      <c r="AF273" s="330">
        <v>44306</v>
      </c>
      <c r="AG273" s="330">
        <v>892</v>
      </c>
      <c r="AH273" s="330">
        <v>916</v>
      </c>
      <c r="AI273" s="331">
        <v>112</v>
      </c>
      <c r="AJ273" s="331">
        <v>121</v>
      </c>
    </row>
    <row r="274">
      <c r="A274" s="310"/>
      <c r="B274" s="311" t="s">
        <v>282</v>
      </c>
      <c r="C274" s="312" t="s">
        <v>294</v>
      </c>
      <c r="D274" s="313">
        <f t="shared" si="216"/>
      </c>
      <c r="E274" s="312">
        <v>1737.42</v>
      </c>
      <c r="F274" s="312">
        <v>1500</v>
      </c>
      <c r="G274" s="314">
        <f t="shared" si="333"/>
      </c>
      <c r="H274" s="315">
        <v>1253.88</v>
      </c>
      <c r="I274" s="316">
        <f t="shared" si="375"/>
      </c>
      <c r="J274" s="316">
        <f t="shared" si="537"/>
      </c>
      <c r="K274" s="317">
        <f t="shared" si="87"/>
      </c>
      <c r="L274" s="318">
        <f t="shared" si="117"/>
      </c>
      <c r="M274" s="319">
        <f t="shared" si="253"/>
      </c>
      <c r="N274" s="320">
        <f t="shared" si="408"/>
      </c>
      <c r="O274" s="320">
        <f t="shared" si="27"/>
      </c>
      <c r="P274" s="320">
        <f t="shared" si="147"/>
      </c>
      <c r="Q274" s="321">
        <f t="shared" si="283"/>
      </c>
      <c r="R274" s="322">
        <f t="shared" si="438"/>
      </c>
      <c r="S274" s="320">
        <f t="shared" si="57"/>
      </c>
      <c r="T274" s="323">
        <f t="shared" si="468"/>
      </c>
      <c r="U274" s="323">
        <f t="shared" si="177"/>
      </c>
      <c r="V274" s="320">
        <f t="shared" si="313"/>
      </c>
      <c r="W274" s="325">
        <v>6</v>
      </c>
      <c r="X274" s="325">
        <v>6</v>
      </c>
      <c r="Y274" s="325">
        <v>3</v>
      </c>
      <c r="Z274" s="326">
        <v>3450.6000000000004</v>
      </c>
      <c r="AA274" s="326">
        <v>0</v>
      </c>
      <c r="AB274" s="321">
        <f t="shared" si="498"/>
      </c>
      <c r="AC274" s="327" t="s">
        <v>284</v>
      </c>
      <c r="AD274" s="353" t="s">
        <v>298</v>
      </c>
      <c r="AE274" s="331">
        <v>3</v>
      </c>
      <c r="AF274" s="330">
        <v>47262</v>
      </c>
      <c r="AG274" s="330">
        <v>961</v>
      </c>
      <c r="AH274" s="330">
        <v>1020</v>
      </c>
      <c r="AI274" s="331">
        <v>92</v>
      </c>
      <c r="AJ274" s="331">
        <v>102</v>
      </c>
    </row>
    <row r="275">
      <c r="A275" s="310"/>
      <c r="B275" s="311" t="s">
        <v>282</v>
      </c>
      <c r="C275" s="312" t="s">
        <v>295</v>
      </c>
      <c r="D275" s="313">
        <f t="shared" si="216"/>
      </c>
      <c r="E275" s="312">
        <v>1417.89</v>
      </c>
      <c r="F275" s="314">
        <v>1973.38</v>
      </c>
      <c r="G275" s="314">
        <f t="shared" si="333"/>
      </c>
      <c r="H275" s="315">
        <v>0</v>
      </c>
      <c r="I275" s="316">
        <f t="shared" si="375"/>
      </c>
      <c r="J275" s="316">
        <f t="shared" si="537"/>
      </c>
      <c r="K275" s="317">
        <f t="shared" si="87"/>
      </c>
      <c r="L275" s="318">
        <f t="shared" si="117"/>
      </c>
      <c r="M275" s="319">
        <f t="shared" si="253"/>
      </c>
      <c r="N275" s="320">
        <f t="shared" si="408"/>
      </c>
      <c r="O275" s="320">
        <f t="shared" si="27"/>
      </c>
      <c r="P275" s="320">
        <f t="shared" si="147"/>
      </c>
      <c r="Q275" s="321">
        <f t="shared" si="283"/>
      </c>
      <c r="R275" s="322">
        <f t="shared" si="438"/>
      </c>
      <c r="S275" s="320">
        <f t="shared" si="57"/>
      </c>
      <c r="T275" s="323">
        <f t="shared" si="468"/>
      </c>
      <c r="U275" s="323">
        <f t="shared" si="177"/>
      </c>
      <c r="V275" s="320">
        <f t="shared" si="313"/>
      </c>
      <c r="W275" s="325">
        <v>5</v>
      </c>
      <c r="X275" s="325">
        <v>1</v>
      </c>
      <c r="Y275" s="325">
        <v>3</v>
      </c>
      <c r="Z275" s="315">
        <v>9758.88</v>
      </c>
      <c r="AA275" s="326">
        <v>0</v>
      </c>
      <c r="AB275" s="321">
        <f t="shared" si="498"/>
      </c>
      <c r="AC275" s="327" t="s">
        <v>284</v>
      </c>
      <c r="AD275" s="353" t="s">
        <v>298</v>
      </c>
      <c r="AE275" s="329">
        <v>2</v>
      </c>
      <c r="AF275" s="330">
        <v>52345</v>
      </c>
      <c r="AG275" s="330">
        <v>732</v>
      </c>
      <c r="AH275" s="330">
        <v>747</v>
      </c>
      <c r="AI275" s="331">
        <v>93</v>
      </c>
      <c r="AJ275" s="331">
        <v>99</v>
      </c>
    </row>
    <row r="276">
      <c r="A276" s="310"/>
      <c r="B276" s="311" t="s">
        <v>282</v>
      </c>
      <c r="C276" s="312" t="s">
        <v>296</v>
      </c>
      <c r="D276" s="313">
        <f t="shared" si="216"/>
      </c>
      <c r="E276" s="312">
        <v>1500.53</v>
      </c>
      <c r="F276" s="314">
        <v>1498.89</v>
      </c>
      <c r="G276" s="352">
        <f t="shared" si="333"/>
      </c>
      <c r="H276" s="315">
        <v>546.48</v>
      </c>
      <c r="I276" s="316">
        <f t="shared" si="375"/>
      </c>
      <c r="J276" s="316">
        <f t="shared" si="537"/>
      </c>
      <c r="K276" s="317">
        <f t="shared" si="87"/>
      </c>
      <c r="L276" s="318">
        <f t="shared" si="117"/>
      </c>
      <c r="M276" s="319">
        <f t="shared" si="253"/>
      </c>
      <c r="N276" s="320">
        <f t="shared" si="408"/>
      </c>
      <c r="O276" s="320">
        <f t="shared" si="27"/>
      </c>
      <c r="P276" s="320">
        <f t="shared" si="147"/>
      </c>
      <c r="Q276" s="321">
        <f t="shared" si="283"/>
      </c>
      <c r="R276" s="322">
        <f t="shared" si="438"/>
      </c>
      <c r="S276" s="320">
        <f t="shared" si="57"/>
      </c>
      <c r="T276" s="323">
        <f t="shared" si="468"/>
      </c>
      <c r="U276" s="323">
        <f t="shared" si="177"/>
      </c>
      <c r="V276" s="320">
        <f t="shared" si="313"/>
      </c>
      <c r="W276" s="325">
        <v>6</v>
      </c>
      <c r="X276" s="325">
        <v>1</v>
      </c>
      <c r="Y276" s="325">
        <v>2</v>
      </c>
      <c r="Z276" s="326">
        <v>1000.0800000000017</v>
      </c>
      <c r="AA276" s="326">
        <v>0</v>
      </c>
      <c r="AB276" s="321">
        <f t="shared" si="498"/>
      </c>
      <c r="AC276" s="327" t="s">
        <v>284</v>
      </c>
      <c r="AD276" s="353" t="s">
        <v>298</v>
      </c>
      <c r="AE276" s="329">
        <v>2</v>
      </c>
      <c r="AF276" s="330">
        <v>48772</v>
      </c>
      <c r="AG276" s="330">
        <v>767</v>
      </c>
      <c r="AH276" s="330">
        <v>789</v>
      </c>
      <c r="AI276" s="331">
        <v>103</v>
      </c>
      <c r="AJ276" s="331">
        <v>100</v>
      </c>
    </row>
    <row r="277">
      <c r="A277" s="310"/>
      <c r="B277" s="333" t="s">
        <v>290</v>
      </c>
      <c r="C277" s="334">
        <v>5</v>
      </c>
      <c r="D277" s="335">
        <f>SUM(D272:D276)</f>
      </c>
      <c r="E277" s="335">
        <f>SUM(E272:E276)</f>
      </c>
      <c r="F277" s="335">
        <f>SUM(F272:F276)</f>
      </c>
      <c r="G277" s="356">
        <f>SUM(G272:G276)</f>
      </c>
      <c r="H277" s="335">
        <f>SUM(H272:H276)</f>
      </c>
      <c r="I277" s="335">
        <f>SUM(I272:I276)</f>
      </c>
      <c r="J277" s="335">
        <f>SUM(J272:J276)</f>
      </c>
      <c r="K277" s="336">
        <f t="shared" si="87"/>
      </c>
      <c r="L277" s="337">
        <f t="shared" si="117"/>
      </c>
      <c r="M277" s="337">
        <f t="shared" si="253"/>
      </c>
      <c r="N277" s="338">
        <f t="shared" si="408"/>
      </c>
      <c r="O277" s="338">
        <f t="shared" si="27"/>
      </c>
      <c r="P277" s="338">
        <f t="shared" si="147"/>
      </c>
      <c r="Q277" s="339">
        <f t="shared" si="283"/>
      </c>
      <c r="R277" s="339">
        <f t="shared" si="438"/>
      </c>
      <c r="S277" s="338">
        <f t="shared" si="57"/>
      </c>
      <c r="T277" s="339">
        <f t="shared" si="468"/>
      </c>
      <c r="U277" s="339">
        <f t="shared" si="177"/>
      </c>
      <c r="V277" s="338">
        <f t="shared" si="313"/>
      </c>
      <c r="W277" s="335">
        <f>SUM(W272:W276)</f>
      </c>
      <c r="X277" s="335">
        <f>SUM(X272:X276)</f>
      </c>
      <c r="Y277" s="335">
        <f>SUM(Y272:Y276)</f>
      </c>
      <c r="Z277" s="335">
        <f>SUM(Z272:Z276)</f>
      </c>
      <c r="AA277" s="335">
        <f>SUM(AA272:AA276)</f>
      </c>
      <c r="AB277" s="340">
        <f t="shared" si="498"/>
      </c>
      <c r="AC277" s="341"/>
      <c r="AD277" s="342"/>
      <c r="AE277" s="335">
        <f>SUM(AE272:AE276)</f>
      </c>
      <c r="AF277" s="335">
        <f>SUM(AF272:AF276)</f>
      </c>
      <c r="AG277" s="335">
        <f>SUM(AG272:AG276)</f>
      </c>
      <c r="AH277" s="335">
        <f>SUM(AH272:AH276)</f>
      </c>
      <c r="AI277" s="335">
        <f>SUM(AI272:AI276)</f>
      </c>
      <c r="AJ277" s="335">
        <f>SUM(AJ272:AJ276)</f>
      </c>
    </row>
    <row r="278">
      <c r="A278" s="310"/>
      <c r="B278" s="311" t="s">
        <v>297</v>
      </c>
      <c r="C278" s="312" t="s">
        <v>283</v>
      </c>
      <c r="D278" s="313">
        <f t="shared" ref="D278:D282" si="217">E278+F278</f>
      </c>
      <c r="E278" s="312">
        <v>1363.16</v>
      </c>
      <c r="F278" s="357">
        <v>1972.48</v>
      </c>
      <c r="G278" s="358">
        <f t="shared" ref="G278:G282" si="334">Z278+AA278</f>
      </c>
      <c r="H278" s="359">
        <v>0</v>
      </c>
      <c r="I278" s="316">
        <f t="shared" ref="I278:I282" si="376">G278-H278</f>
      </c>
      <c r="J278" s="316">
        <f t="shared" ref="J278:J282" si="538">(G278-AA278)/12+AA278</f>
      </c>
      <c r="K278" s="317">
        <f t="shared" si="87"/>
      </c>
      <c r="L278" s="318">
        <f t="shared" si="117"/>
      </c>
      <c r="M278" s="319">
        <f t="shared" si="253"/>
      </c>
      <c r="N278" s="320">
        <f t="shared" si="408"/>
      </c>
      <c r="O278" s="320">
        <f t="shared" si="27"/>
      </c>
      <c r="P278" s="320">
        <f t="shared" si="147"/>
      </c>
      <c r="Q278" s="321">
        <f t="shared" si="283"/>
      </c>
      <c r="R278" s="322">
        <f t="shared" si="438"/>
      </c>
      <c r="S278" s="320">
        <f t="shared" si="57"/>
      </c>
      <c r="T278" s="323">
        <f t="shared" si="468"/>
      </c>
      <c r="U278" s="323">
        <f t="shared" si="177"/>
      </c>
      <c r="V278" s="320">
        <f t="shared" si="313"/>
      </c>
      <c r="W278" s="325">
        <v>4</v>
      </c>
      <c r="X278" s="325">
        <v>2</v>
      </c>
      <c r="Y278" s="325">
        <v>1</v>
      </c>
      <c r="Z278" s="326">
        <v>1092.9599999999991</v>
      </c>
      <c r="AA278" s="326">
        <v>0</v>
      </c>
      <c r="AB278" s="321">
        <f t="shared" si="498"/>
      </c>
      <c r="AC278" s="327" t="s">
        <v>284</v>
      </c>
      <c r="AD278" s="353" t="s">
        <v>298</v>
      </c>
      <c r="AE278" s="329">
        <v>1</v>
      </c>
      <c r="AF278" s="330">
        <v>50037</v>
      </c>
      <c r="AG278" s="330">
        <v>728</v>
      </c>
      <c r="AH278" s="330">
        <v>737</v>
      </c>
      <c r="AI278" s="331">
        <v>89</v>
      </c>
      <c r="AJ278" s="331">
        <v>118</v>
      </c>
    </row>
    <row r="279">
      <c r="A279" s="310"/>
      <c r="B279" s="311" t="s">
        <v>297</v>
      </c>
      <c r="C279" s="332" t="s">
        <v>286</v>
      </c>
      <c r="D279" s="313">
        <f t="shared" si="217"/>
      </c>
      <c r="E279" s="312">
        <v>1551.26</v>
      </c>
      <c r="F279" s="357">
        <v>1555.25</v>
      </c>
      <c r="G279" s="358">
        <f t="shared" si="334"/>
      </c>
      <c r="H279" s="359">
        <v>0</v>
      </c>
      <c r="I279" s="316">
        <f t="shared" si="376"/>
      </c>
      <c r="J279" s="316">
        <f t="shared" si="538"/>
      </c>
      <c r="K279" s="317">
        <f t="shared" si="87"/>
      </c>
      <c r="L279" s="318">
        <f t="shared" si="117"/>
      </c>
      <c r="M279" s="319">
        <f t="shared" si="253"/>
      </c>
      <c r="N279" s="320">
        <f t="shared" si="408"/>
      </c>
      <c r="O279" s="320">
        <f t="shared" si="27"/>
      </c>
      <c r="P279" s="320">
        <f t="shared" si="147"/>
      </c>
      <c r="Q279" s="321">
        <f t="shared" si="283"/>
      </c>
      <c r="R279" s="322">
        <f t="shared" si="438"/>
      </c>
      <c r="S279" s="320">
        <f t="shared" si="57"/>
      </c>
      <c r="T279" s="323">
        <f t="shared" si="468"/>
      </c>
      <c r="U279" s="323">
        <f t="shared" si="177"/>
      </c>
      <c r="V279" s="320">
        <f t="shared" si="313"/>
      </c>
      <c r="W279" s="325">
        <v>8</v>
      </c>
      <c r="X279" s="325">
        <v>5</v>
      </c>
      <c r="Y279" s="325">
        <v>3</v>
      </c>
      <c r="Z279" s="326">
        <v>11802.240000000002</v>
      </c>
      <c r="AA279" s="326">
        <v>0</v>
      </c>
      <c r="AB279" s="321">
        <f t="shared" si="498"/>
      </c>
      <c r="AC279" s="327" t="s">
        <v>284</v>
      </c>
      <c r="AD279" s="353" t="s">
        <v>298</v>
      </c>
      <c r="AE279" s="329">
        <v>2</v>
      </c>
      <c r="AF279" s="330">
        <v>49377</v>
      </c>
      <c r="AG279" s="330">
        <v>715</v>
      </c>
      <c r="AH279" s="330">
        <v>732</v>
      </c>
      <c r="AI279" s="331">
        <v>79</v>
      </c>
      <c r="AJ279" s="331">
        <v>113</v>
      </c>
    </row>
    <row r="280">
      <c r="A280" s="310"/>
      <c r="B280" s="311" t="s">
        <v>297</v>
      </c>
      <c r="C280" s="332" t="s">
        <v>287</v>
      </c>
      <c r="D280" s="313">
        <f t="shared" si="217"/>
      </c>
      <c r="E280" s="312">
        <v>2184.48</v>
      </c>
      <c r="F280" s="357">
        <v>1498.59</v>
      </c>
      <c r="G280" s="358">
        <f t="shared" si="334"/>
      </c>
      <c r="H280" s="359">
        <v>1953.72</v>
      </c>
      <c r="I280" s="316">
        <f t="shared" si="376"/>
      </c>
      <c r="J280" s="316">
        <f t="shared" si="538"/>
      </c>
      <c r="K280" s="317">
        <f t="shared" si="87"/>
      </c>
      <c r="L280" s="318">
        <f t="shared" si="117"/>
      </c>
      <c r="M280" s="319">
        <f t="shared" si="253"/>
      </c>
      <c r="N280" s="320">
        <f t="shared" si="408"/>
      </c>
      <c r="O280" s="320">
        <f t="shared" si="27"/>
      </c>
      <c r="P280" s="320">
        <f t="shared" si="147"/>
      </c>
      <c r="Q280" s="321">
        <f t="shared" si="283"/>
      </c>
      <c r="R280" s="322">
        <f t="shared" si="438"/>
      </c>
      <c r="S280" s="320">
        <f t="shared" si="57"/>
      </c>
      <c r="T280" s="323">
        <f t="shared" si="468"/>
      </c>
      <c r="U280" s="323">
        <f t="shared" si="177"/>
      </c>
      <c r="V280" s="320">
        <f t="shared" si="313"/>
      </c>
      <c r="W280" s="325">
        <v>7</v>
      </c>
      <c r="X280" s="325">
        <v>3</v>
      </c>
      <c r="Y280" s="325">
        <v>5</v>
      </c>
      <c r="Z280" s="326">
        <v>7765.0799999999945</v>
      </c>
      <c r="AA280" s="326">
        <v>0</v>
      </c>
      <c r="AB280" s="321">
        <f t="shared" si="498"/>
      </c>
      <c r="AC280" s="327" t="s">
        <v>284</v>
      </c>
      <c r="AD280" s="353" t="s">
        <v>298</v>
      </c>
      <c r="AE280" s="331">
        <v>4</v>
      </c>
      <c r="AF280" s="330">
        <v>53857</v>
      </c>
      <c r="AG280" s="330">
        <v>1042</v>
      </c>
      <c r="AH280" s="330">
        <v>1099</v>
      </c>
      <c r="AI280" s="331">
        <v>90</v>
      </c>
      <c r="AJ280" s="331">
        <v>98</v>
      </c>
    </row>
    <row r="281">
      <c r="A281" s="310"/>
      <c r="B281" s="311" t="s">
        <v>297</v>
      </c>
      <c r="C281" s="312" t="s">
        <v>288</v>
      </c>
      <c r="D281" s="313">
        <f t="shared" si="217"/>
      </c>
      <c r="E281" s="312">
        <v>2048.68</v>
      </c>
      <c r="F281" s="357">
        <v>1496.17</v>
      </c>
      <c r="G281" s="358">
        <f t="shared" si="334"/>
      </c>
      <c r="H281" s="359">
        <v>0</v>
      </c>
      <c r="I281" s="316">
        <f t="shared" si="376"/>
      </c>
      <c r="J281" s="316">
        <f t="shared" si="538"/>
      </c>
      <c r="K281" s="317">
        <f t="shared" si="87"/>
      </c>
      <c r="L281" s="318">
        <f t="shared" si="117"/>
      </c>
      <c r="M281" s="319">
        <f t="shared" si="253"/>
      </c>
      <c r="N281" s="320">
        <f t="shared" si="408"/>
      </c>
      <c r="O281" s="320">
        <f t="shared" si="27"/>
      </c>
      <c r="P281" s="320">
        <f t="shared" si="147"/>
      </c>
      <c r="Q281" s="321">
        <f t="shared" si="283"/>
      </c>
      <c r="R281" s="322">
        <f t="shared" si="438"/>
      </c>
      <c r="S281" s="320">
        <f t="shared" si="57"/>
      </c>
      <c r="T281" s="323">
        <f t="shared" si="468"/>
      </c>
      <c r="U281" s="323">
        <f t="shared" si="177"/>
      </c>
      <c r="V281" s="320">
        <f t="shared" si="313"/>
      </c>
      <c r="W281" s="325">
        <v>12</v>
      </c>
      <c r="X281" s="325">
        <v>4</v>
      </c>
      <c r="Y281" s="325">
        <v>4</v>
      </c>
      <c r="Z281" s="315">
        <v>8295.480000000003</v>
      </c>
      <c r="AA281" s="326">
        <v>0</v>
      </c>
      <c r="AB281" s="321">
        <f t="shared" si="498"/>
      </c>
      <c r="AC281" s="327" t="s">
        <v>284</v>
      </c>
      <c r="AD281" s="353" t="s">
        <v>298</v>
      </c>
      <c r="AE281" s="329">
        <v>3</v>
      </c>
      <c r="AF281" s="330">
        <v>52503</v>
      </c>
      <c r="AG281" s="330">
        <v>912</v>
      </c>
      <c r="AH281" s="330">
        <v>942</v>
      </c>
      <c r="AI281" s="331">
        <v>85</v>
      </c>
      <c r="AJ281" s="331">
        <v>113</v>
      </c>
    </row>
    <row r="282">
      <c r="A282" s="310"/>
      <c r="B282" s="311" t="s">
        <v>297</v>
      </c>
      <c r="C282" s="332" t="s">
        <v>289</v>
      </c>
      <c r="D282" s="313">
        <f t="shared" si="217"/>
      </c>
      <c r="E282" s="312">
        <v>1291.04</v>
      </c>
      <c r="F282" s="357">
        <v>1505.24</v>
      </c>
      <c r="G282" s="358">
        <f t="shared" si="334"/>
      </c>
      <c r="H282" s="359">
        <v>0</v>
      </c>
      <c r="I282" s="316">
        <f t="shared" si="376"/>
      </c>
      <c r="J282" s="316">
        <f t="shared" si="538"/>
      </c>
      <c r="K282" s="317">
        <f t="shared" si="87"/>
      </c>
      <c r="L282" s="318">
        <f t="shared" si="117"/>
      </c>
      <c r="M282" s="319">
        <f t="shared" si="253"/>
      </c>
      <c r="N282" s="320">
        <f t="shared" si="408"/>
      </c>
      <c r="O282" s="320">
        <f t="shared" si="27"/>
      </c>
      <c r="P282" s="320">
        <f t="shared" si="147"/>
      </c>
      <c r="Q282" s="321">
        <f t="shared" si="283"/>
      </c>
      <c r="R282" s="322">
        <f t="shared" si="438"/>
      </c>
      <c r="S282" s="320">
        <f t="shared" si="57"/>
      </c>
      <c r="T282" s="323">
        <f t="shared" si="468"/>
      </c>
      <c r="U282" s="323">
        <f t="shared" si="177"/>
      </c>
      <c r="V282" s="320">
        <f t="shared" si="313"/>
      </c>
      <c r="W282" s="325">
        <v>4</v>
      </c>
      <c r="X282" s="325">
        <v>2</v>
      </c>
      <c r="Y282" s="325">
        <v>3</v>
      </c>
      <c r="Z282" s="326">
        <v>4134.360000000001</v>
      </c>
      <c r="AA282" s="326">
        <v>0</v>
      </c>
      <c r="AB282" s="321">
        <f t="shared" si="498"/>
      </c>
      <c r="AC282" s="327" t="s">
        <v>284</v>
      </c>
      <c r="AD282" s="353" t="s">
        <v>298</v>
      </c>
      <c r="AE282" s="329">
        <v>3</v>
      </c>
      <c r="AF282" s="330">
        <v>40082</v>
      </c>
      <c r="AG282" s="330">
        <v>763</v>
      </c>
      <c r="AH282" s="330">
        <v>818</v>
      </c>
      <c r="AI282" s="331">
        <v>53</v>
      </c>
      <c r="AJ282" s="331">
        <v>78</v>
      </c>
    </row>
    <row r="283">
      <c r="A283" s="310"/>
      <c r="B283" s="333" t="s">
        <v>290</v>
      </c>
      <c r="C283" s="334">
        <v>5</v>
      </c>
      <c r="D283" s="335">
        <f>SUM(D278:D282)</f>
      </c>
      <c r="E283" s="335">
        <f>SUM(E278:E282)</f>
      </c>
      <c r="F283" s="335">
        <f>SUM(F278:F282)</f>
      </c>
      <c r="G283" s="360">
        <f>SUM(G278:G282)</f>
      </c>
      <c r="H283" s="335">
        <f>SUM(H278:H282)</f>
      </c>
      <c r="I283" s="335">
        <f>SUM(I278:I282)</f>
      </c>
      <c r="J283" s="335">
        <f>SUM(J278:J282)</f>
      </c>
      <c r="K283" s="336">
        <f t="shared" si="87"/>
      </c>
      <c r="L283" s="337">
        <f t="shared" si="117"/>
      </c>
      <c r="M283" s="337">
        <f t="shared" si="253"/>
      </c>
      <c r="N283" s="338">
        <f t="shared" si="408"/>
      </c>
      <c r="O283" s="338">
        <f t="shared" si="27"/>
      </c>
      <c r="P283" s="338">
        <f t="shared" si="147"/>
      </c>
      <c r="Q283" s="339">
        <f t="shared" si="283"/>
      </c>
      <c r="R283" s="339">
        <f t="shared" si="438"/>
      </c>
      <c r="S283" s="338">
        <f t="shared" si="57"/>
      </c>
      <c r="T283" s="339">
        <f t="shared" si="468"/>
      </c>
      <c r="U283" s="339">
        <f t="shared" si="177"/>
      </c>
      <c r="V283" s="338">
        <f t="shared" si="313"/>
      </c>
      <c r="W283" s="335">
        <f>SUM(W278:W282)</f>
      </c>
      <c r="X283" s="335">
        <f>SUM(X278:X282)</f>
      </c>
      <c r="Y283" s="335">
        <f>SUM(Y278:Y282)</f>
      </c>
      <c r="Z283" s="335">
        <f>SUM(Z278:Z282)</f>
      </c>
      <c r="AA283" s="335">
        <f>SUM(AA278:AA282)</f>
      </c>
      <c r="AB283" s="340">
        <f t="shared" si="498"/>
      </c>
      <c r="AC283" s="341"/>
      <c r="AD283" s="342"/>
      <c r="AE283" s="335">
        <f>SUM(AE278:AE282)</f>
      </c>
      <c r="AF283" s="335">
        <f>SUM(AF278:AF282)</f>
      </c>
      <c r="AG283" s="335">
        <f>SUM(AG278:AG282)</f>
      </c>
      <c r="AH283" s="335">
        <f>SUM(AH278:AH282)</f>
      </c>
      <c r="AI283" s="335">
        <f>SUM(AI278:AI282)</f>
      </c>
      <c r="AJ283" s="335">
        <f>SUM(AJ278:AJ282)</f>
      </c>
    </row>
    <row r="284">
      <c r="A284" s="310"/>
      <c r="B284" s="343" t="s">
        <v>290</v>
      </c>
      <c r="C284" s="344">
        <f>C283+C277</f>
      </c>
      <c r="D284" s="354">
        <f>D283+D277</f>
      </c>
      <c r="E284" s="354">
        <f>E283+E277</f>
      </c>
      <c r="F284" s="354">
        <f>F283+F277</f>
      </c>
      <c r="G284" s="354">
        <f>G283+G277</f>
      </c>
      <c r="H284" s="354">
        <f>H283+H277</f>
      </c>
      <c r="I284" s="354">
        <f>I283+I277</f>
      </c>
      <c r="J284" s="354">
        <f>J283+J277</f>
      </c>
      <c r="K284" s="346">
        <f t="shared" si="87"/>
      </c>
      <c r="L284" s="346">
        <f t="shared" si="117"/>
      </c>
      <c r="M284" s="346">
        <f t="shared" si="253"/>
      </c>
      <c r="N284" s="346">
        <f t="shared" si="408"/>
      </c>
      <c r="O284" s="346">
        <f t="shared" si="27"/>
      </c>
      <c r="P284" s="346">
        <f t="shared" si="147"/>
      </c>
      <c r="Q284" s="347">
        <f t="shared" si="283"/>
      </c>
      <c r="R284" s="347">
        <f t="shared" si="438"/>
      </c>
      <c r="S284" s="346">
        <f t="shared" si="57"/>
      </c>
      <c r="T284" s="347">
        <f t="shared" si="468"/>
      </c>
      <c r="U284" s="347">
        <f t="shared" si="177"/>
      </c>
      <c r="V284" s="346">
        <f t="shared" si="313"/>
      </c>
      <c r="W284" s="354">
        <f>W283+W277</f>
      </c>
      <c r="X284" s="354">
        <f>X283+X277</f>
      </c>
      <c r="Y284" s="354">
        <f>Y283+Y277</f>
      </c>
      <c r="Z284" s="354">
        <f>Z283+Z277</f>
      </c>
      <c r="AA284" s="354">
        <f>AA283+AA277</f>
      </c>
      <c r="AB284" s="350">
        <f t="shared" si="498"/>
      </c>
      <c r="AC284" s="343"/>
      <c r="AD284" s="343"/>
      <c r="AE284" s="354">
        <f>AE283+AE277</f>
      </c>
      <c r="AF284" s="354">
        <f>AF283+AF277</f>
      </c>
      <c r="AG284" s="354">
        <f>AG283+AG277</f>
      </c>
      <c r="AH284" s="354">
        <f>AH283+AH277</f>
      </c>
      <c r="AI284" s="354">
        <f>AI283+AI277</f>
      </c>
      <c r="AJ284" s="354">
        <f>AJ283+AJ277</f>
      </c>
    </row>
    <row r="285">
      <c r="A285" s="297" t="s">
        <v>246</v>
      </c>
      <c r="B285" s="298" t="s">
        <v>247</v>
      </c>
      <c r="C285" s="298" t="s">
        <v>248</v>
      </c>
      <c r="D285" s="299" t="s">
        <v>249</v>
      </c>
      <c r="E285" s="298" t="s">
        <v>250</v>
      </c>
      <c r="F285" s="298" t="s">
        <v>251</v>
      </c>
      <c r="G285" s="299" t="s">
        <v>252</v>
      </c>
      <c r="H285" s="300" t="s">
        <v>253</v>
      </c>
      <c r="I285" s="301" t="s">
        <v>254</v>
      </c>
      <c r="J285" s="301" t="s">
        <v>255</v>
      </c>
      <c r="K285" s="302" t="s">
        <v>256</v>
      </c>
      <c r="L285" s="301" t="s">
        <v>257</v>
      </c>
      <c r="M285" s="298" t="s">
        <v>258</v>
      </c>
      <c r="N285" s="302" t="s">
        <v>259</v>
      </c>
      <c r="O285" s="303" t="s">
        <v>260</v>
      </c>
      <c r="P285" s="303" t="s">
        <v>261</v>
      </c>
      <c r="Q285" s="299" t="s">
        <v>262</v>
      </c>
      <c r="R285" s="304" t="s">
        <v>263</v>
      </c>
      <c r="S285" s="302" t="s">
        <v>264</v>
      </c>
      <c r="T285" s="305" t="s">
        <v>265</v>
      </c>
      <c r="U285" s="306" t="s">
        <v>266</v>
      </c>
      <c r="V285" s="302" t="s">
        <v>267</v>
      </c>
      <c r="W285" s="307" t="s">
        <v>268</v>
      </c>
      <c r="X285" s="308" t="s">
        <v>269</v>
      </c>
      <c r="Y285" s="307" t="s">
        <v>270</v>
      </c>
      <c r="Z285" s="309" t="s">
        <v>271</v>
      </c>
      <c r="AA285" s="309" t="s">
        <v>272</v>
      </c>
      <c r="AB285" s="301" t="s">
        <v>273</v>
      </c>
      <c r="AC285" s="300" t="s">
        <v>274</v>
      </c>
      <c r="AD285" s="301" t="s">
        <v>275</v>
      </c>
      <c r="AE285" s="300" t="s">
        <v>276</v>
      </c>
      <c r="AF285" s="300" t="s">
        <v>277</v>
      </c>
      <c r="AG285" s="301" t="s">
        <v>278</v>
      </c>
      <c r="AH285" s="300" t="s">
        <v>279</v>
      </c>
      <c r="AI285" s="301" t="s">
        <v>280</v>
      </c>
      <c r="AJ285" s="300" t="s">
        <v>281</v>
      </c>
    </row>
    <row r="286">
      <c r="A286" s="310">
        <v>46233</v>
      </c>
      <c r="B286" s="311" t="s">
        <v>282</v>
      </c>
      <c r="C286" s="312" t="s">
        <v>292</v>
      </c>
      <c r="D286" s="313">
        <f t="shared" ref="D286:D290" si="218">E286+F286</f>
      </c>
      <c r="E286" s="355">
        <v>1736.4</v>
      </c>
      <c r="F286" s="314">
        <v>2000</v>
      </c>
      <c r="G286" s="314">
        <f t="shared" ref="G286:G290" si="335">Z286+AA286</f>
      </c>
      <c r="H286" s="315">
        <v>2415</v>
      </c>
      <c r="I286" s="316">
        <f t="shared" ref="I286:I290" si="377">G286-H286</f>
      </c>
      <c r="J286" s="316">
        <f t="shared" ref="J286:J290" si="539">(G286-AA286)/12+AA286</f>
      </c>
      <c r="K286" s="317">
        <f t="shared" ref="K286:K298" si="88">G286/D286</f>
      </c>
      <c r="L286" s="318">
        <f t="shared" ref="L286:L298" si="118">(G286-H286)/D286</f>
      </c>
      <c r="M286" s="319">
        <f t="shared" ref="M286:M298" si="254">(AA286+Z286/12)/D286</f>
      </c>
      <c r="N286" s="320">
        <f t="shared" ref="N286:N298" si="409">G286/Y286</f>
      </c>
      <c r="O286" s="320">
        <f t="shared" ref="O286:O298" si="28">D286/Y286</f>
      </c>
      <c r="P286" s="320">
        <f t="shared" ref="P286:P298" si="148">D286/AE286</f>
      </c>
      <c r="Q286" s="321">
        <f t="shared" ref="Q286:Q298" si="284">Y286/W286</f>
      </c>
      <c r="R286" s="322">
        <f t="shared" ref="R286:R298" si="439">AG286/AF286</f>
      </c>
      <c r="S286" s="320">
        <f t="shared" ref="S286:S298" si="58">D286/AH286</f>
      </c>
      <c r="T286" s="323">
        <f t="shared" ref="T286:T298" si="469">AI286/AH286</f>
      </c>
      <c r="U286" s="323">
        <f t="shared" ref="U286:U298" si="178">AJ286/AH286</f>
      </c>
      <c r="V286" s="320">
        <f t="shared" ref="V286:V298" si="314">D286/AJ286</f>
      </c>
      <c r="W286" s="325">
        <v>4</v>
      </c>
      <c r="X286" s="325">
        <v>1</v>
      </c>
      <c r="Y286" s="325">
        <v>1</v>
      </c>
      <c r="Z286" s="326">
        <v>0</v>
      </c>
      <c r="AA286" s="326">
        <v>2415</v>
      </c>
      <c r="AB286" s="321">
        <f t="shared" ref="AB286:AB298" si="499">AA286/G286</f>
      </c>
      <c r="AC286" s="327" t="s">
        <v>284</v>
      </c>
      <c r="AD286" s="353" t="s">
        <v>298</v>
      </c>
      <c r="AE286" s="329">
        <v>1</v>
      </c>
      <c r="AF286" s="330">
        <v>39192</v>
      </c>
      <c r="AG286" s="330">
        <v>976</v>
      </c>
      <c r="AH286" s="330">
        <v>1013</v>
      </c>
      <c r="AI286" s="329">
        <v>99</v>
      </c>
      <c r="AJ286" s="331">
        <v>117</v>
      </c>
    </row>
    <row r="287">
      <c r="A287" s="310"/>
      <c r="B287" s="311" t="s">
        <v>282</v>
      </c>
      <c r="C287" s="312" t="s">
        <v>293</v>
      </c>
      <c r="D287" s="313">
        <f t="shared" si="218"/>
      </c>
      <c r="E287" s="312">
        <v>2218.87</v>
      </c>
      <c r="F287" s="314">
        <v>1500</v>
      </c>
      <c r="G287" s="314">
        <f t="shared" si="335"/>
      </c>
      <c r="H287" s="315">
        <v>0</v>
      </c>
      <c r="I287" s="316">
        <f t="shared" si="377"/>
      </c>
      <c r="J287" s="316">
        <f t="shared" si="539"/>
      </c>
      <c r="K287" s="317">
        <f t="shared" si="88"/>
      </c>
      <c r="L287" s="318">
        <f t="shared" si="118"/>
      </c>
      <c r="M287" s="319">
        <f t="shared" si="254"/>
      </c>
      <c r="N287" s="320">
        <f t="shared" si="409"/>
      </c>
      <c r="O287" s="320">
        <f t="shared" si="28"/>
      </c>
      <c r="P287" s="320">
        <f t="shared" si="148"/>
      </c>
      <c r="Q287" s="321">
        <f t="shared" si="284"/>
      </c>
      <c r="R287" s="322">
        <f t="shared" si="439"/>
      </c>
      <c r="S287" s="320">
        <f t="shared" si="58"/>
      </c>
      <c r="T287" s="323">
        <f t="shared" si="469"/>
      </c>
      <c r="U287" s="323">
        <f t="shared" si="178"/>
      </c>
      <c r="V287" s="320">
        <f t="shared" si="314"/>
      </c>
      <c r="W287" s="325">
        <v>4</v>
      </c>
      <c r="X287" s="325">
        <v>2</v>
      </c>
      <c r="Y287" s="325">
        <v>1</v>
      </c>
      <c r="Z287" s="326">
        <v>638.28</v>
      </c>
      <c r="AA287" s="326">
        <v>0</v>
      </c>
      <c r="AB287" s="321">
        <f t="shared" si="499"/>
      </c>
      <c r="AC287" s="327" t="s">
        <v>284</v>
      </c>
      <c r="AD287" s="353" t="s">
        <v>298</v>
      </c>
      <c r="AE287" s="329">
        <v>1</v>
      </c>
      <c r="AF287" s="330">
        <v>52048</v>
      </c>
      <c r="AG287" s="330">
        <v>1163</v>
      </c>
      <c r="AH287" s="330">
        <v>1227</v>
      </c>
      <c r="AI287" s="331">
        <v>91</v>
      </c>
      <c r="AJ287" s="331">
        <v>127</v>
      </c>
    </row>
    <row r="288">
      <c r="A288" s="310"/>
      <c r="B288" s="311" t="s">
        <v>282</v>
      </c>
      <c r="C288" s="312" t="s">
        <v>294</v>
      </c>
      <c r="D288" s="313">
        <f t="shared" si="218"/>
      </c>
      <c r="E288" s="312">
        <v>77.38</v>
      </c>
      <c r="F288" s="312">
        <v>1503.42</v>
      </c>
      <c r="G288" s="314">
        <f t="shared" si="335"/>
      </c>
      <c r="H288" s="315">
        <v>696.6</v>
      </c>
      <c r="I288" s="316">
        <f t="shared" si="377"/>
      </c>
      <c r="J288" s="316">
        <f t="shared" si="539"/>
      </c>
      <c r="K288" s="317">
        <f t="shared" si="88"/>
      </c>
      <c r="L288" s="318">
        <f t="shared" si="118"/>
      </c>
      <c r="M288" s="319">
        <f t="shared" si="254"/>
      </c>
      <c r="N288" s="320">
        <f t="shared" si="409"/>
      </c>
      <c r="O288" s="320">
        <f t="shared" si="28"/>
      </c>
      <c r="P288" s="320">
        <f t="shared" si="148"/>
      </c>
      <c r="Q288" s="321">
        <f t="shared" si="284"/>
      </c>
      <c r="R288" s="322">
        <f t="shared" si="439"/>
      </c>
      <c r="S288" s="320">
        <f t="shared" si="58"/>
      </c>
      <c r="T288" s="323">
        <f t="shared" si="469"/>
      </c>
      <c r="U288" s="323">
        <f t="shared" si="178"/>
      </c>
      <c r="V288" s="320">
        <f t="shared" si="314"/>
      </c>
      <c r="W288" s="325">
        <v>7</v>
      </c>
      <c r="X288" s="325">
        <v>1</v>
      </c>
      <c r="Y288" s="325">
        <v>3</v>
      </c>
      <c r="Z288" s="326">
        <v>4477.4400000000005</v>
      </c>
      <c r="AA288" s="326">
        <v>0</v>
      </c>
      <c r="AB288" s="321">
        <f t="shared" si="499"/>
      </c>
      <c r="AC288" s="327" t="s">
        <v>284</v>
      </c>
      <c r="AD288" s="353" t="s">
        <v>298</v>
      </c>
      <c r="AE288" s="331">
        <v>3</v>
      </c>
      <c r="AF288" s="330">
        <v>22182</v>
      </c>
      <c r="AG288" s="330">
        <v>222</v>
      </c>
      <c r="AH288" s="330">
        <v>229</v>
      </c>
      <c r="AI288" s="331">
        <v>44</v>
      </c>
      <c r="AJ288" s="331">
        <v>57</v>
      </c>
    </row>
    <row r="289">
      <c r="A289" s="310"/>
      <c r="B289" s="311" t="s">
        <v>282</v>
      </c>
      <c r="C289" s="312" t="s">
        <v>295</v>
      </c>
      <c r="D289" s="313">
        <f t="shared" si="218"/>
      </c>
      <c r="E289" s="312">
        <v>1608.33</v>
      </c>
      <c r="F289" s="314">
        <v>2092.86</v>
      </c>
      <c r="G289" s="314">
        <f t="shared" si="335"/>
      </c>
      <c r="H289" s="315">
        <v>0</v>
      </c>
      <c r="I289" s="316">
        <f t="shared" si="377"/>
      </c>
      <c r="J289" s="316">
        <f t="shared" si="539"/>
      </c>
      <c r="K289" s="317">
        <f t="shared" si="88"/>
      </c>
      <c r="L289" s="318">
        <f t="shared" si="118"/>
      </c>
      <c r="M289" s="319">
        <f t="shared" si="254"/>
      </c>
      <c r="N289" s="320">
        <f t="shared" si="409"/>
      </c>
      <c r="O289" s="320">
        <f t="shared" si="28"/>
      </c>
      <c r="P289" s="320">
        <f t="shared" si="148"/>
      </c>
      <c r="Q289" s="321">
        <f t="shared" si="284"/>
      </c>
      <c r="R289" s="322">
        <f t="shared" si="439"/>
      </c>
      <c r="S289" s="320">
        <f t="shared" si="58"/>
      </c>
      <c r="T289" s="323">
        <f t="shared" si="469"/>
      </c>
      <c r="U289" s="323">
        <f t="shared" si="178"/>
      </c>
      <c r="V289" s="320">
        <f t="shared" si="314"/>
      </c>
      <c r="W289" s="325">
        <v>7</v>
      </c>
      <c r="X289" s="325">
        <v>2</v>
      </c>
      <c r="Y289" s="325">
        <v>5</v>
      </c>
      <c r="Z289" s="315">
        <v>6085.8</v>
      </c>
      <c r="AA289" s="326">
        <v>0</v>
      </c>
      <c r="AB289" s="321">
        <f t="shared" si="499"/>
      </c>
      <c r="AC289" s="327" t="s">
        <v>284</v>
      </c>
      <c r="AD289" s="353" t="s">
        <v>298</v>
      </c>
      <c r="AE289" s="329">
        <v>2</v>
      </c>
      <c r="AF289" s="330">
        <v>53567</v>
      </c>
      <c r="AG289" s="330">
        <v>825</v>
      </c>
      <c r="AH289" s="330">
        <v>816</v>
      </c>
      <c r="AI289" s="331">
        <v>92</v>
      </c>
      <c r="AJ289" s="331">
        <v>89</v>
      </c>
    </row>
    <row r="290">
      <c r="A290" s="310"/>
      <c r="B290" s="311" t="s">
        <v>282</v>
      </c>
      <c r="C290" s="312" t="s">
        <v>296</v>
      </c>
      <c r="D290" s="313">
        <f t="shared" si="218"/>
      </c>
      <c r="E290" s="312">
        <v>829.43</v>
      </c>
      <c r="F290" s="314">
        <v>2043.1</v>
      </c>
      <c r="G290" s="352">
        <f t="shared" si="335"/>
      </c>
      <c r="H290" s="315">
        <v>0</v>
      </c>
      <c r="I290" s="316">
        <f t="shared" si="377"/>
      </c>
      <c r="J290" s="316">
        <f t="shared" si="539"/>
      </c>
      <c r="K290" s="317">
        <f t="shared" si="88"/>
      </c>
      <c r="L290" s="318">
        <f t="shared" si="118"/>
      </c>
      <c r="M290" s="319">
        <f t="shared" si="254"/>
      </c>
      <c r="N290" s="320">
        <f t="shared" si="409"/>
      </c>
      <c r="O290" s="320">
        <f t="shared" si="28"/>
      </c>
      <c r="P290" s="320">
        <f t="shared" si="148"/>
      </c>
      <c r="Q290" s="321">
        <f t="shared" si="284"/>
      </c>
      <c r="R290" s="322">
        <f t="shared" si="439"/>
      </c>
      <c r="S290" s="320">
        <f t="shared" si="58"/>
      </c>
      <c r="T290" s="323">
        <f t="shared" si="469"/>
      </c>
      <c r="U290" s="323">
        <f t="shared" si="178"/>
      </c>
      <c r="V290" s="320">
        <f t="shared" si="314"/>
      </c>
      <c r="W290" s="325">
        <v>7</v>
      </c>
      <c r="X290" s="325">
        <v>2</v>
      </c>
      <c r="Y290" s="325">
        <v>2</v>
      </c>
      <c r="Z290" s="326">
        <v>2593.08</v>
      </c>
      <c r="AA290" s="326">
        <v>0</v>
      </c>
      <c r="AB290" s="321">
        <f t="shared" si="499"/>
      </c>
      <c r="AC290" s="327" t="s">
        <v>284</v>
      </c>
      <c r="AD290" s="353" t="s">
        <v>298</v>
      </c>
      <c r="AE290" s="329">
        <v>2</v>
      </c>
      <c r="AF290" s="330">
        <v>43174</v>
      </c>
      <c r="AG290" s="330">
        <v>630</v>
      </c>
      <c r="AH290" s="330">
        <v>597</v>
      </c>
      <c r="AI290" s="331">
        <v>74</v>
      </c>
      <c r="AJ290" s="331">
        <v>88</v>
      </c>
    </row>
    <row r="291">
      <c r="A291" s="310"/>
      <c r="B291" s="333" t="s">
        <v>290</v>
      </c>
      <c r="C291" s="334">
        <v>5</v>
      </c>
      <c r="D291" s="335">
        <f>SUM(D286:D290)</f>
      </c>
      <c r="E291" s="335">
        <f>SUM(E286:E290)</f>
      </c>
      <c r="F291" s="335">
        <f>SUM(F286:F290)</f>
      </c>
      <c r="G291" s="356">
        <f>SUM(G286:G290)</f>
      </c>
      <c r="H291" s="335">
        <f>SUM(H286:H290)</f>
      </c>
      <c r="I291" s="335">
        <f>SUM(I286:I290)</f>
      </c>
      <c r="J291" s="335">
        <f>SUM(J286:J290)</f>
      </c>
      <c r="K291" s="336">
        <f t="shared" si="88"/>
      </c>
      <c r="L291" s="337">
        <f t="shared" si="118"/>
      </c>
      <c r="M291" s="337">
        <f t="shared" si="254"/>
      </c>
      <c r="N291" s="338">
        <f t="shared" si="409"/>
      </c>
      <c r="O291" s="338">
        <f t="shared" si="28"/>
      </c>
      <c r="P291" s="338">
        <f t="shared" si="148"/>
      </c>
      <c r="Q291" s="339">
        <f t="shared" si="284"/>
      </c>
      <c r="R291" s="339">
        <f t="shared" si="439"/>
      </c>
      <c r="S291" s="338">
        <f t="shared" si="58"/>
      </c>
      <c r="T291" s="339">
        <f t="shared" si="469"/>
      </c>
      <c r="U291" s="339">
        <f t="shared" si="178"/>
      </c>
      <c r="V291" s="338">
        <f t="shared" si="314"/>
      </c>
      <c r="W291" s="335">
        <f>SUM(W286:W290)</f>
      </c>
      <c r="X291" s="335">
        <f>SUM(X286:X290)</f>
      </c>
      <c r="Y291" s="335">
        <f>SUM(Y286:Y290)</f>
      </c>
      <c r="Z291" s="335">
        <f>SUM(Z286:Z290)</f>
      </c>
      <c r="AA291" s="335">
        <f>SUM(AA286:AA290)</f>
      </c>
      <c r="AB291" s="340">
        <f t="shared" si="499"/>
      </c>
      <c r="AC291" s="341"/>
      <c r="AD291" s="342"/>
      <c r="AE291" s="335">
        <f>SUM(AE286:AE290)</f>
      </c>
      <c r="AF291" s="335">
        <f>SUM(AF286:AF290)</f>
      </c>
      <c r="AG291" s="335">
        <f>SUM(AG286:AG290)</f>
      </c>
      <c r="AH291" s="335">
        <f>SUM(AH286:AH290)</f>
      </c>
      <c r="AI291" s="335">
        <f>SUM(AI286:AI290)</f>
      </c>
      <c r="AJ291" s="335">
        <f>SUM(AJ286:AJ290)</f>
      </c>
    </row>
    <row r="292">
      <c r="A292" s="310"/>
      <c r="B292" s="311" t="s">
        <v>297</v>
      </c>
      <c r="C292" s="312" t="s">
        <v>283</v>
      </c>
      <c r="D292" s="313">
        <f t="shared" ref="D292:D296" si="219">E292+F292</f>
      </c>
      <c r="E292" s="312">
        <v>984.76</v>
      </c>
      <c r="F292" s="357">
        <v>1681.83</v>
      </c>
      <c r="G292" s="358">
        <f t="shared" ref="G292:G296" si="336">Z292+AA292</f>
      </c>
      <c r="H292" s="359">
        <v>0</v>
      </c>
      <c r="I292" s="316">
        <f t="shared" ref="I292:I296" si="378">G292-H292</f>
      </c>
      <c r="J292" s="316">
        <f t="shared" ref="J292:J296" si="540">(G292-AA292)/12+AA292</f>
      </c>
      <c r="K292" s="317">
        <f t="shared" si="88"/>
      </c>
      <c r="L292" s="318">
        <f t="shared" si="118"/>
      </c>
      <c r="M292" s="319">
        <f t="shared" si="254"/>
      </c>
      <c r="N292" s="320">
        <f t="shared" si="409"/>
      </c>
      <c r="O292" s="320">
        <f t="shared" si="28"/>
      </c>
      <c r="P292" s="320">
        <f t="shared" si="148"/>
      </c>
      <c r="Q292" s="321">
        <f t="shared" si="284"/>
      </c>
      <c r="R292" s="322">
        <f t="shared" si="439"/>
      </c>
      <c r="S292" s="320">
        <f t="shared" si="58"/>
      </c>
      <c r="T292" s="323">
        <f t="shared" si="469"/>
      </c>
      <c r="U292" s="323">
        <f t="shared" si="178"/>
      </c>
      <c r="V292" s="320">
        <f t="shared" si="314"/>
      </c>
      <c r="W292" s="325">
        <v>3</v>
      </c>
      <c r="X292" s="325">
        <v>1</v>
      </c>
      <c r="Y292" s="325">
        <v>2</v>
      </c>
      <c r="Z292" s="326">
        <v>4574.879999999999</v>
      </c>
      <c r="AA292" s="326">
        <v>0</v>
      </c>
      <c r="AB292" s="321">
        <f t="shared" si="499"/>
      </c>
      <c r="AC292" s="327" t="s">
        <v>284</v>
      </c>
      <c r="AD292" s="353" t="s">
        <v>298</v>
      </c>
      <c r="AE292" s="329">
        <v>2</v>
      </c>
      <c r="AF292" s="330">
        <v>34507</v>
      </c>
      <c r="AG292" s="330">
        <v>550</v>
      </c>
      <c r="AH292" s="330">
        <v>554</v>
      </c>
      <c r="AI292" s="331">
        <v>63</v>
      </c>
      <c r="AJ292" s="331">
        <v>77</v>
      </c>
    </row>
    <row r="293">
      <c r="A293" s="310"/>
      <c r="B293" s="311" t="s">
        <v>297</v>
      </c>
      <c r="C293" s="332" t="s">
        <v>286</v>
      </c>
      <c r="D293" s="313">
        <f t="shared" si="219"/>
      </c>
      <c r="E293" s="312">
        <v>1200.14</v>
      </c>
      <c r="F293" s="357">
        <v>1669.3999999999999</v>
      </c>
      <c r="G293" s="358">
        <f t="shared" si="336"/>
      </c>
      <c r="H293" s="359">
        <v>0</v>
      </c>
      <c r="I293" s="316">
        <f t="shared" si="378"/>
      </c>
      <c r="J293" s="316">
        <f t="shared" si="540"/>
      </c>
      <c r="K293" s="317">
        <f t="shared" si="88"/>
      </c>
      <c r="L293" s="318">
        <f t="shared" si="118"/>
      </c>
      <c r="M293" s="319">
        <f t="shared" si="254"/>
      </c>
      <c r="N293" s="320">
        <f t="shared" si="409"/>
      </c>
      <c r="O293" s="320">
        <f t="shared" si="28"/>
      </c>
      <c r="P293" s="320">
        <f t="shared" si="148"/>
      </c>
      <c r="Q293" s="321">
        <f t="shared" si="284"/>
      </c>
      <c r="R293" s="322">
        <f t="shared" si="439"/>
      </c>
      <c r="S293" s="320">
        <f t="shared" si="58"/>
      </c>
      <c r="T293" s="323">
        <f t="shared" si="469"/>
      </c>
      <c r="U293" s="323">
        <f t="shared" si="178"/>
      </c>
      <c r="V293" s="320">
        <f t="shared" si="314"/>
      </c>
      <c r="W293" s="325">
        <v>6</v>
      </c>
      <c r="X293" s="325">
        <v>1</v>
      </c>
      <c r="Y293" s="325">
        <v>4</v>
      </c>
      <c r="Z293" s="326">
        <v>6844.080000000002</v>
      </c>
      <c r="AA293" s="326">
        <v>1809</v>
      </c>
      <c r="AB293" s="321">
        <f t="shared" si="499"/>
      </c>
      <c r="AC293" s="327" t="s">
        <v>284</v>
      </c>
      <c r="AD293" s="353" t="s">
        <v>298</v>
      </c>
      <c r="AE293" s="329">
        <v>4</v>
      </c>
      <c r="AF293" s="330">
        <v>37335</v>
      </c>
      <c r="AG293" s="330">
        <v>732</v>
      </c>
      <c r="AH293" s="330">
        <v>769</v>
      </c>
      <c r="AI293" s="331">
        <v>82</v>
      </c>
      <c r="AJ293" s="331">
        <v>90</v>
      </c>
    </row>
    <row r="294">
      <c r="A294" s="310"/>
      <c r="B294" s="311" t="s">
        <v>297</v>
      </c>
      <c r="C294" s="332" t="s">
        <v>287</v>
      </c>
      <c r="D294" s="313">
        <f t="shared" si="219"/>
      </c>
      <c r="E294" s="312">
        <v>1591.42</v>
      </c>
      <c r="F294" s="357">
        <v>3672.1900000000005</v>
      </c>
      <c r="G294" s="358">
        <f t="shared" si="336"/>
      </c>
      <c r="H294" s="359">
        <v>0</v>
      </c>
      <c r="I294" s="316">
        <f t="shared" si="378"/>
      </c>
      <c r="J294" s="316">
        <f t="shared" si="540"/>
      </c>
      <c r="K294" s="317">
        <f t="shared" si="88"/>
      </c>
      <c r="L294" s="318">
        <f t="shared" si="118"/>
      </c>
      <c r="M294" s="319">
        <f t="shared" si="254"/>
      </c>
      <c r="N294" s="320">
        <f t="shared" si="409"/>
      </c>
      <c r="O294" s="320">
        <f t="shared" si="28"/>
      </c>
      <c r="P294" s="320">
        <f t="shared" si="148"/>
      </c>
      <c r="Q294" s="321">
        <f t="shared" si="284"/>
      </c>
      <c r="R294" s="322">
        <f t="shared" si="439"/>
      </c>
      <c r="S294" s="320">
        <f t="shared" si="58"/>
      </c>
      <c r="T294" s="323">
        <f t="shared" si="469"/>
      </c>
      <c r="U294" s="323">
        <f t="shared" si="178"/>
      </c>
      <c r="V294" s="320">
        <f t="shared" si="314"/>
      </c>
      <c r="W294" s="325">
        <v>14</v>
      </c>
      <c r="X294" s="325">
        <v>11</v>
      </c>
      <c r="Y294" s="325">
        <v>5</v>
      </c>
      <c r="Z294" s="326">
        <v>9802.920000000002</v>
      </c>
      <c r="AA294" s="326">
        <v>4209</v>
      </c>
      <c r="AB294" s="321">
        <f t="shared" si="499"/>
      </c>
      <c r="AC294" s="327" t="s">
        <v>284</v>
      </c>
      <c r="AD294" s="353" t="s">
        <v>298</v>
      </c>
      <c r="AE294" s="331">
        <v>5</v>
      </c>
      <c r="AF294" s="330">
        <v>63011</v>
      </c>
      <c r="AG294" s="330">
        <v>1123</v>
      </c>
      <c r="AH294" s="330">
        <v>1118</v>
      </c>
      <c r="AI294" s="331">
        <v>134</v>
      </c>
      <c r="AJ294" s="331">
        <v>183</v>
      </c>
    </row>
    <row r="295">
      <c r="A295" s="310"/>
      <c r="B295" s="311" t="s">
        <v>297</v>
      </c>
      <c r="C295" s="312" t="s">
        <v>288</v>
      </c>
      <c r="D295" s="313">
        <f t="shared" si="219"/>
      </c>
      <c r="E295" s="312">
        <v>1564.37</v>
      </c>
      <c r="F295" s="357">
        <v>4196.01</v>
      </c>
      <c r="G295" s="358">
        <f t="shared" si="336"/>
      </c>
      <c r="H295" s="359">
        <v>0</v>
      </c>
      <c r="I295" s="316">
        <f t="shared" si="378"/>
      </c>
      <c r="J295" s="316">
        <f t="shared" si="540"/>
      </c>
      <c r="K295" s="317">
        <f t="shared" si="88"/>
      </c>
      <c r="L295" s="318">
        <f t="shared" si="118"/>
      </c>
      <c r="M295" s="319">
        <f t="shared" si="254"/>
      </c>
      <c r="N295" s="320">
        <f t="shared" si="409"/>
      </c>
      <c r="O295" s="320">
        <f t="shared" si="28"/>
      </c>
      <c r="P295" s="320">
        <f t="shared" si="148"/>
      </c>
      <c r="Q295" s="321">
        <f t="shared" si="284"/>
      </c>
      <c r="R295" s="322">
        <f t="shared" si="439"/>
      </c>
      <c r="S295" s="320">
        <f t="shared" si="58"/>
      </c>
      <c r="T295" s="323">
        <f t="shared" si="469"/>
      </c>
      <c r="U295" s="323">
        <f t="shared" si="178"/>
      </c>
      <c r="V295" s="320">
        <f t="shared" si="314"/>
      </c>
      <c r="W295" s="325">
        <v>20</v>
      </c>
      <c r="X295" s="325">
        <v>10</v>
      </c>
      <c r="Y295" s="325">
        <v>5</v>
      </c>
      <c r="Z295" s="315">
        <v>4192.559999999998</v>
      </c>
      <c r="AA295" s="326">
        <v>2337.9500000000007</v>
      </c>
      <c r="AB295" s="321">
        <f t="shared" si="499"/>
      </c>
      <c r="AC295" s="327" t="s">
        <v>284</v>
      </c>
      <c r="AD295" s="353" t="s">
        <v>298</v>
      </c>
      <c r="AE295" s="329">
        <v>5</v>
      </c>
      <c r="AF295" s="330">
        <v>63983</v>
      </c>
      <c r="AG295" s="330">
        <v>1176</v>
      </c>
      <c r="AH295" s="330">
        <v>1211</v>
      </c>
      <c r="AI295" s="331">
        <v>148</v>
      </c>
      <c r="AJ295" s="331">
        <v>192</v>
      </c>
    </row>
    <row r="296">
      <c r="A296" s="310"/>
      <c r="B296" s="311" t="s">
        <v>297</v>
      </c>
      <c r="C296" s="332" t="s">
        <v>289</v>
      </c>
      <c r="D296" s="313">
        <f t="shared" si="219"/>
      </c>
      <c r="E296" s="312">
        <v>1022.61</v>
      </c>
      <c r="F296" s="357">
        <v>2508.53</v>
      </c>
      <c r="G296" s="358">
        <f t="shared" si="336"/>
      </c>
      <c r="H296" s="359">
        <v>0</v>
      </c>
      <c r="I296" s="316">
        <f t="shared" si="378"/>
      </c>
      <c r="J296" s="316">
        <f t="shared" si="540"/>
      </c>
      <c r="K296" s="317">
        <f t="shared" si="88"/>
      </c>
      <c r="L296" s="318">
        <f t="shared" si="118"/>
      </c>
      <c r="M296" s="319">
        <f t="shared" si="254"/>
      </c>
      <c r="N296" s="320">
        <f t="shared" si="409"/>
      </c>
      <c r="O296" s="320">
        <f t="shared" si="28"/>
      </c>
      <c r="P296" s="320">
        <f t="shared" si="148"/>
      </c>
      <c r="Q296" s="321">
        <f t="shared" si="284"/>
      </c>
      <c r="R296" s="322">
        <f t="shared" si="439"/>
      </c>
      <c r="S296" s="320">
        <f t="shared" si="58"/>
      </c>
      <c r="T296" s="323">
        <f t="shared" si="469"/>
      </c>
      <c r="U296" s="323">
        <f t="shared" si="178"/>
      </c>
      <c r="V296" s="320">
        <f t="shared" si="314"/>
      </c>
      <c r="W296" s="325">
        <v>5</v>
      </c>
      <c r="X296" s="325">
        <v>1</v>
      </c>
      <c r="Y296" s="325">
        <v>3</v>
      </c>
      <c r="Z296" s="326">
        <v>4871.879999999997</v>
      </c>
      <c r="AA296" s="326">
        <v>0</v>
      </c>
      <c r="AB296" s="321">
        <f t="shared" si="499"/>
      </c>
      <c r="AC296" s="327" t="s">
        <v>284</v>
      </c>
      <c r="AD296" s="353" t="s">
        <v>298</v>
      </c>
      <c r="AE296" s="329">
        <v>1</v>
      </c>
      <c r="AF296" s="330">
        <v>44227</v>
      </c>
      <c r="AG296" s="330">
        <v>858</v>
      </c>
      <c r="AH296" s="330">
        <v>905</v>
      </c>
      <c r="AI296" s="331">
        <v>94</v>
      </c>
      <c r="AJ296" s="331">
        <v>112</v>
      </c>
    </row>
    <row r="297">
      <c r="A297" s="310"/>
      <c r="B297" s="333" t="s">
        <v>290</v>
      </c>
      <c r="C297" s="334">
        <v>5</v>
      </c>
      <c r="D297" s="335">
        <f>SUM(D292:D296)</f>
      </c>
      <c r="E297" s="335">
        <f>SUM(E292:E296)</f>
      </c>
      <c r="F297" s="335">
        <f>SUM(F292:F296)</f>
      </c>
      <c r="G297" s="360">
        <f>SUM(G292:G296)</f>
      </c>
      <c r="H297" s="335">
        <f>SUM(H292:H296)</f>
      </c>
      <c r="I297" s="335">
        <f>SUM(I292:I296)</f>
      </c>
      <c r="J297" s="335">
        <f>SUM(J292:J296)</f>
      </c>
      <c r="K297" s="336">
        <f t="shared" si="88"/>
      </c>
      <c r="L297" s="337">
        <f t="shared" si="118"/>
      </c>
      <c r="M297" s="337">
        <f t="shared" si="254"/>
      </c>
      <c r="N297" s="338">
        <f t="shared" si="409"/>
      </c>
      <c r="O297" s="338">
        <f t="shared" si="28"/>
      </c>
      <c r="P297" s="338">
        <f t="shared" si="148"/>
      </c>
      <c r="Q297" s="339">
        <f t="shared" si="284"/>
      </c>
      <c r="R297" s="339">
        <f t="shared" si="439"/>
      </c>
      <c r="S297" s="338">
        <f t="shared" si="58"/>
      </c>
      <c r="T297" s="339">
        <f t="shared" si="469"/>
      </c>
      <c r="U297" s="339">
        <f t="shared" si="178"/>
      </c>
      <c r="V297" s="338">
        <f t="shared" si="314"/>
      </c>
      <c r="W297" s="335">
        <f>SUM(W292:W296)</f>
      </c>
      <c r="X297" s="335">
        <f>SUM(X292:X296)</f>
      </c>
      <c r="Y297" s="335">
        <f>SUM(Y292:Y296)</f>
      </c>
      <c r="Z297" s="335">
        <f>SUM(Z292:Z296)</f>
      </c>
      <c r="AA297" s="335">
        <f>SUM(AA292:AA296)</f>
      </c>
      <c r="AB297" s="340">
        <f t="shared" si="499"/>
      </c>
      <c r="AC297" s="341"/>
      <c r="AD297" s="342"/>
      <c r="AE297" s="335">
        <f>SUM(AE292:AE296)</f>
      </c>
      <c r="AF297" s="335">
        <f>SUM(AF292:AF296)</f>
      </c>
      <c r="AG297" s="335">
        <f>SUM(AG292:AG296)</f>
      </c>
      <c r="AH297" s="335">
        <f>SUM(AH292:AH296)</f>
      </c>
      <c r="AI297" s="335">
        <f>SUM(AI292:AI296)</f>
      </c>
      <c r="AJ297" s="335">
        <f>SUM(AJ292:AJ296)</f>
      </c>
    </row>
    <row r="298">
      <c r="A298" s="310"/>
      <c r="B298" s="343" t="s">
        <v>290</v>
      </c>
      <c r="C298" s="344">
        <f>C297+C291</f>
      </c>
      <c r="D298" s="354">
        <f>D297+D291</f>
      </c>
      <c r="E298" s="354">
        <f>E297+E291</f>
      </c>
      <c r="F298" s="354">
        <f>F297+F291</f>
      </c>
      <c r="G298" s="354">
        <f>G297+G291</f>
      </c>
      <c r="H298" s="354">
        <f>H297+H291</f>
      </c>
      <c r="I298" s="354">
        <f>I297+I291</f>
      </c>
      <c r="J298" s="354">
        <f>J297+J291</f>
      </c>
      <c r="K298" s="346">
        <f t="shared" si="88"/>
      </c>
      <c r="L298" s="346">
        <f t="shared" si="118"/>
      </c>
      <c r="M298" s="346">
        <f t="shared" si="254"/>
      </c>
      <c r="N298" s="346">
        <f t="shared" si="409"/>
      </c>
      <c r="O298" s="346">
        <f t="shared" si="28"/>
      </c>
      <c r="P298" s="346">
        <f t="shared" si="148"/>
      </c>
      <c r="Q298" s="347">
        <f t="shared" si="284"/>
      </c>
      <c r="R298" s="347">
        <f t="shared" si="439"/>
      </c>
      <c r="S298" s="346">
        <f t="shared" si="58"/>
      </c>
      <c r="T298" s="347">
        <f t="shared" si="469"/>
      </c>
      <c r="U298" s="347">
        <f t="shared" si="178"/>
      </c>
      <c r="V298" s="346">
        <f t="shared" si="314"/>
      </c>
      <c r="W298" s="354">
        <f>W297+W291</f>
      </c>
      <c r="X298" s="354">
        <f>X297+X291</f>
      </c>
      <c r="Y298" s="354">
        <f>Y297+Y291</f>
      </c>
      <c r="Z298" s="354">
        <f>Z297+Z291</f>
      </c>
      <c r="AA298" s="354">
        <f>AA297+AA291</f>
      </c>
      <c r="AB298" s="350">
        <f t="shared" si="499"/>
      </c>
      <c r="AC298" s="343"/>
      <c r="AD298" s="343"/>
      <c r="AE298" s="354">
        <f>AE297+AE291</f>
      </c>
      <c r="AF298" s="354">
        <f>AF297+AF291</f>
      </c>
      <c r="AG298" s="354">
        <f>AG297+AG291</f>
      </c>
      <c r="AH298" s="354">
        <f>AH297+AH291</f>
      </c>
      <c r="AI298" s="354">
        <f>AI297+AI291</f>
      </c>
      <c r="AJ298" s="354">
        <f>AJ297+AJ291</f>
      </c>
    </row>
    <row r="299">
      <c r="A299" s="297" t="s">
        <v>246</v>
      </c>
      <c r="B299" s="298" t="s">
        <v>247</v>
      </c>
      <c r="C299" s="298" t="s">
        <v>248</v>
      </c>
      <c r="D299" s="299" t="s">
        <v>249</v>
      </c>
      <c r="E299" s="298" t="s">
        <v>250</v>
      </c>
      <c r="F299" s="298" t="s">
        <v>251</v>
      </c>
      <c r="G299" s="299" t="s">
        <v>252</v>
      </c>
      <c r="H299" s="300" t="s">
        <v>253</v>
      </c>
      <c r="I299" s="301" t="s">
        <v>254</v>
      </c>
      <c r="J299" s="301" t="s">
        <v>255</v>
      </c>
      <c r="K299" s="302" t="s">
        <v>256</v>
      </c>
      <c r="L299" s="301" t="s">
        <v>257</v>
      </c>
      <c r="M299" s="298" t="s">
        <v>258</v>
      </c>
      <c r="N299" s="302" t="s">
        <v>259</v>
      </c>
      <c r="O299" s="303" t="s">
        <v>260</v>
      </c>
      <c r="P299" s="303" t="s">
        <v>261</v>
      </c>
      <c r="Q299" s="299" t="s">
        <v>262</v>
      </c>
      <c r="R299" s="304" t="s">
        <v>263</v>
      </c>
      <c r="S299" s="302" t="s">
        <v>264</v>
      </c>
      <c r="T299" s="305" t="s">
        <v>265</v>
      </c>
      <c r="U299" s="306" t="s">
        <v>266</v>
      </c>
      <c r="V299" s="302" t="s">
        <v>267</v>
      </c>
      <c r="W299" s="307" t="s">
        <v>268</v>
      </c>
      <c r="X299" s="308" t="s">
        <v>269</v>
      </c>
      <c r="Y299" s="307" t="s">
        <v>270</v>
      </c>
      <c r="Z299" s="309" t="s">
        <v>271</v>
      </c>
      <c r="AA299" s="309" t="s">
        <v>272</v>
      </c>
      <c r="AB299" s="301" t="s">
        <v>273</v>
      </c>
      <c r="AC299" s="300" t="s">
        <v>274</v>
      </c>
      <c r="AD299" s="301" t="s">
        <v>275</v>
      </c>
      <c r="AE299" s="300" t="s">
        <v>276</v>
      </c>
      <c r="AF299" s="300" t="s">
        <v>277</v>
      </c>
      <c r="AG299" s="301" t="s">
        <v>278</v>
      </c>
      <c r="AH299" s="300" t="s">
        <v>279</v>
      </c>
      <c r="AI299" s="301" t="s">
        <v>280</v>
      </c>
      <c r="AJ299" s="300" t="s">
        <v>281</v>
      </c>
    </row>
    <row r="300">
      <c r="A300" s="310">
        <v>46234</v>
      </c>
      <c r="B300" s="311" t="s">
        <v>282</v>
      </c>
      <c r="C300" s="312" t="s">
        <v>292</v>
      </c>
      <c r="D300" s="313">
        <f t="shared" ref="D300:D304" si="220">E300+F300</f>
      </c>
      <c r="E300" s="355">
        <v>1736.82</v>
      </c>
      <c r="F300" s="314">
        <v>2647.89</v>
      </c>
      <c r="G300" s="314">
        <f t="shared" ref="G300:G304" si="337">Z300+AA300</f>
      </c>
      <c r="H300" s="315">
        <v>1105.92</v>
      </c>
      <c r="I300" s="316">
        <f t="shared" ref="I300:I304" si="379">G300-H300</f>
      </c>
      <c r="J300" s="316">
        <f t="shared" ref="J300:J304" si="541">(G300-AA300)/12+AA300</f>
      </c>
      <c r="K300" s="317">
        <f t="shared" ref="K300:K312" si="89">G300/D300</f>
      </c>
      <c r="L300" s="318">
        <f t="shared" ref="L300:L312" si="119">(G300-H300)/D300</f>
      </c>
      <c r="M300" s="319">
        <f t="shared" ref="M300:M312" si="255">(AA300+Z300/12)/D300</f>
      </c>
      <c r="N300" s="320">
        <f t="shared" ref="N300:N312" si="410">G300/Y300</f>
      </c>
      <c r="O300" s="320">
        <f t="shared" ref="O300:O312" si="29">D300/Y300</f>
      </c>
      <c r="P300" s="320">
        <f t="shared" ref="P300:P312" si="149">D300/AE300</f>
      </c>
      <c r="Q300" s="321">
        <f t="shared" ref="Q300:Q312" si="285">Y300/W300</f>
      </c>
      <c r="R300" s="322">
        <f t="shared" ref="R300:R312" si="440">AG300/AF300</f>
      </c>
      <c r="S300" s="320">
        <f t="shared" ref="S300:S312" si="59">D300/AH300</f>
      </c>
      <c r="T300" s="323">
        <f t="shared" ref="T300:T312" si="470">AI300/AH300</f>
      </c>
      <c r="U300" s="323">
        <f t="shared" ref="U300:U312" si="179">AJ300/AH300</f>
      </c>
      <c r="V300" s="320">
        <f t="shared" ref="V300:V312" si="315">D300/AJ300</f>
      </c>
      <c r="W300" s="325">
        <v>7</v>
      </c>
      <c r="X300" s="325">
        <v>5</v>
      </c>
      <c r="Y300" s="325">
        <v>4</v>
      </c>
      <c r="Z300" s="326">
        <v>8019</v>
      </c>
      <c r="AA300" s="326">
        <v>0</v>
      </c>
      <c r="AB300" s="321">
        <f t="shared" ref="AB300:AB312" si="500">AA300/G300</f>
      </c>
      <c r="AC300" s="327" t="s">
        <v>284</v>
      </c>
      <c r="AD300" s="353" t="s">
        <v>298</v>
      </c>
      <c r="AE300" s="329">
        <v>3</v>
      </c>
      <c r="AF300" s="330">
        <v>47189</v>
      </c>
      <c r="AG300" s="330">
        <v>971</v>
      </c>
      <c r="AH300" s="330">
        <v>1004</v>
      </c>
      <c r="AI300" s="329">
        <v>121</v>
      </c>
      <c r="AJ300" s="331">
        <v>143</v>
      </c>
    </row>
    <row r="301">
      <c r="A301" s="310"/>
      <c r="B301" s="311" t="s">
        <v>282</v>
      </c>
      <c r="C301" s="312" t="s">
        <v>293</v>
      </c>
      <c r="D301" s="313">
        <f t="shared" si="220"/>
      </c>
      <c r="E301" s="312">
        <v>1465.47</v>
      </c>
      <c r="F301" s="314">
        <v>3384.1099999999997</v>
      </c>
      <c r="G301" s="314">
        <f t="shared" si="337"/>
      </c>
      <c r="H301" s="315">
        <v>6391.56</v>
      </c>
      <c r="I301" s="316">
        <f t="shared" si="379"/>
      </c>
      <c r="J301" s="316">
        <f t="shared" si="541"/>
      </c>
      <c r="K301" s="317">
        <f t="shared" si="89"/>
      </c>
      <c r="L301" s="318">
        <f t="shared" si="119"/>
      </c>
      <c r="M301" s="319">
        <f t="shared" si="255"/>
      </c>
      <c r="N301" s="320">
        <f t="shared" si="410"/>
      </c>
      <c r="O301" s="320">
        <f t="shared" si="29"/>
      </c>
      <c r="P301" s="320">
        <f t="shared" si="149"/>
      </c>
      <c r="Q301" s="321">
        <f t="shared" si="285"/>
      </c>
      <c r="R301" s="322">
        <f t="shared" si="440"/>
      </c>
      <c r="S301" s="320">
        <f t="shared" si="59"/>
      </c>
      <c r="T301" s="323">
        <f t="shared" si="470"/>
      </c>
      <c r="U301" s="323">
        <f t="shared" si="179"/>
      </c>
      <c r="V301" s="320">
        <f t="shared" si="315"/>
      </c>
      <c r="W301" s="325">
        <v>9</v>
      </c>
      <c r="X301" s="325">
        <v>3</v>
      </c>
      <c r="Y301" s="325">
        <v>6</v>
      </c>
      <c r="Z301" s="326">
        <v>8895</v>
      </c>
      <c r="AA301" s="326">
        <v>1074</v>
      </c>
      <c r="AB301" s="321">
        <f t="shared" si="500"/>
      </c>
      <c r="AC301" s="327" t="s">
        <v>284</v>
      </c>
      <c r="AD301" s="353" t="s">
        <v>298</v>
      </c>
      <c r="AE301" s="329">
        <v>5</v>
      </c>
      <c r="AF301" s="330">
        <v>51441</v>
      </c>
      <c r="AG301" s="330">
        <v>922</v>
      </c>
      <c r="AH301" s="330">
        <v>929</v>
      </c>
      <c r="AI301" s="331">
        <v>119</v>
      </c>
      <c r="AJ301" s="331">
        <v>155</v>
      </c>
    </row>
    <row r="302">
      <c r="A302" s="310"/>
      <c r="B302" s="311" t="s">
        <v>282</v>
      </c>
      <c r="C302" s="312" t="s">
        <v>294</v>
      </c>
      <c r="D302" s="313">
        <f t="shared" si="220"/>
      </c>
      <c r="E302" s="312">
        <v>1583.43</v>
      </c>
      <c r="F302" s="312">
        <v>3588.2200000000003</v>
      </c>
      <c r="G302" s="314">
        <f t="shared" si="337"/>
      </c>
      <c r="H302" s="315">
        <v>0</v>
      </c>
      <c r="I302" s="316">
        <f t="shared" si="379"/>
      </c>
      <c r="J302" s="316">
        <f t="shared" si="541"/>
      </c>
      <c r="K302" s="317">
        <f t="shared" si="89"/>
      </c>
      <c r="L302" s="318">
        <f t="shared" si="119"/>
      </c>
      <c r="M302" s="319">
        <f t="shared" si="255"/>
      </c>
      <c r="N302" s="320">
        <f t="shared" si="410"/>
      </c>
      <c r="O302" s="320">
        <f t="shared" si="29"/>
      </c>
      <c r="P302" s="320">
        <f t="shared" si="149"/>
      </c>
      <c r="Q302" s="321">
        <f t="shared" si="285"/>
      </c>
      <c r="R302" s="322">
        <f t="shared" si="440"/>
      </c>
      <c r="S302" s="320">
        <f t="shared" si="59"/>
      </c>
      <c r="T302" s="323">
        <f t="shared" si="470"/>
      </c>
      <c r="U302" s="323">
        <f t="shared" si="179"/>
      </c>
      <c r="V302" s="320">
        <f t="shared" si="315"/>
      </c>
      <c r="W302" s="325">
        <v>6</v>
      </c>
      <c r="X302" s="325">
        <v>3</v>
      </c>
      <c r="Y302" s="325">
        <v>3</v>
      </c>
      <c r="Z302" s="326">
        <v>2386.7999999999993</v>
      </c>
      <c r="AA302" s="326">
        <v>635</v>
      </c>
      <c r="AB302" s="321">
        <f t="shared" si="500"/>
      </c>
      <c r="AC302" s="327" t="s">
        <v>284</v>
      </c>
      <c r="AD302" s="353" t="s">
        <v>298</v>
      </c>
      <c r="AE302" s="331">
        <v>2</v>
      </c>
      <c r="AF302" s="330">
        <v>62904</v>
      </c>
      <c r="AG302" s="330">
        <v>967</v>
      </c>
      <c r="AH302" s="330">
        <v>994</v>
      </c>
      <c r="AI302" s="331">
        <v>150</v>
      </c>
      <c r="AJ302" s="331">
        <v>163</v>
      </c>
    </row>
    <row r="303">
      <c r="A303" s="310"/>
      <c r="B303" s="311" t="s">
        <v>282</v>
      </c>
      <c r="C303" s="312" t="s">
        <v>295</v>
      </c>
      <c r="D303" s="313">
        <f t="shared" si="220"/>
      </c>
      <c r="E303" s="312">
        <v>1491.47</v>
      </c>
      <c r="F303" s="314">
        <v>2735.3</v>
      </c>
      <c r="G303" s="314">
        <f t="shared" si="337"/>
      </c>
      <c r="H303" s="315">
        <v>3218.4</v>
      </c>
      <c r="I303" s="316">
        <f t="shared" si="379"/>
      </c>
      <c r="J303" s="316">
        <f t="shared" si="541"/>
      </c>
      <c r="K303" s="317">
        <f t="shared" si="89"/>
      </c>
      <c r="L303" s="318">
        <f t="shared" si="119"/>
      </c>
      <c r="M303" s="319">
        <f t="shared" si="255"/>
      </c>
      <c r="N303" s="320">
        <f t="shared" si="410"/>
      </c>
      <c r="O303" s="320">
        <f t="shared" si="29"/>
      </c>
      <c r="P303" s="320">
        <f t="shared" si="149"/>
      </c>
      <c r="Q303" s="321">
        <f t="shared" si="285"/>
      </c>
      <c r="R303" s="322">
        <f t="shared" si="440"/>
      </c>
      <c r="S303" s="320">
        <f t="shared" si="59"/>
      </c>
      <c r="T303" s="323">
        <f t="shared" si="470"/>
      </c>
      <c r="U303" s="323">
        <f t="shared" si="179"/>
      </c>
      <c r="V303" s="320">
        <f t="shared" si="315"/>
      </c>
      <c r="W303" s="325">
        <v>7</v>
      </c>
      <c r="X303" s="325">
        <v>2</v>
      </c>
      <c r="Y303" s="325">
        <v>4</v>
      </c>
      <c r="Z303" s="315">
        <v>10371.240000000002</v>
      </c>
      <c r="AA303" s="326">
        <v>0</v>
      </c>
      <c r="AB303" s="321">
        <f t="shared" si="500"/>
      </c>
      <c r="AC303" s="327" t="s">
        <v>284</v>
      </c>
      <c r="AD303" s="353" t="s">
        <v>298</v>
      </c>
      <c r="AE303" s="329">
        <v>3</v>
      </c>
      <c r="AF303" s="330">
        <v>56497</v>
      </c>
      <c r="AG303" s="330">
        <v>786</v>
      </c>
      <c r="AH303" s="330">
        <v>800</v>
      </c>
      <c r="AI303" s="331">
        <v>88</v>
      </c>
      <c r="AJ303" s="331">
        <v>116</v>
      </c>
    </row>
    <row r="304">
      <c r="A304" s="310"/>
      <c r="B304" s="311" t="s">
        <v>282</v>
      </c>
      <c r="C304" s="312" t="s">
        <v>296</v>
      </c>
      <c r="D304" s="313">
        <f t="shared" si="220"/>
      </c>
      <c r="E304" s="312">
        <v>988.82</v>
      </c>
      <c r="F304" s="314">
        <v>3153.27</v>
      </c>
      <c r="G304" s="352">
        <f t="shared" si="337"/>
      </c>
      <c r="H304" s="315">
        <v>0</v>
      </c>
      <c r="I304" s="316">
        <f t="shared" si="379"/>
      </c>
      <c r="J304" s="316">
        <f t="shared" si="541"/>
      </c>
      <c r="K304" s="317">
        <f t="shared" si="89"/>
      </c>
      <c r="L304" s="318">
        <f t="shared" si="119"/>
      </c>
      <c r="M304" s="319">
        <f t="shared" si="255"/>
      </c>
      <c r="N304" s="320">
        <f t="shared" si="410"/>
      </c>
      <c r="O304" s="320">
        <f t="shared" si="29"/>
      </c>
      <c r="P304" s="320">
        <f t="shared" si="149"/>
      </c>
      <c r="Q304" s="321">
        <f t="shared" si="285"/>
      </c>
      <c r="R304" s="322">
        <f t="shared" si="440"/>
      </c>
      <c r="S304" s="320">
        <f t="shared" si="59"/>
      </c>
      <c r="T304" s="323">
        <f t="shared" si="470"/>
      </c>
      <c r="U304" s="323">
        <f t="shared" si="179"/>
      </c>
      <c r="V304" s="320">
        <f t="shared" si="315"/>
      </c>
      <c r="W304" s="325">
        <v>2</v>
      </c>
      <c r="X304" s="325">
        <v>0</v>
      </c>
      <c r="Y304" s="325">
        <v>3</v>
      </c>
      <c r="Z304" s="326">
        <v>7267.32</v>
      </c>
      <c r="AA304" s="326">
        <v>0</v>
      </c>
      <c r="AB304" s="321">
        <f t="shared" si="500"/>
      </c>
      <c r="AC304" s="327" t="s">
        <v>284</v>
      </c>
      <c r="AD304" s="353" t="s">
        <v>298</v>
      </c>
      <c r="AE304" s="329">
        <v>2</v>
      </c>
      <c r="AF304" s="330">
        <v>48817</v>
      </c>
      <c r="AG304" s="330">
        <v>790</v>
      </c>
      <c r="AH304" s="330">
        <v>811</v>
      </c>
      <c r="AI304" s="331">
        <v>70</v>
      </c>
      <c r="AJ304" s="331">
        <v>94</v>
      </c>
    </row>
    <row r="305">
      <c r="A305" s="310"/>
      <c r="B305" s="333" t="s">
        <v>290</v>
      </c>
      <c r="C305" s="334">
        <v>5</v>
      </c>
      <c r="D305" s="335">
        <f>SUM(D300:D304)</f>
      </c>
      <c r="E305" s="335">
        <f>SUM(E300:E304)</f>
      </c>
      <c r="F305" s="335">
        <f>SUM(F300:F304)</f>
      </c>
      <c r="G305" s="356">
        <f>SUM(G300:G304)</f>
      </c>
      <c r="H305" s="335">
        <f>SUM(H300:H304)</f>
      </c>
      <c r="I305" s="335">
        <f>SUM(I300:I304)</f>
      </c>
      <c r="J305" s="335">
        <f>SUM(J300:J304)</f>
      </c>
      <c r="K305" s="336">
        <f t="shared" si="89"/>
      </c>
      <c r="L305" s="337">
        <f t="shared" si="119"/>
      </c>
      <c r="M305" s="337">
        <f t="shared" si="255"/>
      </c>
      <c r="N305" s="338">
        <f t="shared" si="410"/>
      </c>
      <c r="O305" s="338">
        <f t="shared" si="29"/>
      </c>
      <c r="P305" s="338">
        <f t="shared" si="149"/>
      </c>
      <c r="Q305" s="339">
        <f t="shared" si="285"/>
      </c>
      <c r="R305" s="339">
        <f t="shared" si="440"/>
      </c>
      <c r="S305" s="338">
        <f t="shared" si="59"/>
      </c>
      <c r="T305" s="339">
        <f t="shared" si="470"/>
      </c>
      <c r="U305" s="339">
        <f t="shared" si="179"/>
      </c>
      <c r="V305" s="338">
        <f t="shared" si="315"/>
      </c>
      <c r="W305" s="335">
        <f>SUM(W300:W304)</f>
      </c>
      <c r="X305" s="335">
        <f>SUM(X300:X304)</f>
      </c>
      <c r="Y305" s="335">
        <f>SUM(Y300:Y304)</f>
      </c>
      <c r="Z305" s="335">
        <f>SUM(Z300:Z304)</f>
      </c>
      <c r="AA305" s="335">
        <f>SUM(AA300:AA304)</f>
      </c>
      <c r="AB305" s="340">
        <f t="shared" si="500"/>
      </c>
      <c r="AC305" s="341"/>
      <c r="AD305" s="342"/>
      <c r="AE305" s="335">
        <f>SUM(AE300:AE304)</f>
      </c>
      <c r="AF305" s="335">
        <f>SUM(AF300:AF304)</f>
      </c>
      <c r="AG305" s="335">
        <f>SUM(AG300:AG304)</f>
      </c>
      <c r="AH305" s="335">
        <f>SUM(AH300:AH304)</f>
      </c>
      <c r="AI305" s="335">
        <f>SUM(AI300:AI304)</f>
      </c>
      <c r="AJ305" s="335">
        <f>SUM(AJ300:AJ304)</f>
      </c>
    </row>
    <row r="306">
      <c r="A306" s="310"/>
      <c r="B306" s="311" t="s">
        <v>297</v>
      </c>
      <c r="C306" s="312" t="s">
        <v>283</v>
      </c>
      <c r="D306" s="313">
        <f t="shared" ref="D306:D310" si="221">E306+F306</f>
      </c>
      <c r="E306" s="312">
        <v>1216.12</v>
      </c>
      <c r="F306" s="357">
        <v>2270.52</v>
      </c>
      <c r="G306" s="358">
        <f t="shared" ref="G306:G310" si="338">Z306+AA306</f>
      </c>
      <c r="H306" s="359">
        <v>0</v>
      </c>
      <c r="I306" s="316">
        <f t="shared" ref="I306:I310" si="380">G306-H306</f>
      </c>
      <c r="J306" s="316">
        <f t="shared" ref="J306:J310" si="542">(G306-AA306)/12+AA306</f>
      </c>
      <c r="K306" s="317">
        <f t="shared" si="89"/>
      </c>
      <c r="L306" s="318">
        <f t="shared" si="119"/>
      </c>
      <c r="M306" s="319">
        <f t="shared" si="255"/>
      </c>
      <c r="N306" s="320">
        <f t="shared" si="410"/>
      </c>
      <c r="O306" s="320">
        <f t="shared" si="29"/>
      </c>
      <c r="P306" s="320">
        <f t="shared" si="149"/>
      </c>
      <c r="Q306" s="321">
        <f t="shared" si="285"/>
      </c>
      <c r="R306" s="322">
        <f t="shared" si="440"/>
      </c>
      <c r="S306" s="320">
        <f t="shared" si="59"/>
      </c>
      <c r="T306" s="323">
        <f t="shared" si="470"/>
      </c>
      <c r="U306" s="323">
        <f t="shared" si="179"/>
      </c>
      <c r="V306" s="320">
        <f t="shared" si="315"/>
      </c>
      <c r="W306" s="325">
        <v>2</v>
      </c>
      <c r="X306" s="325">
        <v>1</v>
      </c>
      <c r="Y306" s="325">
        <v>2</v>
      </c>
      <c r="Z306" s="326">
        <v>1973.1599999999962</v>
      </c>
      <c r="AA306" s="326">
        <v>0</v>
      </c>
      <c r="AB306" s="321">
        <f t="shared" si="500"/>
      </c>
      <c r="AC306" s="327" t="s">
        <v>284</v>
      </c>
      <c r="AD306" s="353" t="s">
        <v>298</v>
      </c>
      <c r="AE306" s="329">
        <v>1</v>
      </c>
      <c r="AF306" s="330">
        <v>44374</v>
      </c>
      <c r="AG306" s="330">
        <v>727</v>
      </c>
      <c r="AH306" s="330">
        <v>745</v>
      </c>
      <c r="AI306" s="331">
        <v>68</v>
      </c>
      <c r="AJ306" s="331">
        <v>100</v>
      </c>
    </row>
    <row r="307">
      <c r="A307" s="310"/>
      <c r="B307" s="311" t="s">
        <v>297</v>
      </c>
      <c r="C307" s="332" t="s">
        <v>286</v>
      </c>
      <c r="D307" s="313">
        <f t="shared" si="221"/>
      </c>
      <c r="E307" s="312">
        <v>1158.19</v>
      </c>
      <c r="F307" s="357">
        <v>1863.75</v>
      </c>
      <c r="G307" s="358">
        <f t="shared" si="338"/>
      </c>
      <c r="H307" s="359">
        <v>0</v>
      </c>
      <c r="I307" s="316">
        <f t="shared" si="380"/>
      </c>
      <c r="J307" s="316">
        <f t="shared" si="542"/>
      </c>
      <c r="K307" s="317">
        <f t="shared" si="89"/>
      </c>
      <c r="L307" s="318">
        <f t="shared" si="119"/>
      </c>
      <c r="M307" s="319">
        <f t="shared" si="255"/>
      </c>
      <c r="N307" s="320">
        <f t="shared" si="410"/>
      </c>
      <c r="O307" s="320">
        <f t="shared" si="29"/>
      </c>
      <c r="P307" s="320">
        <f t="shared" si="149"/>
      </c>
      <c r="Q307" s="321">
        <f t="shared" si="285"/>
      </c>
      <c r="R307" s="322">
        <f t="shared" si="440"/>
      </c>
      <c r="S307" s="320">
        <f t="shared" si="59"/>
      </c>
      <c r="T307" s="323">
        <f t="shared" si="470"/>
      </c>
      <c r="U307" s="323">
        <f t="shared" si="179"/>
      </c>
      <c r="V307" s="320">
        <f t="shared" si="315"/>
      </c>
      <c r="W307" s="325">
        <v>6</v>
      </c>
      <c r="X307" s="325">
        <v>2</v>
      </c>
      <c r="Y307" s="325">
        <v>2</v>
      </c>
      <c r="Z307" s="326">
        <v>1871.6400000000067</v>
      </c>
      <c r="AA307" s="326">
        <v>2786</v>
      </c>
      <c r="AB307" s="321">
        <f t="shared" si="500"/>
      </c>
      <c r="AC307" s="327" t="s">
        <v>284</v>
      </c>
      <c r="AD307" s="353" t="s">
        <v>298</v>
      </c>
      <c r="AE307" s="329">
        <v>2</v>
      </c>
      <c r="AF307" s="330">
        <v>37533</v>
      </c>
      <c r="AG307" s="330">
        <v>841</v>
      </c>
      <c r="AH307" s="330">
        <v>874</v>
      </c>
      <c r="AI307" s="331">
        <v>74</v>
      </c>
      <c r="AJ307" s="331">
        <v>108</v>
      </c>
    </row>
    <row r="308">
      <c r="A308" s="310"/>
      <c r="B308" s="311" t="s">
        <v>297</v>
      </c>
      <c r="C308" s="332" t="s">
        <v>287</v>
      </c>
      <c r="D308" s="313">
        <f t="shared" si="221"/>
      </c>
      <c r="E308" s="312">
        <v>1622.34</v>
      </c>
      <c r="F308" s="357">
        <v>1056.54</v>
      </c>
      <c r="G308" s="358">
        <f t="shared" si="338"/>
      </c>
      <c r="H308" s="359">
        <v>0</v>
      </c>
      <c r="I308" s="316">
        <f t="shared" si="380"/>
      </c>
      <c r="J308" s="316">
        <f t="shared" si="542"/>
      </c>
      <c r="K308" s="317">
        <f t="shared" si="89"/>
      </c>
      <c r="L308" s="318">
        <f t="shared" si="119"/>
      </c>
      <c r="M308" s="319">
        <f t="shared" si="255"/>
      </c>
      <c r="N308" s="320">
        <f t="shared" si="410"/>
      </c>
      <c r="O308" s="320">
        <f t="shared" si="29"/>
      </c>
      <c r="P308" s="320">
        <f t="shared" si="149"/>
      </c>
      <c r="Q308" s="321">
        <f t="shared" si="285"/>
      </c>
      <c r="R308" s="322">
        <f t="shared" si="440"/>
      </c>
      <c r="S308" s="320">
        <f t="shared" si="59"/>
      </c>
      <c r="T308" s="323">
        <f t="shared" si="470"/>
      </c>
      <c r="U308" s="323">
        <f t="shared" si="179"/>
      </c>
      <c r="V308" s="320">
        <f t="shared" si="315"/>
      </c>
      <c r="W308" s="325">
        <v>2</v>
      </c>
      <c r="X308" s="325">
        <v>0</v>
      </c>
      <c r="Y308" s="325">
        <v>1</v>
      </c>
      <c r="Z308" s="326">
        <v>0</v>
      </c>
      <c r="AA308" s="326">
        <v>3690.75</v>
      </c>
      <c r="AB308" s="321">
        <f t="shared" si="500"/>
      </c>
      <c r="AC308" s="327" t="s">
        <v>284</v>
      </c>
      <c r="AD308" s="353" t="s">
        <v>298</v>
      </c>
      <c r="AE308" s="331">
        <v>1</v>
      </c>
      <c r="AF308" s="330">
        <v>30177</v>
      </c>
      <c r="AG308" s="330">
        <v>1126</v>
      </c>
      <c r="AH308" s="330">
        <v>1207</v>
      </c>
      <c r="AI308" s="331">
        <v>90</v>
      </c>
      <c r="AJ308" s="331">
        <v>98</v>
      </c>
    </row>
    <row r="309">
      <c r="A309" s="310"/>
      <c r="B309" s="311" t="s">
        <v>297</v>
      </c>
      <c r="C309" s="312" t="s">
        <v>288</v>
      </c>
      <c r="D309" s="313">
        <f t="shared" si="221"/>
      </c>
      <c r="E309" s="312">
        <v>1776.57</v>
      </c>
      <c r="F309" s="357">
        <v>863.13</v>
      </c>
      <c r="G309" s="358">
        <f t="shared" si="338"/>
      </c>
      <c r="H309" s="359">
        <v>0</v>
      </c>
      <c r="I309" s="316">
        <f t="shared" si="380"/>
      </c>
      <c r="J309" s="316">
        <f t="shared" si="542"/>
      </c>
      <c r="K309" s="317">
        <f t="shared" si="89"/>
      </c>
      <c r="L309" s="318">
        <f t="shared" si="119"/>
      </c>
      <c r="M309" s="319">
        <f t="shared" si="255"/>
      </c>
      <c r="N309" s="320">
        <f t="shared" si="410"/>
      </c>
      <c r="O309" s="320">
        <f t="shared" si="29"/>
      </c>
      <c r="P309" s="320">
        <f t="shared" si="149"/>
      </c>
      <c r="Q309" s="321">
        <f t="shared" si="285"/>
      </c>
      <c r="R309" s="322">
        <f t="shared" si="440"/>
      </c>
      <c r="S309" s="320">
        <f t="shared" si="59"/>
      </c>
      <c r="T309" s="323">
        <f t="shared" si="470"/>
      </c>
      <c r="U309" s="323">
        <f t="shared" si="179"/>
      </c>
      <c r="V309" s="320">
        <f t="shared" si="315"/>
      </c>
      <c r="W309" s="325">
        <v>6</v>
      </c>
      <c r="X309" s="325">
        <v>3</v>
      </c>
      <c r="Y309" s="325">
        <v>5</v>
      </c>
      <c r="Z309" s="315">
        <v>11306.519999999997</v>
      </c>
      <c r="AA309" s="326">
        <v>0</v>
      </c>
      <c r="AB309" s="321">
        <f t="shared" si="500"/>
      </c>
      <c r="AC309" s="327" t="s">
        <v>284</v>
      </c>
      <c r="AD309" s="353" t="s">
        <v>298</v>
      </c>
      <c r="AE309" s="329">
        <v>4</v>
      </c>
      <c r="AF309" s="330">
        <v>30415</v>
      </c>
      <c r="AG309" s="330">
        <v>1195</v>
      </c>
      <c r="AH309" s="330">
        <v>1317</v>
      </c>
      <c r="AI309" s="331">
        <v>98</v>
      </c>
      <c r="AJ309" s="331">
        <v>98</v>
      </c>
    </row>
    <row r="310">
      <c r="A310" s="310"/>
      <c r="B310" s="311" t="s">
        <v>297</v>
      </c>
      <c r="C310" s="332" t="s">
        <v>289</v>
      </c>
      <c r="D310" s="313">
        <f t="shared" si="221"/>
      </c>
      <c r="E310" s="312">
        <v>1403.22</v>
      </c>
      <c r="F310" s="357">
        <v>291.44</v>
      </c>
      <c r="G310" s="358">
        <f t="shared" si="338"/>
      </c>
      <c r="H310" s="359">
        <v>0</v>
      </c>
      <c r="I310" s="316">
        <f t="shared" si="380"/>
      </c>
      <c r="J310" s="316">
        <f t="shared" si="542"/>
      </c>
      <c r="K310" s="317">
        <f t="shared" si="89"/>
      </c>
      <c r="L310" s="318">
        <f t="shared" si="119"/>
      </c>
      <c r="M310" s="319">
        <f t="shared" si="255"/>
      </c>
      <c r="N310" s="320">
        <f t="shared" si="410"/>
      </c>
      <c r="O310" s="320">
        <f t="shared" si="29"/>
      </c>
      <c r="P310" s="320">
        <f t="shared" si="149"/>
      </c>
      <c r="Q310" s="321">
        <f t="shared" si="285"/>
      </c>
      <c r="R310" s="322">
        <f t="shared" si="440"/>
      </c>
      <c r="S310" s="320">
        <f t="shared" si="59"/>
      </c>
      <c r="T310" s="323">
        <f t="shared" si="470"/>
      </c>
      <c r="U310" s="323">
        <f t="shared" si="179"/>
      </c>
      <c r="V310" s="320">
        <f t="shared" si="315"/>
      </c>
      <c r="W310" s="325">
        <v>3</v>
      </c>
      <c r="X310" s="325">
        <v>1</v>
      </c>
      <c r="Y310" s="325">
        <v>3</v>
      </c>
      <c r="Z310" s="326">
        <v>2883.5999999999985</v>
      </c>
      <c r="AA310" s="326">
        <v>0</v>
      </c>
      <c r="AB310" s="321">
        <f t="shared" si="500"/>
      </c>
      <c r="AC310" s="327" t="s">
        <v>284</v>
      </c>
      <c r="AD310" s="353" t="s">
        <v>298</v>
      </c>
      <c r="AE310" s="329">
        <v>3</v>
      </c>
      <c r="AF310" s="330">
        <v>24965</v>
      </c>
      <c r="AG310" s="330">
        <v>1053</v>
      </c>
      <c r="AH310" s="330">
        <v>1149</v>
      </c>
      <c r="AI310" s="331">
        <v>52</v>
      </c>
      <c r="AJ310" s="331">
        <v>78</v>
      </c>
    </row>
    <row r="311">
      <c r="A311" s="310"/>
      <c r="B311" s="333" t="s">
        <v>290</v>
      </c>
      <c r="C311" s="334">
        <v>5</v>
      </c>
      <c r="D311" s="335">
        <f>SUM(D306:D310)</f>
      </c>
      <c r="E311" s="335">
        <f>SUM(E306:E310)</f>
      </c>
      <c r="F311" s="335">
        <f>SUM(F306:F310)</f>
      </c>
      <c r="G311" s="360">
        <f>SUM(G306:G310)</f>
      </c>
      <c r="H311" s="335">
        <f>SUM(H306:H310)</f>
      </c>
      <c r="I311" s="335">
        <f>SUM(I306:I310)</f>
      </c>
      <c r="J311" s="335">
        <f>SUM(J306:J310)</f>
      </c>
      <c r="K311" s="336">
        <f t="shared" si="89"/>
      </c>
      <c r="L311" s="337">
        <f t="shared" si="119"/>
      </c>
      <c r="M311" s="337">
        <f t="shared" si="255"/>
      </c>
      <c r="N311" s="338">
        <f t="shared" si="410"/>
      </c>
      <c r="O311" s="338">
        <f t="shared" si="29"/>
      </c>
      <c r="P311" s="338">
        <f t="shared" si="149"/>
      </c>
      <c r="Q311" s="339">
        <f t="shared" si="285"/>
      </c>
      <c r="R311" s="339">
        <f t="shared" si="440"/>
      </c>
      <c r="S311" s="338">
        <f t="shared" si="59"/>
      </c>
      <c r="T311" s="339">
        <f t="shared" si="470"/>
      </c>
      <c r="U311" s="339">
        <f t="shared" si="179"/>
      </c>
      <c r="V311" s="338">
        <f t="shared" si="315"/>
      </c>
      <c r="W311" s="335">
        <f>SUM(W306:W310)</f>
      </c>
      <c r="X311" s="335">
        <f>SUM(X306:X310)</f>
      </c>
      <c r="Y311" s="335">
        <f>SUM(Y306:Y310)</f>
      </c>
      <c r="Z311" s="335">
        <f>SUM(Z306:Z310)</f>
      </c>
      <c r="AA311" s="335">
        <f>SUM(AA306:AA310)</f>
      </c>
      <c r="AB311" s="340">
        <f t="shared" si="500"/>
      </c>
      <c r="AC311" s="341"/>
      <c r="AD311" s="342"/>
      <c r="AE311" s="335">
        <f>SUM(AE306:AE310)</f>
      </c>
      <c r="AF311" s="335">
        <f>SUM(AF306:AF310)</f>
      </c>
      <c r="AG311" s="335">
        <f>SUM(AG306:AG310)</f>
      </c>
      <c r="AH311" s="335">
        <f>SUM(AH306:AH310)</f>
      </c>
      <c r="AI311" s="335">
        <f>SUM(AI306:AI310)</f>
      </c>
      <c r="AJ311" s="335">
        <f>SUM(AJ306:AJ310)</f>
      </c>
    </row>
    <row r="312">
      <c r="A312" s="310"/>
      <c r="B312" s="343" t="s">
        <v>290</v>
      </c>
      <c r="C312" s="344">
        <f>C311+C305</f>
      </c>
      <c r="D312" s="354">
        <f>D311+D305</f>
      </c>
      <c r="E312" s="354">
        <f>E311+E305</f>
      </c>
      <c r="F312" s="354">
        <f>F311+F305</f>
      </c>
      <c r="G312" s="354">
        <f>G311+G305</f>
      </c>
      <c r="H312" s="354">
        <f>H311+H305</f>
      </c>
      <c r="I312" s="354">
        <f>I311+I305</f>
      </c>
      <c r="J312" s="354">
        <f>J311+J305</f>
      </c>
      <c r="K312" s="346">
        <f t="shared" si="89"/>
      </c>
      <c r="L312" s="346">
        <f t="shared" si="119"/>
      </c>
      <c r="M312" s="346">
        <f t="shared" si="255"/>
      </c>
      <c r="N312" s="346">
        <f t="shared" si="410"/>
      </c>
      <c r="O312" s="346">
        <f t="shared" si="29"/>
      </c>
      <c r="P312" s="346">
        <f t="shared" si="149"/>
      </c>
      <c r="Q312" s="347">
        <f t="shared" si="285"/>
      </c>
      <c r="R312" s="347">
        <f t="shared" si="440"/>
      </c>
      <c r="S312" s="346">
        <f t="shared" si="59"/>
      </c>
      <c r="T312" s="347">
        <f t="shared" si="470"/>
      </c>
      <c r="U312" s="347">
        <f t="shared" si="179"/>
      </c>
      <c r="V312" s="346">
        <f t="shared" si="315"/>
      </c>
      <c r="W312" s="354">
        <f>W311+W305</f>
      </c>
      <c r="X312" s="354">
        <f>X311+X305</f>
      </c>
      <c r="Y312" s="354">
        <f>Y311+Y305</f>
      </c>
      <c r="Z312" s="354">
        <f>Z311+Z305</f>
      </c>
      <c r="AA312" s="354">
        <f>AA311+AA305</f>
      </c>
      <c r="AB312" s="350">
        <f t="shared" si="500"/>
      </c>
      <c r="AC312" s="343"/>
      <c r="AD312" s="343"/>
      <c r="AE312" s="354">
        <f>AE311+AE305</f>
      </c>
      <c r="AF312" s="354">
        <f>AF311+AF305</f>
      </c>
      <c r="AG312" s="354">
        <f>AG311+AG305</f>
      </c>
      <c r="AH312" s="354">
        <f>AH311+AH305</f>
      </c>
      <c r="AI312" s="354">
        <f>AI311+AI305</f>
      </c>
      <c r="AJ312" s="354">
        <f>AJ311+AJ305</f>
      </c>
    </row>
    <row r="313">
      <c r="B313" s="362" t="s">
        <v>299</v>
      </c>
      <c r="E313" s="363">
        <f>E314+E315</f>
      </c>
      <c r="H313">
        <f>H314-I314</f>
      </c>
      <c r="I313" s="364" t="s">
        <v>300</v>
      </c>
      <c r="X313">
        <f>X314-X312</f>
      </c>
      <c r="Y313">
        <f>Y314-Y312</f>
      </c>
      <c r="Z313">
        <f>Z314-Z312</f>
      </c>
      <c r="AA313">
        <f>AA314-AA312</f>
      </c>
    </row>
    <row r="314">
      <c r="A314" s="365"/>
      <c r="B314" s="366" t="s">
        <v>301</v>
      </c>
      <c r="C314" s="367">
        <v>1</v>
      </c>
      <c r="D314" s="368" t="s">
        <v>251</v>
      </c>
      <c r="E314" s="369">
        <v>0</v>
      </c>
      <c r="F314" s="367"/>
      <c r="G314" s="367" t="s">
        <v>302</v>
      </c>
      <c r="H314" s="370">
        <v>0</v>
      </c>
      <c r="I314" s="364">
        <v>0</v>
      </c>
      <c r="W314" s="371" t="s">
        <v>303</v>
      </c>
      <c r="X314" s="372">
        <v>20</v>
      </c>
      <c r="Y314" s="372">
        <v>33</v>
      </c>
      <c r="Z314" s="372">
        <v>54974.28</v>
      </c>
      <c r="AA314" s="373">
        <v>8185.75</v>
      </c>
      <c r="AC314" s="367"/>
    </row>
    <row r="315">
      <c r="A315" s="365"/>
      <c r="B315" s="366" t="s">
        <v>304</v>
      </c>
      <c r="C315" s="367">
        <v>1</v>
      </c>
      <c r="E315" s="374">
        <v>0</v>
      </c>
      <c r="F315" s="367"/>
      <c r="H315" s="367"/>
      <c r="I315" s="367"/>
      <c r="P315" s="367">
        <v>0</v>
      </c>
      <c r="W315" s="367" t="s">
        <v>305</v>
      </c>
      <c r="X315" s="375">
        <v>0</v>
      </c>
      <c r="Y315" s="375">
        <v>0</v>
      </c>
      <c r="Z315" s="375">
        <v>0</v>
      </c>
      <c r="AA315" s="376">
        <v>0</v>
      </c>
      <c r="AB315" s="367"/>
    </row>
    <row r="316">
      <c r="AA316" s="355"/>
      <c r="AB316" s="355"/>
    </row>
    <row r="317">
      <c r="AA317" s="355"/>
      <c r="AB317" s="355"/>
    </row>
    <row r="318">
      <c r="D318" s="367"/>
      <c r="AA318" s="355"/>
      <c r="AB318" s="355"/>
    </row>
    <row r="319">
      <c r="AA319" s="355"/>
      <c r="AB319" s="355"/>
    </row>
    <row r="320">
      <c r="AA320" s="355"/>
      <c r="AB320" s="355"/>
    </row>
    <row r="321">
      <c r="AA321" s="355"/>
      <c r="AB321" s="355"/>
    </row>
    <row r="322">
      <c r="AA322" s="355"/>
      <c r="AB322" s="355"/>
    </row>
    <row r="323">
      <c r="AA323" s="355"/>
      <c r="AB323" s="355"/>
    </row>
    <row r="324">
      <c r="AA324" s="355"/>
      <c r="AB324" s="355"/>
    </row>
    <row r="325">
      <c r="AA325" s="355"/>
      <c r="AB325" s="355"/>
    </row>
    <row r="326">
      <c r="AA326" s="355"/>
      <c r="AB326" s="355"/>
    </row>
    <row r="327">
      <c r="AA327" s="355"/>
      <c r="AB327" s="355"/>
    </row>
    <row r="328">
      <c r="AA328" s="355"/>
      <c r="AB328" s="355"/>
    </row>
    <row r="329">
      <c r="AA329" s="355"/>
      <c r="AB329" s="355"/>
    </row>
    <row r="330">
      <c r="AA330" s="355"/>
      <c r="AB330" s="355"/>
    </row>
    <row r="331">
      <c r="AA331" s="355"/>
      <c r="AB331" s="355"/>
    </row>
    <row r="332">
      <c r="AA332" s="355"/>
      <c r="AB332" s="355"/>
    </row>
    <row r="333">
      <c r="AA333" s="355"/>
      <c r="AB333" s="355"/>
    </row>
    <row r="334">
      <c r="AA334" s="355"/>
      <c r="AB334" s="355"/>
    </row>
    <row r="335">
      <c r="AA335" s="355"/>
      <c r="AB335" s="355"/>
    </row>
    <row r="336">
      <c r="AA336" s="355"/>
      <c r="AB336" s="355"/>
    </row>
    <row r="337">
      <c r="AA337" s="355"/>
      <c r="AB337" s="355"/>
    </row>
    <row r="338">
      <c r="AA338" s="355"/>
      <c r="AB338" s="355"/>
    </row>
    <row r="339">
      <c r="AA339" s="355"/>
      <c r="AB339" s="355"/>
    </row>
    <row r="340">
      <c r="AA340" s="355"/>
      <c r="AB340" s="355"/>
    </row>
    <row r="341">
      <c r="AA341" s="355"/>
      <c r="AB341" s="355"/>
    </row>
    <row r="342">
      <c r="AA342" s="355"/>
      <c r="AB342" s="355"/>
    </row>
    <row r="343">
      <c r="AA343" s="355"/>
      <c r="AB343" s="355"/>
    </row>
    <row r="344">
      <c r="AA344" s="355"/>
      <c r="AB344" s="355"/>
    </row>
    <row r="345">
      <c r="AA345" s="355"/>
      <c r="AB345" s="355"/>
    </row>
    <row r="346">
      <c r="AA346" s="355"/>
      <c r="AB346" s="355"/>
    </row>
    <row r="347">
      <c r="AA347" s="355"/>
      <c r="AB347" s="355"/>
    </row>
    <row r="348">
      <c r="AA348" s="355"/>
      <c r="AB348" s="355"/>
    </row>
    <row r="349">
      <c r="AA349" s="355"/>
      <c r="AB349" s="355"/>
    </row>
    <row r="350">
      <c r="AA350" s="355"/>
      <c r="AB350" s="355"/>
    </row>
    <row r="351">
      <c r="AA351" s="355"/>
      <c r="AB351" s="355"/>
    </row>
    <row r="352">
      <c r="AA352" s="355"/>
      <c r="AB352" s="355"/>
    </row>
    <row r="353">
      <c r="AA353" s="355"/>
      <c r="AB353" s="355"/>
    </row>
    <row r="354">
      <c r="AA354" s="355"/>
      <c r="AB354" s="355"/>
    </row>
    <row r="355">
      <c r="AA355" s="355"/>
      <c r="AB355" s="355"/>
    </row>
    <row r="356">
      <c r="AA356" s="355"/>
      <c r="AB356" s="355"/>
    </row>
    <row r="357">
      <c r="AA357" s="355"/>
      <c r="AB357" s="355"/>
    </row>
    <row r="358">
      <c r="AA358" s="355"/>
      <c r="AB358" s="355"/>
    </row>
    <row r="359">
      <c r="AA359" s="355"/>
      <c r="AB359" s="355"/>
    </row>
    <row r="360">
      <c r="AA360" s="355"/>
      <c r="AB360" s="355"/>
    </row>
    <row r="361">
      <c r="AA361" s="355"/>
      <c r="AB361" s="355"/>
    </row>
    <row r="362">
      <c r="AA362" s="355"/>
      <c r="AB362" s="355"/>
    </row>
    <row r="363">
      <c r="AA363" s="355"/>
      <c r="AB363" s="355"/>
    </row>
    <row r="364">
      <c r="AA364" s="355"/>
      <c r="AB364" s="355"/>
    </row>
    <row r="365">
      <c r="AA365" s="355"/>
      <c r="AB365" s="355"/>
    </row>
    <row r="366">
      <c r="AA366" s="355"/>
      <c r="AB366" s="355"/>
    </row>
    <row r="367">
      <c r="AA367" s="355"/>
      <c r="AB367" s="355"/>
    </row>
    <row r="368">
      <c r="AA368" s="355"/>
      <c r="AB368" s="355"/>
    </row>
    <row r="369">
      <c r="AA369" s="355"/>
      <c r="AB369" s="355"/>
    </row>
    <row r="370">
      <c r="AA370" s="355"/>
      <c r="AB370" s="355"/>
    </row>
    <row r="371">
      <c r="AA371" s="355"/>
      <c r="AB371" s="355"/>
    </row>
    <row r="372">
      <c r="AA372" s="355"/>
      <c r="AB372" s="355"/>
    </row>
    <row r="373">
      <c r="AA373" s="355"/>
      <c r="AB373" s="355"/>
    </row>
    <row r="374">
      <c r="AA374" s="355"/>
      <c r="AB374" s="355"/>
    </row>
    <row r="375">
      <c r="AA375" s="355"/>
      <c r="AB375" s="355"/>
    </row>
    <row r="376">
      <c r="AA376" s="355"/>
      <c r="AB376" s="355"/>
    </row>
    <row r="377">
      <c r="AA377" s="355"/>
      <c r="AB377" s="355"/>
    </row>
    <row r="378">
      <c r="AA378" s="355"/>
      <c r="AB378" s="355"/>
    </row>
    <row r="379">
      <c r="AA379" s="355"/>
      <c r="AB379" s="355"/>
    </row>
    <row r="380">
      <c r="AA380" s="355"/>
      <c r="AB380" s="355"/>
    </row>
    <row r="381">
      <c r="AA381" s="355"/>
      <c r="AB381" s="355"/>
    </row>
    <row r="382">
      <c r="AA382" s="355"/>
      <c r="AB382" s="355"/>
    </row>
    <row r="383">
      <c r="AA383" s="355"/>
      <c r="AB383" s="355"/>
    </row>
    <row r="384">
      <c r="AA384" s="355"/>
      <c r="AB384" s="355"/>
    </row>
    <row r="385">
      <c r="AA385" s="355"/>
      <c r="AB385" s="355"/>
    </row>
    <row r="386">
      <c r="AA386" s="355"/>
      <c r="AB386" s="355"/>
    </row>
    <row r="387">
      <c r="AA387" s="355"/>
      <c r="AB387" s="355"/>
    </row>
  </sheetData>
  <mergeCells>
    <mergeCell ref="A236:A242"/>
    <mergeCell ref="A214:A220"/>
    <mergeCell ref="A106:A112"/>
    <mergeCell ref="A98:A104"/>
    <mergeCell ref="A90:A96"/>
    <mergeCell ref="A82:A88"/>
    <mergeCell ref="A74:A80"/>
    <mergeCell ref="A66:A72"/>
    <mergeCell ref="A58:A64"/>
    <mergeCell ref="A50:A56"/>
    <mergeCell ref="A42:A48"/>
    <mergeCell ref="A2:A8"/>
    <mergeCell ref="A10:A16"/>
    <mergeCell ref="A18:A24"/>
    <mergeCell ref="A26:A32"/>
    <mergeCell ref="A34:A40"/>
    <mergeCell ref="A114:A120"/>
    <mergeCell ref="A122:A128"/>
    <mergeCell ref="A130:A142"/>
    <mergeCell ref="A144:A156"/>
    <mergeCell ref="A158:A170"/>
    <mergeCell ref="A172:A184"/>
    <mergeCell ref="A186:A198"/>
    <mergeCell ref="A200:A212"/>
    <mergeCell ref="A222:A234"/>
    <mergeCell ref="A244:A256"/>
    <mergeCell ref="A258:A270"/>
    <mergeCell ref="A272:A284"/>
    <mergeCell ref="A286:A298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7" min="27" style="0" width="11.211267605633802"/>
    <col collapsed="false" customWidth="true" hidden="false" max="35" min="35" style="0" width="13.352112676056338"/>
  </cols>
  <sheetData>
    <row r="1">
      <c r="A1" s="377" t="s">
        <v>306</v>
      </c>
      <c r="B1" s="378" t="s">
        <v>307</v>
      </c>
      <c r="C1" s="378" t="s">
        <v>308</v>
      </c>
      <c r="D1" s="379" t="s">
        <v>309</v>
      </c>
      <c r="E1" s="378" t="s">
        <v>310</v>
      </c>
      <c r="F1" s="378" t="s">
        <v>311</v>
      </c>
      <c r="G1" s="379" t="s">
        <v>312</v>
      </c>
      <c r="H1" s="380" t="s">
        <v>313</v>
      </c>
      <c r="I1" s="381" t="s">
        <v>314</v>
      </c>
      <c r="J1" s="381" t="s">
        <v>315</v>
      </c>
      <c r="K1" s="382" t="s">
        <v>316</v>
      </c>
      <c r="L1" s="381" t="s">
        <v>317</v>
      </c>
      <c r="M1" s="378" t="s">
        <v>318</v>
      </c>
      <c r="N1" s="382" t="s">
        <v>319</v>
      </c>
      <c r="O1" s="383" t="s">
        <v>320</v>
      </c>
      <c r="P1" s="383" t="s">
        <v>321</v>
      </c>
      <c r="Q1" s="379" t="s">
        <v>322</v>
      </c>
      <c r="R1" s="384" t="s">
        <v>323</v>
      </c>
      <c r="S1" s="382" t="s">
        <v>324</v>
      </c>
      <c r="T1" s="385" t="s">
        <v>325</v>
      </c>
      <c r="U1" s="386" t="s">
        <v>326</v>
      </c>
      <c r="V1" s="382" t="s">
        <v>327</v>
      </c>
      <c r="W1" s="387" t="s">
        <v>328</v>
      </c>
      <c r="X1" s="388" t="s">
        <v>329</v>
      </c>
      <c r="Y1" s="387" t="s">
        <v>330</v>
      </c>
      <c r="Z1" s="389" t="s">
        <v>331</v>
      </c>
      <c r="AA1" s="389" t="s">
        <v>332</v>
      </c>
      <c r="AB1" s="381" t="s">
        <v>333</v>
      </c>
      <c r="AC1" s="380" t="s">
        <v>334</v>
      </c>
      <c r="AD1" s="381" t="s">
        <v>335</v>
      </c>
      <c r="AE1" s="380" t="s">
        <v>336</v>
      </c>
      <c r="AF1" s="380" t="s">
        <v>337</v>
      </c>
      <c r="AG1" s="381" t="s">
        <v>338</v>
      </c>
      <c r="AH1" s="380" t="s">
        <v>339</v>
      </c>
      <c r="AI1" s="381" t="s">
        <v>340</v>
      </c>
      <c r="AJ1" s="380" t="s">
        <v>341</v>
      </c>
    </row>
    <row r="2">
      <c r="A2" s="390">
        <v>46190</v>
      </c>
      <c r="B2" s="391" t="s">
        <v>342</v>
      </c>
      <c r="C2" s="392" t="s">
        <v>343</v>
      </c>
      <c r="D2" s="393">
        <f t="shared" ref="D2:D5" si="117">E2+F2</f>
      </c>
      <c r="E2" s="392">
        <v>10.98</v>
      </c>
      <c r="F2" s="394">
        <v>1.74</v>
      </c>
      <c r="G2" s="395">
        <f t="shared" ref="G2:G5" si="182">Z2+AA2</f>
      </c>
      <c r="H2" s="396">
        <v>0</v>
      </c>
      <c r="I2" s="395">
        <f t="shared" ref="I2:I5" si="0">G2-H2</f>
      </c>
      <c r="J2" s="395">
        <f t="shared" ref="J2:J5" si="52">(G2-AA2)/12+AA2</f>
      </c>
      <c r="K2" s="397">
        <f t="shared" ref="K2:K7" si="143">G2/D2</f>
      </c>
      <c r="L2" s="398">
        <f t="shared" ref="L2:L7" si="192">(G2-H2)/D2</f>
      </c>
      <c r="M2" s="399">
        <f t="shared" ref="M2:M7" si="13">(AA2+Z2/12)/D2</f>
      </c>
      <c r="N2" s="400">
        <f t="shared" ref="N2:N7" si="65">G2/Y2</f>
      </c>
      <c r="O2" s="400">
        <f t="shared" ref="O2:O7" si="156">D2/Y2</f>
      </c>
      <c r="P2" s="400">
        <f t="shared" ref="P2:P7" si="205">D2/AE2</f>
      </c>
      <c r="Q2" s="401">
        <f t="shared" ref="Q2:Q7" si="26">Y2/W2</f>
      </c>
      <c r="R2" s="402">
        <f t="shared" ref="R2:R7" si="78">AG2/AF2</f>
      </c>
      <c r="S2" s="400">
        <f t="shared" ref="S2:S7" si="169">D2/AH2</f>
      </c>
      <c r="T2" s="403">
        <f t="shared" ref="T2:T7" si="91">AI2/AH2</f>
      </c>
      <c r="U2" s="403">
        <f t="shared" ref="U2:U7" si="218">AJ2/AH2</f>
      </c>
      <c r="V2" s="400">
        <f t="shared" ref="V2:V7" si="39">D2/AJ2</f>
      </c>
      <c r="W2" s="404">
        <f t="shared" ref="W2:W5" si="130">X2+Y2</f>
      </c>
      <c r="X2" s="405">
        <v>0</v>
      </c>
      <c r="Y2" s="405">
        <v>0</v>
      </c>
      <c r="Z2" s="406">
        <v>0</v>
      </c>
      <c r="AA2" s="406">
        <v>0</v>
      </c>
      <c r="AB2" s="401">
        <f t="shared" ref="AB2:AB7" si="104">AA2/G2</f>
      </c>
      <c r="AC2" s="407" t="s">
        <v>344</v>
      </c>
      <c r="AD2" s="408" t="s">
        <v>345</v>
      </c>
      <c r="AE2" s="409">
        <v>0</v>
      </c>
      <c r="AF2" s="410">
        <v>285</v>
      </c>
      <c r="AG2" s="410">
        <v>31</v>
      </c>
      <c r="AH2" s="410">
        <v>33</v>
      </c>
      <c r="AI2" s="409">
        <v>1</v>
      </c>
      <c r="AJ2" s="409">
        <v>1</v>
      </c>
    </row>
    <row r="3">
      <c r="A3" s="411"/>
      <c r="B3" s="391" t="s">
        <v>342</v>
      </c>
      <c r="C3" s="392" t="s">
        <v>346</v>
      </c>
      <c r="D3" s="393">
        <f t="shared" si="117"/>
      </c>
      <c r="E3" s="392">
        <v>219.38</v>
      </c>
      <c r="F3" s="394">
        <v>4.69</v>
      </c>
      <c r="G3" s="395">
        <f t="shared" si="182"/>
      </c>
      <c r="H3" s="396">
        <v>0</v>
      </c>
      <c r="I3" s="395">
        <f t="shared" si="0"/>
      </c>
      <c r="J3" s="395">
        <f t="shared" si="52"/>
      </c>
      <c r="K3" s="397">
        <f t="shared" si="143"/>
      </c>
      <c r="L3" s="398">
        <f t="shared" si="192"/>
      </c>
      <c r="M3" s="399">
        <f t="shared" si="13"/>
      </c>
      <c r="N3" s="400">
        <f t="shared" si="65"/>
      </c>
      <c r="O3" s="400">
        <f t="shared" si="156"/>
      </c>
      <c r="P3" s="400">
        <f t="shared" si="205"/>
      </c>
      <c r="Q3" s="401">
        <f t="shared" si="26"/>
      </c>
      <c r="R3" s="402">
        <f t="shared" si="78"/>
      </c>
      <c r="S3" s="400">
        <f t="shared" si="169"/>
      </c>
      <c r="T3" s="403">
        <f t="shared" si="91"/>
      </c>
      <c r="U3" s="403">
        <f t="shared" si="218"/>
      </c>
      <c r="V3" s="400">
        <f t="shared" si="39"/>
      </c>
      <c r="W3" s="404">
        <f t="shared" si="130"/>
      </c>
      <c r="X3" s="405">
        <v>0</v>
      </c>
      <c r="Y3" s="405">
        <v>0</v>
      </c>
      <c r="Z3" s="406">
        <v>0</v>
      </c>
      <c r="AA3" s="406">
        <v>0</v>
      </c>
      <c r="AB3" s="401">
        <f t="shared" si="104"/>
      </c>
      <c r="AC3" s="407" t="s">
        <v>344</v>
      </c>
      <c r="AD3" s="408" t="s">
        <v>345</v>
      </c>
      <c r="AE3" s="409">
        <v>0</v>
      </c>
      <c r="AF3" s="410">
        <v>1831</v>
      </c>
      <c r="AG3" s="410">
        <v>190</v>
      </c>
      <c r="AH3" s="410">
        <v>204</v>
      </c>
      <c r="AI3" s="409">
        <v>6</v>
      </c>
      <c r="AJ3" s="409">
        <v>12</v>
      </c>
    </row>
    <row r="4">
      <c r="A4" s="411"/>
      <c r="B4" s="391" t="s">
        <v>342</v>
      </c>
      <c r="C4" s="392" t="s">
        <v>347</v>
      </c>
      <c r="D4" s="393">
        <f t="shared" si="117"/>
      </c>
      <c r="E4" s="392">
        <v>752.17</v>
      </c>
      <c r="F4" s="394">
        <v>48.56</v>
      </c>
      <c r="G4" s="395">
        <f t="shared" si="182"/>
      </c>
      <c r="H4" s="396">
        <v>0</v>
      </c>
      <c r="I4" s="395">
        <f t="shared" si="0"/>
      </c>
      <c r="J4" s="395">
        <f t="shared" si="52"/>
      </c>
      <c r="K4" s="397">
        <f t="shared" si="143"/>
      </c>
      <c r="L4" s="398">
        <f t="shared" si="192"/>
      </c>
      <c r="M4" s="399">
        <f t="shared" si="13"/>
      </c>
      <c r="N4" s="400">
        <f t="shared" si="65"/>
      </c>
      <c r="O4" s="400">
        <f t="shared" si="156"/>
      </c>
      <c r="P4" s="400">
        <f t="shared" si="205"/>
      </c>
      <c r="Q4" s="401">
        <f t="shared" si="26"/>
      </c>
      <c r="R4" s="402">
        <f t="shared" si="78"/>
      </c>
      <c r="S4" s="400">
        <f t="shared" si="169"/>
      </c>
      <c r="T4" s="403">
        <f t="shared" si="91"/>
      </c>
      <c r="U4" s="403">
        <f t="shared" si="218"/>
      </c>
      <c r="V4" s="400">
        <f t="shared" si="39"/>
      </c>
      <c r="W4" s="404">
        <f t="shared" si="130"/>
      </c>
      <c r="X4" s="405">
        <v>0</v>
      </c>
      <c r="Y4" s="405">
        <v>0</v>
      </c>
      <c r="Z4" s="406">
        <v>0</v>
      </c>
      <c r="AA4" s="406">
        <v>0</v>
      </c>
      <c r="AB4" s="401">
        <f t="shared" si="104"/>
      </c>
      <c r="AC4" s="407" t="s">
        <v>344</v>
      </c>
      <c r="AD4" s="408" t="s">
        <v>345</v>
      </c>
      <c r="AE4" s="409">
        <v>0</v>
      </c>
      <c r="AF4" s="410">
        <v>6309</v>
      </c>
      <c r="AG4" s="410">
        <v>482</v>
      </c>
      <c r="AH4" s="410">
        <v>560</v>
      </c>
      <c r="AI4" s="409">
        <v>30</v>
      </c>
      <c r="AJ4" s="409">
        <v>30</v>
      </c>
    </row>
    <row r="5">
      <c r="A5" s="411"/>
      <c r="B5" s="391" t="s">
        <v>342</v>
      </c>
      <c r="C5" s="392" t="s">
        <v>348</v>
      </c>
      <c r="D5" s="393">
        <f t="shared" si="117"/>
      </c>
      <c r="E5" s="392">
        <v>410.47</v>
      </c>
      <c r="F5" s="394">
        <v>33.93</v>
      </c>
      <c r="G5" s="395">
        <f t="shared" si="182"/>
      </c>
      <c r="H5" s="396">
        <v>0</v>
      </c>
      <c r="I5" s="395">
        <f t="shared" si="0"/>
      </c>
      <c r="J5" s="395">
        <f t="shared" si="52"/>
      </c>
      <c r="K5" s="397">
        <f t="shared" si="143"/>
      </c>
      <c r="L5" s="398">
        <f t="shared" si="192"/>
      </c>
      <c r="M5" s="399">
        <f t="shared" si="13"/>
      </c>
      <c r="N5" s="400">
        <f t="shared" si="65"/>
      </c>
      <c r="O5" s="400">
        <f t="shared" si="156"/>
      </c>
      <c r="P5" s="400">
        <f t="shared" si="205"/>
      </c>
      <c r="Q5" s="401">
        <f t="shared" si="26"/>
      </c>
      <c r="R5" s="402">
        <f t="shared" si="78"/>
      </c>
      <c r="S5" s="400">
        <f t="shared" si="169"/>
      </c>
      <c r="T5" s="403">
        <f t="shared" si="91"/>
      </c>
      <c r="U5" s="403">
        <f t="shared" si="218"/>
      </c>
      <c r="V5" s="400">
        <f t="shared" si="39"/>
      </c>
      <c r="W5" s="404">
        <f t="shared" si="130"/>
      </c>
      <c r="X5" s="405">
        <v>2</v>
      </c>
      <c r="Y5" s="405">
        <v>1</v>
      </c>
      <c r="Z5" s="412">
        <v>498.96</v>
      </c>
      <c r="AA5" s="406">
        <v>0</v>
      </c>
      <c r="AB5" s="401">
        <f t="shared" si="104"/>
      </c>
      <c r="AC5" s="407" t="s">
        <v>344</v>
      </c>
      <c r="AD5" s="408" t="s">
        <v>345</v>
      </c>
      <c r="AE5" s="409">
        <v>1</v>
      </c>
      <c r="AF5" s="410">
        <v>4763</v>
      </c>
      <c r="AG5" s="410">
        <v>283</v>
      </c>
      <c r="AH5" s="410">
        <v>323</v>
      </c>
      <c r="AI5" s="409">
        <v>21</v>
      </c>
      <c r="AJ5" s="409">
        <v>22</v>
      </c>
    </row>
    <row r="6">
      <c r="A6" s="411"/>
      <c r="B6" s="413" t="s">
        <v>349</v>
      </c>
      <c r="C6" s="414">
        <v>4</v>
      </c>
      <c r="D6" s="415">
        <f>SUM(D2:D5)</f>
      </c>
      <c r="E6" s="415">
        <f>SUM(E2:E5)</f>
      </c>
      <c r="F6" s="415">
        <f>SUM(F2:F5)</f>
      </c>
      <c r="G6" s="415">
        <f>SUM(G2:G5)</f>
      </c>
      <c r="H6" s="415">
        <f>SUM(H2:H5)</f>
      </c>
      <c r="I6" s="415">
        <f>SUM(I2:I5)</f>
      </c>
      <c r="J6" s="415">
        <f>SUM(J2:J5)</f>
      </c>
      <c r="K6" s="416">
        <f t="shared" si="143"/>
      </c>
      <c r="L6" s="417">
        <f t="shared" si="192"/>
      </c>
      <c r="M6" s="417">
        <f t="shared" si="13"/>
      </c>
      <c r="N6" s="418">
        <f t="shared" si="65"/>
      </c>
      <c r="O6" s="418">
        <f t="shared" si="156"/>
      </c>
      <c r="P6" s="418">
        <f t="shared" si="205"/>
      </c>
      <c r="Q6" s="419">
        <f t="shared" si="26"/>
      </c>
      <c r="R6" s="419">
        <f t="shared" si="78"/>
      </c>
      <c r="S6" s="418">
        <f t="shared" si="169"/>
      </c>
      <c r="T6" s="419">
        <f t="shared" si="91"/>
      </c>
      <c r="U6" s="419">
        <f t="shared" si="218"/>
      </c>
      <c r="V6" s="418">
        <f t="shared" si="39"/>
      </c>
      <c r="W6" s="420">
        <f>SUM(W2:W5)</f>
      </c>
      <c r="X6" s="420">
        <f>SUM(X2:X5)</f>
      </c>
      <c r="Y6" s="420">
        <f>SUM(Y2:Y5)</f>
      </c>
      <c r="Z6" s="421">
        <f>SUM(Z2:Z5)</f>
      </c>
      <c r="AA6" s="421">
        <f>SUM(AA2:AA5)</f>
      </c>
      <c r="AB6" s="422">
        <f t="shared" si="104"/>
      </c>
      <c r="AC6" s="423"/>
      <c r="AD6" s="424"/>
      <c r="AE6" s="425">
        <f>SUM(AE2:AE5)</f>
      </c>
      <c r="AF6" s="425">
        <f>SUM(AF2:AF5)</f>
      </c>
      <c r="AG6" s="425">
        <f>SUM(AG2:AG5)</f>
      </c>
      <c r="AH6" s="425">
        <f>SUM(AH2:AH5)</f>
      </c>
      <c r="AI6" s="425">
        <f>SUM(AI2:AI5)</f>
      </c>
      <c r="AJ6" s="425">
        <f>SUM(AJ2:AJ5)</f>
      </c>
    </row>
    <row r="7">
      <c r="A7" s="411"/>
      <c r="B7" s="426" t="s">
        <v>349</v>
      </c>
      <c r="C7" s="426">
        <f>C6</f>
      </c>
      <c r="D7" s="426">
        <f>D6</f>
      </c>
      <c r="E7" s="426">
        <f>E6</f>
      </c>
      <c r="F7" s="426">
        <f>F6</f>
      </c>
      <c r="G7" s="427">
        <f>G6</f>
      </c>
      <c r="H7" s="427">
        <f>H6</f>
      </c>
      <c r="I7" s="427">
        <f>I6</f>
      </c>
      <c r="J7" s="427">
        <f>J6</f>
      </c>
      <c r="K7" s="428">
        <f t="shared" si="143"/>
      </c>
      <c r="L7" s="428">
        <f t="shared" si="192"/>
      </c>
      <c r="M7" s="428">
        <f t="shared" si="13"/>
      </c>
      <c r="N7" s="428">
        <f t="shared" si="65"/>
      </c>
      <c r="O7" s="428">
        <f t="shared" si="156"/>
      </c>
      <c r="P7" s="428">
        <f t="shared" si="205"/>
      </c>
      <c r="Q7" s="429">
        <f t="shared" si="26"/>
      </c>
      <c r="R7" s="429">
        <f t="shared" si="78"/>
      </c>
      <c r="S7" s="428">
        <f t="shared" si="169"/>
      </c>
      <c r="T7" s="429">
        <f t="shared" si="91"/>
      </c>
      <c r="U7" s="429">
        <f t="shared" si="218"/>
      </c>
      <c r="V7" s="428">
        <f t="shared" si="39"/>
      </c>
      <c r="W7" s="430">
        <f>W6</f>
      </c>
      <c r="X7" s="430">
        <f>X6</f>
      </c>
      <c r="Y7" s="430">
        <f>Y6</f>
      </c>
      <c r="Z7" s="430">
        <f>Z6</f>
      </c>
      <c r="AA7" s="430">
        <f>AA6</f>
      </c>
      <c r="AB7" s="431">
        <f t="shared" si="104"/>
      </c>
      <c r="AC7" s="426"/>
      <c r="AD7" s="426"/>
      <c r="AE7" s="426">
        <f>AE6</f>
      </c>
      <c r="AF7" s="426">
        <f>AF6</f>
      </c>
      <c r="AG7" s="426">
        <f>AG6</f>
      </c>
      <c r="AH7" s="426">
        <f>AH6</f>
      </c>
      <c r="AI7" s="426">
        <f>AI6</f>
      </c>
      <c r="AJ7" s="426">
        <f>AJ6</f>
      </c>
    </row>
    <row r="8">
      <c r="A8" s="377" t="s">
        <v>306</v>
      </c>
      <c r="B8" s="378" t="s">
        <v>307</v>
      </c>
      <c r="C8" s="378" t="s">
        <v>308</v>
      </c>
      <c r="D8" s="379" t="s">
        <v>309</v>
      </c>
      <c r="E8" s="378" t="s">
        <v>310</v>
      </c>
      <c r="F8" s="378" t="s">
        <v>311</v>
      </c>
      <c r="G8" s="379" t="s">
        <v>312</v>
      </c>
      <c r="H8" s="380" t="s">
        <v>313</v>
      </c>
      <c r="I8" s="381" t="s">
        <v>314</v>
      </c>
      <c r="J8" s="381" t="s">
        <v>315</v>
      </c>
      <c r="K8" s="382" t="s">
        <v>316</v>
      </c>
      <c r="L8" s="381" t="s">
        <v>317</v>
      </c>
      <c r="M8" s="378" t="s">
        <v>318</v>
      </c>
      <c r="N8" s="382" t="s">
        <v>319</v>
      </c>
      <c r="O8" s="383" t="s">
        <v>320</v>
      </c>
      <c r="P8" s="383" t="s">
        <v>321</v>
      </c>
      <c r="Q8" s="379" t="s">
        <v>322</v>
      </c>
      <c r="R8" s="384" t="s">
        <v>323</v>
      </c>
      <c r="S8" s="382" t="s">
        <v>324</v>
      </c>
      <c r="T8" s="385" t="s">
        <v>325</v>
      </c>
      <c r="U8" s="386" t="s">
        <v>326</v>
      </c>
      <c r="V8" s="382" t="s">
        <v>327</v>
      </c>
      <c r="W8" s="387" t="s">
        <v>328</v>
      </c>
      <c r="X8" s="388" t="s">
        <v>329</v>
      </c>
      <c r="Y8" s="387" t="s">
        <v>330</v>
      </c>
      <c r="Z8" s="389" t="s">
        <v>331</v>
      </c>
      <c r="AA8" s="389" t="s">
        <v>332</v>
      </c>
      <c r="AB8" s="381" t="s">
        <v>333</v>
      </c>
      <c r="AC8" s="380" t="s">
        <v>334</v>
      </c>
      <c r="AD8" s="381" t="s">
        <v>335</v>
      </c>
      <c r="AE8" s="380" t="s">
        <v>336</v>
      </c>
      <c r="AF8" s="380" t="s">
        <v>337</v>
      </c>
      <c r="AG8" s="381" t="s">
        <v>338</v>
      </c>
      <c r="AH8" s="380" t="s">
        <v>339</v>
      </c>
      <c r="AI8" s="381" t="s">
        <v>340</v>
      </c>
      <c r="AJ8" s="380" t="s">
        <v>341</v>
      </c>
    </row>
    <row r="9">
      <c r="A9" s="390">
        <v>46191</v>
      </c>
      <c r="B9" s="391" t="s">
        <v>342</v>
      </c>
      <c r="C9" s="392" t="s">
        <v>343</v>
      </c>
      <c r="D9" s="393">
        <f t="shared" ref="D9:D12" si="118">E9+F9</f>
      </c>
      <c r="E9" s="432">
        <v>523.78</v>
      </c>
      <c r="F9" s="433">
        <v>66.5</v>
      </c>
      <c r="G9" s="396">
        <f t="shared" ref="G9:G12" si="183">Z9+AA9</f>
      </c>
      <c r="H9" s="396">
        <v>757.08</v>
      </c>
      <c r="I9" s="395">
        <f t="shared" ref="I9:I12" si="1">G9-H9</f>
      </c>
      <c r="J9" s="395">
        <f t="shared" ref="J9:J12" si="53">(G9-AA9)/12+AA9</f>
      </c>
      <c r="K9" s="397">
        <f t="shared" ref="K9:K14" si="144">G9/D9</f>
      </c>
      <c r="L9" s="398">
        <f t="shared" ref="L9:L14" si="193">(G9-H9)/D9</f>
      </c>
      <c r="M9" s="399">
        <f t="shared" ref="M9:M14" si="14">(AA9+Z9/12)/D9</f>
      </c>
      <c r="N9" s="400">
        <f t="shared" ref="N9:N14" si="66">G9/Y9</f>
      </c>
      <c r="O9" s="400">
        <f t="shared" ref="O9:O14" si="157">D9/Y9</f>
      </c>
      <c r="P9" s="400">
        <f t="shared" ref="P9:P14" si="206">D9/AE9</f>
      </c>
      <c r="Q9" s="401">
        <f t="shared" ref="Q9:Q14" si="27">Y9/W9</f>
      </c>
      <c r="R9" s="402">
        <f t="shared" ref="R9:R14" si="79">AG9/AF9</f>
      </c>
      <c r="S9" s="400">
        <f t="shared" ref="S9:S14" si="170">D9/AH9</f>
      </c>
      <c r="T9" s="403">
        <f t="shared" ref="T9:T14" si="92">AI9/AH9</f>
      </c>
      <c r="U9" s="403">
        <f t="shared" ref="U9:U14" si="219">AJ9/AH9</f>
      </c>
      <c r="V9" s="400">
        <f t="shared" ref="V9:V14" si="40">D9/AJ9</f>
      </c>
      <c r="W9" s="404">
        <f t="shared" ref="W9:W12" si="131">X9+Y9</f>
      </c>
      <c r="X9" s="405">
        <v>1</v>
      </c>
      <c r="Y9" s="405">
        <v>1</v>
      </c>
      <c r="Z9" s="406">
        <v>757.08</v>
      </c>
      <c r="AA9" s="406">
        <v>0</v>
      </c>
      <c r="AB9" s="401">
        <f t="shared" ref="AB9:AB14" si="105">AA9/G9</f>
      </c>
      <c r="AC9" s="407" t="s">
        <v>344</v>
      </c>
      <c r="AD9" s="408" t="s">
        <v>350</v>
      </c>
      <c r="AE9" s="409">
        <v>1</v>
      </c>
      <c r="AF9" s="410">
        <v>5434</v>
      </c>
      <c r="AG9" s="410">
        <v>241</v>
      </c>
      <c r="AH9" s="410">
        <v>271</v>
      </c>
      <c r="AI9" s="409">
        <v>26</v>
      </c>
      <c r="AJ9" s="409">
        <v>25</v>
      </c>
    </row>
    <row r="10">
      <c r="A10" s="390"/>
      <c r="B10" s="391" t="s">
        <v>342</v>
      </c>
      <c r="C10" s="392" t="s">
        <v>346</v>
      </c>
      <c r="D10" s="393">
        <f t="shared" si="118"/>
      </c>
      <c r="E10" s="432">
        <v>1040.39</v>
      </c>
      <c r="F10" s="433">
        <v>99.75</v>
      </c>
      <c r="G10" s="396">
        <f t="shared" si="183"/>
      </c>
      <c r="H10" s="396">
        <v>0</v>
      </c>
      <c r="I10" s="395">
        <f t="shared" si="1"/>
      </c>
      <c r="J10" s="395">
        <f t="shared" si="53"/>
      </c>
      <c r="K10" s="397">
        <f t="shared" si="144"/>
      </c>
      <c r="L10" s="398">
        <f t="shared" si="193"/>
      </c>
      <c r="M10" s="399">
        <f t="shared" si="14"/>
      </c>
      <c r="N10" s="400">
        <f t="shared" si="66"/>
      </c>
      <c r="O10" s="400">
        <f t="shared" si="157"/>
      </c>
      <c r="P10" s="400">
        <f t="shared" si="206"/>
      </c>
      <c r="Q10" s="401">
        <f t="shared" si="27"/>
      </c>
      <c r="R10" s="402">
        <f t="shared" si="79"/>
      </c>
      <c r="S10" s="400">
        <f t="shared" si="170"/>
      </c>
      <c r="T10" s="403">
        <f t="shared" si="92"/>
      </c>
      <c r="U10" s="403">
        <f t="shared" si="219"/>
      </c>
      <c r="V10" s="400">
        <f t="shared" si="40"/>
      </c>
      <c r="W10" s="404">
        <f t="shared" si="131"/>
      </c>
      <c r="X10" s="405">
        <v>3</v>
      </c>
      <c r="Y10" s="405">
        <v>1</v>
      </c>
      <c r="Z10" s="406">
        <v>5628.84</v>
      </c>
      <c r="AA10" s="406">
        <v>0</v>
      </c>
      <c r="AB10" s="401">
        <f t="shared" si="105"/>
      </c>
      <c r="AC10" s="407" t="s">
        <v>344</v>
      </c>
      <c r="AD10" s="408" t="s">
        <v>350</v>
      </c>
      <c r="AE10" s="409">
        <v>0</v>
      </c>
      <c r="AF10" s="410">
        <v>10046</v>
      </c>
      <c r="AG10" s="410">
        <v>504</v>
      </c>
      <c r="AH10" s="410">
        <v>553</v>
      </c>
      <c r="AI10" s="409">
        <v>46</v>
      </c>
      <c r="AJ10" s="409">
        <v>40</v>
      </c>
    </row>
    <row r="11">
      <c r="A11" s="390"/>
      <c r="B11" s="391" t="s">
        <v>342</v>
      </c>
      <c r="C11" s="392" t="s">
        <v>347</v>
      </c>
      <c r="D11" s="393">
        <f t="shared" si="118"/>
      </c>
      <c r="E11" s="432">
        <v>1854.97</v>
      </c>
      <c r="F11" s="433">
        <v>150.73</v>
      </c>
      <c r="G11" s="396">
        <f t="shared" si="183"/>
      </c>
      <c r="H11" s="396">
        <v>0</v>
      </c>
      <c r="I11" s="395">
        <f t="shared" si="1"/>
      </c>
      <c r="J11" s="395">
        <f t="shared" si="53"/>
      </c>
      <c r="K11" s="397">
        <f t="shared" si="144"/>
      </c>
      <c r="L11" s="398">
        <f t="shared" si="193"/>
      </c>
      <c r="M11" s="399">
        <f t="shared" si="14"/>
      </c>
      <c r="N11" s="400">
        <f t="shared" si="66"/>
      </c>
      <c r="O11" s="400">
        <f t="shared" si="157"/>
      </c>
      <c r="P11" s="400">
        <f t="shared" si="206"/>
      </c>
      <c r="Q11" s="401">
        <f t="shared" si="27"/>
      </c>
      <c r="R11" s="402">
        <f t="shared" si="79"/>
      </c>
      <c r="S11" s="400">
        <f t="shared" si="170"/>
      </c>
      <c r="T11" s="403">
        <f t="shared" si="92"/>
      </c>
      <c r="U11" s="403">
        <f t="shared" si="219"/>
      </c>
      <c r="V11" s="400">
        <f t="shared" si="40"/>
      </c>
      <c r="W11" s="404">
        <f t="shared" si="131"/>
      </c>
      <c r="X11" s="405">
        <v>1</v>
      </c>
      <c r="Y11" s="405">
        <v>0</v>
      </c>
      <c r="Z11" s="406">
        <v>0</v>
      </c>
      <c r="AA11" s="406">
        <v>0</v>
      </c>
      <c r="AB11" s="401">
        <f t="shared" si="105"/>
      </c>
      <c r="AC11" s="407" t="s">
        <v>344</v>
      </c>
      <c r="AD11" s="408" t="s">
        <v>350</v>
      </c>
      <c r="AE11" s="409">
        <v>0</v>
      </c>
      <c r="AF11" s="410">
        <v>15792</v>
      </c>
      <c r="AG11" s="410">
        <v>839</v>
      </c>
      <c r="AH11" s="410">
        <v>908</v>
      </c>
      <c r="AI11" s="409">
        <v>73</v>
      </c>
      <c r="AJ11" s="409">
        <v>86</v>
      </c>
    </row>
    <row r="12">
      <c r="A12" s="390"/>
      <c r="B12" s="391" t="s">
        <v>342</v>
      </c>
      <c r="C12" s="392" t="s">
        <v>348</v>
      </c>
      <c r="D12" s="393">
        <f t="shared" si="118"/>
      </c>
      <c r="E12" s="432">
        <v>490.32</v>
      </c>
      <c r="F12" s="433">
        <v>31.38</v>
      </c>
      <c r="G12" s="396">
        <f t="shared" si="183"/>
      </c>
      <c r="H12" s="396">
        <v>0</v>
      </c>
      <c r="I12" s="395">
        <f t="shared" si="1"/>
      </c>
      <c r="J12" s="395">
        <f t="shared" si="53"/>
      </c>
      <c r="K12" s="397">
        <f t="shared" si="144"/>
      </c>
      <c r="L12" s="398">
        <f t="shared" si="193"/>
      </c>
      <c r="M12" s="399">
        <f t="shared" si="14"/>
      </c>
      <c r="N12" s="400">
        <f t="shared" si="66"/>
      </c>
      <c r="O12" s="400">
        <f t="shared" si="157"/>
      </c>
      <c r="P12" s="400">
        <f t="shared" si="206"/>
      </c>
      <c r="Q12" s="401">
        <f t="shared" si="27"/>
      </c>
      <c r="R12" s="402">
        <f t="shared" si="79"/>
      </c>
      <c r="S12" s="400">
        <f t="shared" si="170"/>
      </c>
      <c r="T12" s="403">
        <f t="shared" si="92"/>
      </c>
      <c r="U12" s="403">
        <f t="shared" si="219"/>
      </c>
      <c r="V12" s="400">
        <f t="shared" si="40"/>
      </c>
      <c r="W12" s="404">
        <f t="shared" si="131"/>
      </c>
      <c r="X12" s="405">
        <v>1</v>
      </c>
      <c r="Y12" s="405">
        <v>1</v>
      </c>
      <c r="Z12" s="412">
        <v>2986.5599999999995</v>
      </c>
      <c r="AA12" s="406">
        <v>0</v>
      </c>
      <c r="AB12" s="401">
        <f t="shared" si="105"/>
      </c>
      <c r="AC12" s="407" t="s">
        <v>344</v>
      </c>
      <c r="AD12" s="408" t="s">
        <v>350</v>
      </c>
      <c r="AE12" s="434">
        <v>1</v>
      </c>
      <c r="AF12" s="410">
        <v>5536</v>
      </c>
      <c r="AG12" s="410">
        <v>347</v>
      </c>
      <c r="AH12" s="410">
        <v>402</v>
      </c>
      <c r="AI12" s="409">
        <v>24</v>
      </c>
      <c r="AJ12" s="409">
        <v>39</v>
      </c>
    </row>
    <row r="13">
      <c r="A13" s="390"/>
      <c r="B13" s="413" t="s">
        <v>349</v>
      </c>
      <c r="C13" s="414">
        <v>4</v>
      </c>
      <c r="D13" s="415">
        <f>SUM(D9:D12)</f>
      </c>
      <c r="E13" s="415">
        <f>SUM(E9:E12)</f>
      </c>
      <c r="F13" s="415">
        <f>SUM(F9:F12)</f>
      </c>
      <c r="G13" s="415">
        <f>SUM(G9:G12)</f>
      </c>
      <c r="H13" s="415">
        <f>SUM(H9:H12)</f>
      </c>
      <c r="I13" s="415">
        <f>SUM(I9:I12)</f>
      </c>
      <c r="J13" s="415">
        <f>SUM(J9:J12)</f>
      </c>
      <c r="K13" s="416">
        <f t="shared" si="144"/>
      </c>
      <c r="L13" s="417">
        <f t="shared" si="193"/>
      </c>
      <c r="M13" s="417">
        <f t="shared" si="14"/>
      </c>
      <c r="N13" s="418">
        <f t="shared" si="66"/>
      </c>
      <c r="O13" s="418">
        <f t="shared" si="157"/>
      </c>
      <c r="P13" s="418">
        <f t="shared" si="206"/>
      </c>
      <c r="Q13" s="419">
        <f t="shared" si="27"/>
      </c>
      <c r="R13" s="419">
        <f t="shared" si="79"/>
      </c>
      <c r="S13" s="418">
        <f t="shared" si="170"/>
      </c>
      <c r="T13" s="419">
        <f t="shared" si="92"/>
      </c>
      <c r="U13" s="419">
        <f t="shared" si="219"/>
      </c>
      <c r="V13" s="418">
        <f t="shared" si="40"/>
      </c>
      <c r="W13" s="420">
        <f>SUM(W9:W12)</f>
      </c>
      <c r="X13" s="420">
        <f>SUM(X9:X12)</f>
      </c>
      <c r="Y13" s="420">
        <f>SUM(Y9:Y12)</f>
      </c>
      <c r="Z13" s="421">
        <f>SUM(Z9:Z12)</f>
      </c>
      <c r="AA13" s="421">
        <f>SUM(AA9:AA12)</f>
      </c>
      <c r="AB13" s="422">
        <f t="shared" si="105"/>
      </c>
      <c r="AC13" s="423"/>
      <c r="AD13" s="424"/>
      <c r="AE13" s="425">
        <f>SUM(AE9:AE12)</f>
      </c>
      <c r="AF13" s="425">
        <f>SUM(AF9:AF12)</f>
      </c>
      <c r="AG13" s="425">
        <f>SUM(AG9:AG12)</f>
      </c>
      <c r="AH13" s="425">
        <f>SUM(AH9:AH12)</f>
      </c>
      <c r="AI13" s="425">
        <f>SUM(AI9:AI12)</f>
      </c>
      <c r="AJ13" s="425">
        <f>SUM(AJ9:AJ12)</f>
      </c>
    </row>
    <row r="14">
      <c r="A14" s="390"/>
      <c r="B14" s="426" t="s">
        <v>349</v>
      </c>
      <c r="C14" s="426">
        <f>C13</f>
      </c>
      <c r="D14" s="426">
        <f>D13</f>
      </c>
      <c r="E14" s="426">
        <f>E13</f>
      </c>
      <c r="F14" s="426">
        <f>F13</f>
      </c>
      <c r="G14" s="427">
        <f>G13</f>
      </c>
      <c r="H14" s="427">
        <f>H13</f>
      </c>
      <c r="I14" s="427">
        <f>I13</f>
      </c>
      <c r="J14" s="427">
        <f>J13</f>
      </c>
      <c r="K14" s="428">
        <f t="shared" si="144"/>
      </c>
      <c r="L14" s="428">
        <f t="shared" si="193"/>
      </c>
      <c r="M14" s="428">
        <f t="shared" si="14"/>
      </c>
      <c r="N14" s="428">
        <f t="shared" si="66"/>
      </c>
      <c r="O14" s="428">
        <f t="shared" si="157"/>
      </c>
      <c r="P14" s="428">
        <f t="shared" si="206"/>
      </c>
      <c r="Q14" s="429">
        <f t="shared" si="27"/>
      </c>
      <c r="R14" s="429">
        <f t="shared" si="79"/>
      </c>
      <c r="S14" s="428">
        <f t="shared" si="170"/>
      </c>
      <c r="T14" s="429">
        <f t="shared" si="92"/>
      </c>
      <c r="U14" s="429">
        <f t="shared" si="219"/>
      </c>
      <c r="V14" s="428">
        <f t="shared" si="40"/>
      </c>
      <c r="W14" s="430">
        <f>W13</f>
      </c>
      <c r="X14" s="430">
        <f>X13</f>
      </c>
      <c r="Y14" s="430">
        <f>Y13</f>
      </c>
      <c r="Z14" s="435">
        <f>Z13</f>
      </c>
      <c r="AA14" s="430">
        <f>AA13</f>
      </c>
      <c r="AB14" s="431">
        <f t="shared" si="105"/>
      </c>
      <c r="AC14" s="426"/>
      <c r="AD14" s="426"/>
      <c r="AE14" s="426">
        <f>AE13</f>
      </c>
      <c r="AF14" s="426">
        <f>AF13</f>
      </c>
      <c r="AG14" s="426">
        <f>AG13</f>
      </c>
      <c r="AH14" s="426">
        <f>AH13</f>
      </c>
      <c r="AI14" s="426">
        <f>AI13</f>
      </c>
      <c r="AJ14" s="426">
        <f>AJ13</f>
      </c>
    </row>
    <row r="15">
      <c r="A15" s="377" t="s">
        <v>306</v>
      </c>
      <c r="B15" s="378" t="s">
        <v>307</v>
      </c>
      <c r="C15" s="378" t="s">
        <v>308</v>
      </c>
      <c r="D15" s="379" t="s">
        <v>309</v>
      </c>
      <c r="E15" s="378" t="s">
        <v>310</v>
      </c>
      <c r="F15" s="378" t="s">
        <v>311</v>
      </c>
      <c r="G15" s="379" t="s">
        <v>312</v>
      </c>
      <c r="H15" s="380" t="s">
        <v>313</v>
      </c>
      <c r="I15" s="381" t="s">
        <v>314</v>
      </c>
      <c r="J15" s="381" t="s">
        <v>315</v>
      </c>
      <c r="K15" s="382" t="s">
        <v>316</v>
      </c>
      <c r="L15" s="381" t="s">
        <v>317</v>
      </c>
      <c r="M15" s="378" t="s">
        <v>318</v>
      </c>
      <c r="N15" s="382" t="s">
        <v>319</v>
      </c>
      <c r="O15" s="383" t="s">
        <v>320</v>
      </c>
      <c r="P15" s="383" t="s">
        <v>321</v>
      </c>
      <c r="Q15" s="379" t="s">
        <v>322</v>
      </c>
      <c r="R15" s="384" t="s">
        <v>323</v>
      </c>
      <c r="S15" s="382" t="s">
        <v>324</v>
      </c>
      <c r="T15" s="385" t="s">
        <v>325</v>
      </c>
      <c r="U15" s="386" t="s">
        <v>326</v>
      </c>
      <c r="V15" s="382" t="s">
        <v>327</v>
      </c>
      <c r="W15" s="387" t="s">
        <v>328</v>
      </c>
      <c r="X15" s="388" t="s">
        <v>329</v>
      </c>
      <c r="Y15" s="387" t="s">
        <v>330</v>
      </c>
      <c r="Z15" s="389" t="s">
        <v>331</v>
      </c>
      <c r="AA15" s="389" t="s">
        <v>332</v>
      </c>
      <c r="AB15" s="381" t="s">
        <v>333</v>
      </c>
      <c r="AC15" s="380" t="s">
        <v>334</v>
      </c>
      <c r="AD15" s="381" t="s">
        <v>335</v>
      </c>
      <c r="AE15" s="380" t="s">
        <v>336</v>
      </c>
      <c r="AF15" s="380" t="s">
        <v>337</v>
      </c>
      <c r="AG15" s="381" t="s">
        <v>338</v>
      </c>
      <c r="AH15" s="380" t="s">
        <v>339</v>
      </c>
      <c r="AI15" s="381" t="s">
        <v>340</v>
      </c>
      <c r="AJ15" s="380" t="s">
        <v>341</v>
      </c>
    </row>
    <row r="16">
      <c r="A16" s="390">
        <v>46192</v>
      </c>
      <c r="B16" s="391" t="s">
        <v>342</v>
      </c>
      <c r="C16" s="392" t="s">
        <v>343</v>
      </c>
      <c r="D16" s="393">
        <f t="shared" ref="D16:D19" si="119">E16+F16</f>
      </c>
      <c r="E16" s="432">
        <v>977.82</v>
      </c>
      <c r="F16" s="433">
        <v>86.01</v>
      </c>
      <c r="G16" s="396">
        <f t="shared" ref="G16:G19" si="184">Z16+AA16</f>
      </c>
      <c r="H16" s="396">
        <v>0</v>
      </c>
      <c r="I16" s="395">
        <f t="shared" ref="I16:I19" si="2">G16-H16</f>
      </c>
      <c r="J16" s="395">
        <f t="shared" ref="J16:J19" si="54">(G16-AA16)/12+AA16</f>
      </c>
      <c r="K16" s="397">
        <f t="shared" ref="K16:K21" si="145">G16/D16</f>
      </c>
      <c r="L16" s="398">
        <f t="shared" ref="L16:L21" si="194">(G16-H16)/D16</f>
      </c>
      <c r="M16" s="399">
        <f t="shared" ref="M16:M21" si="15">(AA16+Z16/12)/D16</f>
      </c>
      <c r="N16" s="400">
        <f t="shared" ref="N16:N21" si="67">G16/Y16</f>
      </c>
      <c r="O16" s="400">
        <f t="shared" ref="O16:O21" si="158">D16/Y16</f>
      </c>
      <c r="P16" s="400">
        <f t="shared" ref="P16:P21" si="207">D16/AE16</f>
      </c>
      <c r="Q16" s="401">
        <f t="shared" ref="Q16:Q21" si="28">Y16/W16</f>
      </c>
      <c r="R16" s="402">
        <f t="shared" ref="R16:R21" si="80">AG16/AF16</f>
      </c>
      <c r="S16" s="400">
        <f t="shared" ref="S16:S21" si="171">D16/AH16</f>
      </c>
      <c r="T16" s="403">
        <f t="shared" ref="T16:T21" si="93">AI16/AH16</f>
      </c>
      <c r="U16" s="403">
        <f t="shared" ref="U16:U21" si="220">AJ16/AH16</f>
      </c>
      <c r="V16" s="400">
        <f t="shared" ref="V16:V21" si="41">D16/AJ16</f>
      </c>
      <c r="W16" s="404">
        <f t="shared" ref="W16:W19" si="132">X16+Y16</f>
      </c>
      <c r="X16" s="405">
        <v>0</v>
      </c>
      <c r="Y16" s="405">
        <v>1</v>
      </c>
      <c r="Z16" s="406">
        <v>638.2800000000002</v>
      </c>
      <c r="AA16" s="406">
        <v>0</v>
      </c>
      <c r="AB16" s="401">
        <f t="shared" ref="AB16:AB21" si="106">AA16/G16</f>
      </c>
      <c r="AC16" s="407" t="s">
        <v>344</v>
      </c>
      <c r="AD16" s="408" t="s">
        <v>350</v>
      </c>
      <c r="AE16" s="409">
        <v>1</v>
      </c>
      <c r="AF16" s="410">
        <v>6578</v>
      </c>
      <c r="AG16" s="410">
        <v>217</v>
      </c>
      <c r="AH16" s="410">
        <v>244</v>
      </c>
      <c r="AI16" s="409">
        <v>25</v>
      </c>
      <c r="AJ16" s="409">
        <v>29</v>
      </c>
    </row>
    <row r="17">
      <c r="A17" s="390"/>
      <c r="B17" s="391" t="s">
        <v>342</v>
      </c>
      <c r="C17" s="392" t="s">
        <v>346</v>
      </c>
      <c r="D17" s="393">
        <f t="shared" si="119"/>
      </c>
      <c r="E17" s="432">
        <v>498.68</v>
      </c>
      <c r="F17" s="433">
        <v>639.09</v>
      </c>
      <c r="G17" s="396">
        <f t="shared" si="184"/>
      </c>
      <c r="H17" s="396">
        <v>0</v>
      </c>
      <c r="I17" s="395">
        <f t="shared" si="2"/>
      </c>
      <c r="J17" s="395">
        <f t="shared" si="54"/>
      </c>
      <c r="K17" s="397">
        <f t="shared" si="145"/>
      </c>
      <c r="L17" s="398">
        <f t="shared" si="194"/>
      </c>
      <c r="M17" s="399">
        <f t="shared" si="15"/>
      </c>
      <c r="N17" s="400">
        <f t="shared" si="67"/>
      </c>
      <c r="O17" s="400">
        <f t="shared" si="158"/>
      </c>
      <c r="P17" s="400">
        <f t="shared" si="207"/>
      </c>
      <c r="Q17" s="401">
        <f t="shared" si="28"/>
      </c>
      <c r="R17" s="402">
        <f t="shared" si="80"/>
      </c>
      <c r="S17" s="400">
        <f t="shared" si="171"/>
      </c>
      <c r="T17" s="403">
        <f t="shared" si="93"/>
      </c>
      <c r="U17" s="403">
        <f t="shared" si="220"/>
      </c>
      <c r="V17" s="400">
        <f t="shared" si="41"/>
      </c>
      <c r="W17" s="404">
        <f t="shared" si="132"/>
      </c>
      <c r="X17" s="405">
        <v>2</v>
      </c>
      <c r="Y17" s="405">
        <v>0</v>
      </c>
      <c r="Z17" s="406">
        <v>0</v>
      </c>
      <c r="AA17" s="406">
        <v>0</v>
      </c>
      <c r="AB17" s="401">
        <f t="shared" si="106"/>
      </c>
      <c r="AC17" s="407" t="s">
        <v>344</v>
      </c>
      <c r="AD17" s="408" t="s">
        <v>350</v>
      </c>
      <c r="AE17" s="409">
        <v>0</v>
      </c>
      <c r="AF17" s="410">
        <v>2824</v>
      </c>
      <c r="AG17" s="410">
        <v>282</v>
      </c>
      <c r="AH17" s="410">
        <v>361</v>
      </c>
      <c r="AI17" s="409">
        <v>22</v>
      </c>
      <c r="AJ17" s="409">
        <v>18</v>
      </c>
    </row>
    <row r="18">
      <c r="A18" s="390"/>
      <c r="B18" s="391" t="s">
        <v>342</v>
      </c>
      <c r="C18" s="392" t="s">
        <v>347</v>
      </c>
      <c r="D18" s="393">
        <f t="shared" si="119"/>
      </c>
      <c r="E18" s="432">
        <v>275.75</v>
      </c>
      <c r="F18" s="433">
        <v>957.14</v>
      </c>
      <c r="G18" s="396">
        <f t="shared" si="184"/>
      </c>
      <c r="H18" s="396">
        <v>0</v>
      </c>
      <c r="I18" s="395">
        <f t="shared" si="2"/>
      </c>
      <c r="J18" s="395">
        <f t="shared" si="54"/>
      </c>
      <c r="K18" s="397">
        <f t="shared" si="145"/>
      </c>
      <c r="L18" s="398">
        <f t="shared" si="194"/>
      </c>
      <c r="M18" s="399">
        <f t="shared" si="15"/>
      </c>
      <c r="N18" s="400">
        <f t="shared" si="67"/>
      </c>
      <c r="O18" s="400">
        <f t="shared" si="158"/>
      </c>
      <c r="P18" s="400">
        <f t="shared" si="207"/>
      </c>
      <c r="Q18" s="401">
        <f t="shared" si="28"/>
      </c>
      <c r="R18" s="402">
        <f t="shared" si="80"/>
      </c>
      <c r="S18" s="400">
        <f t="shared" si="171"/>
      </c>
      <c r="T18" s="403">
        <f t="shared" si="93"/>
      </c>
      <c r="U18" s="403">
        <f t="shared" si="220"/>
      </c>
      <c r="V18" s="400">
        <f t="shared" si="41"/>
      </c>
      <c r="W18" s="404">
        <f t="shared" si="132"/>
      </c>
      <c r="X18" s="405">
        <v>0</v>
      </c>
      <c r="Y18" s="405">
        <v>1</v>
      </c>
      <c r="Z18" s="406">
        <v>0</v>
      </c>
      <c r="AA18" s="406">
        <v>1664</v>
      </c>
      <c r="AB18" s="401">
        <f t="shared" si="106"/>
      </c>
      <c r="AC18" s="407" t="s">
        <v>344</v>
      </c>
      <c r="AD18" s="408" t="s">
        <v>350</v>
      </c>
      <c r="AE18" s="409">
        <v>0</v>
      </c>
      <c r="AF18" s="410">
        <v>4492</v>
      </c>
      <c r="AG18" s="410">
        <v>500</v>
      </c>
      <c r="AH18" s="410">
        <v>589</v>
      </c>
      <c r="AI18" s="409">
        <v>27</v>
      </c>
      <c r="AJ18" s="409">
        <v>27</v>
      </c>
    </row>
    <row r="19">
      <c r="A19" s="390"/>
      <c r="B19" s="391" t="s">
        <v>342</v>
      </c>
      <c r="C19" s="392" t="s">
        <v>348</v>
      </c>
      <c r="D19" s="393">
        <f t="shared" si="119"/>
      </c>
      <c r="E19" s="432">
        <v>41.74</v>
      </c>
      <c r="F19" s="433">
        <v>441.69</v>
      </c>
      <c r="G19" s="396">
        <f t="shared" si="184"/>
      </c>
      <c r="H19" s="396">
        <v>0</v>
      </c>
      <c r="I19" s="395">
        <f t="shared" si="2"/>
      </c>
      <c r="J19" s="395">
        <f t="shared" si="54"/>
      </c>
      <c r="K19" s="397">
        <f t="shared" si="145"/>
      </c>
      <c r="L19" s="398">
        <f t="shared" si="194"/>
      </c>
      <c r="M19" s="399">
        <f t="shared" si="15"/>
      </c>
      <c r="N19" s="400">
        <f t="shared" si="67"/>
      </c>
      <c r="O19" s="400">
        <f t="shared" si="158"/>
      </c>
      <c r="P19" s="400">
        <f t="shared" si="207"/>
      </c>
      <c r="Q19" s="401">
        <f t="shared" si="28"/>
      </c>
      <c r="R19" s="402">
        <f t="shared" si="80"/>
      </c>
      <c r="S19" s="400">
        <f t="shared" si="171"/>
      </c>
      <c r="T19" s="403">
        <f t="shared" si="93"/>
      </c>
      <c r="U19" s="403">
        <f t="shared" si="220"/>
      </c>
      <c r="V19" s="400">
        <f t="shared" si="41"/>
      </c>
      <c r="W19" s="404">
        <f t="shared" si="132"/>
      </c>
      <c r="X19" s="405">
        <v>1</v>
      </c>
      <c r="Y19" s="405">
        <v>0</v>
      </c>
      <c r="Z19" s="406">
        <v>0</v>
      </c>
      <c r="AA19" s="406">
        <v>0</v>
      </c>
      <c r="AB19" s="401">
        <f t="shared" si="106"/>
      </c>
      <c r="AC19" s="407" t="s">
        <v>344</v>
      </c>
      <c r="AD19" s="408" t="s">
        <v>350</v>
      </c>
      <c r="AE19" s="434">
        <v>0</v>
      </c>
      <c r="AF19" s="410">
        <v>2767</v>
      </c>
      <c r="AG19" s="410">
        <v>288</v>
      </c>
      <c r="AH19" s="410">
        <v>358</v>
      </c>
      <c r="AI19" s="409">
        <v>14</v>
      </c>
      <c r="AJ19" s="409">
        <v>19</v>
      </c>
    </row>
    <row r="20">
      <c r="A20" s="390"/>
      <c r="B20" s="413" t="s">
        <v>349</v>
      </c>
      <c r="C20" s="414">
        <v>4</v>
      </c>
      <c r="D20" s="415">
        <f>SUM(D16:D19)</f>
      </c>
      <c r="E20" s="415">
        <f>SUM(E16:E19)</f>
      </c>
      <c r="F20" s="415">
        <f>SUM(F16:F19)</f>
      </c>
      <c r="G20" s="415">
        <f>SUM(G16:G19)</f>
      </c>
      <c r="H20" s="415">
        <f>SUM(H16:H19)</f>
      </c>
      <c r="I20" s="415">
        <f>SUM(I16:I19)</f>
      </c>
      <c r="J20" s="415">
        <f>SUM(J16:J19)</f>
      </c>
      <c r="K20" s="416">
        <f t="shared" si="145"/>
      </c>
      <c r="L20" s="417">
        <f t="shared" si="194"/>
      </c>
      <c r="M20" s="417">
        <f t="shared" si="15"/>
      </c>
      <c r="N20" s="418">
        <f t="shared" si="67"/>
      </c>
      <c r="O20" s="418">
        <f t="shared" si="158"/>
      </c>
      <c r="P20" s="418">
        <f t="shared" si="207"/>
      </c>
      <c r="Q20" s="419">
        <f t="shared" si="28"/>
      </c>
      <c r="R20" s="419">
        <f t="shared" si="80"/>
      </c>
      <c r="S20" s="418">
        <f t="shared" si="171"/>
      </c>
      <c r="T20" s="419">
        <f t="shared" si="93"/>
      </c>
      <c r="U20" s="419">
        <f t="shared" si="220"/>
      </c>
      <c r="V20" s="418">
        <f t="shared" si="41"/>
      </c>
      <c r="W20" s="420">
        <f>SUM(W16:W19)</f>
      </c>
      <c r="X20" s="420">
        <f>SUM(X16:X19)</f>
      </c>
      <c r="Y20" s="420">
        <f>SUM(Y16:Y19)</f>
      </c>
      <c r="Z20" s="421">
        <f>SUM(Z16:Z19)</f>
      </c>
      <c r="AA20" s="421">
        <f>SUM(AA16:AA19)</f>
      </c>
      <c r="AB20" s="422">
        <f t="shared" si="106"/>
      </c>
      <c r="AC20" s="423"/>
      <c r="AD20" s="424"/>
      <c r="AE20" s="425">
        <f>SUM(AE16:AE19)</f>
      </c>
      <c r="AF20" s="425">
        <f>SUM(AF16:AF19)</f>
      </c>
      <c r="AG20" s="425">
        <f>SUM(AG16:AG19)</f>
      </c>
      <c r="AH20" s="425">
        <f>SUM(AH16:AH19)</f>
      </c>
      <c r="AI20" s="425">
        <f>SUM(AI16:AI19)</f>
      </c>
      <c r="AJ20" s="425">
        <f>SUM(AJ16:AJ19)</f>
      </c>
    </row>
    <row r="21">
      <c r="A21" s="390"/>
      <c r="B21" s="426" t="s">
        <v>349</v>
      </c>
      <c r="C21" s="426">
        <f>C20</f>
      </c>
      <c r="D21" s="426">
        <f>D20</f>
      </c>
      <c r="E21" s="426">
        <f>E20</f>
      </c>
      <c r="F21" s="426">
        <f>F20</f>
      </c>
      <c r="G21" s="427">
        <f>G20</f>
      </c>
      <c r="H21" s="427">
        <f>H20</f>
      </c>
      <c r="I21" s="427">
        <f>I20</f>
      </c>
      <c r="J21" s="427">
        <f>J20</f>
      </c>
      <c r="K21" s="428">
        <f t="shared" si="145"/>
      </c>
      <c r="L21" s="428">
        <f t="shared" si="194"/>
      </c>
      <c r="M21" s="428">
        <f t="shared" si="15"/>
      </c>
      <c r="N21" s="428">
        <f t="shared" si="67"/>
      </c>
      <c r="O21" s="428">
        <f t="shared" si="158"/>
      </c>
      <c r="P21" s="428">
        <f t="shared" si="207"/>
      </c>
      <c r="Q21" s="429">
        <f t="shared" si="28"/>
      </c>
      <c r="R21" s="429">
        <f t="shared" si="80"/>
      </c>
      <c r="S21" s="428">
        <f t="shared" si="171"/>
      </c>
      <c r="T21" s="429">
        <f t="shared" si="93"/>
      </c>
      <c r="U21" s="429">
        <f t="shared" si="220"/>
      </c>
      <c r="V21" s="428">
        <f t="shared" si="41"/>
      </c>
      <c r="W21" s="430">
        <f>W20</f>
      </c>
      <c r="X21" s="430">
        <f>X20</f>
      </c>
      <c r="Y21" s="430">
        <f>Y20</f>
      </c>
      <c r="Z21" s="435">
        <f>Z20</f>
      </c>
      <c r="AA21" s="430">
        <f>AA20</f>
      </c>
      <c r="AB21" s="431">
        <f t="shared" si="106"/>
      </c>
      <c r="AC21" s="426"/>
      <c r="AD21" s="426"/>
      <c r="AE21" s="426">
        <f>AE20</f>
      </c>
      <c r="AF21" s="426">
        <f>AF20</f>
      </c>
      <c r="AG21" s="426">
        <f>AG20</f>
      </c>
      <c r="AH21" s="426">
        <f>AH20</f>
      </c>
      <c r="AI21" s="426">
        <f>AI20</f>
      </c>
      <c r="AJ21" s="426">
        <f>AJ20</f>
      </c>
    </row>
    <row r="22">
      <c r="A22" s="377" t="s">
        <v>306</v>
      </c>
      <c r="B22" s="378" t="s">
        <v>307</v>
      </c>
      <c r="C22" s="378" t="s">
        <v>308</v>
      </c>
      <c r="D22" s="379" t="s">
        <v>309</v>
      </c>
      <c r="E22" s="378" t="s">
        <v>310</v>
      </c>
      <c r="F22" s="378" t="s">
        <v>311</v>
      </c>
      <c r="G22" s="379" t="s">
        <v>312</v>
      </c>
      <c r="H22" s="380" t="s">
        <v>313</v>
      </c>
      <c r="I22" s="381" t="s">
        <v>314</v>
      </c>
      <c r="J22" s="381" t="s">
        <v>315</v>
      </c>
      <c r="K22" s="382" t="s">
        <v>316</v>
      </c>
      <c r="L22" s="381" t="s">
        <v>317</v>
      </c>
      <c r="M22" s="378" t="s">
        <v>318</v>
      </c>
      <c r="N22" s="382" t="s">
        <v>319</v>
      </c>
      <c r="O22" s="383" t="s">
        <v>320</v>
      </c>
      <c r="P22" s="383" t="s">
        <v>321</v>
      </c>
      <c r="Q22" s="379" t="s">
        <v>322</v>
      </c>
      <c r="R22" s="384" t="s">
        <v>323</v>
      </c>
      <c r="S22" s="382" t="s">
        <v>324</v>
      </c>
      <c r="T22" s="385" t="s">
        <v>325</v>
      </c>
      <c r="U22" s="386" t="s">
        <v>326</v>
      </c>
      <c r="V22" s="382" t="s">
        <v>327</v>
      </c>
      <c r="W22" s="387" t="s">
        <v>328</v>
      </c>
      <c r="X22" s="388" t="s">
        <v>329</v>
      </c>
      <c r="Y22" s="387" t="s">
        <v>330</v>
      </c>
      <c r="Z22" s="389" t="s">
        <v>331</v>
      </c>
      <c r="AA22" s="389" t="s">
        <v>332</v>
      </c>
      <c r="AB22" s="381" t="s">
        <v>333</v>
      </c>
      <c r="AC22" s="380" t="s">
        <v>334</v>
      </c>
      <c r="AD22" s="381" t="s">
        <v>335</v>
      </c>
      <c r="AE22" s="380" t="s">
        <v>336</v>
      </c>
      <c r="AF22" s="380" t="s">
        <v>337</v>
      </c>
      <c r="AG22" s="381" t="s">
        <v>338</v>
      </c>
      <c r="AH22" s="380" t="s">
        <v>339</v>
      </c>
      <c r="AI22" s="381" t="s">
        <v>340</v>
      </c>
      <c r="AJ22" s="380" t="s">
        <v>341</v>
      </c>
    </row>
    <row r="23">
      <c r="A23" s="390">
        <v>46193</v>
      </c>
      <c r="B23" s="391" t="s">
        <v>342</v>
      </c>
      <c r="C23" s="392" t="s">
        <v>343</v>
      </c>
      <c r="D23" s="393">
        <f t="shared" ref="D23:D26" si="120">E23+F23</f>
      </c>
      <c r="E23" s="432">
        <v>1008.13</v>
      </c>
      <c r="F23" s="433">
        <v>840.19</v>
      </c>
      <c r="G23" s="396">
        <f t="shared" ref="G23:G26" si="185">Z23+AA23</f>
      </c>
      <c r="H23" s="396">
        <v>0</v>
      </c>
      <c r="I23" s="395">
        <f t="shared" ref="I23:I26" si="3">G23-H23</f>
      </c>
      <c r="J23" s="395">
        <f t="shared" ref="J23:J26" si="55">(G23-AA23)/12+AA23</f>
      </c>
      <c r="K23" s="397">
        <f t="shared" ref="K23:K28" si="146">G23/D23</f>
      </c>
      <c r="L23" s="398">
        <f t="shared" ref="L23:L28" si="195">(G23-H23)/D23</f>
      </c>
      <c r="M23" s="399">
        <f t="shared" ref="M23:M28" si="16">(AA23+Z23/12)/D23</f>
      </c>
      <c r="N23" s="400">
        <f t="shared" ref="N23:N28" si="68">G23/Y23</f>
      </c>
      <c r="O23" s="400">
        <f t="shared" ref="O23:O28" si="159">D23/Y23</f>
      </c>
      <c r="P23" s="400">
        <f t="shared" ref="P23:P28" si="208">D23/AE23</f>
      </c>
      <c r="Q23" s="401">
        <f t="shared" ref="Q23:Q28" si="29">Y23/W23</f>
      </c>
      <c r="R23" s="402">
        <f t="shared" ref="R23:R28" si="81">AG23/AF23</f>
      </c>
      <c r="S23" s="400">
        <f t="shared" ref="S23:S28" si="172">D23/AH23</f>
      </c>
      <c r="T23" s="403">
        <f t="shared" ref="T23:T28" si="94">AI23/AH23</f>
      </c>
      <c r="U23" s="403">
        <f t="shared" ref="U23:U28" si="221">AJ23/AH23</f>
      </c>
      <c r="V23" s="400">
        <f t="shared" ref="V23:V28" si="42">D23/AJ23</f>
      </c>
      <c r="W23" s="404">
        <f t="shared" ref="W23:W26" si="133">X23+Y23</f>
      </c>
      <c r="X23" s="405">
        <v>1</v>
      </c>
      <c r="Y23" s="405">
        <v>0</v>
      </c>
      <c r="Z23" s="406">
        <v>0</v>
      </c>
      <c r="AA23" s="406">
        <v>0</v>
      </c>
      <c r="AB23" s="401">
        <f t="shared" ref="AB23:AB28" si="107">AA23/G23</f>
      </c>
      <c r="AC23" s="407" t="s">
        <v>344</v>
      </c>
      <c r="AD23" s="408" t="s">
        <v>350</v>
      </c>
      <c r="AE23" s="409">
        <v>0</v>
      </c>
      <c r="AF23" s="410">
        <v>8504</v>
      </c>
      <c r="AG23" s="410">
        <v>512</v>
      </c>
      <c r="AH23" s="410">
        <v>585</v>
      </c>
      <c r="AI23" s="409">
        <v>55</v>
      </c>
      <c r="AJ23" s="409">
        <v>53</v>
      </c>
    </row>
    <row r="24">
      <c r="A24" s="390"/>
      <c r="B24" s="391" t="s">
        <v>342</v>
      </c>
      <c r="C24" s="392" t="s">
        <v>346</v>
      </c>
      <c r="D24" s="393">
        <f t="shared" si="120"/>
      </c>
      <c r="E24" s="432">
        <v>1047.48</v>
      </c>
      <c r="F24" s="433">
        <v>308.63</v>
      </c>
      <c r="G24" s="396">
        <f t="shared" si="185"/>
      </c>
      <c r="H24" s="396">
        <v>0</v>
      </c>
      <c r="I24" s="395">
        <f t="shared" si="3"/>
      </c>
      <c r="J24" s="395">
        <f t="shared" si="55"/>
      </c>
      <c r="K24" s="397">
        <f t="shared" si="146"/>
      </c>
      <c r="L24" s="398">
        <f t="shared" si="195"/>
      </c>
      <c r="M24" s="399">
        <f t="shared" si="16"/>
      </c>
      <c r="N24" s="400">
        <f t="shared" si="68"/>
      </c>
      <c r="O24" s="400">
        <f t="shared" si="159"/>
      </c>
      <c r="P24" s="400">
        <f t="shared" si="208"/>
      </c>
      <c r="Q24" s="401">
        <f t="shared" si="29"/>
      </c>
      <c r="R24" s="402">
        <f t="shared" si="81"/>
      </c>
      <c r="S24" s="400">
        <f t="shared" si="172"/>
      </c>
      <c r="T24" s="403">
        <f t="shared" si="94"/>
      </c>
      <c r="U24" s="403">
        <f t="shared" si="221"/>
      </c>
      <c r="V24" s="400">
        <f t="shared" si="42"/>
      </c>
      <c r="W24" s="404">
        <f t="shared" si="133"/>
      </c>
      <c r="X24" s="405">
        <v>0</v>
      </c>
      <c r="Y24" s="405">
        <v>0</v>
      </c>
      <c r="Z24" s="406">
        <v>0</v>
      </c>
      <c r="AA24" s="406">
        <v>0</v>
      </c>
      <c r="AB24" s="401">
        <f t="shared" si="107"/>
      </c>
      <c r="AC24" s="407" t="s">
        <v>344</v>
      </c>
      <c r="AD24" s="408" t="s">
        <v>350</v>
      </c>
      <c r="AE24" s="409">
        <v>0</v>
      </c>
      <c r="AF24" s="410">
        <v>8681</v>
      </c>
      <c r="AG24" s="410">
        <v>549</v>
      </c>
      <c r="AH24" s="410">
        <v>675</v>
      </c>
      <c r="AI24" s="409">
        <v>49</v>
      </c>
      <c r="AJ24" s="409">
        <v>52</v>
      </c>
    </row>
    <row r="25">
      <c r="A25" s="390"/>
      <c r="B25" s="391" t="s">
        <v>342</v>
      </c>
      <c r="C25" s="392" t="s">
        <v>347</v>
      </c>
      <c r="D25" s="393">
        <f t="shared" si="120"/>
      </c>
      <c r="E25" s="432">
        <v>847.03</v>
      </c>
      <c r="F25" s="433">
        <v>417.41</v>
      </c>
      <c r="G25" s="396">
        <f t="shared" si="185"/>
      </c>
      <c r="H25" s="396">
        <v>0</v>
      </c>
      <c r="I25" s="395">
        <f t="shared" si="3"/>
      </c>
      <c r="J25" s="395">
        <f t="shared" si="55"/>
      </c>
      <c r="K25" s="397">
        <f t="shared" si="146"/>
      </c>
      <c r="L25" s="398">
        <f t="shared" si="195"/>
      </c>
      <c r="M25" s="399">
        <f t="shared" si="16"/>
      </c>
      <c r="N25" s="400">
        <f t="shared" si="68"/>
      </c>
      <c r="O25" s="400">
        <f t="shared" si="159"/>
      </c>
      <c r="P25" s="400">
        <f t="shared" si="208"/>
      </c>
      <c r="Q25" s="401">
        <f t="shared" si="29"/>
      </c>
      <c r="R25" s="402">
        <f t="shared" si="81"/>
      </c>
      <c r="S25" s="400">
        <f t="shared" si="172"/>
      </c>
      <c r="T25" s="403">
        <f t="shared" si="94"/>
      </c>
      <c r="U25" s="403">
        <f t="shared" si="221"/>
      </c>
      <c r="V25" s="400">
        <f t="shared" si="42"/>
      </c>
      <c r="W25" s="404">
        <f t="shared" si="133"/>
      </c>
      <c r="X25" s="405">
        <v>0</v>
      </c>
      <c r="Y25" s="405">
        <v>0</v>
      </c>
      <c r="Z25" s="406">
        <v>0</v>
      </c>
      <c r="AA25" s="406">
        <v>0</v>
      </c>
      <c r="AB25" s="401">
        <f t="shared" si="107"/>
      </c>
      <c r="AC25" s="407" t="s">
        <v>344</v>
      </c>
      <c r="AD25" s="408" t="s">
        <v>350</v>
      </c>
      <c r="AE25" s="409">
        <v>0</v>
      </c>
      <c r="AF25" s="410">
        <v>6943</v>
      </c>
      <c r="AG25" s="410">
        <v>582</v>
      </c>
      <c r="AH25" s="410">
        <v>667</v>
      </c>
      <c r="AI25" s="409">
        <v>42</v>
      </c>
      <c r="AJ25" s="409">
        <v>56</v>
      </c>
    </row>
    <row r="26">
      <c r="A26" s="390"/>
      <c r="B26" s="391" t="s">
        <v>342</v>
      </c>
      <c r="C26" s="392" t="s">
        <v>348</v>
      </c>
      <c r="D26" s="393">
        <f t="shared" si="120"/>
      </c>
      <c r="E26" s="432">
        <v>256.22</v>
      </c>
      <c r="F26" s="433">
        <v>335.97</v>
      </c>
      <c r="G26" s="396">
        <f t="shared" si="185"/>
      </c>
      <c r="H26" s="396">
        <v>0</v>
      </c>
      <c r="I26" s="395">
        <f t="shared" si="3"/>
      </c>
      <c r="J26" s="395">
        <f t="shared" si="55"/>
      </c>
      <c r="K26" s="397">
        <f t="shared" si="146"/>
      </c>
      <c r="L26" s="398">
        <f t="shared" si="195"/>
      </c>
      <c r="M26" s="399">
        <f t="shared" si="16"/>
      </c>
      <c r="N26" s="400">
        <f t="shared" si="68"/>
      </c>
      <c r="O26" s="400">
        <f t="shared" si="159"/>
      </c>
      <c r="P26" s="400">
        <f t="shared" si="208"/>
      </c>
      <c r="Q26" s="401">
        <f t="shared" si="29"/>
      </c>
      <c r="R26" s="402">
        <f t="shared" si="81"/>
      </c>
      <c r="S26" s="400">
        <f t="shared" si="172"/>
      </c>
      <c r="T26" s="403">
        <f t="shared" si="94"/>
      </c>
      <c r="U26" s="403">
        <f t="shared" si="221"/>
      </c>
      <c r="V26" s="400">
        <f t="shared" si="42"/>
      </c>
      <c r="W26" s="404">
        <f t="shared" si="133"/>
      </c>
      <c r="X26" s="405">
        <v>0</v>
      </c>
      <c r="Y26" s="405">
        <v>1</v>
      </c>
      <c r="Z26" s="406">
        <v>518.4</v>
      </c>
      <c r="AA26" s="406">
        <v>0</v>
      </c>
      <c r="AB26" s="401">
        <f t="shared" si="107"/>
      </c>
      <c r="AC26" s="407" t="s">
        <v>344</v>
      </c>
      <c r="AD26" s="408" t="s">
        <v>350</v>
      </c>
      <c r="AE26" s="434">
        <v>1</v>
      </c>
      <c r="AF26" s="410">
        <v>4058</v>
      </c>
      <c r="AG26" s="410">
        <v>344</v>
      </c>
      <c r="AH26" s="410">
        <v>403</v>
      </c>
      <c r="AI26" s="409">
        <v>30</v>
      </c>
      <c r="AJ26" s="409">
        <v>23</v>
      </c>
    </row>
    <row r="27">
      <c r="A27" s="390"/>
      <c r="B27" s="413" t="s">
        <v>349</v>
      </c>
      <c r="C27" s="414">
        <v>4</v>
      </c>
      <c r="D27" s="415">
        <f>SUM(D23:D26)</f>
      </c>
      <c r="E27" s="415">
        <f>SUM(E23:E26)</f>
      </c>
      <c r="F27" s="415">
        <f>SUM(F23:F26)</f>
      </c>
      <c r="G27" s="415">
        <f>SUM(G23:G26)</f>
      </c>
      <c r="H27" s="415">
        <f>SUM(H23:H26)</f>
      </c>
      <c r="I27" s="415">
        <f>SUM(I23:I26)</f>
      </c>
      <c r="J27" s="415">
        <f>SUM(J23:J26)</f>
      </c>
      <c r="K27" s="416">
        <f t="shared" si="146"/>
      </c>
      <c r="L27" s="417">
        <f t="shared" si="195"/>
      </c>
      <c r="M27" s="417">
        <f t="shared" si="16"/>
      </c>
      <c r="N27" s="418">
        <f t="shared" si="68"/>
      </c>
      <c r="O27" s="418">
        <f t="shared" si="159"/>
      </c>
      <c r="P27" s="418">
        <f t="shared" si="208"/>
      </c>
      <c r="Q27" s="419">
        <f t="shared" si="29"/>
      </c>
      <c r="R27" s="419">
        <f t="shared" si="81"/>
      </c>
      <c r="S27" s="418">
        <f t="shared" si="172"/>
      </c>
      <c r="T27" s="419">
        <f t="shared" si="94"/>
      </c>
      <c r="U27" s="419">
        <f t="shared" si="221"/>
      </c>
      <c r="V27" s="418">
        <f t="shared" si="42"/>
      </c>
      <c r="W27" s="420">
        <f>SUM(W23:W26)</f>
      </c>
      <c r="X27" s="420">
        <f>SUM(X23:X26)</f>
      </c>
      <c r="Y27" s="420">
        <f>SUM(Y23:Y26)</f>
      </c>
      <c r="Z27" s="421">
        <f>SUM(Z23:Z26)</f>
      </c>
      <c r="AA27" s="421">
        <f>SUM(AA23:AA26)</f>
      </c>
      <c r="AB27" s="422">
        <f t="shared" si="107"/>
      </c>
      <c r="AC27" s="423"/>
      <c r="AD27" s="424"/>
      <c r="AE27" s="425">
        <f>SUM(AE23:AE26)</f>
      </c>
      <c r="AF27" s="425">
        <f>SUM(AF23:AF26)</f>
      </c>
      <c r="AG27" s="425">
        <f>SUM(AG23:AG26)</f>
      </c>
      <c r="AH27" s="425">
        <f>SUM(AH23:AH26)</f>
      </c>
      <c r="AI27" s="425">
        <f>SUM(AI23:AI26)</f>
      </c>
      <c r="AJ27" s="425">
        <f>SUM(AJ23:AJ26)</f>
      </c>
    </row>
    <row r="28">
      <c r="A28" s="390"/>
      <c r="B28" s="426" t="s">
        <v>349</v>
      </c>
      <c r="C28" s="426">
        <f>C27</f>
      </c>
      <c r="D28" s="426">
        <f>D27</f>
      </c>
      <c r="E28" s="426">
        <f>E27</f>
      </c>
      <c r="F28" s="426">
        <f>F27</f>
      </c>
      <c r="G28" s="427">
        <f>G27</f>
      </c>
      <c r="H28" s="427">
        <f>H27</f>
      </c>
      <c r="I28" s="427">
        <f>I27</f>
      </c>
      <c r="J28" s="427">
        <f>J27</f>
      </c>
      <c r="K28" s="428">
        <f t="shared" si="146"/>
      </c>
      <c r="L28" s="428">
        <f t="shared" si="195"/>
      </c>
      <c r="M28" s="428">
        <f t="shared" si="16"/>
      </c>
      <c r="N28" s="428">
        <f t="shared" si="68"/>
      </c>
      <c r="O28" s="428">
        <f t="shared" si="159"/>
      </c>
      <c r="P28" s="428">
        <f t="shared" si="208"/>
      </c>
      <c r="Q28" s="429">
        <f t="shared" si="29"/>
      </c>
      <c r="R28" s="429">
        <f t="shared" si="81"/>
      </c>
      <c r="S28" s="428">
        <f t="shared" si="172"/>
      </c>
      <c r="T28" s="429">
        <f t="shared" si="94"/>
      </c>
      <c r="U28" s="429">
        <f t="shared" si="221"/>
      </c>
      <c r="V28" s="428">
        <f t="shared" si="42"/>
      </c>
      <c r="W28" s="430">
        <f>W27</f>
      </c>
      <c r="X28" s="430">
        <f>X27</f>
      </c>
      <c r="Y28" s="430">
        <f>Y27</f>
      </c>
      <c r="Z28" s="435">
        <f>Z27</f>
      </c>
      <c r="AA28" s="430">
        <f>AA27</f>
      </c>
      <c r="AB28" s="431">
        <f t="shared" si="107"/>
      </c>
      <c r="AC28" s="426"/>
      <c r="AD28" s="426"/>
      <c r="AE28" s="426">
        <f>AE27</f>
      </c>
      <c r="AF28" s="426">
        <f>AF27</f>
      </c>
      <c r="AG28" s="426">
        <f>AG27</f>
      </c>
      <c r="AH28" s="426">
        <f>AH27</f>
      </c>
      <c r="AI28" s="426">
        <f>AI27</f>
      </c>
      <c r="AJ28" s="426">
        <f>AJ27</f>
      </c>
    </row>
    <row r="29">
      <c r="A29" s="377" t="s">
        <v>306</v>
      </c>
      <c r="B29" s="378" t="s">
        <v>307</v>
      </c>
      <c r="C29" s="378" t="s">
        <v>308</v>
      </c>
      <c r="D29" s="379" t="s">
        <v>309</v>
      </c>
      <c r="E29" s="378" t="s">
        <v>310</v>
      </c>
      <c r="F29" s="378" t="s">
        <v>311</v>
      </c>
      <c r="G29" s="379" t="s">
        <v>312</v>
      </c>
      <c r="H29" s="380" t="s">
        <v>313</v>
      </c>
      <c r="I29" s="381" t="s">
        <v>314</v>
      </c>
      <c r="J29" s="381" t="s">
        <v>315</v>
      </c>
      <c r="K29" s="382" t="s">
        <v>316</v>
      </c>
      <c r="L29" s="381" t="s">
        <v>317</v>
      </c>
      <c r="M29" s="378" t="s">
        <v>318</v>
      </c>
      <c r="N29" s="382" t="s">
        <v>319</v>
      </c>
      <c r="O29" s="383" t="s">
        <v>320</v>
      </c>
      <c r="P29" s="383" t="s">
        <v>321</v>
      </c>
      <c r="Q29" s="379" t="s">
        <v>322</v>
      </c>
      <c r="R29" s="384" t="s">
        <v>323</v>
      </c>
      <c r="S29" s="382" t="s">
        <v>324</v>
      </c>
      <c r="T29" s="385" t="s">
        <v>325</v>
      </c>
      <c r="U29" s="386" t="s">
        <v>326</v>
      </c>
      <c r="V29" s="382" t="s">
        <v>327</v>
      </c>
      <c r="W29" s="387" t="s">
        <v>328</v>
      </c>
      <c r="X29" s="388" t="s">
        <v>329</v>
      </c>
      <c r="Y29" s="387" t="s">
        <v>330</v>
      </c>
      <c r="Z29" s="389" t="s">
        <v>331</v>
      </c>
      <c r="AA29" s="389" t="s">
        <v>332</v>
      </c>
      <c r="AB29" s="381" t="s">
        <v>333</v>
      </c>
      <c r="AC29" s="380" t="s">
        <v>334</v>
      </c>
      <c r="AD29" s="381" t="s">
        <v>335</v>
      </c>
      <c r="AE29" s="380" t="s">
        <v>336</v>
      </c>
      <c r="AF29" s="380" t="s">
        <v>337</v>
      </c>
      <c r="AG29" s="381" t="s">
        <v>338</v>
      </c>
      <c r="AH29" s="380" t="s">
        <v>339</v>
      </c>
      <c r="AI29" s="381" t="s">
        <v>340</v>
      </c>
      <c r="AJ29" s="380" t="s">
        <v>341</v>
      </c>
    </row>
    <row r="30">
      <c r="A30" s="390">
        <v>46194</v>
      </c>
      <c r="B30" s="391" t="s">
        <v>342</v>
      </c>
      <c r="C30" s="392" t="s">
        <v>343</v>
      </c>
      <c r="D30" s="393">
        <f t="shared" ref="D30:D32" si="121">E30+F30</f>
      </c>
      <c r="E30" s="432">
        <v>692.14</v>
      </c>
      <c r="F30" s="433">
        <v>669.8</v>
      </c>
      <c r="G30" s="396">
        <f t="shared" ref="G30:G32" si="186">Z30+AA30</f>
      </c>
      <c r="H30" s="396">
        <v>0</v>
      </c>
      <c r="I30" s="395">
        <f t="shared" ref="I30:I32" si="4">G30-H30</f>
      </c>
      <c r="J30" s="395">
        <f t="shared" ref="J30:J32" si="56">(G30-AA30)/12+AA30</f>
      </c>
      <c r="K30" s="397">
        <f t="shared" ref="K30:K34" si="147">G30/D30</f>
      </c>
      <c r="L30" s="398">
        <f t="shared" ref="L30:L34" si="196">(G30-H30)/D30</f>
      </c>
      <c r="M30" s="399">
        <f t="shared" ref="M30:M34" si="17">(AA30+Z30/12)/D30</f>
      </c>
      <c r="N30" s="400">
        <f t="shared" ref="N30:N34" si="69">G30/Y30</f>
      </c>
      <c r="O30" s="400">
        <f t="shared" ref="O30:O34" si="160">D30/Y30</f>
      </c>
      <c r="P30" s="400">
        <f t="shared" ref="P30:P34" si="209">D30/AE30</f>
      </c>
      <c r="Q30" s="401">
        <f t="shared" ref="Q30:Q34" si="30">Y30/W30</f>
      </c>
      <c r="R30" s="402">
        <f t="shared" ref="R30:R34" si="82">AG30/AF30</f>
      </c>
      <c r="S30" s="400">
        <f t="shared" ref="S30:S34" si="173">D30/AH30</f>
      </c>
      <c r="T30" s="403">
        <f t="shared" ref="T30:T34" si="95">AI30/AH30</f>
      </c>
      <c r="U30" s="403">
        <f t="shared" ref="U30:U34" si="222">AJ30/AH30</f>
      </c>
      <c r="V30" s="400">
        <f t="shared" ref="V30:V34" si="43">D30/AJ30</f>
      </c>
      <c r="W30" s="404">
        <f t="shared" ref="W30:W32" si="134">X30+Y30</f>
      </c>
      <c r="X30" s="405">
        <v>1</v>
      </c>
      <c r="Y30" s="405">
        <v>0</v>
      </c>
      <c r="Z30" s="406">
        <v>0</v>
      </c>
      <c r="AA30" s="406">
        <v>0</v>
      </c>
      <c r="AB30" s="401">
        <f t="shared" ref="AB30:AB34" si="108">AA30/G30</f>
      </c>
      <c r="AC30" s="407" t="s">
        <v>344</v>
      </c>
      <c r="AD30" s="408" t="s">
        <v>350</v>
      </c>
      <c r="AE30" s="409">
        <v>0</v>
      </c>
      <c r="AF30" s="410">
        <v>6287</v>
      </c>
      <c r="AG30" s="410">
        <v>307</v>
      </c>
      <c r="AH30" s="410">
        <v>344</v>
      </c>
      <c r="AI30" s="409">
        <v>20</v>
      </c>
      <c r="AJ30" s="409">
        <v>33</v>
      </c>
    </row>
    <row r="31">
      <c r="A31" s="390"/>
      <c r="B31" s="391" t="s">
        <v>342</v>
      </c>
      <c r="C31" s="392" t="s">
        <v>346</v>
      </c>
      <c r="D31" s="393">
        <f t="shared" si="121"/>
      </c>
      <c r="E31" s="432">
        <v>760.62</v>
      </c>
      <c r="F31" s="433">
        <v>527.35</v>
      </c>
      <c r="G31" s="396">
        <f t="shared" si="186"/>
      </c>
      <c r="H31" s="396">
        <v>0</v>
      </c>
      <c r="I31" s="395">
        <f t="shared" si="4"/>
      </c>
      <c r="J31" s="395">
        <f t="shared" si="56"/>
      </c>
      <c r="K31" s="397">
        <f t="shared" si="147"/>
      </c>
      <c r="L31" s="398">
        <f t="shared" si="196"/>
      </c>
      <c r="M31" s="399">
        <f t="shared" si="17"/>
      </c>
      <c r="N31" s="400">
        <f t="shared" si="69"/>
      </c>
      <c r="O31" s="400">
        <f t="shared" si="160"/>
      </c>
      <c r="P31" s="400">
        <f t="shared" si="209"/>
      </c>
      <c r="Q31" s="401">
        <f t="shared" si="30"/>
      </c>
      <c r="R31" s="402">
        <f t="shared" si="82"/>
      </c>
      <c r="S31" s="400">
        <f t="shared" si="173"/>
      </c>
      <c r="T31" s="403">
        <f t="shared" si="95"/>
      </c>
      <c r="U31" s="403">
        <f t="shared" si="222"/>
      </c>
      <c r="V31" s="400">
        <f t="shared" si="43"/>
      </c>
      <c r="W31" s="404">
        <f t="shared" si="134"/>
      </c>
      <c r="X31" s="405">
        <v>0</v>
      </c>
      <c r="Y31" s="405">
        <v>1</v>
      </c>
      <c r="Z31" s="406">
        <v>685.8</v>
      </c>
      <c r="AA31" s="406">
        <v>0</v>
      </c>
      <c r="AB31" s="401">
        <f t="shared" si="108"/>
      </c>
      <c r="AC31" s="407" t="s">
        <v>344</v>
      </c>
      <c r="AD31" s="408" t="s">
        <v>350</v>
      </c>
      <c r="AE31" s="409">
        <v>0</v>
      </c>
      <c r="AF31" s="410">
        <v>5864</v>
      </c>
      <c r="AG31" s="410">
        <v>389</v>
      </c>
      <c r="AH31" s="410">
        <v>479</v>
      </c>
      <c r="AI31" s="409">
        <v>30</v>
      </c>
      <c r="AJ31" s="409">
        <v>27</v>
      </c>
    </row>
    <row r="32">
      <c r="A32" s="390"/>
      <c r="B32" s="391" t="s">
        <v>342</v>
      </c>
      <c r="C32" s="432" t="s">
        <v>351</v>
      </c>
      <c r="D32" s="393">
        <f t="shared" si="121"/>
      </c>
      <c r="E32" s="432">
        <v>315.48</v>
      </c>
      <c r="F32" s="433">
        <v>141.23</v>
      </c>
      <c r="G32" s="396">
        <f t="shared" si="186"/>
      </c>
      <c r="H32" s="396">
        <v>0</v>
      </c>
      <c r="I32" s="395">
        <f t="shared" si="4"/>
      </c>
      <c r="J32" s="395">
        <f t="shared" si="56"/>
      </c>
      <c r="K32" s="397">
        <f t="shared" si="147"/>
      </c>
      <c r="L32" s="398">
        <f t="shared" si="196"/>
      </c>
      <c r="M32" s="399">
        <f t="shared" si="17"/>
      </c>
      <c r="N32" s="400">
        <f t="shared" si="69"/>
      </c>
      <c r="O32" s="400">
        <f t="shared" si="160"/>
      </c>
      <c r="P32" s="400">
        <f t="shared" si="209"/>
      </c>
      <c r="Q32" s="401">
        <f t="shared" si="30"/>
      </c>
      <c r="R32" s="402">
        <f t="shared" si="82"/>
      </c>
      <c r="S32" s="400">
        <f t="shared" si="173"/>
      </c>
      <c r="T32" s="403">
        <f t="shared" si="95"/>
      </c>
      <c r="U32" s="403">
        <f t="shared" si="222"/>
      </c>
      <c r="V32" s="400">
        <f t="shared" si="43"/>
      </c>
      <c r="W32" s="404">
        <f t="shared" si="134"/>
      </c>
      <c r="X32" s="405">
        <v>0</v>
      </c>
      <c r="Y32" s="405">
        <v>0</v>
      </c>
      <c r="Z32" s="406">
        <v>0</v>
      </c>
      <c r="AA32" s="406">
        <v>0</v>
      </c>
      <c r="AB32" s="401">
        <f t="shared" si="108"/>
      </c>
      <c r="AC32" s="407" t="s">
        <v>344</v>
      </c>
      <c r="AD32" s="408" t="s">
        <v>350</v>
      </c>
      <c r="AE32" s="434">
        <v>0</v>
      </c>
      <c r="AF32" s="410">
        <v>2040</v>
      </c>
      <c r="AG32" s="410">
        <v>127</v>
      </c>
      <c r="AH32" s="410">
        <v>159</v>
      </c>
      <c r="AI32" s="409">
        <v>16</v>
      </c>
      <c r="AJ32" s="409">
        <v>14</v>
      </c>
    </row>
    <row r="33">
      <c r="A33" s="390"/>
      <c r="B33" s="413" t="s">
        <v>349</v>
      </c>
      <c r="C33" s="414">
        <v>4</v>
      </c>
      <c r="D33" s="415">
        <f>SUM(D30:D32)</f>
      </c>
      <c r="E33" s="415">
        <f>SUM(E30:E32)</f>
      </c>
      <c r="F33" s="415">
        <f>SUM(F30:F32)</f>
      </c>
      <c r="G33" s="415">
        <f>SUM(G30:G32)</f>
      </c>
      <c r="H33" s="415">
        <f>SUM(H30:H32)</f>
      </c>
      <c r="I33" s="415">
        <f>SUM(I30:I32)</f>
      </c>
      <c r="J33" s="415">
        <f>SUM(J30:J32)</f>
      </c>
      <c r="K33" s="416">
        <f t="shared" si="147"/>
      </c>
      <c r="L33" s="417">
        <f t="shared" si="196"/>
      </c>
      <c r="M33" s="417">
        <f t="shared" si="17"/>
      </c>
      <c r="N33" s="418">
        <f t="shared" si="69"/>
      </c>
      <c r="O33" s="418">
        <f t="shared" si="160"/>
      </c>
      <c r="P33" s="418">
        <f t="shared" si="209"/>
      </c>
      <c r="Q33" s="419">
        <f t="shared" si="30"/>
      </c>
      <c r="R33" s="419">
        <f t="shared" si="82"/>
      </c>
      <c r="S33" s="418">
        <f t="shared" si="173"/>
      </c>
      <c r="T33" s="419">
        <f t="shared" si="95"/>
      </c>
      <c r="U33" s="419">
        <f t="shared" si="222"/>
      </c>
      <c r="V33" s="418">
        <f t="shared" si="43"/>
      </c>
      <c r="W33" s="420">
        <f>SUM(W30:W32)</f>
      </c>
      <c r="X33" s="420">
        <f>SUM(X30:X32)</f>
      </c>
      <c r="Y33" s="420">
        <f>SUM(Y30:Y32)</f>
      </c>
      <c r="Z33" s="421">
        <f>SUM(Z30:Z32)</f>
      </c>
      <c r="AA33" s="421">
        <f>SUM(AA30:AA32)</f>
      </c>
      <c r="AB33" s="422">
        <f t="shared" si="108"/>
      </c>
      <c r="AC33" s="423"/>
      <c r="AD33" s="424"/>
      <c r="AE33" s="425">
        <f>SUM(AE30:AE32)</f>
      </c>
      <c r="AF33" s="425">
        <f>SUM(AF30:AF32)</f>
      </c>
      <c r="AG33" s="425">
        <f>SUM(AG30:AG32)</f>
      </c>
      <c r="AH33" s="425">
        <f>SUM(AH30:AH32)</f>
      </c>
      <c r="AI33" s="425">
        <f>SUM(AI30:AI32)</f>
      </c>
      <c r="AJ33" s="425">
        <f>SUM(AJ30:AJ32)</f>
      </c>
    </row>
    <row r="34">
      <c r="A34" s="390"/>
      <c r="B34" s="426" t="s">
        <v>349</v>
      </c>
      <c r="C34" s="426">
        <f>C33</f>
      </c>
      <c r="D34" s="426">
        <f>D33</f>
      </c>
      <c r="E34" s="426">
        <f>E33</f>
      </c>
      <c r="F34" s="426">
        <f>F33</f>
      </c>
      <c r="G34" s="427">
        <f>G33</f>
      </c>
      <c r="H34" s="427">
        <f>H33</f>
      </c>
      <c r="I34" s="427">
        <f>I33</f>
      </c>
      <c r="J34" s="427">
        <f>J33</f>
      </c>
      <c r="K34" s="428">
        <f t="shared" si="147"/>
      </c>
      <c r="L34" s="428">
        <f t="shared" si="196"/>
      </c>
      <c r="M34" s="428">
        <f t="shared" si="17"/>
      </c>
      <c r="N34" s="428">
        <f t="shared" si="69"/>
      </c>
      <c r="O34" s="428">
        <f t="shared" si="160"/>
      </c>
      <c r="P34" s="428">
        <f t="shared" si="209"/>
      </c>
      <c r="Q34" s="429">
        <f t="shared" si="30"/>
      </c>
      <c r="R34" s="429">
        <f t="shared" si="82"/>
      </c>
      <c r="S34" s="428">
        <f t="shared" si="173"/>
      </c>
      <c r="T34" s="429">
        <f t="shared" si="95"/>
      </c>
      <c r="U34" s="429">
        <f t="shared" si="222"/>
      </c>
      <c r="V34" s="428">
        <f t="shared" si="43"/>
      </c>
      <c r="W34" s="430">
        <f>W33</f>
      </c>
      <c r="X34" s="430">
        <f>X33</f>
      </c>
      <c r="Y34" s="430">
        <f>Y33</f>
      </c>
      <c r="Z34" s="435">
        <f>Z33</f>
      </c>
      <c r="AA34" s="430">
        <f>AA33</f>
      </c>
      <c r="AB34" s="431">
        <f t="shared" si="108"/>
      </c>
      <c r="AC34" s="426"/>
      <c r="AD34" s="426"/>
      <c r="AE34" s="426">
        <f>AE33</f>
      </c>
      <c r="AF34" s="426">
        <f>AF33</f>
      </c>
      <c r="AG34" s="426">
        <f>AG33</f>
      </c>
      <c r="AH34" s="426">
        <f>AH33</f>
      </c>
      <c r="AI34" s="426">
        <f>AI33</f>
      </c>
      <c r="AJ34" s="426">
        <f>AJ33</f>
      </c>
    </row>
    <row r="35">
      <c r="A35" s="377" t="s">
        <v>306</v>
      </c>
      <c r="B35" s="378" t="s">
        <v>307</v>
      </c>
      <c r="C35" s="378" t="s">
        <v>308</v>
      </c>
      <c r="D35" s="379" t="s">
        <v>309</v>
      </c>
      <c r="E35" s="378" t="s">
        <v>310</v>
      </c>
      <c r="F35" s="378" t="s">
        <v>311</v>
      </c>
      <c r="G35" s="379" t="s">
        <v>312</v>
      </c>
      <c r="H35" s="380" t="s">
        <v>313</v>
      </c>
      <c r="I35" s="381" t="s">
        <v>314</v>
      </c>
      <c r="J35" s="381" t="s">
        <v>315</v>
      </c>
      <c r="K35" s="382" t="s">
        <v>316</v>
      </c>
      <c r="L35" s="381" t="s">
        <v>317</v>
      </c>
      <c r="M35" s="378" t="s">
        <v>318</v>
      </c>
      <c r="N35" s="382" t="s">
        <v>319</v>
      </c>
      <c r="O35" s="383" t="s">
        <v>320</v>
      </c>
      <c r="P35" s="383" t="s">
        <v>321</v>
      </c>
      <c r="Q35" s="379" t="s">
        <v>322</v>
      </c>
      <c r="R35" s="384" t="s">
        <v>323</v>
      </c>
      <c r="S35" s="382" t="s">
        <v>324</v>
      </c>
      <c r="T35" s="385" t="s">
        <v>325</v>
      </c>
      <c r="U35" s="386" t="s">
        <v>326</v>
      </c>
      <c r="V35" s="382" t="s">
        <v>327</v>
      </c>
      <c r="W35" s="387" t="s">
        <v>328</v>
      </c>
      <c r="X35" s="388" t="s">
        <v>329</v>
      </c>
      <c r="Y35" s="387" t="s">
        <v>330</v>
      </c>
      <c r="Z35" s="389" t="s">
        <v>331</v>
      </c>
      <c r="AA35" s="389" t="s">
        <v>332</v>
      </c>
      <c r="AB35" s="381" t="s">
        <v>333</v>
      </c>
      <c r="AC35" s="380" t="s">
        <v>334</v>
      </c>
      <c r="AD35" s="381" t="s">
        <v>335</v>
      </c>
      <c r="AE35" s="380" t="s">
        <v>336</v>
      </c>
      <c r="AF35" s="380" t="s">
        <v>337</v>
      </c>
      <c r="AG35" s="381" t="s">
        <v>338</v>
      </c>
      <c r="AH35" s="380" t="s">
        <v>339</v>
      </c>
      <c r="AI35" s="381" t="s">
        <v>340</v>
      </c>
      <c r="AJ35" s="380" t="s">
        <v>341</v>
      </c>
    </row>
    <row r="36">
      <c r="A36" s="390">
        <v>46196</v>
      </c>
      <c r="B36" s="391" t="s">
        <v>342</v>
      </c>
      <c r="C36" s="392" t="s">
        <v>343</v>
      </c>
      <c r="D36" s="393">
        <f t="shared" ref="D36:D39" si="122">E36+F36</f>
      </c>
      <c r="E36" s="432">
        <v>643.64</v>
      </c>
      <c r="F36" s="433">
        <v>336.04</v>
      </c>
      <c r="G36" s="396">
        <f t="shared" ref="G36:G39" si="187">Z36+AA36</f>
      </c>
      <c r="H36" s="396">
        <v>0</v>
      </c>
      <c r="I36" s="395">
        <f t="shared" ref="I36:I39" si="5">G36-H36</f>
      </c>
      <c r="J36" s="395">
        <f t="shared" ref="J36:J39" si="57">(G36-AA36)/12+AA36</f>
      </c>
      <c r="K36" s="397">
        <f t="shared" ref="K36:K41" si="148">G36/D36</f>
      </c>
      <c r="L36" s="398">
        <f t="shared" ref="L36:L41" si="197">(G36-H36)/D36</f>
      </c>
      <c r="M36" s="399">
        <f t="shared" ref="M36:M41" si="18">(AA36+Z36/12)/D36</f>
      </c>
      <c r="N36" s="400">
        <f t="shared" ref="N36:N41" si="70">G36/Y36</f>
      </c>
      <c r="O36" s="400">
        <f t="shared" ref="O36:O41" si="161">D36/Y36</f>
      </c>
      <c r="P36" s="400">
        <f t="shared" ref="P36:P41" si="210">D36/AE36</f>
      </c>
      <c r="Q36" s="401">
        <f t="shared" ref="Q36:Q41" si="31">Y36/W36</f>
      </c>
      <c r="R36" s="402">
        <f t="shared" ref="R36:R41" si="83">AG36/AF36</f>
      </c>
      <c r="S36" s="400">
        <f t="shared" ref="S36:S41" si="174">D36/AH36</f>
      </c>
      <c r="T36" s="403">
        <f t="shared" ref="T36:T41" si="96">AI36/AH36</f>
      </c>
      <c r="U36" s="403">
        <f t="shared" ref="U36:U41" si="223">AJ36/AH36</f>
      </c>
      <c r="V36" s="400">
        <f t="shared" ref="V36:V41" si="44">D36/AJ36</f>
      </c>
      <c r="W36" s="404">
        <f t="shared" ref="W36:W39" si="135">X36+Y36</f>
      </c>
      <c r="X36" s="405">
        <v>1</v>
      </c>
      <c r="Y36" s="405">
        <v>0</v>
      </c>
      <c r="Z36" s="406">
        <v>0</v>
      </c>
      <c r="AA36" s="406">
        <v>0</v>
      </c>
      <c r="AB36" s="401">
        <f t="shared" ref="AB36:AB41" si="109">AA36/G36</f>
      </c>
      <c r="AC36" s="407" t="s">
        <v>344</v>
      </c>
      <c r="AD36" s="408" t="s">
        <v>350</v>
      </c>
      <c r="AE36" s="434">
        <v>0</v>
      </c>
      <c r="AF36" s="410">
        <v>4104</v>
      </c>
      <c r="AG36" s="410">
        <v>224</v>
      </c>
      <c r="AH36" s="410">
        <v>287</v>
      </c>
      <c r="AI36" s="409">
        <v>21</v>
      </c>
      <c r="AJ36" s="409">
        <v>21</v>
      </c>
    </row>
    <row r="37">
      <c r="A37" s="390"/>
      <c r="B37" s="391" t="s">
        <v>342</v>
      </c>
      <c r="C37" s="392" t="s">
        <v>346</v>
      </c>
      <c r="D37" s="393">
        <f t="shared" si="122"/>
      </c>
      <c r="E37" s="432">
        <v>828.73</v>
      </c>
      <c r="F37" s="433">
        <v>404</v>
      </c>
      <c r="G37" s="396">
        <f t="shared" si="187"/>
      </c>
      <c r="H37" s="396">
        <v>0</v>
      </c>
      <c r="I37" s="395">
        <f t="shared" si="5"/>
      </c>
      <c r="J37" s="395">
        <f t="shared" si="57"/>
      </c>
      <c r="K37" s="397">
        <f t="shared" si="148"/>
      </c>
      <c r="L37" s="398">
        <f t="shared" si="197"/>
      </c>
      <c r="M37" s="399">
        <f t="shared" si="18"/>
      </c>
      <c r="N37" s="400">
        <f t="shared" si="70"/>
      </c>
      <c r="O37" s="400">
        <f t="shared" si="161"/>
      </c>
      <c r="P37" s="400">
        <f t="shared" si="210"/>
      </c>
      <c r="Q37" s="401">
        <f t="shared" si="31"/>
      </c>
      <c r="R37" s="402">
        <f t="shared" si="83"/>
      </c>
      <c r="S37" s="400">
        <f t="shared" si="174"/>
      </c>
      <c r="T37" s="403">
        <f t="shared" si="96"/>
      </c>
      <c r="U37" s="403">
        <f t="shared" si="223"/>
      </c>
      <c r="V37" s="400">
        <f t="shared" si="44"/>
      </c>
      <c r="W37" s="404">
        <f t="shared" si="135"/>
      </c>
      <c r="X37" s="405">
        <v>0</v>
      </c>
      <c r="Y37" s="405">
        <v>1</v>
      </c>
      <c r="Z37" s="406">
        <v>1591.92</v>
      </c>
      <c r="AA37" s="406">
        <v>0</v>
      </c>
      <c r="AB37" s="401">
        <f t="shared" si="109"/>
      </c>
      <c r="AC37" s="407" t="s">
        <v>344</v>
      </c>
      <c r="AD37" s="408" t="s">
        <v>350</v>
      </c>
      <c r="AE37" s="409">
        <v>1</v>
      </c>
      <c r="AF37" s="410">
        <v>5437</v>
      </c>
      <c r="AG37" s="410">
        <v>443</v>
      </c>
      <c r="AH37" s="410">
        <v>539</v>
      </c>
      <c r="AI37" s="409">
        <v>21</v>
      </c>
      <c r="AJ37" s="409">
        <v>15</v>
      </c>
    </row>
    <row r="38">
      <c r="A38" s="390"/>
      <c r="B38" s="391" t="s">
        <v>342</v>
      </c>
      <c r="C38" s="432" t="s">
        <v>351</v>
      </c>
      <c r="D38" s="393">
        <f t="shared" si="122"/>
      </c>
      <c r="E38" s="432">
        <v>321.37</v>
      </c>
      <c r="F38" s="433">
        <v>336.31</v>
      </c>
      <c r="G38" s="396">
        <f t="shared" si="187"/>
      </c>
      <c r="H38" s="396">
        <v>0</v>
      </c>
      <c r="I38" s="395">
        <f t="shared" si="5"/>
      </c>
      <c r="J38" s="395">
        <f t="shared" si="57"/>
      </c>
      <c r="K38" s="397">
        <f t="shared" si="148"/>
      </c>
      <c r="L38" s="398">
        <f t="shared" si="197"/>
      </c>
      <c r="M38" s="399">
        <f t="shared" si="18"/>
      </c>
      <c r="N38" s="400">
        <f t="shared" si="70"/>
      </c>
      <c r="O38" s="400">
        <f t="shared" si="161"/>
      </c>
      <c r="P38" s="400">
        <f t="shared" si="210"/>
      </c>
      <c r="Q38" s="401">
        <f t="shared" si="31"/>
      </c>
      <c r="R38" s="402">
        <f t="shared" si="83"/>
      </c>
      <c r="S38" s="400">
        <f t="shared" si="174"/>
      </c>
      <c r="T38" s="403">
        <f t="shared" si="96"/>
      </c>
      <c r="U38" s="403">
        <f t="shared" si="223"/>
      </c>
      <c r="V38" s="400">
        <f t="shared" si="44"/>
      </c>
      <c r="W38" s="404">
        <f t="shared" si="135"/>
      </c>
      <c r="X38" s="405">
        <v>1</v>
      </c>
      <c r="Y38" s="405">
        <v>0</v>
      </c>
      <c r="Z38" s="406">
        <v>0</v>
      </c>
      <c r="AA38" s="406">
        <v>0</v>
      </c>
      <c r="AB38" s="401">
        <f t="shared" si="109"/>
      </c>
      <c r="AC38" s="407" t="s">
        <v>344</v>
      </c>
      <c r="AD38" s="408" t="s">
        <v>350</v>
      </c>
      <c r="AE38" s="434">
        <v>0</v>
      </c>
      <c r="AF38" s="410">
        <v>4476</v>
      </c>
      <c r="AG38" s="410">
        <v>230</v>
      </c>
      <c r="AH38" s="410">
        <v>292</v>
      </c>
      <c r="AI38" s="409">
        <v>15</v>
      </c>
      <c r="AJ38" s="409">
        <v>12</v>
      </c>
    </row>
    <row customHeight="true" ht="16.666666666666668" r="39">
      <c r="A39" s="390"/>
      <c r="B39" s="391" t="s">
        <v>342</v>
      </c>
      <c r="C39" s="392" t="s">
        <v>348</v>
      </c>
      <c r="D39" s="393">
        <f t="shared" si="122"/>
      </c>
      <c r="E39" s="432">
        <v>192.41</v>
      </c>
      <c r="F39" s="433">
        <v>607.43</v>
      </c>
      <c r="G39" s="396">
        <f t="shared" si="187"/>
      </c>
      <c r="H39" s="396">
        <v>0</v>
      </c>
      <c r="I39" s="395">
        <f t="shared" si="5"/>
      </c>
      <c r="J39" s="395">
        <f t="shared" si="57"/>
      </c>
      <c r="K39" s="397">
        <f t="shared" si="148"/>
      </c>
      <c r="L39" s="398">
        <f t="shared" si="197"/>
      </c>
      <c r="M39" s="399">
        <f t="shared" si="18"/>
      </c>
      <c r="N39" s="400">
        <f t="shared" si="70"/>
      </c>
      <c r="O39" s="400">
        <f t="shared" si="161"/>
      </c>
      <c r="P39" s="400">
        <f t="shared" si="210"/>
      </c>
      <c r="Q39" s="401">
        <f t="shared" si="31"/>
      </c>
      <c r="R39" s="402">
        <f t="shared" si="83"/>
      </c>
      <c r="S39" s="400">
        <f t="shared" si="174"/>
      </c>
      <c r="T39" s="403">
        <f t="shared" si="96"/>
      </c>
      <c r="U39" s="403">
        <f t="shared" si="223"/>
      </c>
      <c r="V39" s="400">
        <f t="shared" si="44"/>
      </c>
      <c r="W39" s="404">
        <f t="shared" si="135"/>
      </c>
      <c r="X39" s="405">
        <v>1</v>
      </c>
      <c r="Y39" s="405">
        <v>0</v>
      </c>
      <c r="Z39" s="406">
        <v>0</v>
      </c>
      <c r="AA39" s="406">
        <v>0</v>
      </c>
      <c r="AB39" s="401">
        <f t="shared" si="109"/>
      </c>
      <c r="AC39" s="407" t="s">
        <v>344</v>
      </c>
      <c r="AD39" s="408" t="s">
        <v>350</v>
      </c>
      <c r="AE39" s="434">
        <v>0</v>
      </c>
      <c r="AF39" s="410">
        <v>4750</v>
      </c>
      <c r="AG39" s="410">
        <v>285</v>
      </c>
      <c r="AH39" s="410">
        <v>429</v>
      </c>
      <c r="AI39" s="409">
        <v>25</v>
      </c>
      <c r="AJ39" s="409">
        <v>19</v>
      </c>
    </row>
    <row r="40">
      <c r="A40" s="390"/>
      <c r="B40" s="413" t="s">
        <v>349</v>
      </c>
      <c r="C40" s="414">
        <v>4</v>
      </c>
      <c r="D40" s="415">
        <f>SUM(D36:D39)</f>
      </c>
      <c r="E40" s="415">
        <f>SUM(E36:E39)</f>
      </c>
      <c r="F40" s="415">
        <f>SUM(F36:F39)</f>
      </c>
      <c r="G40" s="415">
        <f>SUM(G36:G39)</f>
      </c>
      <c r="H40" s="415">
        <f>SUM(H36:H39)</f>
      </c>
      <c r="I40" s="415">
        <f>SUM(I36:I39)</f>
      </c>
      <c r="J40" s="415">
        <f>SUM(J36:J39)</f>
      </c>
      <c r="K40" s="416">
        <f t="shared" si="148"/>
      </c>
      <c r="L40" s="417">
        <f t="shared" si="197"/>
      </c>
      <c r="M40" s="417">
        <f t="shared" si="18"/>
      </c>
      <c r="N40" s="418">
        <f t="shared" si="70"/>
      </c>
      <c r="O40" s="418">
        <f t="shared" si="161"/>
      </c>
      <c r="P40" s="418">
        <f t="shared" si="210"/>
      </c>
      <c r="Q40" s="419">
        <f t="shared" si="31"/>
      </c>
      <c r="R40" s="419">
        <f t="shared" si="83"/>
      </c>
      <c r="S40" s="418">
        <f t="shared" si="174"/>
      </c>
      <c r="T40" s="419">
        <f t="shared" si="96"/>
      </c>
      <c r="U40" s="419">
        <f t="shared" si="223"/>
      </c>
      <c r="V40" s="418">
        <f t="shared" si="44"/>
      </c>
      <c r="W40" s="420">
        <f>SUM(W36:W39)</f>
      </c>
      <c r="X40" s="420">
        <f>SUM(X36:X39)</f>
      </c>
      <c r="Y40" s="420">
        <f>SUM(Y36:Y39)</f>
      </c>
      <c r="Z40" s="436">
        <f>SUM(Z36:Z39)</f>
      </c>
      <c r="AA40" s="420">
        <f>SUM(AA36:AA39)</f>
      </c>
      <c r="AB40" s="422">
        <f t="shared" si="109"/>
      </c>
      <c r="AC40" s="423"/>
      <c r="AD40" s="424"/>
      <c r="AE40" s="425">
        <f>SUM(AE36:AE39)</f>
      </c>
      <c r="AF40" s="425">
        <f>SUM(AF36:AF39)</f>
      </c>
      <c r="AG40" s="425">
        <f>SUM(AG36:AG39)</f>
      </c>
      <c r="AH40" s="425">
        <f>SUM(AH36:AH39)</f>
      </c>
      <c r="AI40" s="425">
        <f>SUM(AI36:AI39)</f>
      </c>
      <c r="AJ40" s="425">
        <f>SUM(AJ36:AJ39)</f>
      </c>
    </row>
    <row r="41">
      <c r="A41" s="390"/>
      <c r="B41" s="426" t="s">
        <v>349</v>
      </c>
      <c r="C41" s="426">
        <f>C40</f>
      </c>
      <c r="D41" s="426">
        <f>D40</f>
      </c>
      <c r="E41" s="426">
        <f>E40</f>
      </c>
      <c r="F41" s="426">
        <f>F40</f>
      </c>
      <c r="G41" s="427">
        <f>G40</f>
      </c>
      <c r="H41" s="427">
        <f>H40</f>
      </c>
      <c r="I41" s="427">
        <f>I40</f>
      </c>
      <c r="J41" s="427">
        <f>J40</f>
      </c>
      <c r="K41" s="428">
        <f t="shared" si="148"/>
      </c>
      <c r="L41" s="428">
        <f t="shared" si="197"/>
      </c>
      <c r="M41" s="428">
        <f t="shared" si="18"/>
      </c>
      <c r="N41" s="428">
        <f t="shared" si="70"/>
      </c>
      <c r="O41" s="428">
        <f t="shared" si="161"/>
      </c>
      <c r="P41" s="428">
        <f t="shared" si="210"/>
      </c>
      <c r="Q41" s="429">
        <f t="shared" si="31"/>
      </c>
      <c r="R41" s="429">
        <f t="shared" si="83"/>
      </c>
      <c r="S41" s="428">
        <f t="shared" si="174"/>
      </c>
      <c r="T41" s="429">
        <f t="shared" si="96"/>
      </c>
      <c r="U41" s="429">
        <f t="shared" si="223"/>
      </c>
      <c r="V41" s="428">
        <f t="shared" si="44"/>
      </c>
      <c r="W41" s="430">
        <f>W40</f>
      </c>
      <c r="X41" s="430">
        <f>X40</f>
      </c>
      <c r="Y41" s="430">
        <f>Y40</f>
      </c>
      <c r="Z41" s="435">
        <f>Z40</f>
      </c>
      <c r="AA41" s="430">
        <f>AA40</f>
      </c>
      <c r="AB41" s="431">
        <f t="shared" si="109"/>
      </c>
      <c r="AC41" s="426"/>
      <c r="AD41" s="426"/>
      <c r="AE41" s="426">
        <f>AE40</f>
      </c>
      <c r="AF41" s="426">
        <f>AF40</f>
      </c>
      <c r="AG41" s="426">
        <f>AG40</f>
      </c>
      <c r="AH41" s="426">
        <f>AH40</f>
      </c>
      <c r="AI41" s="426">
        <f>AI40</f>
      </c>
      <c r="AJ41" s="426">
        <f>AJ40</f>
      </c>
    </row>
    <row r="42">
      <c r="A42" s="377" t="s">
        <v>306</v>
      </c>
      <c r="B42" s="378" t="s">
        <v>307</v>
      </c>
      <c r="C42" s="378" t="s">
        <v>308</v>
      </c>
      <c r="D42" s="379" t="s">
        <v>309</v>
      </c>
      <c r="E42" s="378" t="s">
        <v>310</v>
      </c>
      <c r="F42" s="378" t="s">
        <v>311</v>
      </c>
      <c r="G42" s="379" t="s">
        <v>312</v>
      </c>
      <c r="H42" s="380" t="s">
        <v>313</v>
      </c>
      <c r="I42" s="381" t="s">
        <v>314</v>
      </c>
      <c r="J42" s="381" t="s">
        <v>315</v>
      </c>
      <c r="K42" s="382" t="s">
        <v>316</v>
      </c>
      <c r="L42" s="381" t="s">
        <v>317</v>
      </c>
      <c r="M42" s="378" t="s">
        <v>318</v>
      </c>
      <c r="N42" s="382" t="s">
        <v>319</v>
      </c>
      <c r="O42" s="383" t="s">
        <v>320</v>
      </c>
      <c r="P42" s="383" t="s">
        <v>321</v>
      </c>
      <c r="Q42" s="379" t="s">
        <v>322</v>
      </c>
      <c r="R42" s="384" t="s">
        <v>323</v>
      </c>
      <c r="S42" s="382" t="s">
        <v>324</v>
      </c>
      <c r="T42" s="385" t="s">
        <v>325</v>
      </c>
      <c r="U42" s="386" t="s">
        <v>326</v>
      </c>
      <c r="V42" s="382" t="s">
        <v>327</v>
      </c>
      <c r="W42" s="387" t="s">
        <v>328</v>
      </c>
      <c r="X42" s="388" t="s">
        <v>329</v>
      </c>
      <c r="Y42" s="387" t="s">
        <v>330</v>
      </c>
      <c r="Z42" s="389" t="s">
        <v>331</v>
      </c>
      <c r="AA42" s="389" t="s">
        <v>332</v>
      </c>
      <c r="AB42" s="381" t="s">
        <v>333</v>
      </c>
      <c r="AC42" s="380" t="s">
        <v>334</v>
      </c>
      <c r="AD42" s="381" t="s">
        <v>335</v>
      </c>
      <c r="AE42" s="380" t="s">
        <v>336</v>
      </c>
      <c r="AF42" s="380" t="s">
        <v>337</v>
      </c>
      <c r="AG42" s="381" t="s">
        <v>338</v>
      </c>
      <c r="AH42" s="380" t="s">
        <v>339</v>
      </c>
      <c r="AI42" s="381" t="s">
        <v>340</v>
      </c>
      <c r="AJ42" s="380" t="s">
        <v>341</v>
      </c>
    </row>
    <row r="43">
      <c r="A43" s="390">
        <v>46197</v>
      </c>
      <c r="B43" s="391" t="s">
        <v>342</v>
      </c>
      <c r="C43" s="392" t="s">
        <v>343</v>
      </c>
      <c r="D43" s="393">
        <f t="shared" ref="D43:D46" si="123">E43+F43</f>
      </c>
      <c r="E43" s="432">
        <v>612.57</v>
      </c>
      <c r="F43" s="433">
        <v>382.82</v>
      </c>
      <c r="G43" s="396">
        <f t="shared" ref="G43:G46" si="188">Z43+AA43</f>
      </c>
      <c r="H43" s="396">
        <v>0</v>
      </c>
      <c r="I43" s="395">
        <f t="shared" ref="I43:I46" si="6">G43-H43</f>
      </c>
      <c r="J43" s="395">
        <f t="shared" ref="J43:J46" si="58">(G43-AA43)/12+AA43</f>
      </c>
      <c r="K43" s="397">
        <f t="shared" ref="K43:K48" si="149">G43/D43</f>
      </c>
      <c r="L43" s="398">
        <f t="shared" ref="L43:L48" si="198">(G43-H43)/D43</f>
      </c>
      <c r="M43" s="399">
        <f t="shared" ref="M43:M48" si="19">(AA43+Z43/12)/D43</f>
      </c>
      <c r="N43" s="400">
        <f t="shared" ref="N43:N48" si="71">G43/Y43</f>
      </c>
      <c r="O43" s="400">
        <f t="shared" ref="O43:O48" si="162">D43/Y43</f>
      </c>
      <c r="P43" s="400">
        <f t="shared" ref="P43:P48" si="211">D43/AE43</f>
      </c>
      <c r="Q43" s="401">
        <f t="shared" ref="Q43:Q48" si="32">Y43/W43</f>
      </c>
      <c r="R43" s="402">
        <f t="shared" ref="R43:R48" si="84">AG43/AF43</f>
      </c>
      <c r="S43" s="400">
        <f t="shared" ref="S43:S48" si="175">D43/AH43</f>
      </c>
      <c r="T43" s="403">
        <f t="shared" ref="T43:T48" si="97">AI43/AH43</f>
      </c>
      <c r="U43" s="403">
        <f t="shared" ref="U43:U48" si="224">AJ43/AH43</f>
      </c>
      <c r="V43" s="400">
        <f t="shared" ref="V43:V48" si="45">D43/AJ43</f>
      </c>
      <c r="W43" s="404">
        <f t="shared" ref="W43:W46" si="136">X43+Y43</f>
      </c>
      <c r="X43" s="405">
        <v>1</v>
      </c>
      <c r="Y43" s="405">
        <v>0</v>
      </c>
      <c r="Z43" s="406">
        <v>0</v>
      </c>
      <c r="AA43" s="406">
        <v>0</v>
      </c>
      <c r="AB43" s="401">
        <f t="shared" ref="AB43:AB48" si="110">AA43/G43</f>
      </c>
      <c r="AC43" s="407" t="s">
        <v>344</v>
      </c>
      <c r="AD43" s="408" t="s">
        <v>352</v>
      </c>
      <c r="AE43" s="434">
        <v>0</v>
      </c>
      <c r="AF43" s="410">
        <v>3263</v>
      </c>
      <c r="AG43" s="410">
        <v>174</v>
      </c>
      <c r="AH43" s="410">
        <v>218</v>
      </c>
      <c r="AI43" s="409">
        <v>17</v>
      </c>
      <c r="AJ43" s="409">
        <v>15</v>
      </c>
    </row>
    <row r="44">
      <c r="A44" s="390"/>
      <c r="B44" s="391" t="s">
        <v>342</v>
      </c>
      <c r="C44" s="392" t="s">
        <v>346</v>
      </c>
      <c r="D44" s="393">
        <f t="shared" si="123"/>
      </c>
      <c r="E44" s="432">
        <v>577.9</v>
      </c>
      <c r="F44" s="433">
        <v>350.8</v>
      </c>
      <c r="G44" s="396">
        <f t="shared" si="188"/>
      </c>
      <c r="H44" s="396">
        <v>0</v>
      </c>
      <c r="I44" s="395">
        <f t="shared" si="6"/>
      </c>
      <c r="J44" s="395">
        <f t="shared" si="58"/>
      </c>
      <c r="K44" s="397">
        <f t="shared" si="149"/>
      </c>
      <c r="L44" s="398">
        <f t="shared" si="198"/>
      </c>
      <c r="M44" s="399">
        <f t="shared" si="19"/>
      </c>
      <c r="N44" s="400">
        <f t="shared" si="71"/>
      </c>
      <c r="O44" s="400">
        <f t="shared" si="162"/>
      </c>
      <c r="P44" s="400">
        <f t="shared" si="211"/>
      </c>
      <c r="Q44" s="401">
        <f t="shared" si="32"/>
      </c>
      <c r="R44" s="402">
        <f t="shared" si="84"/>
      </c>
      <c r="S44" s="400">
        <f t="shared" si="175"/>
      </c>
      <c r="T44" s="403">
        <f t="shared" si="97"/>
      </c>
      <c r="U44" s="403">
        <f t="shared" si="224"/>
      </c>
      <c r="V44" s="400">
        <f t="shared" si="45"/>
      </c>
      <c r="W44" s="404">
        <f t="shared" si="136"/>
      </c>
      <c r="X44" s="405">
        <v>0</v>
      </c>
      <c r="Y44" s="405">
        <v>0</v>
      </c>
      <c r="Z44" s="406">
        <v>0</v>
      </c>
      <c r="AA44" s="406">
        <v>0</v>
      </c>
      <c r="AB44" s="401">
        <f t="shared" si="110"/>
      </c>
      <c r="AC44" s="407" t="s">
        <v>344</v>
      </c>
      <c r="AD44" s="408" t="s">
        <v>352</v>
      </c>
      <c r="AE44" s="409">
        <v>0</v>
      </c>
      <c r="AF44" s="410">
        <v>4369</v>
      </c>
      <c r="AG44" s="410">
        <v>292</v>
      </c>
      <c r="AH44" s="410">
        <v>374</v>
      </c>
      <c r="AI44" s="409">
        <v>26</v>
      </c>
      <c r="AJ44" s="409">
        <v>19</v>
      </c>
    </row>
    <row r="45">
      <c r="A45" s="390"/>
      <c r="B45" s="391" t="s">
        <v>342</v>
      </c>
      <c r="C45" s="432" t="s">
        <v>351</v>
      </c>
      <c r="D45" s="393">
        <f t="shared" si="123"/>
      </c>
      <c r="E45" s="432">
        <v>549.32</v>
      </c>
      <c r="F45" s="433">
        <v>481.85</v>
      </c>
      <c r="G45" s="396">
        <f t="shared" si="188"/>
      </c>
      <c r="H45" s="396">
        <v>0</v>
      </c>
      <c r="I45" s="395">
        <f t="shared" si="6"/>
      </c>
      <c r="J45" s="395">
        <f t="shared" si="58"/>
      </c>
      <c r="K45" s="397">
        <f t="shared" si="149"/>
      </c>
      <c r="L45" s="398">
        <f t="shared" si="198"/>
      </c>
      <c r="M45" s="399">
        <f t="shared" si="19"/>
      </c>
      <c r="N45" s="400">
        <f t="shared" si="71"/>
      </c>
      <c r="O45" s="400">
        <f t="shared" si="162"/>
      </c>
      <c r="P45" s="400">
        <f t="shared" si="211"/>
      </c>
      <c r="Q45" s="401">
        <f t="shared" si="32"/>
      </c>
      <c r="R45" s="402">
        <f t="shared" si="84"/>
      </c>
      <c r="S45" s="400">
        <f t="shared" si="175"/>
      </c>
      <c r="T45" s="403">
        <f t="shared" si="97"/>
      </c>
      <c r="U45" s="403">
        <f t="shared" si="224"/>
      </c>
      <c r="V45" s="400">
        <f t="shared" si="45"/>
      </c>
      <c r="W45" s="404">
        <f t="shared" si="136"/>
      </c>
      <c r="X45" s="405">
        <v>0</v>
      </c>
      <c r="Y45" s="405">
        <v>1</v>
      </c>
      <c r="Z45" s="406">
        <v>1953.72</v>
      </c>
      <c r="AA45" s="406">
        <v>0</v>
      </c>
      <c r="AB45" s="401">
        <f t="shared" si="110"/>
      </c>
      <c r="AC45" s="407" t="s">
        <v>344</v>
      </c>
      <c r="AD45" s="408" t="s">
        <v>352</v>
      </c>
      <c r="AE45" s="434">
        <v>1</v>
      </c>
      <c r="AF45" s="410">
        <v>5423</v>
      </c>
      <c r="AG45" s="410">
        <v>332</v>
      </c>
      <c r="AH45" s="410">
        <v>419</v>
      </c>
      <c r="AI45" s="409">
        <v>29</v>
      </c>
      <c r="AJ45" s="409">
        <v>18</v>
      </c>
    </row>
    <row r="46">
      <c r="A46" s="390"/>
      <c r="B46" s="391" t="s">
        <v>342</v>
      </c>
      <c r="C46" s="392" t="s">
        <v>348</v>
      </c>
      <c r="D46" s="393">
        <f t="shared" si="123"/>
      </c>
      <c r="E46" s="432">
        <v>234.52</v>
      </c>
      <c r="F46" s="433">
        <v>284.96</v>
      </c>
      <c r="G46" s="396">
        <f t="shared" si="188"/>
      </c>
      <c r="H46" s="396">
        <v>0</v>
      </c>
      <c r="I46" s="395">
        <f t="shared" si="6"/>
      </c>
      <c r="J46" s="395">
        <f t="shared" si="58"/>
      </c>
      <c r="K46" s="397">
        <f t="shared" si="149"/>
      </c>
      <c r="L46" s="398">
        <f t="shared" si="198"/>
      </c>
      <c r="M46" s="399">
        <f t="shared" si="19"/>
      </c>
      <c r="N46" s="400">
        <f t="shared" si="71"/>
      </c>
      <c r="O46" s="400">
        <f t="shared" si="162"/>
      </c>
      <c r="P46" s="400">
        <f t="shared" si="211"/>
      </c>
      <c r="Q46" s="401">
        <f t="shared" si="32"/>
      </c>
      <c r="R46" s="402">
        <f t="shared" si="84"/>
      </c>
      <c r="S46" s="400">
        <f t="shared" si="175"/>
      </c>
      <c r="T46" s="403">
        <f t="shared" si="97"/>
      </c>
      <c r="U46" s="403">
        <f t="shared" si="224"/>
      </c>
      <c r="V46" s="400">
        <f t="shared" si="45"/>
      </c>
      <c r="W46" s="404">
        <f t="shared" si="136"/>
      </c>
      <c r="X46" s="405">
        <v>1</v>
      </c>
      <c r="Y46" s="405">
        <v>1</v>
      </c>
      <c r="Z46" s="406">
        <v>518.3999999999999</v>
      </c>
      <c r="AA46" s="406">
        <v>0</v>
      </c>
      <c r="AB46" s="401">
        <f t="shared" si="110"/>
      </c>
      <c r="AC46" s="407" t="s">
        <v>344</v>
      </c>
      <c r="AD46" s="408" t="s">
        <v>352</v>
      </c>
      <c r="AE46" s="434">
        <v>1</v>
      </c>
      <c r="AF46" s="410">
        <v>3726</v>
      </c>
      <c r="AG46" s="410">
        <v>239</v>
      </c>
      <c r="AH46" s="410">
        <v>309</v>
      </c>
      <c r="AI46" s="409">
        <v>20</v>
      </c>
      <c r="AJ46" s="409">
        <v>15</v>
      </c>
    </row>
    <row r="47">
      <c r="A47" s="390"/>
      <c r="B47" s="413" t="s">
        <v>349</v>
      </c>
      <c r="C47" s="414">
        <v>4</v>
      </c>
      <c r="D47" s="415">
        <f>SUM(D43:D46)</f>
      </c>
      <c r="E47" s="415">
        <f>SUM(E43:E46)</f>
      </c>
      <c r="F47" s="415">
        <f>SUM(F43:F46)</f>
      </c>
      <c r="G47" s="415">
        <f>SUM(G43:G46)</f>
      </c>
      <c r="H47" s="415">
        <f>SUM(H43:H46)</f>
      </c>
      <c r="I47" s="415">
        <f>SUM(I43:I46)</f>
      </c>
      <c r="J47" s="415">
        <f>SUM(J43:J46)</f>
      </c>
      <c r="K47" s="416">
        <f t="shared" si="149"/>
      </c>
      <c r="L47" s="417">
        <f t="shared" si="198"/>
      </c>
      <c r="M47" s="417">
        <f t="shared" si="19"/>
      </c>
      <c r="N47" s="418">
        <f t="shared" si="71"/>
      </c>
      <c r="O47" s="418">
        <f t="shared" si="162"/>
      </c>
      <c r="P47" s="418">
        <f t="shared" si="211"/>
      </c>
      <c r="Q47" s="419">
        <f t="shared" si="32"/>
      </c>
      <c r="R47" s="419">
        <f t="shared" si="84"/>
      </c>
      <c r="S47" s="418">
        <f t="shared" si="175"/>
      </c>
      <c r="T47" s="419">
        <f t="shared" si="97"/>
      </c>
      <c r="U47" s="419">
        <f t="shared" si="224"/>
      </c>
      <c r="V47" s="418">
        <f t="shared" si="45"/>
      </c>
      <c r="W47" s="420">
        <f>SUM(W43:W46)</f>
      </c>
      <c r="X47" s="420">
        <f>SUM(X43:X46)</f>
      </c>
      <c r="Y47" s="420">
        <f>SUM(Y43:Y46)</f>
      </c>
      <c r="Z47" s="436">
        <f>SUM(Z43:Z46)</f>
      </c>
      <c r="AA47" s="420">
        <f>SUM(AA43:AA46)</f>
      </c>
      <c r="AB47" s="422">
        <f t="shared" si="110"/>
      </c>
      <c r="AC47" s="423"/>
      <c r="AD47" s="424"/>
      <c r="AE47" s="425">
        <f>SUM(AE43:AE46)</f>
      </c>
      <c r="AF47" s="425">
        <f>SUM(AF43:AF46)</f>
      </c>
      <c r="AG47" s="425">
        <f>SUM(AG43:AG46)</f>
      </c>
      <c r="AH47" s="425">
        <f>SUM(AH43:AH46)</f>
      </c>
      <c r="AI47" s="425">
        <f>SUM(AI43:AI46)</f>
      </c>
      <c r="AJ47" s="425">
        <f>SUM(AJ43:AJ46)</f>
      </c>
    </row>
    <row r="48">
      <c r="A48" s="390"/>
      <c r="B48" s="426" t="s">
        <v>349</v>
      </c>
      <c r="C48" s="426">
        <f>C47</f>
      </c>
      <c r="D48" s="426">
        <f>D47</f>
      </c>
      <c r="E48" s="426">
        <f>E47</f>
      </c>
      <c r="F48" s="426">
        <f>F47</f>
      </c>
      <c r="G48" s="427">
        <f>G47</f>
      </c>
      <c r="H48" s="427">
        <f>H47</f>
      </c>
      <c r="I48" s="427">
        <f>I47</f>
      </c>
      <c r="J48" s="427">
        <f>J47</f>
      </c>
      <c r="K48" s="428">
        <f t="shared" si="149"/>
      </c>
      <c r="L48" s="428">
        <f t="shared" si="198"/>
      </c>
      <c r="M48" s="428">
        <f t="shared" si="19"/>
      </c>
      <c r="N48" s="428">
        <f t="shared" si="71"/>
      </c>
      <c r="O48" s="428">
        <f t="shared" si="162"/>
      </c>
      <c r="P48" s="428">
        <f t="shared" si="211"/>
      </c>
      <c r="Q48" s="429">
        <f t="shared" si="32"/>
      </c>
      <c r="R48" s="429">
        <f t="shared" si="84"/>
      </c>
      <c r="S48" s="428">
        <f t="shared" si="175"/>
      </c>
      <c r="T48" s="429">
        <f t="shared" si="97"/>
      </c>
      <c r="U48" s="429">
        <f t="shared" si="224"/>
      </c>
      <c r="V48" s="428">
        <f t="shared" si="45"/>
      </c>
      <c r="W48" s="430">
        <f>W47</f>
      </c>
      <c r="X48" s="430">
        <f>X47</f>
      </c>
      <c r="Y48" s="430">
        <f>Y47</f>
      </c>
      <c r="Z48" s="435">
        <f>Z47</f>
      </c>
      <c r="AA48" s="430">
        <f>AA47</f>
      </c>
      <c r="AB48" s="431">
        <f t="shared" si="110"/>
      </c>
      <c r="AC48" s="426"/>
      <c r="AD48" s="426"/>
      <c r="AE48" s="426">
        <f>AE47</f>
      </c>
      <c r="AF48" s="426">
        <f>AF47</f>
      </c>
      <c r="AG48" s="426">
        <f>AG47</f>
      </c>
      <c r="AH48" s="426">
        <f>AH47</f>
      </c>
      <c r="AI48" s="426">
        <f>AI47</f>
      </c>
      <c r="AJ48" s="426">
        <f>AJ47</f>
      </c>
    </row>
    <row r="49">
      <c r="A49" s="377" t="s">
        <v>306</v>
      </c>
      <c r="B49" s="378" t="s">
        <v>307</v>
      </c>
      <c r="C49" s="378" t="s">
        <v>308</v>
      </c>
      <c r="D49" s="379" t="s">
        <v>309</v>
      </c>
      <c r="E49" s="378" t="s">
        <v>310</v>
      </c>
      <c r="F49" s="378" t="s">
        <v>311</v>
      </c>
      <c r="G49" s="379" t="s">
        <v>312</v>
      </c>
      <c r="H49" s="380" t="s">
        <v>313</v>
      </c>
      <c r="I49" s="381" t="s">
        <v>314</v>
      </c>
      <c r="J49" s="381" t="s">
        <v>315</v>
      </c>
      <c r="K49" s="382" t="s">
        <v>316</v>
      </c>
      <c r="L49" s="381" t="s">
        <v>317</v>
      </c>
      <c r="M49" s="378" t="s">
        <v>318</v>
      </c>
      <c r="N49" s="382" t="s">
        <v>319</v>
      </c>
      <c r="O49" s="383" t="s">
        <v>320</v>
      </c>
      <c r="P49" s="383" t="s">
        <v>321</v>
      </c>
      <c r="Q49" s="379" t="s">
        <v>322</v>
      </c>
      <c r="R49" s="384" t="s">
        <v>323</v>
      </c>
      <c r="S49" s="382" t="s">
        <v>324</v>
      </c>
      <c r="T49" s="385" t="s">
        <v>325</v>
      </c>
      <c r="U49" s="386" t="s">
        <v>326</v>
      </c>
      <c r="V49" s="382" t="s">
        <v>327</v>
      </c>
      <c r="W49" s="387" t="s">
        <v>328</v>
      </c>
      <c r="X49" s="388" t="s">
        <v>329</v>
      </c>
      <c r="Y49" s="387" t="s">
        <v>330</v>
      </c>
      <c r="Z49" s="389" t="s">
        <v>331</v>
      </c>
      <c r="AA49" s="389" t="s">
        <v>332</v>
      </c>
      <c r="AB49" s="381" t="s">
        <v>333</v>
      </c>
      <c r="AC49" s="380" t="s">
        <v>334</v>
      </c>
      <c r="AD49" s="381" t="s">
        <v>335</v>
      </c>
      <c r="AE49" s="380" t="s">
        <v>336</v>
      </c>
      <c r="AF49" s="380" t="s">
        <v>337</v>
      </c>
      <c r="AG49" s="381" t="s">
        <v>338</v>
      </c>
      <c r="AH49" s="380" t="s">
        <v>339</v>
      </c>
      <c r="AI49" s="381" t="s">
        <v>340</v>
      </c>
      <c r="AJ49" s="380" t="s">
        <v>341</v>
      </c>
    </row>
    <row r="50">
      <c r="A50" s="390">
        <v>46198</v>
      </c>
      <c r="B50" s="391" t="s">
        <v>342</v>
      </c>
      <c r="C50" s="392" t="s">
        <v>343</v>
      </c>
      <c r="D50" s="393">
        <f t="shared" ref="D50:D53" si="124">E50+F50</f>
      </c>
      <c r="E50" s="432">
        <v>532.84</v>
      </c>
      <c r="F50" s="433">
        <v>471.13</v>
      </c>
      <c r="G50" s="396">
        <v>0</v>
      </c>
      <c r="H50" s="396">
        <v>0</v>
      </c>
      <c r="I50" s="395">
        <f t="shared" ref="I50:I53" si="7">G50-H50</f>
      </c>
      <c r="J50" s="395">
        <f t="shared" ref="J50:J53" si="59">(G50-AA50)/12+AA50</f>
      </c>
      <c r="K50" s="397">
        <f t="shared" ref="K50:K55" si="150">G50/D50</f>
      </c>
      <c r="L50" s="398">
        <f t="shared" ref="L50:L55" si="199">(G50-H50)/D50</f>
      </c>
      <c r="M50" s="399">
        <f t="shared" ref="M50:M55" si="20">(AA50+Z50/12)/D50</f>
      </c>
      <c r="N50" s="400">
        <f t="shared" ref="N50:N55" si="72">G50/Y50</f>
      </c>
      <c r="O50" s="400">
        <f t="shared" ref="O50:O55" si="163">D50/Y50</f>
      </c>
      <c r="P50" s="400">
        <f t="shared" ref="P50:P55" si="212">D50/AE50</f>
      </c>
      <c r="Q50" s="401">
        <f t="shared" ref="Q50:Q55" si="33">Y50/W50</f>
      </c>
      <c r="R50" s="402">
        <f t="shared" ref="R50:R55" si="85">AG50/AF50</f>
      </c>
      <c r="S50" s="400">
        <f t="shared" ref="S50:S55" si="176">D50/AH50</f>
      </c>
      <c r="T50" s="403">
        <f t="shared" ref="T50:T55" si="98">AI50/AH50</f>
      </c>
      <c r="U50" s="403">
        <f t="shared" ref="U50:U55" si="225">AJ50/AH50</f>
      </c>
      <c r="V50" s="400">
        <f t="shared" ref="V50:V55" si="46">D50/AJ50</f>
      </c>
      <c r="W50" s="404">
        <f t="shared" ref="W50:W53" si="137">X50+Y50</f>
      </c>
      <c r="X50" s="405">
        <v>0</v>
      </c>
      <c r="Y50" s="405">
        <v>0</v>
      </c>
      <c r="Z50" s="406">
        <v>0</v>
      </c>
      <c r="AA50" s="406">
        <v>0</v>
      </c>
      <c r="AB50" s="401">
        <f t="shared" ref="AB50:AB55" si="111">AA50/G50</f>
      </c>
      <c r="AC50" s="407" t="s">
        <v>344</v>
      </c>
      <c r="AD50" s="408" t="s">
        <v>353</v>
      </c>
      <c r="AE50" s="434">
        <v>0</v>
      </c>
      <c r="AF50" s="410">
        <v>4236</v>
      </c>
      <c r="AG50" s="410">
        <v>200</v>
      </c>
      <c r="AH50" s="410">
        <v>259</v>
      </c>
      <c r="AI50" s="409">
        <v>26</v>
      </c>
      <c r="AJ50" s="409">
        <v>20</v>
      </c>
    </row>
    <row r="51">
      <c r="A51" s="390"/>
      <c r="B51" s="391" t="s">
        <v>342</v>
      </c>
      <c r="C51" s="392" t="s">
        <v>346</v>
      </c>
      <c r="D51" s="393">
        <f t="shared" si="124"/>
      </c>
      <c r="E51" s="432">
        <v>768.97</v>
      </c>
      <c r="F51" s="433">
        <v>313.55</v>
      </c>
      <c r="G51" s="396">
        <v>608.04</v>
      </c>
      <c r="H51" s="396">
        <v>0</v>
      </c>
      <c r="I51" s="395">
        <f t="shared" si="7"/>
      </c>
      <c r="J51" s="395">
        <f t="shared" si="59"/>
      </c>
      <c r="K51" s="397">
        <f t="shared" si="150"/>
      </c>
      <c r="L51" s="398">
        <f t="shared" si="199"/>
      </c>
      <c r="M51" s="399">
        <f t="shared" si="20"/>
      </c>
      <c r="N51" s="400">
        <f t="shared" si="72"/>
      </c>
      <c r="O51" s="400">
        <f t="shared" si="163"/>
      </c>
      <c r="P51" s="400">
        <f t="shared" si="212"/>
      </c>
      <c r="Q51" s="401">
        <f t="shared" si="33"/>
      </c>
      <c r="R51" s="402">
        <f t="shared" si="85"/>
      </c>
      <c r="S51" s="400">
        <f t="shared" si="176"/>
      </c>
      <c r="T51" s="403">
        <f t="shared" si="98"/>
      </c>
      <c r="U51" s="403">
        <f t="shared" si="225"/>
      </c>
      <c r="V51" s="400">
        <f t="shared" si="46"/>
      </c>
      <c r="W51" s="404">
        <f t="shared" si="137"/>
      </c>
      <c r="X51" s="405">
        <v>2</v>
      </c>
      <c r="Y51" s="405">
        <v>1</v>
      </c>
      <c r="Z51" s="406">
        <v>608.04</v>
      </c>
      <c r="AA51" s="406">
        <v>0</v>
      </c>
      <c r="AB51" s="401">
        <f t="shared" si="111"/>
      </c>
      <c r="AC51" s="407" t="s">
        <v>344</v>
      </c>
      <c r="AD51" s="408" t="s">
        <v>353</v>
      </c>
      <c r="AE51" s="409">
        <v>1</v>
      </c>
      <c r="AF51" s="410">
        <v>5875</v>
      </c>
      <c r="AG51" s="410">
        <v>354</v>
      </c>
      <c r="AH51" s="410">
        <v>452</v>
      </c>
      <c r="AI51" s="409">
        <v>32</v>
      </c>
      <c r="AJ51" s="409">
        <v>22</v>
      </c>
    </row>
    <row r="52">
      <c r="A52" s="390"/>
      <c r="B52" s="391" t="s">
        <v>342</v>
      </c>
      <c r="C52" s="432" t="s">
        <v>351</v>
      </c>
      <c r="D52" s="393">
        <f t="shared" si="124"/>
      </c>
      <c r="E52" s="432">
        <v>739.72</v>
      </c>
      <c r="F52" s="433">
        <v>416.19</v>
      </c>
      <c r="G52" s="396">
        <v>1245.24</v>
      </c>
      <c r="H52" s="396">
        <v>0</v>
      </c>
      <c r="I52" s="395">
        <f t="shared" si="7"/>
      </c>
      <c r="J52" s="395">
        <f t="shared" si="59"/>
      </c>
      <c r="K52" s="397">
        <f t="shared" si="150"/>
      </c>
      <c r="L52" s="398">
        <f t="shared" si="199"/>
      </c>
      <c r="M52" s="399">
        <f t="shared" si="20"/>
      </c>
      <c r="N52" s="400">
        <f t="shared" si="72"/>
      </c>
      <c r="O52" s="400">
        <f t="shared" si="163"/>
      </c>
      <c r="P52" s="400">
        <f t="shared" si="212"/>
      </c>
      <c r="Q52" s="401">
        <f t="shared" si="33"/>
      </c>
      <c r="R52" s="402">
        <f t="shared" si="85"/>
      </c>
      <c r="S52" s="400">
        <f t="shared" si="176"/>
      </c>
      <c r="T52" s="403">
        <f t="shared" si="98"/>
      </c>
      <c r="U52" s="403">
        <f t="shared" si="225"/>
      </c>
      <c r="V52" s="400">
        <f t="shared" si="46"/>
      </c>
      <c r="W52" s="404">
        <f t="shared" si="137"/>
      </c>
      <c r="X52" s="405">
        <v>1</v>
      </c>
      <c r="Y52" s="405">
        <v>1</v>
      </c>
      <c r="Z52" s="406">
        <v>1245.24</v>
      </c>
      <c r="AA52" s="406">
        <v>0</v>
      </c>
      <c r="AB52" s="401">
        <f t="shared" si="111"/>
      </c>
      <c r="AC52" s="407" t="s">
        <v>344</v>
      </c>
      <c r="AD52" s="408" t="s">
        <v>353</v>
      </c>
      <c r="AE52" s="434">
        <v>1</v>
      </c>
      <c r="AF52" s="410">
        <v>8935</v>
      </c>
      <c r="AG52" s="410">
        <v>521</v>
      </c>
      <c r="AH52" s="410">
        <v>610</v>
      </c>
      <c r="AI52" s="409">
        <v>35</v>
      </c>
      <c r="AJ52" s="409">
        <v>30</v>
      </c>
    </row>
    <row r="53">
      <c r="A53" s="390"/>
      <c r="B53" s="391" t="s">
        <v>342</v>
      </c>
      <c r="C53" s="392" t="s">
        <v>348</v>
      </c>
      <c r="D53" s="393">
        <f t="shared" si="124"/>
      </c>
      <c r="E53" s="432">
        <v>241.32</v>
      </c>
      <c r="F53" s="433">
        <v>311.64</v>
      </c>
      <c r="G53" s="396">
        <v>1062.84</v>
      </c>
      <c r="H53" s="396">
        <v>0</v>
      </c>
      <c r="I53" s="395">
        <f t="shared" si="7"/>
      </c>
      <c r="J53" s="395">
        <f t="shared" si="59"/>
      </c>
      <c r="K53" s="397">
        <f t="shared" si="150"/>
      </c>
      <c r="L53" s="398">
        <f t="shared" si="199"/>
      </c>
      <c r="M53" s="399">
        <f t="shared" si="20"/>
      </c>
      <c r="N53" s="400">
        <f t="shared" si="72"/>
      </c>
      <c r="O53" s="400">
        <f t="shared" si="163"/>
      </c>
      <c r="P53" s="400">
        <f t="shared" si="212"/>
      </c>
      <c r="Q53" s="401">
        <f t="shared" si="33"/>
      </c>
      <c r="R53" s="402">
        <f t="shared" si="85"/>
      </c>
      <c r="S53" s="400">
        <f t="shared" si="176"/>
      </c>
      <c r="T53" s="403">
        <f t="shared" si="98"/>
      </c>
      <c r="U53" s="403">
        <f t="shared" si="225"/>
      </c>
      <c r="V53" s="400">
        <f t="shared" si="46"/>
      </c>
      <c r="W53" s="404">
        <f t="shared" si="137"/>
      </c>
      <c r="X53" s="405">
        <v>1</v>
      </c>
      <c r="Y53" s="405">
        <v>1</v>
      </c>
      <c r="Z53" s="406">
        <v>1062.84</v>
      </c>
      <c r="AA53" s="406">
        <v>0</v>
      </c>
      <c r="AB53" s="401">
        <f t="shared" si="111"/>
      </c>
      <c r="AC53" s="407" t="s">
        <v>344</v>
      </c>
      <c r="AD53" s="408" t="s">
        <v>353</v>
      </c>
      <c r="AE53" s="434">
        <v>1</v>
      </c>
      <c r="AF53" s="410">
        <v>5823</v>
      </c>
      <c r="AG53" s="410">
        <v>322</v>
      </c>
      <c r="AH53" s="410">
        <v>394</v>
      </c>
      <c r="AI53" s="409">
        <v>20</v>
      </c>
      <c r="AJ53" s="409">
        <v>20</v>
      </c>
    </row>
    <row r="54">
      <c r="A54" s="390"/>
      <c r="B54" s="413" t="s">
        <v>349</v>
      </c>
      <c r="C54" s="414">
        <v>4</v>
      </c>
      <c r="D54" s="415">
        <f>SUM(D50:D53)</f>
      </c>
      <c r="E54" s="415">
        <f>SUM(E50:E53)</f>
      </c>
      <c r="F54" s="415">
        <f>SUM(F50:F53)</f>
      </c>
      <c r="G54" s="415">
        <f>SUM(G50:G53)</f>
      </c>
      <c r="H54" s="415">
        <f>SUM(H50:H53)</f>
      </c>
      <c r="I54" s="415">
        <f>SUM(I50:I53)</f>
      </c>
      <c r="J54" s="415">
        <f>SUM(J50:J53)</f>
      </c>
      <c r="K54" s="416">
        <f t="shared" si="150"/>
      </c>
      <c r="L54" s="417">
        <f t="shared" si="199"/>
      </c>
      <c r="M54" s="417">
        <f t="shared" si="20"/>
      </c>
      <c r="N54" s="418">
        <f t="shared" si="72"/>
      </c>
      <c r="O54" s="418">
        <f t="shared" si="163"/>
      </c>
      <c r="P54" s="418">
        <f t="shared" si="212"/>
      </c>
      <c r="Q54" s="419">
        <f t="shared" si="33"/>
      </c>
      <c r="R54" s="419">
        <f t="shared" si="85"/>
      </c>
      <c r="S54" s="418">
        <f t="shared" si="176"/>
      </c>
      <c r="T54" s="419">
        <f t="shared" si="98"/>
      </c>
      <c r="U54" s="419">
        <f t="shared" si="225"/>
      </c>
      <c r="V54" s="418">
        <f t="shared" si="46"/>
      </c>
      <c r="W54" s="420">
        <f>SUM(W50:W53)</f>
      </c>
      <c r="X54" s="420">
        <f>SUM(X50:X53)</f>
      </c>
      <c r="Y54" s="420">
        <f>SUM(Y50:Y53)</f>
      </c>
      <c r="Z54" s="436">
        <f>SUM(Z50:Z53)</f>
      </c>
      <c r="AA54" s="420">
        <f>SUM(AA50:AA53)</f>
      </c>
      <c r="AB54" s="422">
        <f t="shared" si="111"/>
      </c>
      <c r="AC54" s="423"/>
      <c r="AD54" s="424"/>
      <c r="AE54" s="425">
        <f>SUM(AE50:AE53)</f>
      </c>
      <c r="AF54" s="425">
        <f>SUM(AF50:AF53)</f>
      </c>
      <c r="AG54" s="425">
        <f>SUM(AG50:AG53)</f>
      </c>
      <c r="AH54" s="425">
        <f>SUM(AH50:AH53)</f>
      </c>
      <c r="AI54" s="425">
        <f>SUM(AI50:AI53)</f>
      </c>
      <c r="AJ54" s="425">
        <f>SUM(AJ50:AJ53)</f>
      </c>
    </row>
    <row r="55">
      <c r="A55" s="390"/>
      <c r="B55" s="426" t="s">
        <v>349</v>
      </c>
      <c r="C55" s="426">
        <f>C54</f>
      </c>
      <c r="D55" s="426">
        <f>D54</f>
      </c>
      <c r="E55" s="426">
        <f>E54</f>
      </c>
      <c r="F55" s="426">
        <f>F54</f>
      </c>
      <c r="G55" s="427">
        <f>G54</f>
      </c>
      <c r="H55" s="427">
        <f>H54</f>
      </c>
      <c r="I55" s="427">
        <f>I54</f>
      </c>
      <c r="J55" s="427">
        <f>J54</f>
      </c>
      <c r="K55" s="428">
        <f t="shared" si="150"/>
      </c>
      <c r="L55" s="428">
        <f t="shared" si="199"/>
      </c>
      <c r="M55" s="428">
        <f t="shared" si="20"/>
      </c>
      <c r="N55" s="428">
        <f t="shared" si="72"/>
      </c>
      <c r="O55" s="428">
        <f t="shared" si="163"/>
      </c>
      <c r="P55" s="428">
        <f t="shared" si="212"/>
      </c>
      <c r="Q55" s="429">
        <f t="shared" si="33"/>
      </c>
      <c r="R55" s="429">
        <f t="shared" si="85"/>
      </c>
      <c r="S55" s="428">
        <f t="shared" si="176"/>
      </c>
      <c r="T55" s="429">
        <f t="shared" si="98"/>
      </c>
      <c r="U55" s="429">
        <f t="shared" si="225"/>
      </c>
      <c r="V55" s="428">
        <f t="shared" si="46"/>
      </c>
      <c r="W55" s="430">
        <f>W54</f>
      </c>
      <c r="X55" s="430">
        <f>X54</f>
      </c>
      <c r="Y55" s="430">
        <f>Y54</f>
      </c>
      <c r="Z55" s="435">
        <f>Z54</f>
      </c>
      <c r="AA55" s="430">
        <f>AA54</f>
      </c>
      <c r="AB55" s="431">
        <f t="shared" si="111"/>
      </c>
      <c r="AC55" s="426"/>
      <c r="AD55" s="426"/>
      <c r="AE55" s="426">
        <f>AE54</f>
      </c>
      <c r="AF55" s="426">
        <f>AF54</f>
      </c>
      <c r="AG55" s="426">
        <f>AG54</f>
      </c>
      <c r="AH55" s="426">
        <f>AH54</f>
      </c>
      <c r="AI55" s="426">
        <f>AI54</f>
      </c>
      <c r="AJ55" s="426">
        <f>AJ54</f>
      </c>
    </row>
    <row r="56">
      <c r="A56" s="377" t="s">
        <v>306</v>
      </c>
      <c r="B56" s="378" t="s">
        <v>307</v>
      </c>
      <c r="C56" s="378" t="s">
        <v>308</v>
      </c>
      <c r="D56" s="379" t="s">
        <v>309</v>
      </c>
      <c r="E56" s="378" t="s">
        <v>310</v>
      </c>
      <c r="F56" s="378" t="s">
        <v>311</v>
      </c>
      <c r="G56" s="379" t="s">
        <v>312</v>
      </c>
      <c r="H56" s="380" t="s">
        <v>313</v>
      </c>
      <c r="I56" s="381" t="s">
        <v>314</v>
      </c>
      <c r="J56" s="381" t="s">
        <v>315</v>
      </c>
      <c r="K56" s="382" t="s">
        <v>316</v>
      </c>
      <c r="L56" s="381" t="s">
        <v>317</v>
      </c>
      <c r="M56" s="378" t="s">
        <v>318</v>
      </c>
      <c r="N56" s="382" t="s">
        <v>319</v>
      </c>
      <c r="O56" s="383" t="s">
        <v>320</v>
      </c>
      <c r="P56" s="383" t="s">
        <v>321</v>
      </c>
      <c r="Q56" s="379" t="s">
        <v>322</v>
      </c>
      <c r="R56" s="384" t="s">
        <v>323</v>
      </c>
      <c r="S56" s="382" t="s">
        <v>324</v>
      </c>
      <c r="T56" s="385" t="s">
        <v>325</v>
      </c>
      <c r="U56" s="386" t="s">
        <v>326</v>
      </c>
      <c r="V56" s="382" t="s">
        <v>327</v>
      </c>
      <c r="W56" s="387" t="s">
        <v>328</v>
      </c>
      <c r="X56" s="388" t="s">
        <v>329</v>
      </c>
      <c r="Y56" s="387" t="s">
        <v>330</v>
      </c>
      <c r="Z56" s="389" t="s">
        <v>331</v>
      </c>
      <c r="AA56" s="389" t="s">
        <v>332</v>
      </c>
      <c r="AB56" s="381" t="s">
        <v>333</v>
      </c>
      <c r="AC56" s="380" t="s">
        <v>334</v>
      </c>
      <c r="AD56" s="381" t="s">
        <v>335</v>
      </c>
      <c r="AE56" s="380" t="s">
        <v>336</v>
      </c>
      <c r="AF56" s="380" t="s">
        <v>337</v>
      </c>
      <c r="AG56" s="381" t="s">
        <v>338</v>
      </c>
      <c r="AH56" s="380" t="s">
        <v>339</v>
      </c>
      <c r="AI56" s="381" t="s">
        <v>340</v>
      </c>
      <c r="AJ56" s="380" t="s">
        <v>341</v>
      </c>
    </row>
    <row r="57">
      <c r="A57" s="390">
        <v>46199</v>
      </c>
      <c r="B57" s="391" t="s">
        <v>342</v>
      </c>
      <c r="C57" s="392" t="s">
        <v>343</v>
      </c>
      <c r="D57" s="393">
        <f t="shared" ref="D57:D60" si="125">E57+F57</f>
      </c>
      <c r="E57" s="432">
        <v>719.99</v>
      </c>
      <c r="F57" s="433">
        <v>209.22</v>
      </c>
      <c r="G57" s="396">
        <f t="shared" ref="G57:G60" si="189">Z57+AA57</f>
      </c>
      <c r="H57" s="396">
        <v>0</v>
      </c>
      <c r="I57" s="395">
        <f t="shared" ref="I57:I60" si="8">G57-H57</f>
      </c>
      <c r="J57" s="395">
        <f t="shared" ref="J57:J60" si="60">(G57-AA57)/12+AA57</f>
      </c>
      <c r="K57" s="397">
        <f t="shared" ref="K57:K62" si="151">G57/D57</f>
      </c>
      <c r="L57" s="398">
        <f t="shared" ref="L57:L62" si="200">(G57-H57)/D57</f>
      </c>
      <c r="M57" s="399">
        <f t="shared" ref="M57:M62" si="21">(AA57+Z57/12)/D57</f>
      </c>
      <c r="N57" s="400">
        <f t="shared" ref="N57:N62" si="73">G57/Y57</f>
      </c>
      <c r="O57" s="400">
        <f t="shared" ref="O57:O62" si="164">D57/Y57</f>
      </c>
      <c r="P57" s="400">
        <f t="shared" ref="P57:P62" si="213">D57/AE57</f>
      </c>
      <c r="Q57" s="401">
        <f t="shared" ref="Q57:Q62" si="34">Y57/W57</f>
      </c>
      <c r="R57" s="402">
        <f t="shared" ref="R57:R62" si="86">AG57/AF57</f>
      </c>
      <c r="S57" s="400">
        <f t="shared" ref="S57:S62" si="177">D57/AH57</f>
      </c>
      <c r="T57" s="403">
        <f t="shared" ref="T57:T62" si="99">AI57/AH57</f>
      </c>
      <c r="U57" s="403">
        <f t="shared" ref="U57:U62" si="226">AJ57/AH57</f>
      </c>
      <c r="V57" s="400">
        <f t="shared" ref="V57:V62" si="47">D57/AJ57</f>
      </c>
      <c r="W57" s="404">
        <f t="shared" ref="W57:W60" si="138">X57+Y57</f>
      </c>
      <c r="X57" s="405">
        <v>0</v>
      </c>
      <c r="Y57" s="405">
        <v>0</v>
      </c>
      <c r="Z57" s="406">
        <v>0</v>
      </c>
      <c r="AA57" s="406">
        <v>0</v>
      </c>
      <c r="AB57" s="401">
        <f t="shared" ref="AB57:AB62" si="112">AA57/G57</f>
      </c>
      <c r="AC57" s="407" t="s">
        <v>344</v>
      </c>
      <c r="AD57" s="408" t="s">
        <v>345</v>
      </c>
      <c r="AE57" s="434">
        <v>0</v>
      </c>
      <c r="AF57" s="410">
        <v>3609</v>
      </c>
      <c r="AG57" s="410">
        <v>170</v>
      </c>
      <c r="AH57" s="410">
        <v>234</v>
      </c>
      <c r="AI57" s="409">
        <v>17</v>
      </c>
      <c r="AJ57" s="409">
        <v>12</v>
      </c>
    </row>
    <row r="58">
      <c r="A58" s="390"/>
      <c r="B58" s="391" t="s">
        <v>342</v>
      </c>
      <c r="C58" s="392" t="s">
        <v>346</v>
      </c>
      <c r="D58" s="393">
        <f t="shared" si="125"/>
      </c>
      <c r="E58" s="432">
        <v>714.79</v>
      </c>
      <c r="F58" s="433">
        <v>254.99</v>
      </c>
      <c r="G58" s="396">
        <f t="shared" si="189"/>
      </c>
      <c r="H58" s="396">
        <v>0</v>
      </c>
      <c r="I58" s="395">
        <f t="shared" si="8"/>
      </c>
      <c r="J58" s="395">
        <f t="shared" si="60"/>
      </c>
      <c r="K58" s="397">
        <f t="shared" si="151"/>
      </c>
      <c r="L58" s="398">
        <f t="shared" si="200"/>
      </c>
      <c r="M58" s="399">
        <f t="shared" si="21"/>
      </c>
      <c r="N58" s="400">
        <f t="shared" si="73"/>
      </c>
      <c r="O58" s="400">
        <f t="shared" si="164"/>
      </c>
      <c r="P58" s="400">
        <f t="shared" si="213"/>
      </c>
      <c r="Q58" s="401">
        <f t="shared" si="34"/>
      </c>
      <c r="R58" s="402">
        <f t="shared" si="86"/>
      </c>
      <c r="S58" s="400">
        <f t="shared" si="177"/>
      </c>
      <c r="T58" s="403">
        <f t="shared" si="99"/>
      </c>
      <c r="U58" s="403">
        <f t="shared" si="226"/>
      </c>
      <c r="V58" s="400">
        <f t="shared" si="47"/>
      </c>
      <c r="W58" s="404">
        <f t="shared" si="138"/>
      </c>
      <c r="X58" s="405">
        <v>1</v>
      </c>
      <c r="Y58" s="405">
        <v>0</v>
      </c>
      <c r="Z58" s="406">
        <v>0</v>
      </c>
      <c r="AA58" s="406">
        <v>0</v>
      </c>
      <c r="AB58" s="401">
        <f t="shared" si="112"/>
      </c>
      <c r="AC58" s="407" t="s">
        <v>344</v>
      </c>
      <c r="AD58" s="408" t="s">
        <v>345</v>
      </c>
      <c r="AE58" s="409">
        <v>0</v>
      </c>
      <c r="AF58" s="410">
        <v>4566</v>
      </c>
      <c r="AG58" s="410">
        <v>263</v>
      </c>
      <c r="AH58" s="410">
        <v>314</v>
      </c>
      <c r="AI58" s="409">
        <v>23</v>
      </c>
      <c r="AJ58" s="409">
        <v>17</v>
      </c>
    </row>
    <row r="59">
      <c r="A59" s="390"/>
      <c r="B59" s="391" t="s">
        <v>342</v>
      </c>
      <c r="C59" s="432" t="s">
        <v>351</v>
      </c>
      <c r="D59" s="393">
        <f t="shared" si="125"/>
      </c>
      <c r="E59" s="432">
        <v>463.21</v>
      </c>
      <c r="F59" s="433">
        <v>477.73</v>
      </c>
      <c r="G59" s="396">
        <f t="shared" si="189"/>
      </c>
      <c r="H59" s="396">
        <v>0</v>
      </c>
      <c r="I59" s="395">
        <f t="shared" si="8"/>
      </c>
      <c r="J59" s="395">
        <f t="shared" si="60"/>
      </c>
      <c r="K59" s="397">
        <f t="shared" si="151"/>
      </c>
      <c r="L59" s="398">
        <f t="shared" si="200"/>
      </c>
      <c r="M59" s="399">
        <f t="shared" si="21"/>
      </c>
      <c r="N59" s="400">
        <f t="shared" si="73"/>
      </c>
      <c r="O59" s="400">
        <f t="shared" si="164"/>
      </c>
      <c r="P59" s="400">
        <f t="shared" si="213"/>
      </c>
      <c r="Q59" s="401">
        <f t="shared" si="34"/>
      </c>
      <c r="R59" s="402">
        <f t="shared" si="86"/>
      </c>
      <c r="S59" s="400">
        <f t="shared" si="177"/>
      </c>
      <c r="T59" s="403">
        <f t="shared" si="99"/>
      </c>
      <c r="U59" s="403">
        <f t="shared" si="226"/>
      </c>
      <c r="V59" s="400">
        <f t="shared" si="47"/>
      </c>
      <c r="W59" s="404">
        <f t="shared" si="138"/>
      </c>
      <c r="X59" s="405">
        <v>0</v>
      </c>
      <c r="Y59" s="405">
        <v>0</v>
      </c>
      <c r="Z59" s="406">
        <v>0</v>
      </c>
      <c r="AA59" s="406">
        <v>0</v>
      </c>
      <c r="AB59" s="401">
        <f t="shared" si="112"/>
      </c>
      <c r="AC59" s="407" t="s">
        <v>344</v>
      </c>
      <c r="AD59" s="408" t="s">
        <v>345</v>
      </c>
      <c r="AE59" s="434">
        <v>0</v>
      </c>
      <c r="AF59" s="410">
        <v>7513</v>
      </c>
      <c r="AG59" s="410">
        <v>476</v>
      </c>
      <c r="AH59" s="410">
        <v>555</v>
      </c>
      <c r="AI59" s="409">
        <v>34</v>
      </c>
      <c r="AJ59" s="409">
        <v>25</v>
      </c>
    </row>
    <row r="60">
      <c r="A60" s="390"/>
      <c r="B60" s="391" t="s">
        <v>342</v>
      </c>
      <c r="C60" s="392" t="s">
        <v>348</v>
      </c>
      <c r="D60" s="393">
        <f t="shared" si="125"/>
      </c>
      <c r="E60" s="432">
        <v>258.42</v>
      </c>
      <c r="F60" s="433">
        <v>264.63</v>
      </c>
      <c r="G60" s="396">
        <f t="shared" si="189"/>
      </c>
      <c r="H60" s="396">
        <v>0</v>
      </c>
      <c r="I60" s="395">
        <f t="shared" si="8"/>
      </c>
      <c r="J60" s="395">
        <f t="shared" si="60"/>
      </c>
      <c r="K60" s="397">
        <f t="shared" si="151"/>
      </c>
      <c r="L60" s="398">
        <f t="shared" si="200"/>
      </c>
      <c r="M60" s="399">
        <f t="shared" si="21"/>
      </c>
      <c r="N60" s="400">
        <f t="shared" si="73"/>
      </c>
      <c r="O60" s="400">
        <f t="shared" si="164"/>
      </c>
      <c r="P60" s="400">
        <f t="shared" si="213"/>
      </c>
      <c r="Q60" s="401">
        <f t="shared" si="34"/>
      </c>
      <c r="R60" s="402">
        <f t="shared" si="86"/>
      </c>
      <c r="S60" s="400">
        <f t="shared" si="177"/>
      </c>
      <c r="T60" s="403">
        <f t="shared" si="99"/>
      </c>
      <c r="U60" s="403">
        <f t="shared" si="226"/>
      </c>
      <c r="V60" s="400">
        <f t="shared" si="47"/>
      </c>
      <c r="W60" s="404">
        <f t="shared" si="138"/>
      </c>
      <c r="X60" s="405">
        <v>0</v>
      </c>
      <c r="Y60" s="405">
        <v>1</v>
      </c>
      <c r="Z60" s="406">
        <v>542.16</v>
      </c>
      <c r="AA60" s="406">
        <v>0</v>
      </c>
      <c r="AB60" s="401">
        <f t="shared" si="112"/>
      </c>
      <c r="AC60" s="407" t="s">
        <v>344</v>
      </c>
      <c r="AD60" s="408" t="s">
        <v>345</v>
      </c>
      <c r="AE60" s="434">
        <v>1</v>
      </c>
      <c r="AF60" s="410">
        <v>5136</v>
      </c>
      <c r="AG60" s="410">
        <v>313</v>
      </c>
      <c r="AH60" s="410">
        <v>384</v>
      </c>
      <c r="AI60" s="409">
        <v>22</v>
      </c>
      <c r="AJ60" s="409">
        <v>21</v>
      </c>
    </row>
    <row r="61">
      <c r="A61" s="390"/>
      <c r="B61" s="413" t="s">
        <v>349</v>
      </c>
      <c r="C61" s="414">
        <v>4</v>
      </c>
      <c r="D61" s="415">
        <f>SUM(D57:D60)</f>
      </c>
      <c r="E61" s="415">
        <f>SUM(E57:E60)</f>
      </c>
      <c r="F61" s="415">
        <f>SUM(F57:F60)</f>
      </c>
      <c r="G61" s="415">
        <f>SUM(G57:G60)</f>
      </c>
      <c r="H61" s="415">
        <f>SUM(H57:H60)</f>
      </c>
      <c r="I61" s="415">
        <f>SUM(I57:I60)</f>
      </c>
      <c r="J61" s="415">
        <f>SUM(J57:J60)</f>
      </c>
      <c r="K61" s="416">
        <f t="shared" si="151"/>
      </c>
      <c r="L61" s="417">
        <f t="shared" si="200"/>
      </c>
      <c r="M61" s="417">
        <f t="shared" si="21"/>
      </c>
      <c r="N61" s="418">
        <f t="shared" si="73"/>
      </c>
      <c r="O61" s="418">
        <f t="shared" si="164"/>
      </c>
      <c r="P61" s="418">
        <f t="shared" si="213"/>
      </c>
      <c r="Q61" s="419">
        <f t="shared" si="34"/>
      </c>
      <c r="R61" s="419">
        <f t="shared" si="86"/>
      </c>
      <c r="S61" s="418">
        <f t="shared" si="177"/>
      </c>
      <c r="T61" s="419">
        <f t="shared" si="99"/>
      </c>
      <c r="U61" s="419">
        <f t="shared" si="226"/>
      </c>
      <c r="V61" s="418">
        <f t="shared" si="47"/>
      </c>
      <c r="W61" s="420">
        <f>SUM(W57:W60)</f>
      </c>
      <c r="X61" s="420">
        <f>SUM(X57:X60)</f>
      </c>
      <c r="Y61" s="420">
        <f>SUM(Y57:Y60)</f>
      </c>
      <c r="Z61" s="436">
        <f>SUM(Z57:Z60)</f>
      </c>
      <c r="AA61" s="420">
        <f>SUM(AA57:AA60)</f>
      </c>
      <c r="AB61" s="422">
        <f t="shared" si="112"/>
      </c>
      <c r="AC61" s="423"/>
      <c r="AD61" s="424"/>
      <c r="AE61" s="425">
        <f>SUM(AE57:AE60)</f>
      </c>
      <c r="AF61" s="425">
        <f>SUM(AF57:AF60)</f>
      </c>
      <c r="AG61" s="425">
        <f>SUM(AG57:AG60)</f>
      </c>
      <c r="AH61" s="425">
        <f>SUM(AH57:AH60)</f>
      </c>
      <c r="AI61" s="425">
        <f>SUM(AI57:AI60)</f>
      </c>
      <c r="AJ61" s="425">
        <f>SUM(AJ57:AJ60)</f>
      </c>
    </row>
    <row r="62">
      <c r="A62" s="390"/>
      <c r="B62" s="426" t="s">
        <v>349</v>
      </c>
      <c r="C62" s="426">
        <f>C61</f>
      </c>
      <c r="D62" s="426">
        <f>D61</f>
      </c>
      <c r="E62" s="426">
        <f>E61</f>
      </c>
      <c r="F62" s="426">
        <f>F61</f>
      </c>
      <c r="G62" s="427">
        <f>G61</f>
      </c>
      <c r="H62" s="427">
        <f>H61</f>
      </c>
      <c r="I62" s="427">
        <f>I61</f>
      </c>
      <c r="J62" s="427">
        <f>J61</f>
      </c>
      <c r="K62" s="428">
        <f t="shared" si="151"/>
      </c>
      <c r="L62" s="428">
        <f t="shared" si="200"/>
      </c>
      <c r="M62" s="428">
        <f t="shared" si="21"/>
      </c>
      <c r="N62" s="428">
        <f t="shared" si="73"/>
      </c>
      <c r="O62" s="428">
        <f t="shared" si="164"/>
      </c>
      <c r="P62" s="428">
        <f t="shared" si="213"/>
      </c>
      <c r="Q62" s="429">
        <f t="shared" si="34"/>
      </c>
      <c r="R62" s="429">
        <f t="shared" si="86"/>
      </c>
      <c r="S62" s="428">
        <f t="shared" si="177"/>
      </c>
      <c r="T62" s="429">
        <f t="shared" si="99"/>
      </c>
      <c r="U62" s="429">
        <f t="shared" si="226"/>
      </c>
      <c r="V62" s="428">
        <f t="shared" si="47"/>
      </c>
      <c r="W62" s="430">
        <f>W61</f>
      </c>
      <c r="X62" s="430">
        <f>X61</f>
      </c>
      <c r="Y62" s="430">
        <f>Y61</f>
      </c>
      <c r="Z62" s="435">
        <f>Z61</f>
      </c>
      <c r="AA62" s="430">
        <f>AA61</f>
      </c>
      <c r="AB62" s="431">
        <f t="shared" si="112"/>
      </c>
      <c r="AC62" s="426"/>
      <c r="AD62" s="426"/>
      <c r="AE62" s="426">
        <f>AE61</f>
      </c>
      <c r="AF62" s="426">
        <f>AF61</f>
      </c>
      <c r="AG62" s="426">
        <f>AG61</f>
      </c>
      <c r="AH62" s="426">
        <f>AH61</f>
      </c>
      <c r="AI62" s="426">
        <f>AI61</f>
      </c>
      <c r="AJ62" s="426">
        <f>AJ61</f>
      </c>
    </row>
    <row r="63">
      <c r="A63" s="377" t="s">
        <v>306</v>
      </c>
      <c r="B63" s="378" t="s">
        <v>307</v>
      </c>
      <c r="C63" s="378" t="s">
        <v>308</v>
      </c>
      <c r="D63" s="379" t="s">
        <v>309</v>
      </c>
      <c r="E63" s="378" t="s">
        <v>310</v>
      </c>
      <c r="F63" s="378" t="s">
        <v>311</v>
      </c>
      <c r="G63" s="379" t="s">
        <v>312</v>
      </c>
      <c r="H63" s="380" t="s">
        <v>313</v>
      </c>
      <c r="I63" s="381" t="s">
        <v>314</v>
      </c>
      <c r="J63" s="381" t="s">
        <v>315</v>
      </c>
      <c r="K63" s="382" t="s">
        <v>316</v>
      </c>
      <c r="L63" s="381" t="s">
        <v>317</v>
      </c>
      <c r="M63" s="378" t="s">
        <v>318</v>
      </c>
      <c r="N63" s="382" t="s">
        <v>319</v>
      </c>
      <c r="O63" s="383" t="s">
        <v>320</v>
      </c>
      <c r="P63" s="383" t="s">
        <v>321</v>
      </c>
      <c r="Q63" s="379" t="s">
        <v>322</v>
      </c>
      <c r="R63" s="384" t="s">
        <v>323</v>
      </c>
      <c r="S63" s="382" t="s">
        <v>324</v>
      </c>
      <c r="T63" s="385" t="s">
        <v>325</v>
      </c>
      <c r="U63" s="386" t="s">
        <v>326</v>
      </c>
      <c r="V63" s="382" t="s">
        <v>327</v>
      </c>
      <c r="W63" s="387" t="s">
        <v>328</v>
      </c>
      <c r="X63" s="388" t="s">
        <v>329</v>
      </c>
      <c r="Y63" s="387" t="s">
        <v>330</v>
      </c>
      <c r="Z63" s="389" t="s">
        <v>331</v>
      </c>
      <c r="AA63" s="389" t="s">
        <v>332</v>
      </c>
      <c r="AB63" s="381" t="s">
        <v>333</v>
      </c>
      <c r="AC63" s="380" t="s">
        <v>334</v>
      </c>
      <c r="AD63" s="381" t="s">
        <v>335</v>
      </c>
      <c r="AE63" s="380" t="s">
        <v>336</v>
      </c>
      <c r="AF63" s="380" t="s">
        <v>337</v>
      </c>
      <c r="AG63" s="381" t="s">
        <v>338</v>
      </c>
      <c r="AH63" s="380" t="s">
        <v>339</v>
      </c>
      <c r="AI63" s="381" t="s">
        <v>340</v>
      </c>
      <c r="AJ63" s="380" t="s">
        <v>341</v>
      </c>
    </row>
    <row r="64">
      <c r="A64" s="390">
        <v>46200</v>
      </c>
      <c r="B64" s="391" t="s">
        <v>342</v>
      </c>
      <c r="C64" s="392" t="s">
        <v>343</v>
      </c>
      <c r="D64" s="393">
        <f t="shared" ref="D64:D67" si="126">E64+F64</f>
      </c>
      <c r="E64" s="432">
        <v>1123.86</v>
      </c>
      <c r="F64" s="433">
        <v>1964.98</v>
      </c>
      <c r="G64" s="396">
        <f t="shared" ref="G64:G67" si="190">Z64+AA64</f>
      </c>
      <c r="H64" s="396">
        <v>0</v>
      </c>
      <c r="I64" s="395">
        <f t="shared" ref="I64:I67" si="9">G64-H64</f>
      </c>
      <c r="J64" s="395">
        <f t="shared" ref="J64:J67" si="61">(G64-AA64)/12+AA64</f>
      </c>
      <c r="K64" s="397">
        <f t="shared" ref="K64:K69" si="152">G64/D64</f>
      </c>
      <c r="L64" s="398">
        <f t="shared" ref="L64:L69" si="201">(G64-H64)/D64</f>
      </c>
      <c r="M64" s="399">
        <f t="shared" ref="M64:M69" si="22">(AA64+Z64/12)/D64</f>
      </c>
      <c r="N64" s="400">
        <f t="shared" ref="N64:N69" si="74">G64/Y64</f>
      </c>
      <c r="O64" s="400">
        <f t="shared" ref="O64:O69" si="165">D64/Y64</f>
      </c>
      <c r="P64" s="400">
        <f t="shared" ref="P64:P69" si="214">D64/AE64</f>
      </c>
      <c r="Q64" s="401">
        <f t="shared" ref="Q64:Q69" si="35">Y64/W64</f>
      </c>
      <c r="R64" s="402">
        <f t="shared" ref="R64:R69" si="87">AG64/AF64</f>
      </c>
      <c r="S64" s="400">
        <f t="shared" ref="S64:S69" si="178">D64/AH64</f>
      </c>
      <c r="T64" s="403">
        <f t="shared" ref="T64:T69" si="100">AI64/AH64</f>
      </c>
      <c r="U64" s="403">
        <f t="shared" ref="U64:U69" si="227">AJ64/AH64</f>
      </c>
      <c r="V64" s="400">
        <f t="shared" ref="V64:V69" si="48">D64/AJ64</f>
      </c>
      <c r="W64" s="404">
        <f t="shared" ref="W64:W67" si="139">X64+Y64</f>
      </c>
      <c r="X64" s="405">
        <v>1</v>
      </c>
      <c r="Y64" s="405">
        <v>0</v>
      </c>
      <c r="Z64" s="406">
        <v>0</v>
      </c>
      <c r="AA64" s="406">
        <v>0</v>
      </c>
      <c r="AB64" s="401">
        <f t="shared" ref="AB64:AB69" si="113">AA64/G64</f>
      </c>
      <c r="AC64" s="407" t="s">
        <v>344</v>
      </c>
      <c r="AD64" s="408" t="s">
        <v>345</v>
      </c>
      <c r="AE64" s="434">
        <v>0</v>
      </c>
      <c r="AF64" s="410">
        <v>19799</v>
      </c>
      <c r="AG64" s="410">
        <v>596</v>
      </c>
      <c r="AH64" s="410">
        <v>713</v>
      </c>
      <c r="AI64" s="409">
        <v>78</v>
      </c>
      <c r="AJ64" s="409">
        <v>63</v>
      </c>
    </row>
    <row r="65">
      <c r="A65" s="390"/>
      <c r="B65" s="391" t="s">
        <v>342</v>
      </c>
      <c r="C65" s="392" t="s">
        <v>346</v>
      </c>
      <c r="D65" s="393">
        <f t="shared" si="126"/>
      </c>
      <c r="E65" s="432">
        <v>876.36</v>
      </c>
      <c r="F65" s="433">
        <v>2965.69</v>
      </c>
      <c r="G65" s="396">
        <f t="shared" si="190"/>
      </c>
      <c r="H65" s="396">
        <v>0</v>
      </c>
      <c r="I65" s="395">
        <f t="shared" si="9"/>
      </c>
      <c r="J65" s="395">
        <f t="shared" si="61"/>
      </c>
      <c r="K65" s="397">
        <f t="shared" si="152"/>
      </c>
      <c r="L65" s="398">
        <f t="shared" si="201"/>
      </c>
      <c r="M65" s="399">
        <f t="shared" si="22"/>
      </c>
      <c r="N65" s="400">
        <f t="shared" si="74"/>
      </c>
      <c r="O65" s="400">
        <f t="shared" si="165"/>
      </c>
      <c r="P65" s="400">
        <f t="shared" si="214"/>
      </c>
      <c r="Q65" s="401">
        <f t="shared" si="35"/>
      </c>
      <c r="R65" s="402">
        <f t="shared" si="87"/>
      </c>
      <c r="S65" s="400">
        <f t="shared" si="178"/>
      </c>
      <c r="T65" s="403">
        <f t="shared" si="100"/>
      </c>
      <c r="U65" s="403">
        <f t="shared" si="227"/>
      </c>
      <c r="V65" s="400">
        <f t="shared" si="48"/>
      </c>
      <c r="W65" s="404">
        <f t="shared" si="139"/>
      </c>
      <c r="X65" s="405">
        <v>2</v>
      </c>
      <c r="Y65" s="405">
        <v>1</v>
      </c>
      <c r="Z65" s="406">
        <v>488.16</v>
      </c>
      <c r="AA65" s="406">
        <v>0</v>
      </c>
      <c r="AB65" s="401">
        <f t="shared" si="113"/>
      </c>
      <c r="AC65" s="407" t="s">
        <v>344</v>
      </c>
      <c r="AD65" s="408" t="s">
        <v>345</v>
      </c>
      <c r="AE65" s="409">
        <v>1</v>
      </c>
      <c r="AF65" s="410">
        <v>21141</v>
      </c>
      <c r="AG65" s="410">
        <v>886</v>
      </c>
      <c r="AH65" s="410">
        <v>1131</v>
      </c>
      <c r="AI65" s="409">
        <v>94</v>
      </c>
      <c r="AJ65" s="409">
        <v>102</v>
      </c>
    </row>
    <row r="66">
      <c r="A66" s="390"/>
      <c r="B66" s="391" t="s">
        <v>342</v>
      </c>
      <c r="C66" s="432" t="s">
        <v>351</v>
      </c>
      <c r="D66" s="393">
        <f t="shared" si="126"/>
      </c>
      <c r="E66" s="432">
        <v>973.97</v>
      </c>
      <c r="F66" s="433">
        <v>3363.83</v>
      </c>
      <c r="G66" s="396">
        <f t="shared" si="190"/>
      </c>
      <c r="H66" s="396">
        <v>0</v>
      </c>
      <c r="I66" s="395">
        <f t="shared" si="9"/>
      </c>
      <c r="J66" s="395">
        <f t="shared" si="61"/>
      </c>
      <c r="K66" s="397">
        <f t="shared" si="152"/>
      </c>
      <c r="L66" s="398">
        <f t="shared" si="201"/>
      </c>
      <c r="M66" s="399">
        <f t="shared" si="22"/>
      </c>
      <c r="N66" s="400">
        <f t="shared" si="74"/>
      </c>
      <c r="O66" s="400">
        <f t="shared" si="165"/>
      </c>
      <c r="P66" s="400">
        <f t="shared" si="214"/>
      </c>
      <c r="Q66" s="401">
        <f t="shared" si="35"/>
      </c>
      <c r="R66" s="402">
        <f t="shared" si="87"/>
      </c>
      <c r="S66" s="400">
        <f t="shared" si="178"/>
      </c>
      <c r="T66" s="403">
        <f t="shared" si="100"/>
      </c>
      <c r="U66" s="403">
        <f t="shared" si="227"/>
      </c>
      <c r="V66" s="400">
        <f t="shared" si="48"/>
      </c>
      <c r="W66" s="404">
        <f t="shared" si="139"/>
      </c>
      <c r="X66" s="405">
        <v>1</v>
      </c>
      <c r="Y66" s="405">
        <v>4</v>
      </c>
      <c r="Z66" s="406">
        <v>7375.32</v>
      </c>
      <c r="AA66" s="406">
        <v>0</v>
      </c>
      <c r="AB66" s="401">
        <f t="shared" si="113"/>
      </c>
      <c r="AC66" s="407" t="s">
        <v>344</v>
      </c>
      <c r="AD66" s="408" t="s">
        <v>345</v>
      </c>
      <c r="AE66" s="434">
        <v>4</v>
      </c>
      <c r="AF66" s="410">
        <v>22682</v>
      </c>
      <c r="AG66" s="410">
        <v>1050</v>
      </c>
      <c r="AH66" s="410">
        <v>1287</v>
      </c>
      <c r="AI66" s="409">
        <v>103</v>
      </c>
      <c r="AJ66" s="409">
        <v>109</v>
      </c>
    </row>
    <row r="67">
      <c r="A67" s="390"/>
      <c r="B67" s="391" t="s">
        <v>342</v>
      </c>
      <c r="C67" s="392" t="s">
        <v>348</v>
      </c>
      <c r="D67" s="393">
        <f t="shared" si="126"/>
      </c>
      <c r="E67" s="432">
        <v>830.17</v>
      </c>
      <c r="F67" s="433">
        <v>2897.27</v>
      </c>
      <c r="G67" s="396">
        <f t="shared" si="190"/>
      </c>
      <c r="H67" s="396">
        <v>1901.88</v>
      </c>
      <c r="I67" s="395">
        <f t="shared" si="9"/>
      </c>
      <c r="J67" s="395">
        <f t="shared" si="61"/>
      </c>
      <c r="K67" s="397">
        <f t="shared" si="152"/>
      </c>
      <c r="L67" s="398">
        <f t="shared" si="201"/>
      </c>
      <c r="M67" s="399">
        <f t="shared" si="22"/>
      </c>
      <c r="N67" s="400">
        <f t="shared" si="74"/>
      </c>
      <c r="O67" s="400">
        <f t="shared" si="165"/>
      </c>
      <c r="P67" s="400">
        <f t="shared" si="214"/>
      </c>
      <c r="Q67" s="401">
        <f t="shared" si="35"/>
      </c>
      <c r="R67" s="402">
        <f t="shared" si="87"/>
      </c>
      <c r="S67" s="400">
        <f t="shared" si="178"/>
      </c>
      <c r="T67" s="403">
        <f t="shared" si="100"/>
      </c>
      <c r="U67" s="403">
        <f t="shared" si="227"/>
      </c>
      <c r="V67" s="400">
        <f t="shared" si="48"/>
      </c>
      <c r="W67" s="404">
        <f t="shared" si="139"/>
      </c>
      <c r="X67" s="405">
        <v>2</v>
      </c>
      <c r="Y67" s="405">
        <v>2</v>
      </c>
      <c r="Z67" s="406">
        <v>7378.560000000001</v>
      </c>
      <c r="AA67" s="406">
        <v>0</v>
      </c>
      <c r="AB67" s="401">
        <f t="shared" si="113"/>
      </c>
      <c r="AC67" s="407" t="s">
        <v>344</v>
      </c>
      <c r="AD67" s="408" t="s">
        <v>345</v>
      </c>
      <c r="AE67" s="434">
        <v>2</v>
      </c>
      <c r="AF67" s="410">
        <v>23297</v>
      </c>
      <c r="AG67" s="410">
        <v>863</v>
      </c>
      <c r="AH67" s="410">
        <v>1144</v>
      </c>
      <c r="AI67" s="409">
        <v>90</v>
      </c>
      <c r="AJ67" s="409">
        <v>90</v>
      </c>
    </row>
    <row r="68">
      <c r="A68" s="390"/>
      <c r="B68" s="413" t="s">
        <v>349</v>
      </c>
      <c r="C68" s="414">
        <v>4</v>
      </c>
      <c r="D68" s="415">
        <f>SUM(D64:D67)</f>
      </c>
      <c r="E68" s="415">
        <f>SUM(E64:E67)</f>
      </c>
      <c r="F68" s="415">
        <f>SUM(F64:F67)</f>
      </c>
      <c r="G68" s="415">
        <f>SUM(G64:G67)</f>
      </c>
      <c r="H68" s="415">
        <f>SUM(H64:H67)</f>
      </c>
      <c r="I68" s="415">
        <f>SUM(I64:I67)</f>
      </c>
      <c r="J68" s="415">
        <f>SUM(J64:J67)</f>
      </c>
      <c r="K68" s="416">
        <f t="shared" si="152"/>
      </c>
      <c r="L68" s="417">
        <f t="shared" si="201"/>
      </c>
      <c r="M68" s="417">
        <f t="shared" si="22"/>
      </c>
      <c r="N68" s="418">
        <f t="shared" si="74"/>
      </c>
      <c r="O68" s="418">
        <f t="shared" si="165"/>
      </c>
      <c r="P68" s="418">
        <f t="shared" si="214"/>
      </c>
      <c r="Q68" s="419">
        <f t="shared" si="35"/>
      </c>
      <c r="R68" s="419">
        <f t="shared" si="87"/>
      </c>
      <c r="S68" s="418">
        <f t="shared" si="178"/>
      </c>
      <c r="T68" s="419">
        <f t="shared" si="100"/>
      </c>
      <c r="U68" s="419">
        <f t="shared" si="227"/>
      </c>
      <c r="V68" s="418">
        <f t="shared" si="48"/>
      </c>
      <c r="W68" s="420">
        <f>SUM(W64:W67)</f>
      </c>
      <c r="X68" s="420">
        <f>SUM(X64:X67)</f>
      </c>
      <c r="Y68" s="420">
        <f>SUM(Y64:Y67)</f>
      </c>
      <c r="Z68" s="436">
        <f>SUM(Z64:Z67)</f>
      </c>
      <c r="AA68" s="420">
        <f>SUM(AA64:AA67)</f>
      </c>
      <c r="AB68" s="422">
        <f t="shared" si="113"/>
      </c>
      <c r="AC68" s="423"/>
      <c r="AD68" s="424"/>
      <c r="AE68" s="425">
        <f>SUM(AE64:AE67)</f>
      </c>
      <c r="AF68" s="425">
        <f>SUM(AF64:AF67)</f>
      </c>
      <c r="AG68" s="425">
        <f>SUM(AG64:AG67)</f>
      </c>
      <c r="AH68" s="425">
        <f>SUM(AH64:AH67)</f>
      </c>
      <c r="AI68" s="425">
        <f>SUM(AI64:AI67)</f>
      </c>
      <c r="AJ68" s="425">
        <f>SUM(AJ64:AJ67)</f>
      </c>
    </row>
    <row r="69">
      <c r="A69" s="390"/>
      <c r="B69" s="426" t="s">
        <v>349</v>
      </c>
      <c r="C69" s="426">
        <f>C68</f>
      </c>
      <c r="D69" s="426">
        <f>D68</f>
      </c>
      <c r="E69" s="426">
        <f>E68</f>
      </c>
      <c r="F69" s="426">
        <f>F68</f>
      </c>
      <c r="G69" s="427">
        <f>G68</f>
      </c>
      <c r="H69" s="427">
        <f>H68</f>
      </c>
      <c r="I69" s="427">
        <f>I68</f>
      </c>
      <c r="J69" s="427">
        <f>J68</f>
      </c>
      <c r="K69" s="428">
        <f t="shared" si="152"/>
      </c>
      <c r="L69" s="428">
        <f t="shared" si="201"/>
      </c>
      <c r="M69" s="428">
        <f t="shared" si="22"/>
      </c>
      <c r="N69" s="428">
        <f t="shared" si="74"/>
      </c>
      <c r="O69" s="428">
        <f t="shared" si="165"/>
      </c>
      <c r="P69" s="428">
        <f t="shared" si="214"/>
      </c>
      <c r="Q69" s="429">
        <f t="shared" si="35"/>
      </c>
      <c r="R69" s="429">
        <f t="shared" si="87"/>
      </c>
      <c r="S69" s="428">
        <f t="shared" si="178"/>
      </c>
      <c r="T69" s="429">
        <f t="shared" si="100"/>
      </c>
      <c r="U69" s="429">
        <f t="shared" si="227"/>
      </c>
      <c r="V69" s="428">
        <f t="shared" si="48"/>
      </c>
      <c r="W69" s="430">
        <f>W68</f>
      </c>
      <c r="X69" s="430">
        <f>X68</f>
      </c>
      <c r="Y69" s="430">
        <f>Y68</f>
      </c>
      <c r="Z69" s="435">
        <f>Z68</f>
      </c>
      <c r="AA69" s="430">
        <f>AA68</f>
      </c>
      <c r="AB69" s="431">
        <f t="shared" si="113"/>
      </c>
      <c r="AC69" s="426"/>
      <c r="AD69" s="426"/>
      <c r="AE69" s="426">
        <f>AE68</f>
      </c>
      <c r="AF69" s="426">
        <f>AF68</f>
      </c>
      <c r="AG69" s="426">
        <f>AG68</f>
      </c>
      <c r="AH69" s="426">
        <f>AH68</f>
      </c>
      <c r="AI69" s="426">
        <f>AI68</f>
      </c>
      <c r="AJ69" s="426">
        <f>AJ68</f>
      </c>
    </row>
    <row r="70">
      <c r="A70" s="377" t="s">
        <v>306</v>
      </c>
      <c r="B70" s="378" t="s">
        <v>307</v>
      </c>
      <c r="C70" s="378" t="s">
        <v>308</v>
      </c>
      <c r="D70" s="379" t="s">
        <v>309</v>
      </c>
      <c r="E70" s="378" t="s">
        <v>310</v>
      </c>
      <c r="F70" s="378" t="s">
        <v>311</v>
      </c>
      <c r="G70" s="379" t="s">
        <v>312</v>
      </c>
      <c r="H70" s="380" t="s">
        <v>313</v>
      </c>
      <c r="I70" s="381" t="s">
        <v>314</v>
      </c>
      <c r="J70" s="381" t="s">
        <v>315</v>
      </c>
      <c r="K70" s="382" t="s">
        <v>316</v>
      </c>
      <c r="L70" s="381" t="s">
        <v>317</v>
      </c>
      <c r="M70" s="378" t="s">
        <v>318</v>
      </c>
      <c r="N70" s="382" t="s">
        <v>319</v>
      </c>
      <c r="O70" s="383" t="s">
        <v>320</v>
      </c>
      <c r="P70" s="383" t="s">
        <v>321</v>
      </c>
      <c r="Q70" s="379" t="s">
        <v>322</v>
      </c>
      <c r="R70" s="384" t="s">
        <v>323</v>
      </c>
      <c r="S70" s="382" t="s">
        <v>324</v>
      </c>
      <c r="T70" s="385" t="s">
        <v>325</v>
      </c>
      <c r="U70" s="386" t="s">
        <v>326</v>
      </c>
      <c r="V70" s="382" t="s">
        <v>327</v>
      </c>
      <c r="W70" s="387" t="s">
        <v>328</v>
      </c>
      <c r="X70" s="388" t="s">
        <v>329</v>
      </c>
      <c r="Y70" s="387" t="s">
        <v>330</v>
      </c>
      <c r="Z70" s="389" t="s">
        <v>331</v>
      </c>
      <c r="AA70" s="389" t="s">
        <v>332</v>
      </c>
      <c r="AB70" s="381" t="s">
        <v>333</v>
      </c>
      <c r="AC70" s="380" t="s">
        <v>334</v>
      </c>
      <c r="AD70" s="381" t="s">
        <v>335</v>
      </c>
      <c r="AE70" s="380" t="s">
        <v>336</v>
      </c>
      <c r="AF70" s="380" t="s">
        <v>337</v>
      </c>
      <c r="AG70" s="381" t="s">
        <v>338</v>
      </c>
      <c r="AH70" s="380" t="s">
        <v>339</v>
      </c>
      <c r="AI70" s="381" t="s">
        <v>340</v>
      </c>
      <c r="AJ70" s="380" t="s">
        <v>341</v>
      </c>
    </row>
    <row r="71">
      <c r="A71" s="390">
        <v>46201</v>
      </c>
      <c r="B71" s="391" t="s">
        <v>342</v>
      </c>
      <c r="C71" s="392" t="s">
        <v>343</v>
      </c>
      <c r="D71" s="393">
        <f t="shared" ref="D71:D74" si="127">E71+F71</f>
      </c>
      <c r="E71" s="432">
        <v>859.58</v>
      </c>
      <c r="F71" s="433">
        <v>2234.42</v>
      </c>
      <c r="G71" s="396">
        <f t="shared" ref="G71:G74" si="191">Z71+AA71</f>
      </c>
      <c r="H71" s="396">
        <v>0</v>
      </c>
      <c r="I71" s="395">
        <f t="shared" ref="I71:I74" si="10">G71-H71</f>
      </c>
      <c r="J71" s="395">
        <f t="shared" ref="J71:J74" si="62">(G71-AA71)/12+AA71</f>
      </c>
      <c r="K71" s="397">
        <f t="shared" ref="K71:K76" si="153">G71/D71</f>
      </c>
      <c r="L71" s="398">
        <f t="shared" ref="L71:L76" si="202">(G71-H71)/D71</f>
      </c>
      <c r="M71" s="399">
        <f t="shared" ref="M71:M76" si="23">(AA71+Z71/12)/D71</f>
      </c>
      <c r="N71" s="400">
        <f t="shared" ref="N71:N76" si="75">G71/Y71</f>
      </c>
      <c r="O71" s="400">
        <f t="shared" ref="O71:O76" si="166">D71/Y71</f>
      </c>
      <c r="P71" s="400">
        <f t="shared" ref="P71:P76" si="215">D71/AE71</f>
      </c>
      <c r="Q71" s="401">
        <f t="shared" ref="Q71:Q76" si="36">Y71/W71</f>
      </c>
      <c r="R71" s="402">
        <f t="shared" ref="R71:R76" si="88">AG71/AF71</f>
      </c>
      <c r="S71" s="400">
        <f t="shared" ref="S71:S76" si="179">D71/AH71</f>
      </c>
      <c r="T71" s="403">
        <f t="shared" ref="T71:T76" si="101">AI71/AH71</f>
      </c>
      <c r="U71" s="403">
        <f t="shared" ref="U71:U76" si="228">AJ71/AH71</f>
      </c>
      <c r="V71" s="400">
        <f t="shared" ref="V71:V76" si="49">D71/AJ71</f>
      </c>
      <c r="W71" s="404">
        <f t="shared" ref="W71:W74" si="140">X71+Y71</f>
      </c>
      <c r="X71" s="405">
        <v>0</v>
      </c>
      <c r="Y71" s="405">
        <v>0</v>
      </c>
      <c r="Z71" s="406">
        <v>0</v>
      </c>
      <c r="AA71" s="406">
        <v>0</v>
      </c>
      <c r="AB71" s="401">
        <f t="shared" ref="AB71:AB76" si="114">AA71/G71</f>
      </c>
      <c r="AC71" s="407" t="s">
        <v>344</v>
      </c>
      <c r="AD71" s="408" t="s">
        <v>345</v>
      </c>
      <c r="AE71" s="434">
        <v>0</v>
      </c>
      <c r="AF71" s="410">
        <v>17262</v>
      </c>
      <c r="AG71" s="410">
        <v>490</v>
      </c>
      <c r="AH71" s="410">
        <v>754</v>
      </c>
      <c r="AI71" s="409">
        <v>72</v>
      </c>
      <c r="AJ71" s="409">
        <v>54</v>
      </c>
    </row>
    <row r="72">
      <c r="A72" s="390"/>
      <c r="B72" s="391" t="s">
        <v>342</v>
      </c>
      <c r="C72" s="392" t="s">
        <v>346</v>
      </c>
      <c r="D72" s="393">
        <f t="shared" si="127"/>
      </c>
      <c r="E72" s="432">
        <v>849.34</v>
      </c>
      <c r="F72" s="433">
        <v>2315.8</v>
      </c>
      <c r="G72" s="396">
        <f t="shared" si="191"/>
      </c>
      <c r="H72" s="396">
        <v>0</v>
      </c>
      <c r="I72" s="395">
        <f t="shared" si="10"/>
      </c>
      <c r="J72" s="395">
        <f t="shared" si="62"/>
      </c>
      <c r="K72" s="397">
        <f t="shared" si="153"/>
      </c>
      <c r="L72" s="398">
        <f t="shared" si="202"/>
      </c>
      <c r="M72" s="399">
        <f t="shared" si="23"/>
      </c>
      <c r="N72" s="400">
        <f t="shared" si="75"/>
      </c>
      <c r="O72" s="400">
        <f t="shared" si="166"/>
      </c>
      <c r="P72" s="400">
        <f t="shared" si="215"/>
      </c>
      <c r="Q72" s="401">
        <f t="shared" si="36"/>
      </c>
      <c r="R72" s="402">
        <f t="shared" si="88"/>
      </c>
      <c r="S72" s="400">
        <f t="shared" si="179"/>
      </c>
      <c r="T72" s="403">
        <f t="shared" si="101"/>
      </c>
      <c r="U72" s="403">
        <f t="shared" si="228"/>
      </c>
      <c r="V72" s="400">
        <f t="shared" si="49"/>
      </c>
      <c r="W72" s="404">
        <f t="shared" si="140"/>
      </c>
      <c r="X72" s="405">
        <v>0</v>
      </c>
      <c r="Y72" s="405">
        <v>1</v>
      </c>
      <c r="Z72" s="406">
        <v>708.48</v>
      </c>
      <c r="AA72" s="406">
        <v>0</v>
      </c>
      <c r="AB72" s="401">
        <f t="shared" si="114"/>
      </c>
      <c r="AC72" s="407" t="s">
        <v>344</v>
      </c>
      <c r="AD72" s="408" t="s">
        <v>345</v>
      </c>
      <c r="AE72" s="409">
        <v>1</v>
      </c>
      <c r="AF72" s="410">
        <v>17276</v>
      </c>
      <c r="AG72" s="410">
        <v>603</v>
      </c>
      <c r="AH72" s="410">
        <v>936</v>
      </c>
      <c r="AI72" s="409">
        <v>77</v>
      </c>
      <c r="AJ72" s="409">
        <v>51</v>
      </c>
    </row>
    <row r="73">
      <c r="A73" s="390"/>
      <c r="B73" s="391" t="s">
        <v>342</v>
      </c>
      <c r="C73" s="432" t="s">
        <v>351</v>
      </c>
      <c r="D73" s="393">
        <f t="shared" si="127"/>
      </c>
      <c r="E73" s="432">
        <v>849.69</v>
      </c>
      <c r="F73" s="433">
        <v>2227.38</v>
      </c>
      <c r="G73" s="396">
        <f t="shared" si="191"/>
      </c>
      <c r="H73" s="396">
        <v>0</v>
      </c>
      <c r="I73" s="395">
        <f t="shared" si="10"/>
      </c>
      <c r="J73" s="395">
        <f t="shared" si="62"/>
      </c>
      <c r="K73" s="397">
        <f t="shared" si="153"/>
      </c>
      <c r="L73" s="398">
        <f t="shared" si="202"/>
      </c>
      <c r="M73" s="399">
        <f t="shared" si="23"/>
      </c>
      <c r="N73" s="400">
        <f t="shared" si="75"/>
      </c>
      <c r="O73" s="400">
        <f t="shared" si="166"/>
      </c>
      <c r="P73" s="400">
        <f t="shared" si="215"/>
      </c>
      <c r="Q73" s="401">
        <f t="shared" si="36"/>
      </c>
      <c r="R73" s="402">
        <f t="shared" si="88"/>
      </c>
      <c r="S73" s="400">
        <f t="shared" si="179"/>
      </c>
      <c r="T73" s="403">
        <f t="shared" si="101"/>
      </c>
      <c r="U73" s="403">
        <f t="shared" si="228"/>
      </c>
      <c r="V73" s="400">
        <f t="shared" si="49"/>
      </c>
      <c r="W73" s="404">
        <f t="shared" si="140"/>
      </c>
      <c r="X73" s="405">
        <v>4</v>
      </c>
      <c r="Y73" s="405">
        <v>2</v>
      </c>
      <c r="Z73" s="406">
        <v>2803.68</v>
      </c>
      <c r="AA73" s="406">
        <v>0</v>
      </c>
      <c r="AB73" s="401">
        <f t="shared" si="114"/>
      </c>
      <c r="AC73" s="407" t="s">
        <v>344</v>
      </c>
      <c r="AD73" s="408" t="s">
        <v>345</v>
      </c>
      <c r="AE73" s="434">
        <v>2</v>
      </c>
      <c r="AF73" s="410">
        <v>19531</v>
      </c>
      <c r="AG73" s="410">
        <v>793</v>
      </c>
      <c r="AH73" s="410">
        <v>1156</v>
      </c>
      <c r="AI73" s="409">
        <v>97</v>
      </c>
      <c r="AJ73" s="409">
        <v>86</v>
      </c>
    </row>
    <row r="74">
      <c r="A74" s="390"/>
      <c r="B74" s="391" t="s">
        <v>342</v>
      </c>
      <c r="C74" s="392" t="s">
        <v>348</v>
      </c>
      <c r="D74" s="393">
        <f t="shared" si="127"/>
      </c>
      <c r="E74" s="432">
        <v>746.25</v>
      </c>
      <c r="F74" s="433">
        <v>2080.89</v>
      </c>
      <c r="G74" s="396">
        <f t="shared" si="191"/>
      </c>
      <c r="H74" s="396">
        <v>0</v>
      </c>
      <c r="I74" s="395">
        <f t="shared" si="10"/>
      </c>
      <c r="J74" s="395">
        <f t="shared" si="62"/>
      </c>
      <c r="K74" s="397">
        <f t="shared" si="153"/>
      </c>
      <c r="L74" s="398">
        <f t="shared" si="202"/>
      </c>
      <c r="M74" s="399">
        <f t="shared" si="23"/>
      </c>
      <c r="N74" s="400">
        <f t="shared" si="75"/>
      </c>
      <c r="O74" s="400">
        <f t="shared" si="166"/>
      </c>
      <c r="P74" s="400">
        <f t="shared" si="215"/>
      </c>
      <c r="Q74" s="401">
        <f t="shared" si="36"/>
      </c>
      <c r="R74" s="402">
        <f t="shared" si="88"/>
      </c>
      <c r="S74" s="400">
        <f t="shared" si="179"/>
      </c>
      <c r="T74" s="403">
        <f t="shared" si="101"/>
      </c>
      <c r="U74" s="403">
        <f t="shared" si="228"/>
      </c>
      <c r="V74" s="400">
        <f t="shared" si="49"/>
      </c>
      <c r="W74" s="404">
        <f t="shared" si="140"/>
      </c>
      <c r="X74" s="405">
        <v>1</v>
      </c>
      <c r="Y74" s="405">
        <v>1</v>
      </c>
      <c r="Z74" s="406">
        <v>1109.1599999999999</v>
      </c>
      <c r="AA74" s="406">
        <v>0</v>
      </c>
      <c r="AB74" s="401">
        <f t="shared" si="114"/>
      </c>
      <c r="AC74" s="407" t="s">
        <v>344</v>
      </c>
      <c r="AD74" s="408" t="s">
        <v>345</v>
      </c>
      <c r="AE74" s="434">
        <v>1</v>
      </c>
      <c r="AF74" s="410">
        <v>18503</v>
      </c>
      <c r="AG74" s="410">
        <v>927</v>
      </c>
      <c r="AH74" s="410">
        <v>1171</v>
      </c>
      <c r="AI74" s="409">
        <v>67</v>
      </c>
      <c r="AJ74" s="409">
        <v>68</v>
      </c>
    </row>
    <row r="75">
      <c r="A75" s="390"/>
      <c r="B75" s="413" t="s">
        <v>349</v>
      </c>
      <c r="C75" s="414">
        <v>4</v>
      </c>
      <c r="D75" s="415">
        <f>SUM(D71:D74)</f>
      </c>
      <c r="E75" s="415">
        <f>SUM(E71:E74)</f>
      </c>
      <c r="F75" s="415">
        <f>SUM(F71:F74)</f>
      </c>
      <c r="G75" s="415">
        <f>SUM(G71:G74)</f>
      </c>
      <c r="H75" s="415">
        <f>SUM(H71:H74)</f>
      </c>
      <c r="I75" s="415">
        <f>SUM(I71:I74)</f>
      </c>
      <c r="J75" s="415">
        <f>SUM(J71:J74)</f>
      </c>
      <c r="K75" s="416">
        <f t="shared" si="153"/>
      </c>
      <c r="L75" s="417">
        <f t="shared" si="202"/>
      </c>
      <c r="M75" s="417">
        <f t="shared" si="23"/>
      </c>
      <c r="N75" s="418">
        <f t="shared" si="75"/>
      </c>
      <c r="O75" s="418">
        <f t="shared" si="166"/>
      </c>
      <c r="P75" s="418">
        <f t="shared" si="215"/>
      </c>
      <c r="Q75" s="419">
        <f t="shared" si="36"/>
      </c>
      <c r="R75" s="419">
        <f t="shared" si="88"/>
      </c>
      <c r="S75" s="418">
        <f t="shared" si="179"/>
      </c>
      <c r="T75" s="419">
        <f t="shared" si="101"/>
      </c>
      <c r="U75" s="419">
        <f t="shared" si="228"/>
      </c>
      <c r="V75" s="418">
        <f t="shared" si="49"/>
      </c>
      <c r="W75" s="420">
        <f>SUM(W71:W74)</f>
      </c>
      <c r="X75" s="420">
        <f>SUM(X71:X74)</f>
      </c>
      <c r="Y75" s="420">
        <f>SUM(Y71:Y74)</f>
      </c>
      <c r="Z75" s="436">
        <f>SUM(Z71:Z74)</f>
      </c>
      <c r="AA75" s="420">
        <f>SUM(AA71:AA74)</f>
      </c>
      <c r="AB75" s="422">
        <f t="shared" si="114"/>
      </c>
      <c r="AC75" s="423"/>
      <c r="AD75" s="424"/>
      <c r="AE75" s="425">
        <f>SUM(AE71:AE74)</f>
      </c>
      <c r="AF75" s="425">
        <f>SUM(AF71:AF74)</f>
      </c>
      <c r="AG75" s="425">
        <f>SUM(AG71:AG74)</f>
      </c>
      <c r="AH75" s="425">
        <f>SUM(AH71:AH74)</f>
      </c>
      <c r="AI75" s="425">
        <f>SUM(AI71:AI74)</f>
      </c>
      <c r="AJ75" s="425">
        <f>SUM(AJ71:AJ74)</f>
      </c>
    </row>
    <row r="76">
      <c r="A76" s="390"/>
      <c r="B76" s="426" t="s">
        <v>349</v>
      </c>
      <c r="C76" s="426">
        <f>C75</f>
      </c>
      <c r="D76" s="426">
        <f>D75</f>
      </c>
      <c r="E76" s="426">
        <f>E75</f>
      </c>
      <c r="F76" s="426">
        <f>F75</f>
      </c>
      <c r="G76" s="427">
        <f>G75</f>
      </c>
      <c r="H76" s="427">
        <f>H75</f>
      </c>
      <c r="I76" s="427">
        <f>I75</f>
      </c>
      <c r="J76" s="427">
        <f>J75</f>
      </c>
      <c r="K76" s="428">
        <f t="shared" si="153"/>
      </c>
      <c r="L76" s="428">
        <f t="shared" si="202"/>
      </c>
      <c r="M76" s="428">
        <f t="shared" si="23"/>
      </c>
      <c r="N76" s="428">
        <f t="shared" si="75"/>
      </c>
      <c r="O76" s="428">
        <f t="shared" si="166"/>
      </c>
      <c r="P76" s="428">
        <f t="shared" si="215"/>
      </c>
      <c r="Q76" s="429">
        <f t="shared" si="36"/>
      </c>
      <c r="R76" s="429">
        <f t="shared" si="88"/>
      </c>
      <c r="S76" s="428">
        <f t="shared" si="179"/>
      </c>
      <c r="T76" s="429">
        <f t="shared" si="101"/>
      </c>
      <c r="U76" s="429">
        <f t="shared" si="228"/>
      </c>
      <c r="V76" s="428">
        <f t="shared" si="49"/>
      </c>
      <c r="W76" s="430">
        <f>W75</f>
      </c>
      <c r="X76" s="430">
        <f>X75</f>
      </c>
      <c r="Y76" s="430">
        <f>Y75</f>
      </c>
      <c r="Z76" s="435">
        <f>Z75</f>
      </c>
      <c r="AA76" s="430">
        <f>AA75</f>
      </c>
      <c r="AB76" s="431">
        <f t="shared" si="114"/>
      </c>
      <c r="AC76" s="426"/>
      <c r="AD76" s="426"/>
      <c r="AE76" s="426">
        <f>AE75</f>
      </c>
      <c r="AF76" s="426">
        <f>AF75</f>
      </c>
      <c r="AG76" s="426">
        <f>AG75</f>
      </c>
      <c r="AH76" s="426">
        <f>AH75</f>
      </c>
      <c r="AI76" s="426">
        <f>AI75</f>
      </c>
      <c r="AJ76" s="426">
        <f>AJ75</f>
      </c>
    </row>
    <row r="77">
      <c r="A77" s="377" t="s">
        <v>306</v>
      </c>
      <c r="B77" s="378" t="s">
        <v>307</v>
      </c>
      <c r="C77" s="378" t="s">
        <v>308</v>
      </c>
      <c r="D77" s="379" t="s">
        <v>309</v>
      </c>
      <c r="E77" s="378" t="s">
        <v>310</v>
      </c>
      <c r="F77" s="378" t="s">
        <v>311</v>
      </c>
      <c r="G77" s="379" t="s">
        <v>312</v>
      </c>
      <c r="H77" s="380" t="s">
        <v>313</v>
      </c>
      <c r="I77" s="381" t="s">
        <v>314</v>
      </c>
      <c r="J77" s="381" t="s">
        <v>315</v>
      </c>
      <c r="K77" s="382" t="s">
        <v>316</v>
      </c>
      <c r="L77" s="381" t="s">
        <v>317</v>
      </c>
      <c r="M77" s="378" t="s">
        <v>318</v>
      </c>
      <c r="N77" s="382" t="s">
        <v>319</v>
      </c>
      <c r="O77" s="383" t="s">
        <v>320</v>
      </c>
      <c r="P77" s="383" t="s">
        <v>321</v>
      </c>
      <c r="Q77" s="379" t="s">
        <v>322</v>
      </c>
      <c r="R77" s="384" t="s">
        <v>323</v>
      </c>
      <c r="S77" s="382" t="s">
        <v>324</v>
      </c>
      <c r="T77" s="385" t="s">
        <v>325</v>
      </c>
      <c r="U77" s="386" t="s">
        <v>326</v>
      </c>
      <c r="V77" s="382" t="s">
        <v>327</v>
      </c>
      <c r="W77" s="387" t="s">
        <v>328</v>
      </c>
      <c r="X77" s="388" t="s">
        <v>329</v>
      </c>
      <c r="Y77" s="387" t="s">
        <v>330</v>
      </c>
      <c r="Z77" s="389" t="s">
        <v>331</v>
      </c>
      <c r="AA77" s="389" t="s">
        <v>332</v>
      </c>
      <c r="AB77" s="381" t="s">
        <v>333</v>
      </c>
      <c r="AC77" s="380" t="s">
        <v>334</v>
      </c>
      <c r="AD77" s="381" t="s">
        <v>335</v>
      </c>
      <c r="AE77" s="380" t="s">
        <v>336</v>
      </c>
      <c r="AF77" s="380" t="s">
        <v>337</v>
      </c>
      <c r="AG77" s="381" t="s">
        <v>338</v>
      </c>
      <c r="AH77" s="380" t="s">
        <v>339</v>
      </c>
      <c r="AI77" s="381" t="s">
        <v>340</v>
      </c>
      <c r="AJ77" s="380" t="s">
        <v>341</v>
      </c>
    </row>
    <row customHeight="true" ht="16.666666666666668" r="78">
      <c r="A78" s="390">
        <v>46202</v>
      </c>
      <c r="B78" s="391" t="s">
        <v>342</v>
      </c>
      <c r="C78" s="432" t="s">
        <v>354</v>
      </c>
      <c r="D78" s="393">
        <f t="shared" ref="D78:D82" si="128">E78+F78</f>
      </c>
      <c r="E78" s="432">
        <v>727.09</v>
      </c>
      <c r="F78" s="433">
        <v>1990.83</v>
      </c>
      <c r="G78" s="396">
        <v>4655.88</v>
      </c>
      <c r="H78" s="396">
        <v>0</v>
      </c>
      <c r="I78" s="395">
        <f t="shared" ref="I78:I82" si="11">G78-H78</f>
      </c>
      <c r="J78" s="395">
        <f t="shared" ref="J78:J82" si="63">(G78-AA78)/12+AA78</f>
      </c>
      <c r="K78" s="397">
        <f t="shared" ref="K78:K84" si="154">G78/D78</f>
      </c>
      <c r="L78" s="398">
        <f t="shared" ref="L78:L84" si="203">(G78-H78)/D78</f>
      </c>
      <c r="M78" s="399">
        <f t="shared" ref="M78:M84" si="24">(AA78+Z78/12)/D78</f>
      </c>
      <c r="N78" s="400">
        <f t="shared" ref="N78:N84" si="76">G78/Y78</f>
      </c>
      <c r="O78" s="400">
        <f t="shared" ref="O78:O84" si="167">D78/Y78</f>
      </c>
      <c r="P78" s="400">
        <f t="shared" ref="P78:P84" si="216">D78/AE78</f>
      </c>
      <c r="Q78" s="401">
        <f t="shared" ref="Q78:Q84" si="37">Y78/W78</f>
      </c>
      <c r="R78" s="402">
        <f t="shared" ref="R78:R84" si="89">AG78/AF78</f>
      </c>
      <c r="S78" s="400">
        <f t="shared" ref="S78:S84" si="180">D78/AH78</f>
      </c>
      <c r="T78" s="403">
        <f t="shared" ref="T78:T84" si="102">AI78/AH78</f>
      </c>
      <c r="U78" s="403">
        <f t="shared" ref="U78:U84" si="229">AJ78/AH78</f>
      </c>
      <c r="V78" s="400">
        <f t="shared" ref="V78:V84" si="50">D78/AJ78</f>
      </c>
      <c r="W78" s="404">
        <f t="shared" ref="W78:W82" si="141">X78+Y78</f>
      </c>
      <c r="X78" s="405">
        <v>2</v>
      </c>
      <c r="Y78" s="405">
        <v>3</v>
      </c>
      <c r="Z78" s="406">
        <v>4655.88</v>
      </c>
      <c r="AA78" s="406">
        <v>0</v>
      </c>
      <c r="AB78" s="401">
        <f t="shared" ref="AB78:AB84" si="115">AA78/G78</f>
      </c>
      <c r="AC78" s="407" t="s">
        <v>344</v>
      </c>
      <c r="AD78" s="408" t="s">
        <v>353</v>
      </c>
      <c r="AE78" s="434">
        <v>2</v>
      </c>
      <c r="AF78" s="410">
        <v>17942</v>
      </c>
      <c r="AG78" s="410">
        <v>492</v>
      </c>
      <c r="AH78" s="410">
        <v>758</v>
      </c>
      <c r="AI78" s="434">
        <v>55</v>
      </c>
      <c r="AJ78" s="409">
        <v>55</v>
      </c>
    </row>
    <row r="79">
      <c r="A79" s="390"/>
      <c r="B79" s="391" t="s">
        <v>342</v>
      </c>
      <c r="C79" s="392" t="s">
        <v>343</v>
      </c>
      <c r="D79" s="393">
        <f t="shared" si="128"/>
      </c>
      <c r="E79" s="432">
        <v>859.53</v>
      </c>
      <c r="F79" s="433">
        <v>2570.22</v>
      </c>
      <c r="G79" s="396">
        <v>1622.16</v>
      </c>
      <c r="H79" s="396">
        <v>0</v>
      </c>
      <c r="I79" s="395">
        <f t="shared" si="11"/>
      </c>
      <c r="J79" s="395">
        <f t="shared" si="63"/>
      </c>
      <c r="K79" s="397">
        <f t="shared" si="154"/>
      </c>
      <c r="L79" s="398">
        <f t="shared" si="203"/>
      </c>
      <c r="M79" s="399">
        <f t="shared" si="24"/>
      </c>
      <c r="N79" s="400">
        <f t="shared" si="76"/>
      </c>
      <c r="O79" s="400">
        <f t="shared" si="167"/>
      </c>
      <c r="P79" s="400">
        <f t="shared" si="216"/>
      </c>
      <c r="Q79" s="401">
        <f t="shared" si="37"/>
      </c>
      <c r="R79" s="402">
        <f t="shared" si="89"/>
      </c>
      <c r="S79" s="400">
        <f t="shared" si="180"/>
      </c>
      <c r="T79" s="403">
        <f t="shared" si="102"/>
      </c>
      <c r="U79" s="403">
        <f t="shared" si="229"/>
      </c>
      <c r="V79" s="400">
        <f t="shared" si="50"/>
      </c>
      <c r="W79" s="404">
        <f t="shared" si="141"/>
      </c>
      <c r="X79" s="405">
        <v>1</v>
      </c>
      <c r="Y79" s="405">
        <v>1</v>
      </c>
      <c r="Z79" s="406">
        <v>1622.16</v>
      </c>
      <c r="AA79" s="406">
        <v>0</v>
      </c>
      <c r="AB79" s="401">
        <f t="shared" si="115"/>
      </c>
      <c r="AC79" s="407" t="s">
        <v>344</v>
      </c>
      <c r="AD79" s="408" t="s">
        <v>353</v>
      </c>
      <c r="AE79" s="434">
        <v>1</v>
      </c>
      <c r="AF79" s="410">
        <v>22643</v>
      </c>
      <c r="AG79" s="410">
        <v>886</v>
      </c>
      <c r="AH79" s="410">
        <v>1488</v>
      </c>
      <c r="AI79" s="409">
        <v>96</v>
      </c>
      <c r="AJ79" s="409">
        <v>61</v>
      </c>
    </row>
    <row r="80">
      <c r="A80" s="390"/>
      <c r="B80" s="391" t="s">
        <v>342</v>
      </c>
      <c r="C80" s="392" t="s">
        <v>346</v>
      </c>
      <c r="D80" s="393">
        <f t="shared" si="128"/>
      </c>
      <c r="E80" s="432">
        <v>1444.82</v>
      </c>
      <c r="F80" s="433">
        <v>2233.87</v>
      </c>
      <c r="G80" s="396">
        <v>3362.04</v>
      </c>
      <c r="H80" s="396">
        <v>0</v>
      </c>
      <c r="I80" s="395">
        <f t="shared" si="11"/>
      </c>
      <c r="J80" s="395">
        <f t="shared" si="63"/>
      </c>
      <c r="K80" s="397">
        <f t="shared" si="154"/>
      </c>
      <c r="L80" s="398">
        <f t="shared" si="203"/>
      </c>
      <c r="M80" s="399">
        <f t="shared" si="24"/>
      </c>
      <c r="N80" s="400">
        <f t="shared" si="76"/>
      </c>
      <c r="O80" s="400">
        <f t="shared" si="167"/>
      </c>
      <c r="P80" s="400">
        <f t="shared" si="216"/>
      </c>
      <c r="Q80" s="401">
        <f t="shared" si="37"/>
      </c>
      <c r="R80" s="402">
        <f t="shared" si="89"/>
      </c>
      <c r="S80" s="400">
        <f t="shared" si="180"/>
      </c>
      <c r="T80" s="403">
        <f t="shared" si="102"/>
      </c>
      <c r="U80" s="403">
        <f t="shared" si="229"/>
      </c>
      <c r="V80" s="400">
        <f t="shared" si="50"/>
      </c>
      <c r="W80" s="404">
        <f t="shared" si="141"/>
      </c>
      <c r="X80" s="405">
        <v>4</v>
      </c>
      <c r="Y80" s="405">
        <v>2</v>
      </c>
      <c r="Z80" s="406">
        <v>3362.04</v>
      </c>
      <c r="AA80" s="406">
        <v>0</v>
      </c>
      <c r="AB80" s="401">
        <f t="shared" si="115"/>
      </c>
      <c r="AC80" s="407" t="s">
        <v>344</v>
      </c>
      <c r="AD80" s="408" t="s">
        <v>353</v>
      </c>
      <c r="AE80" s="409">
        <v>2</v>
      </c>
      <c r="AF80" s="410">
        <v>26247</v>
      </c>
      <c r="AG80" s="410">
        <v>1167</v>
      </c>
      <c r="AH80" s="410">
        <v>1605</v>
      </c>
      <c r="AI80" s="409">
        <v>109</v>
      </c>
      <c r="AJ80" s="409">
        <v>99</v>
      </c>
    </row>
    <row r="81">
      <c r="A81" s="390"/>
      <c r="B81" s="391" t="s">
        <v>342</v>
      </c>
      <c r="C81" s="432" t="s">
        <v>351</v>
      </c>
      <c r="D81" s="393">
        <f t="shared" si="128"/>
      </c>
      <c r="E81" s="432">
        <v>1529.46</v>
      </c>
      <c r="F81" s="433">
        <v>2286.33</v>
      </c>
      <c r="G81" s="396">
        <v>2812.88</v>
      </c>
      <c r="H81" s="396">
        <v>0</v>
      </c>
      <c r="I81" s="395">
        <f t="shared" si="11"/>
      </c>
      <c r="J81" s="395">
        <f t="shared" si="63"/>
      </c>
      <c r="K81" s="397">
        <f t="shared" si="154"/>
      </c>
      <c r="L81" s="398">
        <f t="shared" si="203"/>
      </c>
      <c r="M81" s="399">
        <f t="shared" si="24"/>
      </c>
      <c r="N81" s="400">
        <f t="shared" si="76"/>
      </c>
      <c r="O81" s="400">
        <f t="shared" si="167"/>
      </c>
      <c r="P81" s="400">
        <f t="shared" si="216"/>
      </c>
      <c r="Q81" s="401">
        <f t="shared" si="37"/>
      </c>
      <c r="R81" s="402">
        <f t="shared" si="89"/>
      </c>
      <c r="S81" s="400">
        <f t="shared" si="180"/>
      </c>
      <c r="T81" s="403">
        <f t="shared" si="102"/>
      </c>
      <c r="U81" s="403">
        <f t="shared" si="229"/>
      </c>
      <c r="V81" s="400">
        <f t="shared" si="50"/>
      </c>
      <c r="W81" s="404">
        <f t="shared" si="141"/>
      </c>
      <c r="X81" s="405">
        <v>0</v>
      </c>
      <c r="Y81" s="405">
        <v>5</v>
      </c>
      <c r="Z81" s="406">
        <v>2360.88</v>
      </c>
      <c r="AA81" s="406">
        <v>452</v>
      </c>
      <c r="AB81" s="401">
        <f t="shared" si="115"/>
      </c>
      <c r="AC81" s="407" t="s">
        <v>344</v>
      </c>
      <c r="AD81" s="408" t="s">
        <v>353</v>
      </c>
      <c r="AE81" s="434">
        <v>3</v>
      </c>
      <c r="AF81" s="410">
        <v>29061</v>
      </c>
      <c r="AG81" s="410">
        <v>1044</v>
      </c>
      <c r="AH81" s="410">
        <v>1556</v>
      </c>
      <c r="AI81" s="409">
        <v>110</v>
      </c>
      <c r="AJ81" s="409">
        <v>111</v>
      </c>
    </row>
    <row r="82">
      <c r="A82" s="390"/>
      <c r="B82" s="391" t="s">
        <v>342</v>
      </c>
      <c r="C82" s="392" t="s">
        <v>348</v>
      </c>
      <c r="D82" s="393">
        <f t="shared" si="128"/>
      </c>
      <c r="E82" s="432">
        <v>1010.1</v>
      </c>
      <c r="F82" s="433">
        <v>4024.67</v>
      </c>
      <c r="G82" s="396">
        <v>3379.32</v>
      </c>
      <c r="H82" s="396">
        <v>0</v>
      </c>
      <c r="I82" s="395">
        <f t="shared" si="11"/>
      </c>
      <c r="J82" s="395">
        <f t="shared" si="63"/>
      </c>
      <c r="K82" s="397">
        <f t="shared" si="154"/>
      </c>
      <c r="L82" s="398">
        <f t="shared" si="203"/>
      </c>
      <c r="M82" s="399">
        <f t="shared" si="24"/>
      </c>
      <c r="N82" s="400">
        <f t="shared" si="76"/>
      </c>
      <c r="O82" s="400">
        <f t="shared" si="167"/>
      </c>
      <c r="P82" s="400">
        <f t="shared" si="216"/>
      </c>
      <c r="Q82" s="401">
        <f t="shared" si="37"/>
      </c>
      <c r="R82" s="402">
        <f t="shared" si="89"/>
      </c>
      <c r="S82" s="400">
        <f t="shared" si="180"/>
      </c>
      <c r="T82" s="403">
        <f t="shared" si="102"/>
      </c>
      <c r="U82" s="403">
        <f t="shared" si="229"/>
      </c>
      <c r="V82" s="400">
        <f t="shared" si="50"/>
      </c>
      <c r="W82" s="404">
        <f t="shared" si="141"/>
      </c>
      <c r="X82" s="405">
        <v>2</v>
      </c>
      <c r="Y82" s="405">
        <v>3</v>
      </c>
      <c r="Z82" s="406">
        <v>3379.32</v>
      </c>
      <c r="AA82" s="406">
        <v>0</v>
      </c>
      <c r="AB82" s="401">
        <f t="shared" si="115"/>
      </c>
      <c r="AC82" s="407" t="s">
        <v>344</v>
      </c>
      <c r="AD82" s="408" t="s">
        <v>353</v>
      </c>
      <c r="AE82" s="434">
        <v>3</v>
      </c>
      <c r="AF82" s="410">
        <v>29951</v>
      </c>
      <c r="AG82" s="410">
        <v>1139</v>
      </c>
      <c r="AH82" s="410">
        <v>1501</v>
      </c>
      <c r="AI82" s="409">
        <v>99</v>
      </c>
      <c r="AJ82" s="409">
        <v>85</v>
      </c>
    </row>
    <row r="83">
      <c r="A83" s="390"/>
      <c r="B83" s="413" t="s">
        <v>349</v>
      </c>
      <c r="C83" s="414">
        <v>5</v>
      </c>
      <c r="D83" s="415">
        <f>SUM(D78:D82)</f>
      </c>
      <c r="E83" s="415">
        <f>SUM(E78:E82)</f>
      </c>
      <c r="F83" s="415">
        <f>SUM(F78:F82)</f>
      </c>
      <c r="G83" s="415">
        <f>SUM(G78:G82)</f>
      </c>
      <c r="H83" s="415">
        <f>SUM(H79:H82)</f>
      </c>
      <c r="I83" s="415">
        <f>SUM(I78:I82)</f>
      </c>
      <c r="J83" s="415">
        <f>SUM(J79:J82)</f>
      </c>
      <c r="K83" s="416">
        <f t="shared" si="154"/>
      </c>
      <c r="L83" s="417">
        <f t="shared" si="203"/>
      </c>
      <c r="M83" s="417">
        <f t="shared" si="24"/>
      </c>
      <c r="N83" s="418">
        <f t="shared" si="76"/>
      </c>
      <c r="O83" s="418">
        <f t="shared" si="167"/>
      </c>
      <c r="P83" s="418">
        <f t="shared" si="216"/>
      </c>
      <c r="Q83" s="419">
        <f t="shared" si="37"/>
      </c>
      <c r="R83" s="419">
        <f t="shared" si="89"/>
      </c>
      <c r="S83" s="418">
        <f t="shared" si="180"/>
      </c>
      <c r="T83" s="419">
        <f t="shared" si="102"/>
      </c>
      <c r="U83" s="419">
        <f t="shared" si="229"/>
      </c>
      <c r="V83" s="418">
        <f t="shared" si="50"/>
      </c>
      <c r="W83" s="415">
        <f>SUM(W78:W82)</f>
      </c>
      <c r="X83" s="415">
        <f>SUM(X78:X82)</f>
      </c>
      <c r="Y83" s="415">
        <f>SUM(Y78:Y82)</f>
      </c>
      <c r="Z83" s="415">
        <f>SUM(Z78:Z82)</f>
      </c>
      <c r="AA83" s="415">
        <f>SUM(AA78:AA82)</f>
      </c>
      <c r="AB83" s="422">
        <f t="shared" si="115"/>
      </c>
      <c r="AC83" s="423"/>
      <c r="AD83" s="424"/>
      <c r="AE83" s="415">
        <f>SUM(AE78:AE82)</f>
      </c>
      <c r="AF83" s="415">
        <f>SUM(AF78:AF82)</f>
      </c>
      <c r="AG83" s="415">
        <f>SUM(AG78:AG82)</f>
      </c>
      <c r="AH83" s="415">
        <f>SUM(AH78:AH82)</f>
      </c>
      <c r="AI83" s="415">
        <f>SUM(AI78:AI82)</f>
      </c>
      <c r="AJ83" s="415">
        <f>SUM(AJ78:AJ82)</f>
      </c>
    </row>
    <row r="84">
      <c r="A84" s="390"/>
      <c r="B84" s="426" t="s">
        <v>349</v>
      </c>
      <c r="C84" s="437">
        <v>5</v>
      </c>
      <c r="D84" s="426">
        <f>D83</f>
      </c>
      <c r="E84" s="426">
        <f>E83</f>
      </c>
      <c r="F84" s="426">
        <f>F83</f>
      </c>
      <c r="G84" s="427">
        <f>G83</f>
      </c>
      <c r="H84" s="427">
        <f>H83</f>
      </c>
      <c r="I84" s="427">
        <f>I83</f>
      </c>
      <c r="J84" s="427">
        <f>J83</f>
      </c>
      <c r="K84" s="428">
        <f t="shared" si="154"/>
      </c>
      <c r="L84" s="428">
        <f t="shared" si="203"/>
      </c>
      <c r="M84" s="428">
        <f t="shared" si="24"/>
      </c>
      <c r="N84" s="428">
        <f t="shared" si="76"/>
      </c>
      <c r="O84" s="428">
        <f t="shared" si="167"/>
      </c>
      <c r="P84" s="428">
        <f t="shared" si="216"/>
      </c>
      <c r="Q84" s="429">
        <f t="shared" si="37"/>
      </c>
      <c r="R84" s="429">
        <f t="shared" si="89"/>
      </c>
      <c r="S84" s="428">
        <f t="shared" si="180"/>
      </c>
      <c r="T84" s="429">
        <f t="shared" si="102"/>
      </c>
      <c r="U84" s="429">
        <f t="shared" si="229"/>
      </c>
      <c r="V84" s="428">
        <f t="shared" si="50"/>
      </c>
      <c r="W84" s="430">
        <f>W83</f>
      </c>
      <c r="X84" s="430">
        <f>X83</f>
      </c>
      <c r="Y84" s="430">
        <f>Y83</f>
      </c>
      <c r="Z84" s="435">
        <f>Z83</f>
      </c>
      <c r="AA84" s="430">
        <f>AA83</f>
      </c>
      <c r="AB84" s="431">
        <f t="shared" si="115"/>
      </c>
      <c r="AC84" s="426"/>
      <c r="AD84" s="426"/>
      <c r="AE84" s="426">
        <f>AE83</f>
      </c>
      <c r="AF84" s="426">
        <f>AF83</f>
      </c>
      <c r="AG84" s="426">
        <f>AG83</f>
      </c>
      <c r="AH84" s="426">
        <f>AH83</f>
      </c>
      <c r="AI84" s="426">
        <f>AI83</f>
      </c>
      <c r="AJ84" s="426">
        <f>AJ83</f>
      </c>
    </row>
    <row customHeight="true" ht="16.666666666666668" r="85">
      <c r="A85" s="377" t="s">
        <v>306</v>
      </c>
      <c r="B85" s="378" t="s">
        <v>307</v>
      </c>
      <c r="C85" s="378" t="s">
        <v>308</v>
      </c>
      <c r="D85" s="379" t="s">
        <v>309</v>
      </c>
      <c r="E85" s="378" t="s">
        <v>310</v>
      </c>
      <c r="F85" s="378" t="s">
        <v>311</v>
      </c>
      <c r="G85" s="379" t="s">
        <v>312</v>
      </c>
      <c r="H85" s="380" t="s">
        <v>313</v>
      </c>
      <c r="I85" s="381" t="s">
        <v>314</v>
      </c>
      <c r="J85" s="381" t="s">
        <v>315</v>
      </c>
      <c r="K85" s="382" t="s">
        <v>316</v>
      </c>
      <c r="L85" s="381" t="s">
        <v>317</v>
      </c>
      <c r="M85" s="378" t="s">
        <v>318</v>
      </c>
      <c r="N85" s="382" t="s">
        <v>319</v>
      </c>
      <c r="O85" s="383" t="s">
        <v>320</v>
      </c>
      <c r="P85" s="383" t="s">
        <v>321</v>
      </c>
      <c r="Q85" s="379" t="s">
        <v>322</v>
      </c>
      <c r="R85" s="384" t="s">
        <v>323</v>
      </c>
      <c r="S85" s="382" t="s">
        <v>324</v>
      </c>
      <c r="T85" s="385" t="s">
        <v>325</v>
      </c>
      <c r="U85" s="386" t="s">
        <v>326</v>
      </c>
      <c r="V85" s="382" t="s">
        <v>327</v>
      </c>
      <c r="W85" s="387" t="s">
        <v>328</v>
      </c>
      <c r="X85" s="388" t="s">
        <v>329</v>
      </c>
      <c r="Y85" s="387" t="s">
        <v>330</v>
      </c>
      <c r="Z85" s="389" t="s">
        <v>331</v>
      </c>
      <c r="AA85" s="389" t="s">
        <v>332</v>
      </c>
      <c r="AB85" s="381" t="s">
        <v>333</v>
      </c>
      <c r="AC85" s="380" t="s">
        <v>334</v>
      </c>
      <c r="AD85" s="381" t="s">
        <v>335</v>
      </c>
      <c r="AE85" s="380" t="s">
        <v>336</v>
      </c>
      <c r="AF85" s="380" t="s">
        <v>337</v>
      </c>
      <c r="AG85" s="381" t="s">
        <v>338</v>
      </c>
      <c r="AH85" s="380" t="s">
        <v>339</v>
      </c>
      <c r="AI85" s="381" t="s">
        <v>340</v>
      </c>
      <c r="AJ85" s="380" t="s">
        <v>341</v>
      </c>
    </row>
    <row r="86">
      <c r="A86" s="390">
        <v>46203</v>
      </c>
      <c r="B86" s="391" t="s">
        <v>342</v>
      </c>
      <c r="C86" s="432" t="s">
        <v>354</v>
      </c>
      <c r="D86" s="393">
        <f t="shared" ref="D86:D90" si="129">E86+F86</f>
      </c>
      <c r="E86" s="432">
        <v>1281.99</v>
      </c>
      <c r="F86" s="433">
        <v>2574.66</v>
      </c>
      <c r="G86" s="396">
        <v>7166.76</v>
      </c>
      <c r="H86" s="396">
        <v>1126.44</v>
      </c>
      <c r="I86" s="395">
        <f t="shared" ref="I86:I90" si="12">G86-H86</f>
      </c>
      <c r="J86" s="395">
        <f t="shared" ref="J86:J90" si="64">(G86-AA86)/12+AA86</f>
      </c>
      <c r="K86" s="397">
        <f t="shared" ref="K86:K92" si="155">G86/D86</f>
      </c>
      <c r="L86" s="398">
        <f t="shared" ref="L86:L92" si="204">(G86-H86)/D86</f>
      </c>
      <c r="M86" s="399">
        <f t="shared" ref="M86:M92" si="25">(AA86+Z86/12)/D86</f>
      </c>
      <c r="N86" s="400">
        <f t="shared" ref="N86:N92" si="77">G86/Y86</f>
      </c>
      <c r="O86" s="400">
        <f t="shared" ref="O86:O92" si="168">D86/Y86</f>
      </c>
      <c r="P86" s="400">
        <f t="shared" ref="P86:P92" si="217">D86/AE86</f>
      </c>
      <c r="Q86" s="438">
        <f t="shared" ref="Q86:Q92" si="38">Y86/W86</f>
      </c>
      <c r="R86" s="402">
        <f t="shared" ref="R86:R92" si="90">AG86/AF86</f>
      </c>
      <c r="S86" s="400">
        <f t="shared" ref="S86:S92" si="181">D86/AH86</f>
      </c>
      <c r="T86" s="403">
        <f t="shared" ref="T86:T92" si="103">AI86/AH86</f>
      </c>
      <c r="U86" s="403">
        <f t="shared" ref="U86:U92" si="230">AJ86/AH86</f>
      </c>
      <c r="V86" s="400">
        <f t="shared" ref="V86:V92" si="51">D86/AJ86</f>
      </c>
      <c r="W86" s="439">
        <f t="shared" ref="W86:W90" si="142">X86+Y86</f>
      </c>
      <c r="X86" s="405">
        <v>0</v>
      </c>
      <c r="Y86" s="405">
        <v>3</v>
      </c>
      <c r="Z86" s="406">
        <v>7166.76</v>
      </c>
      <c r="AA86" s="406">
        <v>0</v>
      </c>
      <c r="AB86" s="401">
        <f t="shared" ref="AB86:AB92" si="116">AA86/G86</f>
      </c>
      <c r="AC86" s="407" t="s">
        <v>344</v>
      </c>
      <c r="AD86" s="408" t="s">
        <v>353</v>
      </c>
      <c r="AE86" s="434">
        <v>3</v>
      </c>
      <c r="AF86" s="410">
        <v>29419</v>
      </c>
      <c r="AG86" s="410">
        <v>691</v>
      </c>
      <c r="AH86" s="410">
        <v>884</v>
      </c>
      <c r="AI86" s="434">
        <v>78</v>
      </c>
      <c r="AJ86" s="409">
        <v>73</v>
      </c>
    </row>
    <row r="87">
      <c r="A87" s="390"/>
      <c r="B87" s="391" t="s">
        <v>342</v>
      </c>
      <c r="C87" s="392" t="s">
        <v>343</v>
      </c>
      <c r="D87" s="393">
        <f t="shared" si="129"/>
      </c>
      <c r="E87" s="432">
        <v>1143.97</v>
      </c>
      <c r="F87" s="433">
        <v>4100.49</v>
      </c>
      <c r="G87" s="396">
        <v>3702.24</v>
      </c>
      <c r="H87" s="396">
        <v>0</v>
      </c>
      <c r="I87" s="395">
        <f t="shared" si="12"/>
      </c>
      <c r="J87" s="395">
        <f t="shared" si="64"/>
      </c>
      <c r="K87" s="397">
        <f t="shared" si="155"/>
      </c>
      <c r="L87" s="398">
        <f t="shared" si="204"/>
      </c>
      <c r="M87" s="399">
        <f t="shared" si="25"/>
      </c>
      <c r="N87" s="400">
        <f t="shared" si="77"/>
      </c>
      <c r="O87" s="400">
        <f t="shared" si="168"/>
      </c>
      <c r="P87" s="400">
        <f t="shared" si="217"/>
      </c>
      <c r="Q87" s="401">
        <f t="shared" si="38"/>
      </c>
      <c r="R87" s="402">
        <f t="shared" si="90"/>
      </c>
      <c r="S87" s="400">
        <f t="shared" si="181"/>
      </c>
      <c r="T87" s="403">
        <f t="shared" si="103"/>
      </c>
      <c r="U87" s="403">
        <f t="shared" si="230"/>
      </c>
      <c r="V87" s="400">
        <f t="shared" si="51"/>
      </c>
      <c r="W87" s="404">
        <f t="shared" si="142"/>
      </c>
      <c r="X87" s="405">
        <v>2</v>
      </c>
      <c r="Y87" s="405">
        <v>3</v>
      </c>
      <c r="Z87" s="406">
        <v>3702.24</v>
      </c>
      <c r="AA87" s="406">
        <v>0</v>
      </c>
      <c r="AB87" s="401">
        <f t="shared" si="116"/>
      </c>
      <c r="AC87" s="407" t="s">
        <v>344</v>
      </c>
      <c r="AD87" s="408" t="s">
        <v>353</v>
      </c>
      <c r="AE87" s="434">
        <v>3</v>
      </c>
      <c r="AF87" s="410">
        <v>44869</v>
      </c>
      <c r="AG87" s="410">
        <v>1002</v>
      </c>
      <c r="AH87" s="410">
        <v>1154</v>
      </c>
      <c r="AI87" s="409">
        <v>107</v>
      </c>
      <c r="AJ87" s="409">
        <v>110</v>
      </c>
    </row>
    <row r="88">
      <c r="A88" s="390"/>
      <c r="B88" s="391" t="s">
        <v>342</v>
      </c>
      <c r="C88" s="392" t="s">
        <v>346</v>
      </c>
      <c r="D88" s="393">
        <f t="shared" si="129"/>
      </c>
      <c r="E88" s="432">
        <v>977.24</v>
      </c>
      <c r="F88" s="433">
        <v>6043.62</v>
      </c>
      <c r="G88" s="396">
        <v>4118.04</v>
      </c>
      <c r="H88" s="396">
        <v>1871.64</v>
      </c>
      <c r="I88" s="395">
        <f t="shared" si="12"/>
      </c>
      <c r="J88" s="395">
        <f t="shared" si="64"/>
      </c>
      <c r="K88" s="397">
        <f t="shared" si="155"/>
      </c>
      <c r="L88" s="398">
        <f t="shared" si="204"/>
      </c>
      <c r="M88" s="399">
        <f t="shared" si="25"/>
      </c>
      <c r="N88" s="400">
        <f t="shared" si="77"/>
      </c>
      <c r="O88" s="400">
        <f t="shared" si="168"/>
      </c>
      <c r="P88" s="400">
        <f t="shared" si="217"/>
      </c>
      <c r="Q88" s="401">
        <f t="shared" si="38"/>
      </c>
      <c r="R88" s="402">
        <f t="shared" si="90"/>
      </c>
      <c r="S88" s="400">
        <f t="shared" si="181"/>
      </c>
      <c r="T88" s="403">
        <f t="shared" si="103"/>
      </c>
      <c r="U88" s="403">
        <f t="shared" si="230"/>
      </c>
      <c r="V88" s="400">
        <f t="shared" si="51"/>
      </c>
      <c r="W88" s="404">
        <f t="shared" si="142"/>
      </c>
      <c r="X88" s="405">
        <v>3</v>
      </c>
      <c r="Y88" s="405">
        <v>4</v>
      </c>
      <c r="Z88" s="406">
        <v>4511.28</v>
      </c>
      <c r="AA88" s="406">
        <v>0</v>
      </c>
      <c r="AB88" s="401">
        <f t="shared" si="116"/>
      </c>
      <c r="AC88" s="407" t="s">
        <v>344</v>
      </c>
      <c r="AD88" s="408" t="s">
        <v>353</v>
      </c>
      <c r="AE88" s="409">
        <v>4</v>
      </c>
      <c r="AF88" s="410">
        <v>53972</v>
      </c>
      <c r="AG88" s="410">
        <v>1196</v>
      </c>
      <c r="AH88" s="410">
        <v>1499</v>
      </c>
      <c r="AI88" s="409">
        <v>141</v>
      </c>
      <c r="AJ88" s="409">
        <v>147</v>
      </c>
    </row>
    <row r="89">
      <c r="A89" s="390"/>
      <c r="B89" s="391" t="s">
        <v>342</v>
      </c>
      <c r="C89" s="432" t="s">
        <v>351</v>
      </c>
      <c r="D89" s="393">
        <f t="shared" si="129"/>
      </c>
      <c r="E89" s="432">
        <v>1308.58</v>
      </c>
      <c r="F89" s="433">
        <v>3781.23</v>
      </c>
      <c r="G89" s="396">
        <v>15114.6</v>
      </c>
      <c r="H89" s="396">
        <v>5965.92</v>
      </c>
      <c r="I89" s="395">
        <f t="shared" si="12"/>
      </c>
      <c r="J89" s="395">
        <f t="shared" si="64"/>
      </c>
      <c r="K89" s="397">
        <f t="shared" si="155"/>
      </c>
      <c r="L89" s="398">
        <f t="shared" si="204"/>
      </c>
      <c r="M89" s="399">
        <f t="shared" si="25"/>
      </c>
      <c r="N89" s="400">
        <f t="shared" si="77"/>
      </c>
      <c r="O89" s="400">
        <f t="shared" si="168"/>
      </c>
      <c r="P89" s="400">
        <f t="shared" si="217"/>
      </c>
      <c r="Q89" s="401">
        <f t="shared" si="38"/>
      </c>
      <c r="R89" s="402">
        <f t="shared" si="90"/>
      </c>
      <c r="S89" s="400">
        <f t="shared" si="181"/>
      </c>
      <c r="T89" s="403">
        <f t="shared" si="103"/>
      </c>
      <c r="U89" s="403">
        <f t="shared" si="230"/>
      </c>
      <c r="V89" s="400">
        <f t="shared" si="51"/>
      </c>
      <c r="W89" s="404">
        <f t="shared" si="142"/>
      </c>
      <c r="X89" s="405">
        <v>5</v>
      </c>
      <c r="Y89" s="405">
        <v>6</v>
      </c>
      <c r="Z89" s="406">
        <v>14721.36</v>
      </c>
      <c r="AA89" s="406">
        <v>0</v>
      </c>
      <c r="AB89" s="401">
        <f t="shared" si="116"/>
      </c>
      <c r="AC89" s="407" t="s">
        <v>344</v>
      </c>
      <c r="AD89" s="408" t="s">
        <v>353</v>
      </c>
      <c r="AE89" s="434">
        <v>4</v>
      </c>
      <c r="AF89" s="410">
        <v>50570</v>
      </c>
      <c r="AG89" s="410">
        <v>759</v>
      </c>
      <c r="AH89" s="410">
        <v>988</v>
      </c>
      <c r="AI89" s="409">
        <v>110</v>
      </c>
      <c r="AJ89" s="409">
        <v>113</v>
      </c>
    </row>
    <row r="90">
      <c r="A90" s="390"/>
      <c r="B90" s="391" t="s">
        <v>342</v>
      </c>
      <c r="C90" s="392" t="s">
        <v>348</v>
      </c>
      <c r="D90" s="393">
        <f t="shared" si="129"/>
      </c>
      <c r="E90" s="432">
        <v>2656.38</v>
      </c>
      <c r="F90" s="433">
        <v>2000</v>
      </c>
      <c r="G90" s="396">
        <v>8263.68</v>
      </c>
      <c r="H90" s="396">
        <v>0</v>
      </c>
      <c r="I90" s="395">
        <f t="shared" si="12"/>
      </c>
      <c r="J90" s="395">
        <f t="shared" si="64"/>
      </c>
      <c r="K90" s="397">
        <f t="shared" si="155"/>
      </c>
      <c r="L90" s="398">
        <f t="shared" si="204"/>
      </c>
      <c r="M90" s="399">
        <f t="shared" si="25"/>
      </c>
      <c r="N90" s="400">
        <f t="shared" si="77"/>
      </c>
      <c r="O90" s="400">
        <f t="shared" si="168"/>
      </c>
      <c r="P90" s="400">
        <f t="shared" si="217"/>
      </c>
      <c r="Q90" s="401">
        <f t="shared" si="38"/>
      </c>
      <c r="R90" s="402">
        <f t="shared" si="90"/>
      </c>
      <c r="S90" s="400">
        <f t="shared" si="181"/>
      </c>
      <c r="T90" s="403">
        <f t="shared" si="103"/>
      </c>
      <c r="U90" s="403">
        <f t="shared" si="230"/>
      </c>
      <c r="V90" s="400">
        <f t="shared" si="51"/>
      </c>
      <c r="W90" s="404">
        <f t="shared" si="142"/>
      </c>
      <c r="X90" s="405">
        <v>1</v>
      </c>
      <c r="Y90" s="405">
        <v>4</v>
      </c>
      <c r="Z90" s="406">
        <v>8263.68</v>
      </c>
      <c r="AA90" s="406">
        <v>0</v>
      </c>
      <c r="AB90" s="401">
        <f t="shared" si="116"/>
      </c>
      <c r="AC90" s="407" t="s">
        <v>344</v>
      </c>
      <c r="AD90" s="408" t="s">
        <v>353</v>
      </c>
      <c r="AE90" s="434">
        <v>3</v>
      </c>
      <c r="AF90" s="410">
        <v>60467</v>
      </c>
      <c r="AG90" s="410">
        <v>1114</v>
      </c>
      <c r="AH90" s="410">
        <v>1375</v>
      </c>
      <c r="AI90" s="409">
        <v>106</v>
      </c>
      <c r="AJ90" s="409">
        <v>114</v>
      </c>
    </row>
    <row r="91">
      <c r="A91" s="390"/>
      <c r="B91" s="413" t="s">
        <v>349</v>
      </c>
      <c r="C91" s="414">
        <v>5</v>
      </c>
      <c r="D91" s="415">
        <f>SUM(D86:D90)</f>
      </c>
      <c r="E91" s="415">
        <f>SUM(E86:E90)</f>
      </c>
      <c r="F91" s="415">
        <f>SUM(F86:F90)</f>
      </c>
      <c r="G91" s="415">
        <f>SUM(G86:G90)</f>
      </c>
      <c r="H91" s="415">
        <f>SUM(H86:H90)</f>
      </c>
      <c r="I91" s="415">
        <f>SUM(I86:I90)</f>
      </c>
      <c r="J91" s="415">
        <f>SUM(J86:J90)</f>
      </c>
      <c r="K91" s="416">
        <f t="shared" si="155"/>
      </c>
      <c r="L91" s="417">
        <f t="shared" si="204"/>
      </c>
      <c r="M91" s="417">
        <f t="shared" si="25"/>
      </c>
      <c r="N91" s="418">
        <f t="shared" si="77"/>
      </c>
      <c r="O91" s="418">
        <f t="shared" si="168"/>
      </c>
      <c r="P91" s="418">
        <f t="shared" si="217"/>
      </c>
      <c r="Q91" s="440">
        <f t="shared" si="38"/>
      </c>
      <c r="R91" s="419">
        <f t="shared" si="90"/>
      </c>
      <c r="S91" s="418">
        <f t="shared" si="181"/>
      </c>
      <c r="T91" s="419">
        <f t="shared" si="103"/>
      </c>
      <c r="U91" s="419">
        <f t="shared" si="230"/>
      </c>
      <c r="V91" s="418">
        <f t="shared" si="51"/>
      </c>
      <c r="W91" s="441">
        <f>SUM(W86:W90)</f>
      </c>
      <c r="X91" s="415">
        <f>SUM(X86:X90)</f>
      </c>
      <c r="Y91" s="415">
        <f>SUM(Y86:Y90)</f>
      </c>
      <c r="Z91" s="415">
        <f>SUM(Z86:Z90)</f>
      </c>
      <c r="AA91" s="415">
        <f>SUM(AA86:AA90)</f>
      </c>
      <c r="AB91" s="422">
        <f t="shared" si="116"/>
      </c>
      <c r="AC91" s="423"/>
      <c r="AD91" s="424"/>
      <c r="AE91" s="415">
        <f>SUM(AE86:AE90)</f>
      </c>
      <c r="AF91" s="415">
        <f>SUM(AF86:AF90)</f>
      </c>
      <c r="AG91" s="415">
        <f>SUM(AG86:AG90)</f>
      </c>
      <c r="AH91" s="415">
        <f>SUM(AH86:AH90)</f>
      </c>
      <c r="AI91" s="415">
        <f>SUM(AI86:AI90)</f>
      </c>
      <c r="AJ91" s="415">
        <f>SUM(AJ86:AJ90)</f>
      </c>
    </row>
    <row r="92">
      <c r="A92" s="390"/>
      <c r="B92" s="426" t="s">
        <v>349</v>
      </c>
      <c r="C92" s="437">
        <v>5</v>
      </c>
      <c r="D92" s="426">
        <f>D91</f>
      </c>
      <c r="E92" s="426">
        <f>E91</f>
      </c>
      <c r="F92" s="426">
        <f>F91</f>
      </c>
      <c r="G92" s="427">
        <f>G91</f>
      </c>
      <c r="H92" s="427">
        <f>H91</f>
      </c>
      <c r="I92" s="427">
        <f>I91</f>
      </c>
      <c r="J92" s="427">
        <f>J91</f>
      </c>
      <c r="K92" s="428">
        <f t="shared" si="155"/>
      </c>
      <c r="L92" s="428">
        <f t="shared" si="204"/>
      </c>
      <c r="M92" s="428">
        <f t="shared" si="25"/>
      </c>
      <c r="N92" s="428">
        <f t="shared" si="77"/>
      </c>
      <c r="O92" s="428">
        <f t="shared" si="168"/>
      </c>
      <c r="P92" s="428">
        <f t="shared" si="217"/>
      </c>
      <c r="Q92" s="429">
        <f t="shared" si="38"/>
      </c>
      <c r="R92" s="429">
        <f t="shared" si="90"/>
      </c>
      <c r="S92" s="428">
        <f t="shared" si="181"/>
      </c>
      <c r="T92" s="429">
        <f t="shared" si="103"/>
      </c>
      <c r="U92" s="429">
        <f t="shared" si="230"/>
      </c>
      <c r="V92" s="428">
        <f t="shared" si="51"/>
      </c>
      <c r="W92" s="442">
        <f>W91</f>
      </c>
      <c r="X92" s="430">
        <f>X91</f>
      </c>
      <c r="Y92" s="430">
        <f>Y91</f>
      </c>
      <c r="Z92" s="435">
        <f>Z91</f>
      </c>
      <c r="AA92" s="430">
        <f>AA91</f>
      </c>
      <c r="AB92" s="431">
        <f t="shared" si="116"/>
      </c>
      <c r="AC92" s="426"/>
      <c r="AD92" s="426"/>
      <c r="AE92" s="426">
        <f>AE91</f>
      </c>
      <c r="AF92" s="426">
        <f>AF91</f>
      </c>
      <c r="AG92" s="426">
        <f>AG91</f>
      </c>
      <c r="AH92" s="426">
        <f>AH91</f>
      </c>
      <c r="AI92" s="426">
        <f>AI91</f>
      </c>
      <c r="AJ92" s="426">
        <f>AJ91</f>
      </c>
    </row>
    <row r="93">
      <c r="H93">
        <f>H94-I94-H92</f>
      </c>
      <c r="I93" s="443" t="s">
        <v>355</v>
      </c>
      <c r="X93">
        <f>X94-X95-X92</f>
      </c>
      <c r="Y93">
        <f>Y94-Y95-Y92</f>
      </c>
      <c r="Z93">
        <f>Z94-Z95-Z92</f>
      </c>
      <c r="AA93">
        <f>AA94-AA95-AA92</f>
      </c>
    </row>
    <row r="94">
      <c r="F94">
        <f>F95-G92</f>
      </c>
      <c r="G94" s="443" t="s">
        <v>356</v>
      </c>
      <c r="H94" s="444">
        <v>8964</v>
      </c>
      <c r="I94" s="445"/>
      <c r="W94" s="443" t="s">
        <v>357</v>
      </c>
      <c r="X94" s="446">
        <v>5</v>
      </c>
      <c r="Y94" s="446">
        <v>14</v>
      </c>
      <c r="Z94" s="446">
        <v>38365.32</v>
      </c>
      <c r="AA94" s="446">
        <v>0</v>
      </c>
    </row>
    <row r="95">
      <c r="F95" s="443">
        <v>38365.32</v>
      </c>
    </row>
    <row r="96"/>
    <row r="97">
      <c r="H97" s="443">
        <v>1871.64</v>
      </c>
      <c r="I97">
        <f>H97+H98+H99+H100</f>
      </c>
    </row>
    <row r="98">
      <c r="H98" s="443">
        <v>1126.44</v>
      </c>
    </row>
    <row r="99">
      <c r="H99" s="443">
        <v>3048.84</v>
      </c>
    </row>
    <row r="100">
      <c r="H100" s="443">
        <v>2917.08</v>
      </c>
    </row>
  </sheetData>
  <mergeCells>
    <mergeCell ref="A2:A7"/>
    <mergeCell ref="A9:A14"/>
    <mergeCell ref="A16:A21"/>
    <mergeCell ref="A23:A28"/>
    <mergeCell ref="A30:A34"/>
    <mergeCell ref="A36:A41"/>
    <mergeCell ref="A43:A48"/>
    <mergeCell ref="A50:A55"/>
    <mergeCell ref="A57:A62"/>
    <mergeCell ref="A64:A69"/>
    <mergeCell ref="A71:A76"/>
    <mergeCell ref="A78:A84"/>
    <mergeCell ref="A86:A92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447" t="s">
        <v>358</v>
      </c>
      <c r="B1" s="448" t="s">
        <v>359</v>
      </c>
      <c r="C1" s="448" t="s">
        <v>360</v>
      </c>
      <c r="D1" s="449" t="s">
        <v>361</v>
      </c>
      <c r="E1" s="450" t="s">
        <v>362</v>
      </c>
      <c r="F1" s="448" t="s">
        <v>363</v>
      </c>
      <c r="G1" s="451" t="s">
        <v>364</v>
      </c>
      <c r="H1" s="451" t="s">
        <v>365</v>
      </c>
      <c r="I1" s="449" t="s">
        <v>366</v>
      </c>
      <c r="J1" s="452" t="s">
        <v>367</v>
      </c>
      <c r="K1" s="453" t="s">
        <v>368</v>
      </c>
      <c r="L1" s="453" t="s">
        <v>369</v>
      </c>
      <c r="M1" s="454" t="s">
        <v>370</v>
      </c>
      <c r="N1" s="453" t="s">
        <v>371</v>
      </c>
      <c r="O1" s="448" t="s">
        <v>372</v>
      </c>
      <c r="P1" s="454" t="s">
        <v>373</v>
      </c>
      <c r="Q1" s="455" t="s">
        <v>374</v>
      </c>
      <c r="R1" s="455" t="s">
        <v>375</v>
      </c>
      <c r="S1" s="449" t="s">
        <v>376</v>
      </c>
      <c r="T1" s="456" t="s">
        <v>377</v>
      </c>
      <c r="U1" s="454" t="s">
        <v>378</v>
      </c>
      <c r="V1" s="457" t="s">
        <v>379</v>
      </c>
      <c r="W1" s="458" t="s">
        <v>380</v>
      </c>
      <c r="X1" s="454" t="s">
        <v>381</v>
      </c>
      <c r="Y1" s="459" t="s">
        <v>382</v>
      </c>
      <c r="Z1" s="460" t="s">
        <v>383</v>
      </c>
      <c r="AA1" s="459" t="s">
        <v>384</v>
      </c>
      <c r="AB1" s="461" t="s">
        <v>385</v>
      </c>
      <c r="AC1" s="461" t="s">
        <v>386</v>
      </c>
      <c r="AD1" s="453" t="s">
        <v>387</v>
      </c>
      <c r="AE1" s="452" t="s">
        <v>388</v>
      </c>
      <c r="AF1" s="453" t="s">
        <v>389</v>
      </c>
      <c r="AG1" s="452" t="s">
        <v>390</v>
      </c>
      <c r="AH1" s="452" t="s">
        <v>391</v>
      </c>
      <c r="AI1" s="453" t="s">
        <v>392</v>
      </c>
      <c r="AJ1" s="452" t="s">
        <v>393</v>
      </c>
      <c r="AK1" s="453" t="s">
        <v>394</v>
      </c>
      <c r="AL1" s="452" t="s">
        <v>395</v>
      </c>
    </row>
    <row r="2">
      <c r="A2" s="462">
        <v>46279</v>
      </c>
      <c r="B2" s="463" t="s">
        <v>396</v>
      </c>
      <c r="C2" s="464" t="s">
        <v>397</v>
      </c>
      <c r="D2" s="465">
        <f t="shared" ref="D2:D6" si="9">E2+F2+G2+H2</f>
      </c>
      <c r="E2" s="466"/>
      <c r="F2" s="467"/>
      <c r="G2" s="468">
        <v>0</v>
      </c>
      <c r="H2" s="468">
        <v>0</v>
      </c>
      <c r="I2" s="468">
        <f t="shared" ref="I2:I6" si="1">AB2+AC2</f>
      </c>
      <c r="J2" s="469"/>
      <c r="K2" s="470">
        <f t="shared" ref="K2:K6" si="21">I2-J2</f>
      </c>
      <c r="L2" s="470">
        <f t="shared" ref="L2:L6" si="25">(I2-AC2)/12+AC2</f>
      </c>
      <c r="M2" s="471">
        <f t="shared" ref="M2:M26" si="13">I2/D2</f>
      </c>
      <c r="N2" s="472">
        <f t="shared" ref="N2:N26" si="5">(I2-J2)/D2</f>
      </c>
      <c r="O2" s="473">
        <f t="shared" ref="O2:O26" si="30">(AC2+AB2/12)/D2</f>
      </c>
      <c r="P2" s="474">
        <f t="shared" ref="P2:P26" si="29">I2/AA2</f>
      </c>
      <c r="Q2" s="474">
        <f t="shared" ref="Q2:Q26" si="14">D2/AA2</f>
      </c>
      <c r="R2" s="474">
        <f t="shared" ref="R2:R26" si="6">D2/AG2</f>
      </c>
      <c r="S2" s="475">
        <f t="shared" ref="S2:S26" si="31">AA2/Y2</f>
      </c>
      <c r="T2" s="476">
        <f t="shared" ref="T2:T26" si="15">AI2/AH2</f>
      </c>
      <c r="U2" s="474">
        <f t="shared" ref="U2:U26" si="7">D2/AJ2</f>
      </c>
      <c r="V2" s="477">
        <f t="shared" ref="V2:V26" si="16">AK2/AJ2</f>
      </c>
      <c r="W2" s="477">
        <f t="shared" ref="W2:W26" si="0">AL2/AJ2</f>
      </c>
      <c r="X2" s="474">
        <f t="shared" ref="X2:X26" si="32">D2/AL2</f>
      </c>
      <c r="Y2" s="478">
        <f t="shared" ref="Y2:Y6" si="17">Z2+AA2</f>
      </c>
      <c r="Z2" s="478"/>
      <c r="AA2" s="478"/>
      <c r="AB2" s="479"/>
      <c r="AC2" s="479"/>
      <c r="AD2" s="475">
        <f t="shared" ref="AD2:AD25" si="8">AC2/I2</f>
      </c>
      <c r="AE2" s="480" t="s">
        <v>398</v>
      </c>
      <c r="AF2" s="481" t="s">
        <v>399</v>
      </c>
      <c r="AG2" s="482"/>
      <c r="AH2" s="482"/>
      <c r="AI2" s="483"/>
      <c r="AJ2" s="483"/>
      <c r="AK2" s="482"/>
      <c r="AL2" s="484"/>
    </row>
    <row r="3">
      <c r="A3" s="462"/>
      <c r="B3" s="463" t="s">
        <v>396</v>
      </c>
      <c r="C3" s="464" t="s">
        <v>400</v>
      </c>
      <c r="D3" s="465">
        <f t="shared" si="9"/>
      </c>
      <c r="E3" s="485"/>
      <c r="F3" s="467"/>
      <c r="G3" s="468">
        <v>0</v>
      </c>
      <c r="H3" s="468">
        <v>0</v>
      </c>
      <c r="I3" s="468">
        <f t="shared" si="1"/>
      </c>
      <c r="J3" s="469"/>
      <c r="K3" s="470">
        <f t="shared" si="21"/>
      </c>
      <c r="L3" s="470">
        <f t="shared" si="25"/>
      </c>
      <c r="M3" s="471">
        <f t="shared" si="13"/>
      </c>
      <c r="N3" s="472">
        <f t="shared" si="5"/>
      </c>
      <c r="O3" s="473">
        <f t="shared" si="30"/>
      </c>
      <c r="P3" s="474">
        <f t="shared" si="29"/>
      </c>
      <c r="Q3" s="474">
        <f t="shared" si="14"/>
      </c>
      <c r="R3" s="474">
        <f t="shared" si="6"/>
      </c>
      <c r="S3" s="475">
        <f t="shared" si="31"/>
      </c>
      <c r="T3" s="476">
        <f t="shared" si="15"/>
      </c>
      <c r="U3" s="474">
        <f t="shared" si="7"/>
      </c>
      <c r="V3" s="477">
        <f t="shared" si="16"/>
      </c>
      <c r="W3" s="477">
        <f t="shared" si="0"/>
      </c>
      <c r="X3" s="474">
        <f t="shared" si="32"/>
      </c>
      <c r="Y3" s="478">
        <f t="shared" si="17"/>
      </c>
      <c r="Z3" s="478"/>
      <c r="AA3" s="478"/>
      <c r="AB3" s="479"/>
      <c r="AC3" s="479"/>
      <c r="AD3" s="475">
        <f t="shared" si="8"/>
      </c>
      <c r="AE3" s="480" t="s">
        <v>398</v>
      </c>
      <c r="AF3" s="481" t="s">
        <v>399</v>
      </c>
      <c r="AG3" s="482"/>
      <c r="AH3" s="483"/>
      <c r="AI3" s="483"/>
      <c r="AJ3" s="483"/>
      <c r="AK3" s="484"/>
      <c r="AL3" s="484"/>
    </row>
    <row r="4">
      <c r="A4" s="462"/>
      <c r="B4" s="463" t="s">
        <v>396</v>
      </c>
      <c r="C4" s="464" t="s">
        <v>401</v>
      </c>
      <c r="D4" s="486">
        <f t="shared" si="9"/>
      </c>
      <c r="E4" s="487"/>
      <c r="F4" s="464"/>
      <c r="G4" s="468">
        <v>0</v>
      </c>
      <c r="H4" s="468">
        <v>0</v>
      </c>
      <c r="I4" s="468">
        <f t="shared" si="1"/>
      </c>
      <c r="J4" s="469"/>
      <c r="K4" s="470">
        <f t="shared" si="21"/>
      </c>
      <c r="L4" s="470">
        <f t="shared" si="25"/>
      </c>
      <c r="M4" s="471">
        <f t="shared" si="13"/>
      </c>
      <c r="N4" s="472">
        <f t="shared" si="5"/>
      </c>
      <c r="O4" s="473">
        <f t="shared" si="30"/>
      </c>
      <c r="P4" s="474">
        <f t="shared" si="29"/>
      </c>
      <c r="Q4" s="474">
        <f t="shared" si="14"/>
      </c>
      <c r="R4" s="474">
        <f t="shared" si="6"/>
      </c>
      <c r="S4" s="475">
        <f t="shared" si="31"/>
      </c>
      <c r="T4" s="476">
        <f t="shared" si="15"/>
      </c>
      <c r="U4" s="474">
        <f t="shared" si="7"/>
      </c>
      <c r="V4" s="477">
        <f t="shared" si="16"/>
      </c>
      <c r="W4" s="477">
        <f t="shared" si="0"/>
      </c>
      <c r="X4" s="474">
        <f t="shared" si="32"/>
      </c>
      <c r="Y4" s="478">
        <f t="shared" si="17"/>
      </c>
      <c r="Z4" s="478"/>
      <c r="AA4" s="478"/>
      <c r="AB4" s="479"/>
      <c r="AC4" s="479"/>
      <c r="AD4" s="475">
        <f t="shared" si="8"/>
      </c>
      <c r="AE4" s="480" t="s">
        <v>398</v>
      </c>
      <c r="AF4" s="481" t="s">
        <v>399</v>
      </c>
      <c r="AG4" s="482"/>
      <c r="AH4" s="483"/>
      <c r="AI4" s="483"/>
      <c r="AJ4" s="483"/>
      <c r="AK4" s="484"/>
      <c r="AL4" s="484"/>
    </row>
    <row r="5">
      <c r="A5" s="462"/>
      <c r="B5" s="463" t="s">
        <v>396</v>
      </c>
      <c r="C5" s="464" t="s">
        <v>402</v>
      </c>
      <c r="D5" s="486">
        <f t="shared" si="9"/>
      </c>
      <c r="E5" s="464"/>
      <c r="F5" s="468"/>
      <c r="G5" s="468">
        <v>0</v>
      </c>
      <c r="H5" s="468">
        <v>0</v>
      </c>
      <c r="I5" s="468">
        <f t="shared" si="1"/>
      </c>
      <c r="J5" s="469"/>
      <c r="K5" s="470">
        <f t="shared" si="21"/>
      </c>
      <c r="L5" s="470">
        <f t="shared" si="25"/>
      </c>
      <c r="M5" s="471">
        <f t="shared" si="13"/>
      </c>
      <c r="N5" s="472">
        <f t="shared" si="5"/>
      </c>
      <c r="O5" s="473">
        <f t="shared" si="30"/>
      </c>
      <c r="P5" s="474">
        <f t="shared" si="29"/>
      </c>
      <c r="Q5" s="474">
        <f t="shared" si="14"/>
      </c>
      <c r="R5" s="474">
        <f t="shared" si="6"/>
      </c>
      <c r="S5" s="475">
        <f t="shared" si="31"/>
      </c>
      <c r="T5" s="476">
        <f t="shared" si="15"/>
      </c>
      <c r="U5" s="474">
        <f t="shared" si="7"/>
      </c>
      <c r="V5" s="477">
        <f t="shared" si="16"/>
      </c>
      <c r="W5" s="477">
        <f t="shared" si="0"/>
      </c>
      <c r="X5" s="474">
        <f t="shared" si="32"/>
      </c>
      <c r="Y5" s="478">
        <f t="shared" si="17"/>
      </c>
      <c r="Z5" s="478"/>
      <c r="AA5" s="478"/>
      <c r="AB5" s="479"/>
      <c r="AC5" s="479"/>
      <c r="AD5" s="475">
        <f t="shared" si="8"/>
      </c>
      <c r="AE5" s="480" t="s">
        <v>398</v>
      </c>
      <c r="AF5" s="481" t="s">
        <v>399</v>
      </c>
      <c r="AG5" s="482"/>
      <c r="AH5" s="483"/>
      <c r="AI5" s="483"/>
      <c r="AJ5" s="483"/>
      <c r="AK5" s="484"/>
      <c r="AL5" s="484"/>
    </row>
    <row r="6">
      <c r="A6" s="462"/>
      <c r="B6" s="463" t="s">
        <v>396</v>
      </c>
      <c r="C6" s="464" t="s">
        <v>403</v>
      </c>
      <c r="D6" s="486">
        <f t="shared" si="9"/>
      </c>
      <c r="E6" s="488"/>
      <c r="F6" s="468"/>
      <c r="G6" s="468">
        <v>0</v>
      </c>
      <c r="H6" s="468">
        <v>0</v>
      </c>
      <c r="I6" s="468">
        <f t="shared" si="1"/>
      </c>
      <c r="J6" s="469"/>
      <c r="K6" s="470">
        <f t="shared" si="21"/>
      </c>
      <c r="L6" s="470">
        <f t="shared" si="25"/>
      </c>
      <c r="M6" s="471">
        <f t="shared" si="13"/>
      </c>
      <c r="N6" s="472">
        <f t="shared" si="5"/>
      </c>
      <c r="O6" s="473">
        <f t="shared" si="30"/>
      </c>
      <c r="P6" s="474">
        <f t="shared" si="29"/>
      </c>
      <c r="Q6" s="474">
        <f t="shared" si="14"/>
      </c>
      <c r="R6" s="474">
        <f t="shared" si="6"/>
      </c>
      <c r="S6" s="475">
        <f t="shared" si="31"/>
      </c>
      <c r="T6" s="476">
        <f t="shared" si="15"/>
      </c>
      <c r="U6" s="474">
        <f t="shared" si="7"/>
      </c>
      <c r="V6" s="477">
        <f t="shared" si="16"/>
      </c>
      <c r="W6" s="477">
        <f t="shared" si="0"/>
      </c>
      <c r="X6" s="474">
        <f t="shared" si="32"/>
      </c>
      <c r="Y6" s="478">
        <f t="shared" si="17"/>
      </c>
      <c r="Z6" s="478"/>
      <c r="AA6" s="478"/>
      <c r="AB6" s="479"/>
      <c r="AC6" s="479"/>
      <c r="AD6" s="475">
        <f t="shared" si="8"/>
      </c>
      <c r="AE6" s="480" t="s">
        <v>398</v>
      </c>
      <c r="AF6" s="481" t="s">
        <v>399</v>
      </c>
      <c r="AG6" s="482"/>
      <c r="AH6" s="483"/>
      <c r="AI6" s="483"/>
      <c r="AJ6" s="483"/>
      <c r="AK6" s="482"/>
      <c r="AL6" s="482"/>
    </row>
    <row r="7">
      <c r="A7" s="462"/>
      <c r="B7" s="489" t="s">
        <v>404</v>
      </c>
      <c r="C7" s="490">
        <v>5</v>
      </c>
      <c r="D7" s="491">
        <f>SUM(D2:D6)</f>
      </c>
      <c r="E7" s="491">
        <f>SUM(E2:E6)</f>
      </c>
      <c r="F7" s="491">
        <f>SUM(F2:F6)</f>
      </c>
      <c r="G7" s="491">
        <f>SUM(G2:G6)</f>
      </c>
      <c r="H7" s="491">
        <f>SUM(H2:H6)</f>
      </c>
      <c r="I7" s="491">
        <f>SUM(I2:I6)</f>
      </c>
      <c r="J7" s="491">
        <f>SUM(J2:J6)</f>
      </c>
      <c r="K7" s="491">
        <f>SUM(K2:K6)</f>
      </c>
      <c r="L7" s="491">
        <f>SUM(L2:L6)</f>
      </c>
      <c r="M7" s="492">
        <f t="shared" si="13"/>
      </c>
      <c r="N7" s="493">
        <f t="shared" si="5"/>
      </c>
      <c r="O7" s="493">
        <f t="shared" si="30"/>
      </c>
      <c r="P7" s="494">
        <f t="shared" si="29"/>
      </c>
      <c r="Q7" s="494">
        <f t="shared" si="14"/>
      </c>
      <c r="R7" s="494">
        <f t="shared" si="6"/>
      </c>
      <c r="S7" s="495">
        <f t="shared" si="31"/>
      </c>
      <c r="T7" s="495">
        <f t="shared" si="15"/>
      </c>
      <c r="U7" s="494">
        <f t="shared" si="7"/>
      </c>
      <c r="V7" s="495">
        <f t="shared" si="16"/>
      </c>
      <c r="W7" s="495">
        <f t="shared" si="0"/>
      </c>
      <c r="X7" s="494">
        <f t="shared" si="32"/>
      </c>
      <c r="Y7" s="491">
        <f>SUM(Y2:Y6)</f>
      </c>
      <c r="Z7" s="491">
        <f>SUM(Z2:Z6)</f>
      </c>
      <c r="AA7" s="491">
        <f>SUM(AA2:AA6)</f>
      </c>
      <c r="AB7" s="491">
        <f>SUM(AB2:AB6)</f>
      </c>
      <c r="AC7" s="491">
        <f>SUM(AC2:AC6)</f>
      </c>
      <c r="AD7" s="496">
        <f t="shared" si="8"/>
      </c>
      <c r="AE7" s="497"/>
      <c r="AF7" s="498"/>
      <c r="AG7" s="491">
        <f>SUM(AG2:AG6)</f>
      </c>
      <c r="AH7" s="491">
        <f>SUM(AH2:AH6)</f>
      </c>
      <c r="AI7" s="491">
        <f>SUM(AI2:AI6)</f>
      </c>
      <c r="AJ7" s="491">
        <f>SUM(AJ2:AJ6)</f>
      </c>
      <c r="AK7" s="491">
        <f>SUM(AK2:AK6)</f>
      </c>
      <c r="AL7" s="491">
        <f>SUM(AL2:AL6)</f>
      </c>
    </row>
    <row r="8">
      <c r="A8" s="462"/>
      <c r="B8" s="463" t="s">
        <v>405</v>
      </c>
      <c r="C8" s="464" t="s">
        <v>406</v>
      </c>
      <c r="D8" s="486">
        <f t="shared" ref="D8:D12" si="10">E8+F8+G8+H8</f>
      </c>
      <c r="E8" s="488"/>
      <c r="F8" s="468"/>
      <c r="G8" s="468">
        <v>0</v>
      </c>
      <c r="H8" s="468">
        <v>0</v>
      </c>
      <c r="I8" s="468">
        <f t="shared" ref="I8:I12" si="2">AB8+AC8</f>
      </c>
      <c r="J8" s="469"/>
      <c r="K8" s="470">
        <f t="shared" ref="K8:K12" si="22">I8-J8</f>
      </c>
      <c r="L8" s="470">
        <f t="shared" ref="L8:L12" si="26">(I8-AC8)/12+AC8</f>
      </c>
      <c r="M8" s="471">
        <f t="shared" si="13"/>
      </c>
      <c r="N8" s="472">
        <f t="shared" si="5"/>
      </c>
      <c r="O8" s="473">
        <f t="shared" si="30"/>
      </c>
      <c r="P8" s="474">
        <f t="shared" si="29"/>
      </c>
      <c r="Q8" s="474">
        <f t="shared" si="14"/>
      </c>
      <c r="R8" s="474">
        <f t="shared" si="6"/>
      </c>
      <c r="S8" s="475">
        <f t="shared" si="31"/>
      </c>
      <c r="T8" s="476">
        <f t="shared" si="15"/>
      </c>
      <c r="U8" s="474">
        <f t="shared" si="7"/>
      </c>
      <c r="V8" s="477">
        <f t="shared" si="16"/>
      </c>
      <c r="W8" s="477">
        <f t="shared" si="0"/>
      </c>
      <c r="X8" s="474">
        <f t="shared" si="32"/>
      </c>
      <c r="Y8" s="478">
        <f t="shared" ref="Y8:Y12" si="18">Z8+AA8</f>
      </c>
      <c r="Z8" s="478"/>
      <c r="AA8" s="478"/>
      <c r="AB8" s="479"/>
      <c r="AC8" s="479"/>
      <c r="AD8" s="475">
        <f t="shared" si="8"/>
      </c>
      <c r="AE8" s="480" t="s">
        <v>398</v>
      </c>
      <c r="AF8" s="481" t="s">
        <v>399</v>
      </c>
      <c r="AG8" s="482"/>
      <c r="AH8" s="483"/>
      <c r="AI8" s="483"/>
      <c r="AJ8" s="483"/>
      <c r="AK8" s="482"/>
      <c r="AL8" s="482"/>
    </row>
    <row r="9">
      <c r="A9" s="462"/>
      <c r="B9" s="463" t="s">
        <v>405</v>
      </c>
      <c r="C9" s="464" t="s">
        <v>407</v>
      </c>
      <c r="D9" s="486">
        <f t="shared" si="10"/>
      </c>
      <c r="E9" s="464"/>
      <c r="F9" s="468"/>
      <c r="G9" s="468">
        <v>0</v>
      </c>
      <c r="H9" s="468">
        <v>0</v>
      </c>
      <c r="I9" s="468">
        <f t="shared" si="2"/>
      </c>
      <c r="J9" s="499"/>
      <c r="K9" s="470">
        <f t="shared" si="22"/>
      </c>
      <c r="L9" s="470">
        <f t="shared" si="26"/>
      </c>
      <c r="M9" s="471">
        <f t="shared" si="13"/>
      </c>
      <c r="N9" s="472">
        <f t="shared" si="5"/>
      </c>
      <c r="O9" s="473">
        <f t="shared" si="30"/>
      </c>
      <c r="P9" s="474">
        <f t="shared" si="29"/>
      </c>
      <c r="Q9" s="474">
        <f t="shared" si="14"/>
      </c>
      <c r="R9" s="474">
        <f t="shared" si="6"/>
      </c>
      <c r="S9" s="475">
        <f t="shared" si="31"/>
      </c>
      <c r="T9" s="476">
        <f t="shared" si="15"/>
      </c>
      <c r="U9" s="474">
        <f t="shared" si="7"/>
      </c>
      <c r="V9" s="477">
        <f t="shared" si="16"/>
      </c>
      <c r="W9" s="477">
        <f t="shared" si="0"/>
      </c>
      <c r="X9" s="474">
        <f t="shared" si="32"/>
      </c>
      <c r="Y9" s="478">
        <f t="shared" si="18"/>
      </c>
      <c r="Z9" s="478"/>
      <c r="AA9" s="478"/>
      <c r="AB9" s="479"/>
      <c r="AC9" s="479"/>
      <c r="AD9" s="475">
        <f t="shared" si="8"/>
      </c>
      <c r="AE9" s="480" t="s">
        <v>398</v>
      </c>
      <c r="AF9" s="481" t="s">
        <v>399</v>
      </c>
      <c r="AG9" s="482"/>
      <c r="AH9" s="483"/>
      <c r="AI9" s="483"/>
      <c r="AJ9" s="483"/>
      <c r="AK9" s="484"/>
      <c r="AL9" s="484"/>
    </row>
    <row r="10">
      <c r="A10" s="462"/>
      <c r="B10" s="463" t="s">
        <v>405</v>
      </c>
      <c r="C10" s="464" t="s">
        <v>408</v>
      </c>
      <c r="D10" s="486">
        <f t="shared" si="10"/>
      </c>
      <c r="E10" s="464"/>
      <c r="F10" s="464"/>
      <c r="G10" s="468">
        <v>0</v>
      </c>
      <c r="H10" s="468">
        <v>0</v>
      </c>
      <c r="I10" s="468">
        <f t="shared" si="2"/>
      </c>
      <c r="J10" s="469"/>
      <c r="K10" s="470">
        <f t="shared" si="22"/>
      </c>
      <c r="L10" s="470">
        <f t="shared" si="26"/>
      </c>
      <c r="M10" s="471">
        <f t="shared" si="13"/>
      </c>
      <c r="N10" s="472">
        <f t="shared" si="5"/>
      </c>
      <c r="O10" s="473">
        <f t="shared" si="30"/>
      </c>
      <c r="P10" s="474">
        <f t="shared" si="29"/>
      </c>
      <c r="Q10" s="474">
        <f t="shared" si="14"/>
      </c>
      <c r="R10" s="474">
        <f t="shared" si="6"/>
      </c>
      <c r="S10" s="475">
        <f t="shared" si="31"/>
      </c>
      <c r="T10" s="476">
        <f t="shared" si="15"/>
      </c>
      <c r="U10" s="474">
        <f t="shared" si="7"/>
      </c>
      <c r="V10" s="477">
        <f t="shared" si="16"/>
      </c>
      <c r="W10" s="477">
        <f t="shared" si="0"/>
      </c>
      <c r="X10" s="474">
        <f t="shared" si="32"/>
      </c>
      <c r="Y10" s="478">
        <f t="shared" si="18"/>
      </c>
      <c r="Z10" s="478"/>
      <c r="AA10" s="478"/>
      <c r="AB10" s="479"/>
      <c r="AC10" s="479"/>
      <c r="AD10" s="475">
        <f t="shared" si="8"/>
      </c>
      <c r="AE10" s="480" t="s">
        <v>398</v>
      </c>
      <c r="AF10" s="481" t="s">
        <v>399</v>
      </c>
      <c r="AG10" s="484"/>
      <c r="AH10" s="483"/>
      <c r="AI10" s="483"/>
      <c r="AJ10" s="483"/>
      <c r="AK10" s="484"/>
      <c r="AL10" s="484"/>
    </row>
    <row r="11">
      <c r="A11" s="462"/>
      <c r="B11" s="463" t="s">
        <v>405</v>
      </c>
      <c r="C11" s="464" t="s">
        <v>409</v>
      </c>
      <c r="D11" s="486">
        <f t="shared" si="10"/>
      </c>
      <c r="E11" s="464"/>
      <c r="F11" s="468"/>
      <c r="G11" s="468">
        <v>0</v>
      </c>
      <c r="H11" s="468">
        <v>0</v>
      </c>
      <c r="I11" s="468">
        <f t="shared" si="2"/>
      </c>
      <c r="J11" s="469"/>
      <c r="K11" s="470">
        <f t="shared" si="22"/>
      </c>
      <c r="L11" s="470">
        <f t="shared" si="26"/>
      </c>
      <c r="M11" s="471">
        <f t="shared" si="13"/>
      </c>
      <c r="N11" s="472">
        <f t="shared" si="5"/>
      </c>
      <c r="O11" s="473">
        <f t="shared" si="30"/>
      </c>
      <c r="P11" s="474">
        <f t="shared" si="29"/>
      </c>
      <c r="Q11" s="474">
        <f t="shared" si="14"/>
      </c>
      <c r="R11" s="474">
        <f t="shared" si="6"/>
      </c>
      <c r="S11" s="475">
        <f t="shared" si="31"/>
      </c>
      <c r="T11" s="476">
        <f t="shared" si="15"/>
      </c>
      <c r="U11" s="474">
        <f t="shared" si="7"/>
      </c>
      <c r="V11" s="477">
        <f t="shared" si="16"/>
      </c>
      <c r="W11" s="477">
        <f t="shared" si="0"/>
      </c>
      <c r="X11" s="474">
        <f t="shared" si="32"/>
      </c>
      <c r="Y11" s="478">
        <f t="shared" si="18"/>
      </c>
      <c r="Z11" s="478"/>
      <c r="AA11" s="478"/>
      <c r="AB11" s="469"/>
      <c r="AC11" s="479"/>
      <c r="AD11" s="475">
        <f t="shared" si="8"/>
      </c>
      <c r="AE11" s="480" t="s">
        <v>398</v>
      </c>
      <c r="AF11" s="481" t="s">
        <v>399</v>
      </c>
      <c r="AG11" s="482"/>
      <c r="AH11" s="483"/>
      <c r="AI11" s="483"/>
      <c r="AJ11" s="483"/>
      <c r="AK11" s="484"/>
      <c r="AL11" s="484"/>
    </row>
    <row r="12">
      <c r="A12" s="462"/>
      <c r="B12" s="463" t="s">
        <v>405</v>
      </c>
      <c r="C12" s="464" t="s">
        <v>410</v>
      </c>
      <c r="D12" s="486">
        <f t="shared" si="10"/>
      </c>
      <c r="E12" s="464"/>
      <c r="F12" s="500"/>
      <c r="G12" s="468">
        <v>0</v>
      </c>
      <c r="H12" s="468">
        <v>0</v>
      </c>
      <c r="I12" s="468">
        <f t="shared" si="2"/>
      </c>
      <c r="J12" s="501"/>
      <c r="K12" s="470">
        <f t="shared" si="22"/>
      </c>
      <c r="L12" s="470">
        <f t="shared" si="26"/>
      </c>
      <c r="M12" s="471">
        <f t="shared" si="13"/>
      </c>
      <c r="N12" s="472">
        <f t="shared" si="5"/>
      </c>
      <c r="O12" s="473">
        <f t="shared" si="30"/>
      </c>
      <c r="P12" s="474">
        <f t="shared" si="29"/>
      </c>
      <c r="Q12" s="474">
        <f t="shared" si="14"/>
      </c>
      <c r="R12" s="474">
        <f t="shared" si="6"/>
      </c>
      <c r="S12" s="475">
        <f t="shared" si="31"/>
      </c>
      <c r="T12" s="476">
        <f t="shared" si="15"/>
      </c>
      <c r="U12" s="474">
        <f t="shared" si="7"/>
      </c>
      <c r="V12" s="477">
        <f t="shared" si="16"/>
      </c>
      <c r="W12" s="477">
        <f t="shared" si="0"/>
      </c>
      <c r="X12" s="474">
        <f t="shared" si="32"/>
      </c>
      <c r="Y12" s="478">
        <f t="shared" si="18"/>
      </c>
      <c r="Z12" s="478"/>
      <c r="AA12" s="478"/>
      <c r="AB12" s="479"/>
      <c r="AC12" s="479"/>
      <c r="AD12" s="475">
        <f t="shared" si="8"/>
      </c>
      <c r="AE12" s="480" t="s">
        <v>398</v>
      </c>
      <c r="AF12" s="481" t="s">
        <v>399</v>
      </c>
      <c r="AG12" s="482"/>
      <c r="AH12" s="482"/>
      <c r="AI12" s="482"/>
      <c r="AJ12" s="482"/>
      <c r="AK12" s="482"/>
      <c r="AL12" s="482"/>
    </row>
    <row r="13">
      <c r="A13" s="462"/>
      <c r="B13" s="489" t="s">
        <v>404</v>
      </c>
      <c r="C13" s="490">
        <v>5</v>
      </c>
      <c r="D13" s="491">
        <f>SUM(D8:D12)</f>
      </c>
      <c r="E13" s="491">
        <f>SUM(E8:E12)</f>
      </c>
      <c r="F13" s="491">
        <f>SUM(F8:F12)</f>
      </c>
      <c r="G13" s="491">
        <f>SUM(G8:G12)</f>
      </c>
      <c r="H13" s="491">
        <f>SUM(H8:H12)</f>
      </c>
      <c r="I13" s="491">
        <f>SUM(I8:I12)</f>
      </c>
      <c r="J13" s="491">
        <f>SUM(J8:J12)</f>
      </c>
      <c r="K13" s="491">
        <f>SUM(K8:K12)</f>
      </c>
      <c r="L13" s="491">
        <f>SUM(L8:L12)</f>
      </c>
      <c r="M13" s="492">
        <f t="shared" si="13"/>
      </c>
      <c r="N13" s="493">
        <f t="shared" si="5"/>
      </c>
      <c r="O13" s="493">
        <f t="shared" si="30"/>
      </c>
      <c r="P13" s="494">
        <f t="shared" si="29"/>
      </c>
      <c r="Q13" s="494">
        <f t="shared" si="14"/>
      </c>
      <c r="R13" s="494">
        <f t="shared" si="6"/>
      </c>
      <c r="S13" s="495">
        <f t="shared" si="31"/>
      </c>
      <c r="T13" s="495">
        <f t="shared" si="15"/>
      </c>
      <c r="U13" s="494">
        <f t="shared" si="7"/>
      </c>
      <c r="V13" s="495">
        <f t="shared" si="16"/>
      </c>
      <c r="W13" s="495">
        <f t="shared" si="0"/>
      </c>
      <c r="X13" s="494">
        <f t="shared" si="32"/>
      </c>
      <c r="Y13" s="491">
        <f>SUM(Y8:Y12)</f>
      </c>
      <c r="Z13" s="491">
        <f>SUM(Z8:Z12)</f>
      </c>
      <c r="AA13" s="491">
        <f>SUM(AA8:AA12)</f>
      </c>
      <c r="AB13" s="491">
        <f>SUM(AB8:AB12)</f>
      </c>
      <c r="AC13" s="491">
        <f>SUM(AC8:AC12)</f>
      </c>
      <c r="AD13" s="496">
        <f t="shared" si="8"/>
      </c>
      <c r="AE13" s="497"/>
      <c r="AF13" s="498"/>
      <c r="AG13" s="491">
        <f>SUM(AG8:AG12)</f>
      </c>
      <c r="AH13" s="491">
        <f>SUM(AH8:AH12)</f>
      </c>
      <c r="AI13" s="491">
        <f>SUM(AI8:AI12)</f>
      </c>
      <c r="AJ13" s="491">
        <f>SUM(AJ8:AJ12)</f>
      </c>
      <c r="AK13" s="491">
        <f>SUM(AK8:AK12)</f>
      </c>
      <c r="AL13" s="491">
        <f>SUM(AL8:AL12)</f>
      </c>
    </row>
    <row r="14">
      <c r="A14" s="462"/>
      <c r="B14" s="463" t="s">
        <v>411</v>
      </c>
      <c r="C14" s="464" t="s">
        <v>412</v>
      </c>
      <c r="D14" s="486">
        <f t="shared" ref="D14:D18" si="11">E14+F14+G14+H14</f>
      </c>
      <c r="E14" s="464"/>
      <c r="F14" s="500"/>
      <c r="G14" s="468">
        <v>0</v>
      </c>
      <c r="H14" s="468">
        <v>0</v>
      </c>
      <c r="I14" s="468">
        <f t="shared" ref="I14:I18" si="3">AB14+AC14</f>
      </c>
      <c r="J14" s="501"/>
      <c r="K14" s="470">
        <f t="shared" ref="K14:K18" si="23">I14-J14</f>
      </c>
      <c r="L14" s="470">
        <f t="shared" ref="L14:L18" si="27">(I14-AC14)/12+AC14</f>
      </c>
      <c r="M14" s="471">
        <f t="shared" si="13"/>
      </c>
      <c r="N14" s="472">
        <f t="shared" si="5"/>
      </c>
      <c r="O14" s="473">
        <f t="shared" si="30"/>
      </c>
      <c r="P14" s="474">
        <f t="shared" si="29"/>
      </c>
      <c r="Q14" s="474">
        <f t="shared" si="14"/>
      </c>
      <c r="R14" s="474">
        <f t="shared" si="6"/>
      </c>
      <c r="S14" s="475">
        <f t="shared" si="31"/>
      </c>
      <c r="T14" s="476">
        <f t="shared" si="15"/>
      </c>
      <c r="U14" s="474">
        <f t="shared" si="7"/>
      </c>
      <c r="V14" s="477">
        <f t="shared" si="16"/>
      </c>
      <c r="W14" s="477">
        <f t="shared" si="0"/>
      </c>
      <c r="X14" s="474">
        <f t="shared" si="32"/>
      </c>
      <c r="Y14" s="478">
        <f t="shared" ref="Y14:Y18" si="19">Z14+AA14</f>
      </c>
      <c r="Z14" s="478"/>
      <c r="AA14" s="478"/>
      <c r="AB14" s="479"/>
      <c r="AC14" s="479"/>
      <c r="AD14" s="475">
        <f t="shared" si="8"/>
      </c>
      <c r="AE14" s="480" t="s">
        <v>398</v>
      </c>
      <c r="AF14" s="481" t="s">
        <v>413</v>
      </c>
      <c r="AG14" s="482"/>
      <c r="AH14" s="482"/>
      <c r="AI14" s="482"/>
      <c r="AJ14" s="482"/>
      <c r="AK14" s="482"/>
      <c r="AL14" s="482"/>
    </row>
    <row r="15">
      <c r="A15" s="462"/>
      <c r="B15" s="463" t="s">
        <v>411</v>
      </c>
      <c r="C15" s="464" t="s">
        <v>414</v>
      </c>
      <c r="D15" s="486">
        <f t="shared" si="11"/>
      </c>
      <c r="E15" s="464"/>
      <c r="F15" s="500"/>
      <c r="G15" s="468">
        <v>0</v>
      </c>
      <c r="H15" s="468">
        <v>0</v>
      </c>
      <c r="I15" s="468">
        <f t="shared" si="3"/>
      </c>
      <c r="J15" s="501"/>
      <c r="K15" s="470">
        <f t="shared" si="23"/>
      </c>
      <c r="L15" s="470">
        <f t="shared" si="27"/>
      </c>
      <c r="M15" s="471">
        <f t="shared" si="13"/>
      </c>
      <c r="N15" s="472">
        <f t="shared" si="5"/>
      </c>
      <c r="O15" s="473">
        <f t="shared" si="30"/>
      </c>
      <c r="P15" s="474">
        <f t="shared" si="29"/>
      </c>
      <c r="Q15" s="474">
        <f t="shared" si="14"/>
      </c>
      <c r="R15" s="474">
        <f t="shared" si="6"/>
      </c>
      <c r="S15" s="475">
        <f t="shared" si="31"/>
      </c>
      <c r="T15" s="476">
        <f t="shared" si="15"/>
      </c>
      <c r="U15" s="474">
        <f t="shared" si="7"/>
      </c>
      <c r="V15" s="477">
        <f t="shared" si="16"/>
      </c>
      <c r="W15" s="477">
        <f t="shared" si="0"/>
      </c>
      <c r="X15" s="474">
        <f t="shared" si="32"/>
      </c>
      <c r="Y15" s="478">
        <f t="shared" si="19"/>
      </c>
      <c r="Z15" s="478"/>
      <c r="AA15" s="478"/>
      <c r="AB15" s="479"/>
      <c r="AC15" s="479"/>
      <c r="AD15" s="475">
        <f t="shared" si="8"/>
      </c>
      <c r="AE15" s="480" t="s">
        <v>398</v>
      </c>
      <c r="AF15" s="481" t="s">
        <v>413</v>
      </c>
      <c r="AG15" s="484"/>
      <c r="AH15" s="483"/>
      <c r="AI15" s="483"/>
      <c r="AJ15" s="483"/>
      <c r="AK15" s="484"/>
      <c r="AL15" s="484"/>
    </row>
    <row r="16">
      <c r="A16" s="462"/>
      <c r="B16" s="463" t="s">
        <v>411</v>
      </c>
      <c r="C16" s="464" t="s">
        <v>415</v>
      </c>
      <c r="D16" s="486">
        <f t="shared" si="11"/>
      </c>
      <c r="E16" s="464"/>
      <c r="F16" s="500"/>
      <c r="G16" s="468">
        <v>0</v>
      </c>
      <c r="H16" s="468">
        <v>0</v>
      </c>
      <c r="I16" s="468">
        <f t="shared" si="3"/>
      </c>
      <c r="J16" s="501"/>
      <c r="K16" s="470">
        <f t="shared" si="23"/>
      </c>
      <c r="L16" s="470">
        <f t="shared" si="27"/>
      </c>
      <c r="M16" s="471">
        <f t="shared" si="13"/>
      </c>
      <c r="N16" s="472">
        <f t="shared" si="5"/>
      </c>
      <c r="O16" s="473">
        <f t="shared" si="30"/>
      </c>
      <c r="P16" s="474">
        <f t="shared" si="29"/>
      </c>
      <c r="Q16" s="474">
        <f t="shared" si="14"/>
      </c>
      <c r="R16" s="474">
        <f t="shared" si="6"/>
      </c>
      <c r="S16" s="475">
        <f t="shared" si="31"/>
      </c>
      <c r="T16" s="476">
        <f t="shared" si="15"/>
      </c>
      <c r="U16" s="474">
        <f t="shared" si="7"/>
      </c>
      <c r="V16" s="477">
        <f t="shared" si="16"/>
      </c>
      <c r="W16" s="477">
        <f t="shared" si="0"/>
      </c>
      <c r="X16" s="474">
        <f t="shared" si="32"/>
      </c>
      <c r="Y16" s="478">
        <f t="shared" si="19"/>
      </c>
      <c r="Z16" s="478"/>
      <c r="AA16" s="478"/>
      <c r="AB16" s="479"/>
      <c r="AC16" s="479"/>
      <c r="AD16" s="475">
        <f t="shared" si="8"/>
      </c>
      <c r="AE16" s="480" t="s">
        <v>398</v>
      </c>
      <c r="AF16" s="481" t="s">
        <v>413</v>
      </c>
      <c r="AG16" s="482"/>
      <c r="AH16" s="483"/>
      <c r="AI16" s="483"/>
      <c r="AJ16" s="483"/>
      <c r="AK16" s="484"/>
      <c r="AL16" s="484"/>
    </row>
    <row r="17">
      <c r="A17" s="462"/>
      <c r="B17" s="463" t="s">
        <v>411</v>
      </c>
      <c r="C17" s="502" t="s">
        <v>416</v>
      </c>
      <c r="D17" s="486">
        <f t="shared" si="11"/>
      </c>
      <c r="E17" s="464"/>
      <c r="F17" s="500"/>
      <c r="G17" s="468">
        <v>0</v>
      </c>
      <c r="H17" s="468">
        <v>0</v>
      </c>
      <c r="I17" s="468">
        <f t="shared" si="3"/>
      </c>
      <c r="J17" s="501"/>
      <c r="K17" s="470">
        <f t="shared" si="23"/>
      </c>
      <c r="L17" s="470">
        <f t="shared" si="27"/>
      </c>
      <c r="M17" s="471">
        <f t="shared" si="13"/>
      </c>
      <c r="N17" s="472">
        <f t="shared" si="5"/>
      </c>
      <c r="O17" s="473">
        <f t="shared" si="30"/>
      </c>
      <c r="P17" s="474">
        <f t="shared" si="29"/>
      </c>
      <c r="Q17" s="474">
        <f t="shared" si="14"/>
      </c>
      <c r="R17" s="474">
        <f t="shared" si="6"/>
      </c>
      <c r="S17" s="475">
        <f t="shared" si="31"/>
      </c>
      <c r="T17" s="476">
        <f t="shared" si="15"/>
      </c>
      <c r="U17" s="474">
        <f t="shared" si="7"/>
      </c>
      <c r="V17" s="477">
        <f t="shared" si="16"/>
      </c>
      <c r="W17" s="477">
        <f t="shared" si="0"/>
      </c>
      <c r="X17" s="474">
        <f t="shared" si="32"/>
      </c>
      <c r="Y17" s="478">
        <f t="shared" si="19"/>
      </c>
      <c r="Z17" s="478"/>
      <c r="AA17" s="478"/>
      <c r="AB17" s="479"/>
      <c r="AC17" s="479"/>
      <c r="AD17" s="475">
        <f t="shared" si="8"/>
      </c>
      <c r="AE17" s="480" t="s">
        <v>398</v>
      </c>
      <c r="AF17" s="481" t="s">
        <v>413</v>
      </c>
      <c r="AG17" s="482"/>
      <c r="AH17" s="483"/>
      <c r="AI17" s="483"/>
      <c r="AJ17" s="483"/>
      <c r="AK17" s="484"/>
      <c r="AL17" s="484"/>
    </row>
    <row r="18">
      <c r="A18" s="462"/>
      <c r="B18" s="463" t="s">
        <v>411</v>
      </c>
      <c r="C18" s="502" t="s">
        <v>417</v>
      </c>
      <c r="D18" s="486">
        <f t="shared" si="11"/>
      </c>
      <c r="E18" s="464"/>
      <c r="F18" s="500"/>
      <c r="G18" s="468">
        <v>0</v>
      </c>
      <c r="H18" s="468">
        <v>0</v>
      </c>
      <c r="I18" s="468">
        <f t="shared" si="3"/>
      </c>
      <c r="J18" s="501"/>
      <c r="K18" s="470">
        <f t="shared" si="23"/>
      </c>
      <c r="L18" s="470">
        <f t="shared" si="27"/>
      </c>
      <c r="M18" s="471">
        <f t="shared" si="13"/>
      </c>
      <c r="N18" s="472">
        <f t="shared" si="5"/>
      </c>
      <c r="O18" s="473">
        <f t="shared" si="30"/>
      </c>
      <c r="P18" s="474">
        <f t="shared" si="29"/>
      </c>
      <c r="Q18" s="474">
        <f t="shared" si="14"/>
      </c>
      <c r="R18" s="474">
        <f t="shared" si="6"/>
      </c>
      <c r="S18" s="475">
        <f t="shared" si="31"/>
      </c>
      <c r="T18" s="476">
        <f t="shared" si="15"/>
      </c>
      <c r="U18" s="474">
        <f t="shared" si="7"/>
      </c>
      <c r="V18" s="477">
        <f t="shared" si="16"/>
      </c>
      <c r="W18" s="477">
        <f t="shared" si="0"/>
      </c>
      <c r="X18" s="474">
        <f t="shared" si="32"/>
      </c>
      <c r="Y18" s="478">
        <f t="shared" si="19"/>
      </c>
      <c r="Z18" s="478"/>
      <c r="AA18" s="478"/>
      <c r="AB18" s="479"/>
      <c r="AC18" s="479"/>
      <c r="AD18" s="475">
        <f t="shared" si="8"/>
      </c>
      <c r="AE18" s="480" t="s">
        <v>398</v>
      </c>
      <c r="AF18" s="481" t="s">
        <v>413</v>
      </c>
      <c r="AG18" s="482"/>
      <c r="AH18" s="483"/>
      <c r="AI18" s="483"/>
      <c r="AJ18" s="483"/>
      <c r="AK18" s="484"/>
      <c r="AL18" s="484"/>
    </row>
    <row r="19">
      <c r="A19" s="462"/>
      <c r="B19" s="489" t="s">
        <v>404</v>
      </c>
      <c r="C19" s="490">
        <v>5</v>
      </c>
      <c r="D19" s="491">
        <f>SUM(D14:D18)</f>
      </c>
      <c r="E19" s="491">
        <f>SUM(E14:E18)</f>
      </c>
      <c r="F19" s="491">
        <f>SUM(F14:F18)</f>
      </c>
      <c r="G19" s="491">
        <f>SUM(G14:G18)</f>
      </c>
      <c r="H19" s="491">
        <f>SUM(H14:H18)</f>
      </c>
      <c r="I19" s="491">
        <f>SUM(I14:I18)</f>
      </c>
      <c r="J19" s="491">
        <f>SUM(J14:J18)</f>
      </c>
      <c r="K19" s="491">
        <f>SUM(K14:K18)</f>
      </c>
      <c r="L19" s="491">
        <f>SUM(L14:L18)</f>
      </c>
      <c r="M19" s="492">
        <f t="shared" si="13"/>
      </c>
      <c r="N19" s="493">
        <f t="shared" si="5"/>
      </c>
      <c r="O19" s="493">
        <f t="shared" si="30"/>
      </c>
      <c r="P19" s="494">
        <f t="shared" si="29"/>
      </c>
      <c r="Q19" s="494">
        <f t="shared" si="14"/>
      </c>
      <c r="R19" s="494">
        <f t="shared" si="6"/>
      </c>
      <c r="S19" s="495">
        <f t="shared" si="31"/>
      </c>
      <c r="T19" s="495">
        <f t="shared" si="15"/>
      </c>
      <c r="U19" s="494">
        <f t="shared" si="7"/>
      </c>
      <c r="V19" s="495">
        <f t="shared" si="16"/>
      </c>
      <c r="W19" s="495">
        <f t="shared" si="0"/>
      </c>
      <c r="X19" s="494">
        <f t="shared" si="32"/>
      </c>
      <c r="Y19" s="491">
        <f>SUM(Y14:Y18)</f>
      </c>
      <c r="Z19" s="491">
        <f>SUM(Z14:Z18)</f>
      </c>
      <c r="AA19" s="491">
        <f>SUM(AA14:AA18)</f>
      </c>
      <c r="AB19" s="491">
        <f>SUM(AB14:AB18)</f>
      </c>
      <c r="AC19" s="491">
        <f>SUM(AC14:AC18)</f>
      </c>
      <c r="AD19" s="496">
        <f t="shared" si="8"/>
      </c>
      <c r="AE19" s="497"/>
      <c r="AF19" s="498"/>
      <c r="AG19" s="491">
        <f>SUM(AG14:AG18)</f>
      </c>
      <c r="AH19" s="491">
        <f>SUM(AH14:AH18)</f>
      </c>
      <c r="AI19" s="491">
        <f>SUM(AI14:AI18)</f>
      </c>
      <c r="AJ19" s="491">
        <f>SUM(AJ14:AJ18)</f>
      </c>
      <c r="AK19" s="491">
        <f>SUM(AK14:AK18)</f>
      </c>
      <c r="AL19" s="491">
        <f>SUM(AL14:AL18)</f>
      </c>
    </row>
    <row r="20">
      <c r="A20" s="462"/>
      <c r="B20" s="463" t="s">
        <v>418</v>
      </c>
      <c r="C20" s="502" t="s">
        <v>419</v>
      </c>
      <c r="D20" s="465">
        <f t="shared" ref="D20:D24" si="12">E20+F20+G20+H20</f>
      </c>
      <c r="E20" s="503"/>
      <c r="F20" s="504"/>
      <c r="G20" s="468">
        <v>0</v>
      </c>
      <c r="H20" s="468">
        <v>0</v>
      </c>
      <c r="I20" s="468">
        <f t="shared" ref="I20:I24" si="4">AB20+AC20</f>
      </c>
      <c r="J20" s="469"/>
      <c r="K20" s="470">
        <f t="shared" ref="K20:K24" si="24">I20-J20</f>
      </c>
      <c r="L20" s="470">
        <f t="shared" ref="L20:L24" si="28">(I20-AC20)/12+AC20</f>
      </c>
      <c r="M20" s="471">
        <f t="shared" si="13"/>
      </c>
      <c r="N20" s="472">
        <f t="shared" si="5"/>
      </c>
      <c r="O20" s="473">
        <f t="shared" si="30"/>
      </c>
      <c r="P20" s="474">
        <f t="shared" si="29"/>
      </c>
      <c r="Q20" s="474">
        <f t="shared" si="14"/>
      </c>
      <c r="R20" s="474">
        <f t="shared" si="6"/>
      </c>
      <c r="S20" s="475">
        <f t="shared" si="31"/>
      </c>
      <c r="T20" s="476">
        <f t="shared" si="15"/>
      </c>
      <c r="U20" s="474">
        <f t="shared" si="7"/>
      </c>
      <c r="V20" s="477">
        <f t="shared" si="16"/>
      </c>
      <c r="W20" s="477">
        <f t="shared" si="0"/>
      </c>
      <c r="X20" s="474">
        <f t="shared" si="32"/>
      </c>
      <c r="Y20" s="478">
        <f t="shared" ref="Y20:Y24" si="20">Z20+AA20</f>
      </c>
      <c r="Z20" s="478"/>
      <c r="AA20" s="478"/>
      <c r="AB20" s="479"/>
      <c r="AC20" s="479"/>
      <c r="AD20" s="475">
        <f t="shared" si="8"/>
      </c>
      <c r="AE20" s="480" t="s">
        <v>398</v>
      </c>
      <c r="AF20" s="481" t="s">
        <v>413</v>
      </c>
      <c r="AG20" s="482"/>
      <c r="AH20" s="482"/>
      <c r="AI20" s="483"/>
      <c r="AJ20" s="483"/>
      <c r="AK20" s="482"/>
      <c r="AL20" s="484"/>
    </row>
    <row r="21">
      <c r="A21" s="462"/>
      <c r="B21" s="463" t="s">
        <v>418</v>
      </c>
      <c r="C21" s="464" t="s">
        <v>420</v>
      </c>
      <c r="D21" s="465">
        <f t="shared" si="12"/>
      </c>
      <c r="E21" s="485"/>
      <c r="F21" s="504"/>
      <c r="G21" s="468">
        <v>0</v>
      </c>
      <c r="H21" s="468">
        <v>0</v>
      </c>
      <c r="I21" s="468">
        <f t="shared" si="4"/>
      </c>
      <c r="J21" s="469"/>
      <c r="K21" s="470">
        <f t="shared" si="24"/>
      </c>
      <c r="L21" s="470">
        <f t="shared" si="28"/>
      </c>
      <c r="M21" s="471">
        <f t="shared" si="13"/>
      </c>
      <c r="N21" s="472">
        <f t="shared" si="5"/>
      </c>
      <c r="O21" s="473">
        <f t="shared" si="30"/>
      </c>
      <c r="P21" s="474">
        <f t="shared" si="29"/>
      </c>
      <c r="Q21" s="474">
        <f t="shared" si="14"/>
      </c>
      <c r="R21" s="474">
        <f t="shared" si="6"/>
      </c>
      <c r="S21" s="475">
        <f t="shared" si="31"/>
      </c>
      <c r="T21" s="476">
        <f t="shared" si="15"/>
      </c>
      <c r="U21" s="474">
        <f t="shared" si="7"/>
      </c>
      <c r="V21" s="477">
        <f t="shared" si="16"/>
      </c>
      <c r="W21" s="477">
        <f t="shared" si="0"/>
      </c>
      <c r="X21" s="474">
        <f t="shared" si="32"/>
      </c>
      <c r="Y21" s="478">
        <f t="shared" si="20"/>
      </c>
      <c r="Z21" s="478"/>
      <c r="AA21" s="478"/>
      <c r="AB21" s="479"/>
      <c r="AC21" s="479"/>
      <c r="AD21" s="475">
        <f t="shared" si="8"/>
      </c>
      <c r="AE21" s="480" t="s">
        <v>398</v>
      </c>
      <c r="AF21" s="481" t="s">
        <v>413</v>
      </c>
      <c r="AG21" s="482"/>
      <c r="AH21" s="483"/>
      <c r="AI21" s="483"/>
      <c r="AJ21" s="483"/>
      <c r="AK21" s="484"/>
      <c r="AL21" s="484"/>
    </row>
    <row r="22">
      <c r="A22" s="462"/>
      <c r="B22" s="463" t="s">
        <v>418</v>
      </c>
      <c r="C22" s="502" t="s">
        <v>421</v>
      </c>
      <c r="D22" s="465">
        <f t="shared" si="12"/>
      </c>
      <c r="E22" s="485"/>
      <c r="F22" s="485"/>
      <c r="G22" s="468">
        <v>0</v>
      </c>
      <c r="H22" s="468">
        <v>0</v>
      </c>
      <c r="I22" s="468">
        <f t="shared" si="4"/>
      </c>
      <c r="J22" s="469"/>
      <c r="K22" s="470">
        <f t="shared" si="24"/>
      </c>
      <c r="L22" s="470">
        <f t="shared" si="28"/>
      </c>
      <c r="M22" s="471">
        <f t="shared" si="13"/>
      </c>
      <c r="N22" s="472">
        <f t="shared" si="5"/>
      </c>
      <c r="O22" s="473">
        <f t="shared" si="30"/>
      </c>
      <c r="P22" s="474">
        <f t="shared" si="29"/>
      </c>
      <c r="Q22" s="474">
        <f t="shared" si="14"/>
      </c>
      <c r="R22" s="474">
        <f t="shared" si="6"/>
      </c>
      <c r="S22" s="475">
        <f t="shared" si="31"/>
      </c>
      <c r="T22" s="476">
        <f t="shared" si="15"/>
      </c>
      <c r="U22" s="474">
        <f t="shared" si="7"/>
      </c>
      <c r="V22" s="477">
        <f t="shared" si="16"/>
      </c>
      <c r="W22" s="477">
        <f t="shared" si="0"/>
      </c>
      <c r="X22" s="474">
        <f t="shared" si="32"/>
      </c>
      <c r="Y22" s="478">
        <f t="shared" si="20"/>
      </c>
      <c r="Z22" s="478"/>
      <c r="AA22" s="478"/>
      <c r="AB22" s="479"/>
      <c r="AC22" s="479"/>
      <c r="AD22" s="475">
        <f t="shared" si="8"/>
      </c>
      <c r="AE22" s="480" t="s">
        <v>398</v>
      </c>
      <c r="AF22" s="481" t="s">
        <v>413</v>
      </c>
      <c r="AG22" s="484"/>
      <c r="AH22" s="483"/>
      <c r="AI22" s="483"/>
      <c r="AJ22" s="483"/>
      <c r="AK22" s="484"/>
      <c r="AL22" s="484"/>
    </row>
    <row r="23">
      <c r="A23" s="462"/>
      <c r="B23" s="463" t="s">
        <v>418</v>
      </c>
      <c r="C23" s="464" t="s">
        <v>422</v>
      </c>
      <c r="D23" s="465">
        <f t="shared" si="12"/>
      </c>
      <c r="E23" s="485"/>
      <c r="F23" s="504"/>
      <c r="G23" s="468">
        <v>0</v>
      </c>
      <c r="H23" s="468">
        <v>0</v>
      </c>
      <c r="I23" s="468">
        <f t="shared" si="4"/>
      </c>
      <c r="J23" s="469"/>
      <c r="K23" s="470">
        <f t="shared" si="24"/>
      </c>
      <c r="L23" s="470">
        <f t="shared" si="28"/>
      </c>
      <c r="M23" s="471">
        <f t="shared" si="13"/>
      </c>
      <c r="N23" s="472">
        <f t="shared" si="5"/>
      </c>
      <c r="O23" s="473">
        <f t="shared" si="30"/>
      </c>
      <c r="P23" s="474">
        <f t="shared" si="29"/>
      </c>
      <c r="Q23" s="474">
        <f t="shared" si="14"/>
      </c>
      <c r="R23" s="474">
        <f t="shared" si="6"/>
      </c>
      <c r="S23" s="475">
        <f t="shared" si="31"/>
      </c>
      <c r="T23" s="476">
        <f t="shared" si="15"/>
      </c>
      <c r="U23" s="474">
        <f t="shared" si="7"/>
      </c>
      <c r="V23" s="477">
        <f t="shared" si="16"/>
      </c>
      <c r="W23" s="477">
        <f t="shared" si="0"/>
      </c>
      <c r="X23" s="474">
        <f t="shared" si="32"/>
      </c>
      <c r="Y23" s="478">
        <f t="shared" si="20"/>
      </c>
      <c r="Z23" s="478"/>
      <c r="AA23" s="478"/>
      <c r="AB23" s="479"/>
      <c r="AC23" s="479"/>
      <c r="AD23" s="475">
        <f t="shared" si="8"/>
      </c>
      <c r="AE23" s="480" t="s">
        <v>398</v>
      </c>
      <c r="AF23" s="481" t="s">
        <v>413</v>
      </c>
      <c r="AG23" s="482"/>
      <c r="AH23" s="483"/>
      <c r="AI23" s="483"/>
      <c r="AJ23" s="483"/>
      <c r="AK23" s="484"/>
      <c r="AL23" s="484"/>
    </row>
    <row r="24">
      <c r="A24" s="462"/>
      <c r="B24" s="463" t="s">
        <v>418</v>
      </c>
      <c r="C24" s="464" t="s">
        <v>423</v>
      </c>
      <c r="D24" s="465">
        <f t="shared" si="12"/>
      </c>
      <c r="E24" s="485"/>
      <c r="F24" s="504"/>
      <c r="G24" s="468">
        <v>0</v>
      </c>
      <c r="H24" s="468">
        <v>0</v>
      </c>
      <c r="I24" s="468">
        <f t="shared" si="4"/>
      </c>
      <c r="J24" s="469"/>
      <c r="K24" s="470">
        <f t="shared" si="24"/>
      </c>
      <c r="L24" s="470">
        <f t="shared" si="28"/>
      </c>
      <c r="M24" s="471">
        <f t="shared" si="13"/>
      </c>
      <c r="N24" s="472">
        <f t="shared" si="5"/>
      </c>
      <c r="O24" s="473">
        <f t="shared" si="30"/>
      </c>
      <c r="P24" s="474">
        <f t="shared" si="29"/>
      </c>
      <c r="Q24" s="474">
        <f t="shared" si="14"/>
      </c>
      <c r="R24" s="474">
        <f t="shared" si="6"/>
      </c>
      <c r="S24" s="475">
        <f t="shared" si="31"/>
      </c>
      <c r="T24" s="476">
        <f t="shared" si="15"/>
      </c>
      <c r="U24" s="474">
        <f t="shared" si="7"/>
      </c>
      <c r="V24" s="477">
        <f t="shared" si="16"/>
      </c>
      <c r="W24" s="477">
        <f t="shared" si="0"/>
      </c>
      <c r="X24" s="474">
        <f t="shared" si="32"/>
      </c>
      <c r="Y24" s="478">
        <f t="shared" si="20"/>
      </c>
      <c r="Z24" s="478"/>
      <c r="AA24" s="478"/>
      <c r="AB24" s="479"/>
      <c r="AC24" s="479"/>
      <c r="AD24" s="475">
        <f t="shared" si="8"/>
      </c>
      <c r="AE24" s="480" t="s">
        <v>398</v>
      </c>
      <c r="AF24" s="481" t="s">
        <v>413</v>
      </c>
      <c r="AG24" s="482"/>
      <c r="AH24" s="483"/>
      <c r="AI24" s="483"/>
      <c r="AJ24" s="483"/>
      <c r="AK24" s="484"/>
      <c r="AL24" s="484"/>
    </row>
    <row r="25">
      <c r="A25" s="462"/>
      <c r="B25" s="489" t="s">
        <v>404</v>
      </c>
      <c r="C25" s="490">
        <v>5</v>
      </c>
      <c r="D25" s="491">
        <f>SUM(D20:D24)</f>
      </c>
      <c r="E25" s="491">
        <f>SUM(E20:E24)</f>
      </c>
      <c r="F25" s="491">
        <f>SUM(F20:F24)</f>
      </c>
      <c r="G25" s="491">
        <f>SUM(G20:G24)</f>
      </c>
      <c r="H25" s="491">
        <f>SUM(H20:H24)</f>
      </c>
      <c r="I25" s="491">
        <f>SUM(I20:I24)</f>
      </c>
      <c r="J25" s="491">
        <f>SUM(J20:J24)</f>
      </c>
      <c r="K25" s="491">
        <f>SUM(K20:K24)</f>
      </c>
      <c r="L25" s="491">
        <f>SUM(L20:L24)</f>
      </c>
      <c r="M25" s="492">
        <f t="shared" si="13"/>
      </c>
      <c r="N25" s="493">
        <f t="shared" si="5"/>
      </c>
      <c r="O25" s="493">
        <f t="shared" si="30"/>
      </c>
      <c r="P25" s="494">
        <f t="shared" si="29"/>
      </c>
      <c r="Q25" s="494">
        <f t="shared" si="14"/>
      </c>
      <c r="R25" s="494">
        <f t="shared" si="6"/>
      </c>
      <c r="S25" s="495">
        <f t="shared" si="31"/>
      </c>
      <c r="T25" s="495">
        <f t="shared" si="15"/>
      </c>
      <c r="U25" s="494">
        <f t="shared" si="7"/>
      </c>
      <c r="V25" s="495">
        <f t="shared" si="16"/>
      </c>
      <c r="W25" s="495">
        <f t="shared" si="0"/>
      </c>
      <c r="X25" s="494">
        <f t="shared" si="32"/>
      </c>
      <c r="Y25" s="491">
        <f>SUM(Y20:Y24)</f>
      </c>
      <c r="Z25" s="491">
        <f>SUM(Z20:Z24)</f>
      </c>
      <c r="AA25" s="491">
        <f>SUM(AA20:AA24)</f>
      </c>
      <c r="AB25" s="491">
        <f>SUM(AB20:AB24)</f>
      </c>
      <c r="AC25" s="491">
        <f>SUM(AC20:AC24)</f>
      </c>
      <c r="AD25" s="505">
        <f t="shared" si="8"/>
      </c>
      <c r="AE25" s="506"/>
      <c r="AF25" s="498"/>
      <c r="AG25" s="491">
        <f>SUM(AG20:AG24)</f>
      </c>
      <c r="AH25" s="491">
        <f>SUM(AH20:AH24)</f>
      </c>
      <c r="AI25" s="491">
        <f>SUM(AI20:AI24)</f>
      </c>
      <c r="AJ25" s="491">
        <f>SUM(AJ20:AJ24)</f>
      </c>
      <c r="AK25" s="491">
        <f>SUM(AK20:AK24)</f>
      </c>
      <c r="AL25" s="491">
        <f>SUM(AL20:AL24)</f>
      </c>
    </row>
    <row r="26">
      <c r="A26" s="462"/>
      <c r="B26" s="507" t="s">
        <v>404</v>
      </c>
      <c r="C26" s="508">
        <f>C7+C13+C19+C25</f>
      </c>
      <c r="D26" s="509">
        <f>D7+D13+D19+D25</f>
      </c>
      <c r="E26" s="508">
        <f>E7+E13+E19+E25</f>
      </c>
      <c r="F26" s="508">
        <f>F7+F13+F19+F25</f>
      </c>
      <c r="G26" s="508">
        <f>G7+G13+G19+G25</f>
      </c>
      <c r="H26" s="508">
        <f>H7+H13+H19+H25</f>
      </c>
      <c r="I26" s="509">
        <f>I7+I13+I19+I25</f>
      </c>
      <c r="J26" s="508">
        <f>J7+J13+J19+J25</f>
      </c>
      <c r="K26" s="508">
        <f>K7+K13+K19+K25</f>
      </c>
      <c r="L26" s="508">
        <f>L7+L13+L19+L25</f>
      </c>
      <c r="M26" s="510">
        <f t="shared" si="13"/>
      </c>
      <c r="N26" s="510">
        <f t="shared" si="5"/>
      </c>
      <c r="O26" s="510">
        <f t="shared" si="30"/>
      </c>
      <c r="P26" s="510">
        <f t="shared" si="29"/>
      </c>
      <c r="Q26" s="510">
        <f t="shared" si="14"/>
      </c>
      <c r="R26" s="510">
        <f t="shared" si="6"/>
      </c>
      <c r="S26" s="511">
        <f t="shared" si="31"/>
      </c>
      <c r="T26" s="511">
        <f t="shared" si="15"/>
      </c>
      <c r="U26" s="510">
        <f t="shared" si="7"/>
      </c>
      <c r="V26" s="511">
        <f t="shared" si="16"/>
      </c>
      <c r="W26" s="511">
        <f t="shared" si="0"/>
      </c>
      <c r="X26" s="510">
        <f t="shared" si="32"/>
      </c>
      <c r="Y26" s="512">
        <f>Y7+Y13+Y19+Y25</f>
      </c>
      <c r="Z26" s="512">
        <f>Z7+Z13+Z19+Z25</f>
      </c>
      <c r="AA26" s="512">
        <f>AA7+AA13+AA19+AA25</f>
      </c>
      <c r="AB26" s="512">
        <f>AB7+AB13+AB19+AB25</f>
      </c>
      <c r="AC26" s="512">
        <f>AC7+AC13+AC19+AC25</f>
      </c>
      <c r="AD26" s="513">
        <f>AD7+AD13+AD19+AD25</f>
      </c>
      <c r="AE26" s="514"/>
      <c r="AF26" s="515"/>
      <c r="AG26" s="508">
        <f>AG7+AG13+AG19+AG25</f>
      </c>
      <c r="AH26" s="508">
        <f>AH7+AH13+AH19+AH25</f>
      </c>
      <c r="AI26" s="508">
        <f>AI7+AI13+AI19+AI25</f>
      </c>
      <c r="AJ26" s="508">
        <f>AJ7+AJ13+AJ19+AJ25</f>
      </c>
      <c r="AK26" s="508">
        <f>AK7+AK13+AK19+AK25</f>
      </c>
      <c r="AL26" s="508">
        <f>AL7+AL13+AL19+AL25</f>
      </c>
    </row>
    <row r="27">
      <c r="G27" s="516" t="s">
        <v>424</v>
      </c>
      <c r="H27" s="517" cm="1">
        <f t="array" ref="H27:H27">IMPORTRANGE("https://meimeiwangluo.feishu.cn/sheets/GIXqsFoGxhCeyHtByxwcaWrBnud","'Sheet1'!AA5")</f>
      </c>
      <c r="I27" s="518" cm="1">
        <f t="array" ref="I27:I27">IMPORTRANGE("https://meimeiwangluo.feishu.cn/sheets/GIXqsFoGxhCeyHtByxwcaWrBnud","'Sheet1'!AA1")</f>
      </c>
      <c r="J27" s="519">
        <f>J28-J26-K28</f>
      </c>
      <c r="K27" s="520" t="s">
        <v>425</v>
      </c>
      <c r="Y27" s="521" t="s">
        <v>426</v>
      </c>
      <c r="Z27">
        <f>Z28-Z29-Z26</f>
      </c>
      <c r="AA27">
        <f>AA28-AA29-AA26</f>
      </c>
      <c r="AB27">
        <f>AB28-AB29-AB26</f>
      </c>
      <c r="AC27">
        <f>AC28-AC29-AC26</f>
      </c>
      <c r="AD27" s="522"/>
      <c r="AE27" s="522"/>
      <c r="AG27">
        <f>AG28+AG29</f>
      </c>
      <c r="AH27">
        <f>AH28+AH29</f>
      </c>
      <c r="AI27">
        <f>AI28+AI29</f>
      </c>
      <c r="AJ27">
        <f>AJ28+AJ29</f>
      </c>
      <c r="AK27">
        <f>AK28+AK29</f>
      </c>
      <c r="AL27">
        <f>AL28+AL29</f>
      </c>
    </row>
    <row r="28">
      <c r="A28" s="522"/>
      <c r="B28" s="523"/>
      <c r="C28" s="521"/>
      <c r="F28" s="521"/>
      <c r="I28" s="488"/>
      <c r="J28" s="524"/>
      <c r="K28" s="520"/>
      <c r="Y28" s="525" t="s">
        <v>427</v>
      </c>
      <c r="Z28" s="526"/>
      <c r="AA28" s="526"/>
      <c r="AB28" s="526"/>
      <c r="AC28" s="527"/>
      <c r="AE28" s="521"/>
    </row>
    <row r="29">
      <c r="C29" s="521"/>
      <c r="D29" s="521"/>
      <c r="E29" s="521"/>
      <c r="F29" s="521"/>
      <c r="G29" s="521"/>
      <c r="H29" s="521"/>
      <c r="J29" s="460" t="s">
        <v>428</v>
      </c>
      <c r="Y29" s="521" t="s">
        <v>429</v>
      </c>
      <c r="Z29" s="520"/>
      <c r="AA29" s="520"/>
      <c r="AB29" s="520"/>
      <c r="AC29" s="528"/>
      <c r="AE29" s="529"/>
    </row>
    <row r="30">
      <c r="B30" s="530" t="s">
        <v>430</v>
      </c>
      <c r="C30" s="531"/>
      <c r="D30" s="532"/>
      <c r="E30" s="531"/>
      <c r="G30" s="521"/>
      <c r="H30" s="521"/>
      <c r="I30" s="521"/>
      <c r="J30" s="521"/>
      <c r="K30" s="521"/>
      <c r="Z30" s="460" t="s">
        <v>383</v>
      </c>
      <c r="AA30" s="459" t="s">
        <v>384</v>
      </c>
      <c r="AB30" s="461" t="s">
        <v>385</v>
      </c>
      <c r="AC30" s="461" t="s">
        <v>386</v>
      </c>
    </row>
    <row r="31">
      <c r="A31" s="531"/>
      <c r="B31" s="533" t="s">
        <v>431</v>
      </c>
      <c r="C31" s="533" t="s">
        <v>432</v>
      </c>
      <c r="D31" s="533" t="s">
        <v>433</v>
      </c>
      <c r="E31" s="534"/>
      <c r="F31" s="531"/>
      <c r="G31" s="521"/>
      <c r="H31" s="521"/>
      <c r="I31" s="521"/>
      <c r="Z31" s="521">
        <f>Z32-Z23</f>
      </c>
      <c r="AA31" s="521">
        <f>AA32-AA23</f>
      </c>
      <c r="AB31" s="521">
        <f>AB32-AB23</f>
      </c>
      <c r="AC31" s="521">
        <f>AC32-AC23</f>
      </c>
    </row>
    <row r="32">
      <c r="A32" s="531"/>
      <c r="B32" s="533">
        <v>2009389.27</v>
      </c>
      <c r="C32" s="533">
        <v>9873.45</v>
      </c>
      <c r="D32" s="533">
        <v>9342.15</v>
      </c>
      <c r="E32" s="533">
        <f>B32-C32+D32</f>
      </c>
      <c r="F32" s="531"/>
      <c r="AA32" s="521"/>
    </row>
    <row r="33">
      <c r="B33" s="531"/>
      <c r="C33" s="531"/>
      <c r="D33" s="531"/>
      <c r="E33" s="531"/>
      <c r="H33" s="521"/>
      <c r="I33" s="521"/>
      <c r="AA33" s="521"/>
    </row>
    <row r="34">
      <c r="AA34" s="521"/>
    </row>
    <row r="35">
      <c r="AA35" s="521"/>
    </row>
    <row r="36">
      <c r="AA36" s="521"/>
    </row>
    <row r="37">
      <c r="AA37" s="521"/>
    </row>
    <row r="38">
      <c r="AA38" s="521"/>
      <c r="AB38" s="521"/>
      <c r="AC38" s="521"/>
    </row>
    <row r="39">
      <c r="AA39" s="521"/>
      <c r="AB39" s="521"/>
      <c r="AC39" s="521"/>
    </row>
    <row r="40">
      <c r="AA40" s="521"/>
    </row>
    <row r="41">
      <c r="AA41" s="521"/>
    </row>
    <row r="42">
      <c r="AA42" s="521"/>
    </row>
    <row r="43">
      <c r="AA43" s="521"/>
    </row>
  </sheetData>
  <mergeCells>
    <mergeCell ref="A2:A2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