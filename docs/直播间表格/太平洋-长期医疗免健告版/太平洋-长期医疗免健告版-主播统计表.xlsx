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8"/>
    <sheet name="2026.7" sheetId="5" r:id="rId10"/>
    <sheet name="2026.6" sheetId="6" r:id="rId12"/>
    <sheet name="Sheet7" sheetId="7" r:id="rId14"/>
  </sheets>
  <calcPr calcMode="auto"/>
  <pivotCaches>
    <pivotCache cacheId="1" r:id="rId7"/>
    <pivotCache cacheId="2" r:id="rId9"/>
    <pivotCache cacheId="3" r:id="rId11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4" i="2" a="true"/>
  <c r="K54" i="2" a="true"/>
  <c r="K60" i="2" a="true"/>
  <c r="M60" i="2" a="true"/>
  <c r="K54" i="7" a="true"/>
  <c r="M54" i="7" a="true"/>
  <c r="M60" i="7" a="true"/>
  <c r="K60" i="7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<sst xmlns="http://schemas.openxmlformats.org/spreadsheetml/2006/main" count="377" uniqueCount="377">
  <si>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</si>
  <si>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</si>
  <si>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</si>
  <si>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</si>
  <si>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</si>
  <si>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</si>
  <si>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</si>
  <si>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</si>
  <si>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</si>
  <si>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</si>
  <si>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</si>
  <si>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</si>
  <si>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</si>
  <si>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</si>
  <si>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</si>
  <si>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</si>
  <si>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</si>
  <si>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</si>
  <si>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</si>
  <si>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</si>
  <si>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</si>
  <si>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翟晓丹</t>
  </si>
  <si>
    <t xml:space="preserve">06:00-11:00</t>
  </si>
  <si>
    <t xml:space="preserve">代文聪早</t>
  </si>
  <si>
    <t xml:space="preserve">陈浏铭</t>
  </si>
  <si>
    <t xml:space="preserve">张雪</t>
  </si>
  <si>
    <t xml:space="preserve">11:00-15:00</t>
  </si>
  <si>
    <t xml:space="preserve">郭智玲</t>
  </si>
  <si>
    <t xml:space="preserve">15:00-17:00</t>
  </si>
  <si>
    <t xml:space="preserve">彭亚迁</t>
  </si>
  <si>
    <t xml:space="preserve">17:00-21:00</t>
  </si>
  <si>
    <t xml:space="preserve">康梦帆</t>
  </si>
  <si>
    <t xml:space="preserve">21:00-02:00</t>
  </si>
  <si>
    <t xml:space="preserve">武周帅晚</t>
  </si>
  <si>
    <t xml:space="preserve">董云霄</t>
  </si>
  <si>
    <t xml:space="preserve">马晓晶</t>
  </si>
  <si>
    <t xml:space="preserve">17:00-22:00</t>
  </si>
  <si>
    <t xml:space="preserve">22:00-02:00</t>
  </si>
  <si>
    <t xml:space="preserve">11:00-16:00</t>
  </si>
  <si>
    <t xml:space="preserve">16:00-18:00</t>
  </si>
  <si>
    <t xml:space="preserve">18:00-22:00</t>
  </si>
  <si>
    <t xml:space="preserve">闫小姗双</t>
  </si>
  <si>
    <t xml:space="preserve">高琎梅双</t>
  </si>
  <si>
    <t xml:space="preserve">李哲早</t>
  </si>
  <si>
    <t xml:space="preserve">15:00-18:00</t>
  </si>
  <si>
    <t xml:space="preserve">16:00-21:00</t>
  </si>
  <si>
    <t xml:space="preserve">发甲方的日报 消耗和小时报对上即可  其他字段直接复制凌晨前就可以（可省略公式）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</si>
  <si>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</si>
  <si>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</si>
  <si>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</si>
  <si>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</si>
  <si>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</si>
  <si>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</si>
  <si>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</si>
  <si>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</si>
  <si>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</si>
  <si>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</si>
  <si>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</si>
  <si>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</si>
  <si>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</si>
  <si>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</si>
  <si>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</si>
  <si>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</si>
  <si>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</si>
  <si>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</si>
  <si>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</si>
  <si>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</si>
  <si>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2026.9.1</t>
  </si>
  <si>
    <t xml:space="preserve">董云霄</t>
  </si>
  <si>
    <t xml:space="preserve">06:00-11:00</t>
  </si>
  <si>
    <t xml:space="preserve">陈浏铭</t>
  </si>
  <si>
    <t xml:space="preserve">张雪</t>
  </si>
  <si>
    <t xml:space="preserve">11:00-15:00</t>
  </si>
  <si>
    <t xml:space="preserve">彭亚迁</t>
  </si>
  <si>
    <t xml:space="preserve">15:00-18:00</t>
  </si>
  <si>
    <t xml:space="preserve">代文聪早</t>
  </si>
  <si>
    <t xml:space="preserve">康梦帆</t>
  </si>
  <si>
    <t xml:space="preserve">18:00-21:00</t>
  </si>
  <si>
    <t xml:space="preserve">翟晓丹</t>
  </si>
  <si>
    <t xml:space="preserve">21:00-02:00</t>
  </si>
  <si>
    <t xml:space="preserve">武周帅晚</t>
  </si>
  <si>
    <t xml:space="preserve">林智豪</t>
  </si>
  <si>
    <t xml:space="preserve">2026.9.2</t>
  </si>
  <si>
    <t xml:space="preserve">2026.9.3</t>
  </si>
  <si>
    <t xml:space="preserve">李哲早</t>
  </si>
  <si>
    <t xml:space="preserve">高琎梅双</t>
  </si>
  <si>
    <t xml:space="preserve">15:00-19:00</t>
  </si>
  <si>
    <t xml:space="preserve">19:00-22:00</t>
  </si>
  <si>
    <t xml:space="preserve">22:00-02:00</t>
  </si>
  <si>
    <t xml:space="preserve">2026.9.4</t>
  </si>
  <si>
    <t xml:space="preserve">11:00-16:00</t>
  </si>
  <si>
    <t xml:space="preserve">16:00-20:00</t>
  </si>
  <si>
    <t xml:space="preserve">20:00-23:00</t>
  </si>
  <si>
    <t xml:space="preserve">武周帅</t>
  </si>
  <si>
    <t xml:space="preserve">2026.9.5</t>
  </si>
  <si>
    <t xml:space="preserve">16:00-21:00</t>
  </si>
  <si>
    <t xml:space="preserve">2026.9.6</t>
  </si>
  <si>
    <t xml:space="preserve">2026.9.7</t>
  </si>
  <si>
    <t xml:space="preserve">2026.9.8</t>
  </si>
  <si>
    <t xml:space="preserve">2026.9.9</t>
  </si>
  <si>
    <t xml:space="preserve">2026.9.10</t>
  </si>
  <si>
    <t xml:space="preserve">2026.9.11</t>
  </si>
  <si>
    <t xml:space="preserve">2026.9.12</t>
  </si>
  <si>
    <t xml:space="preserve">郭斯元晚</t>
  </si>
  <si>
    <t xml:space="preserve">2026.9.13</t>
  </si>
  <si>
    <t xml:space="preserve">闫小姗双</t>
  </si>
  <si>
    <t xml:space="preserve">2026.9.14</t>
  </si>
  <si>
    <t xml:space="preserve">2026.9.15</t>
  </si>
  <si>
    <t xml:space="preserve">21:00-01:00</t>
  </si>
  <si>
    <t xml:space="preserve">董柯言晚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</si>
  <si>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</si>
  <si>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</si>
  <si>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</si>
  <si>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</si>
  <si>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</si>
  <si>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</si>
  <si>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2026.9.22</t>
  </si>
  <si>
    <t xml:space="preserve">董柯言双</t>
  </si>
  <si>
    <t xml:space="preserve">2026.9.23</t>
  </si>
  <si>
    <t xml:space="preserve">李哲晚 </t>
  </si>
  <si>
    <t xml:space="preserve">2026.9.24</t>
  </si>
  <si>
    <t xml:space="preserve">2026.9.25</t>
  </si>
  <si>
    <t xml:space="preserve">武周帅早</t>
  </si>
  <si>
    <t xml:space="preserve">马晓晶 </t>
  </si>
  <si>
    <t xml:space="preserve">15:00-17:00</t>
  </si>
  <si>
    <t xml:space="preserve">17:00-21:00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</si>
  <si>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</si>
  <si>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</si>
  <si>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</si>
  <si>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</si>
  <si>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</si>
  <si>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roi</t>
  </si>
  <si>
    <t xml:space="preserve">时耗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</si>
  <si>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</si>
  <si>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</si>
  <si>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</si>
  <si>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</si>
  <si>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</si>
  <si>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</si>
  <si>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</si>
  <si>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</si>
  <si>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</si>
  <si>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</si>
  <si>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</si>
  <si>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</si>
  <si>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</si>
  <si>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</si>
  <si>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</si>
  <si>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</si>
  <si>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</si>
  <si>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</si>
  <si>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</si>
  <si>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</si>
  <si>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</si>
  <si>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</si>
  <si>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2026.8.1</t>
  </si>
  <si>
    <t xml:space="preserve">董云霄</t>
  </si>
  <si>
    <t xml:space="preserve">14:00-19:00</t>
  </si>
  <si>
    <t xml:space="preserve">武周帅</t>
  </si>
  <si>
    <t xml:space="preserve">陈浏铭</t>
  </si>
  <si>
    <t xml:space="preserve">翟晓丹</t>
  </si>
  <si>
    <t xml:space="preserve">19:00-24:00</t>
  </si>
  <si>
    <t xml:space="preserve">2026.8.2</t>
  </si>
  <si>
    <t xml:space="preserve">2026.8.3</t>
  </si>
  <si>
    <t xml:space="preserve">2026.8.4</t>
  </si>
  <si>
    <t xml:space="preserve">任子硕</t>
  </si>
  <si>
    <t xml:space="preserve">2026.8.5</t>
  </si>
  <si>
    <t xml:space="preserve">2026.8.6</t>
  </si>
  <si>
    <t xml:space="preserve">2026.8.7</t>
  </si>
  <si>
    <t xml:space="preserve">09:00-14:00</t>
  </si>
  <si>
    <t xml:space="preserve">李哲双</t>
  </si>
  <si>
    <t xml:space="preserve">卢美玲</t>
  </si>
  <si>
    <t xml:space="preserve">2026.8.8</t>
  </si>
  <si>
    <t xml:space="preserve">2026.8.9</t>
  </si>
  <si>
    <t xml:space="preserve">2026.8.10</t>
  </si>
  <si>
    <t xml:space="preserve">09:00-15:00</t>
  </si>
  <si>
    <t xml:space="preserve">索茜霖</t>
  </si>
  <si>
    <t xml:space="preserve">15:00-19:00</t>
  </si>
  <si>
    <t xml:space="preserve">武周帅双</t>
  </si>
  <si>
    <t xml:space="preserve">2026.8.11</t>
  </si>
  <si>
    <t xml:space="preserve">2026.8.12</t>
  </si>
  <si>
    <t xml:space="preserve">2026.8.13</t>
  </si>
  <si>
    <t xml:space="preserve">康梦帆</t>
  </si>
  <si>
    <t xml:space="preserve">2026.8.14</t>
  </si>
  <si>
    <t xml:space="preserve">14:00-18:00</t>
  </si>
  <si>
    <t xml:space="preserve">张雪</t>
  </si>
  <si>
    <t xml:space="preserve">18:00-20:00</t>
  </si>
  <si>
    <t xml:space="preserve">20:00-24:00</t>
  </si>
  <si>
    <t xml:space="preserve">2026.8.15</t>
  </si>
  <si>
    <t xml:space="preserve">刘艺聪</t>
  </si>
  <si>
    <t xml:space="preserve">2026.8.16</t>
  </si>
  <si>
    <t xml:space="preserve">魏迪双</t>
  </si>
  <si>
    <t xml:space="preserve">董柯言双</t>
  </si>
  <si>
    <t xml:space="preserve">侯思蕊</t>
  </si>
  <si>
    <t xml:space="preserve">2026.8.17</t>
  </si>
  <si>
    <t xml:space="preserve">09:00-13:00</t>
  </si>
  <si>
    <t xml:space="preserve">13:00-17:00</t>
  </si>
  <si>
    <t xml:space="preserve">彭亚迁</t>
  </si>
  <si>
    <t xml:space="preserve">17:00-19:00</t>
  </si>
  <si>
    <t xml:space="preserve">2026.8.18</t>
  </si>
  <si>
    <t xml:space="preserve">张滋怡双</t>
  </si>
  <si>
    <t xml:space="preserve">2026.8.19</t>
  </si>
  <si>
    <t xml:space="preserve">06:00-11:00</t>
  </si>
  <si>
    <t xml:space="preserve">11:00-15:00</t>
  </si>
  <si>
    <t xml:space="preserve">15:00-17:00</t>
  </si>
  <si>
    <t xml:space="preserve">张滋怡早</t>
  </si>
  <si>
    <t xml:space="preserve">17:00-21:00</t>
  </si>
  <si>
    <t xml:space="preserve">21:00-02:00</t>
  </si>
  <si>
    <t xml:space="preserve">武周帅晚</t>
  </si>
  <si>
    <t xml:space="preserve">2026.8.20</t>
  </si>
  <si>
    <t xml:space="preserve">2026.8.21</t>
  </si>
  <si>
    <t xml:space="preserve">11:00-16:00</t>
  </si>
  <si>
    <t xml:space="preserve">16:00-18:00</t>
  </si>
  <si>
    <t xml:space="preserve">18:00-21:00</t>
  </si>
  <si>
    <t xml:space="preserve">2026.8.22</t>
  </si>
  <si>
    <t xml:space="preserve">2026.8.23</t>
  </si>
  <si>
    <t xml:space="preserve">2026.8.24</t>
  </si>
  <si>
    <t xml:space="preserve">高琎梅双</t>
  </si>
  <si>
    <t xml:space="preserve">2026.8.25</t>
  </si>
  <si>
    <t xml:space="preserve">李哲早</t>
  </si>
  <si>
    <t xml:space="preserve">2026.8.26</t>
  </si>
  <si>
    <t xml:space="preserve">2026.8.27</t>
  </si>
  <si>
    <t xml:space="preserve">2026.8.28</t>
  </si>
  <si>
    <t xml:space="preserve">代文聪早</t>
  </si>
  <si>
    <t xml:space="preserve">2026.8.29</t>
  </si>
  <si>
    <t xml:space="preserve">张滋怡双晚</t>
  </si>
  <si>
    <t xml:space="preserve">2026.8.30</t>
  </si>
  <si>
    <t xml:space="preserve">16:00-21:00</t>
  </si>
  <si>
    <t xml:space="preserve">2026.8.31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</si>
  <si>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</si>
  <si>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</si>
  <si>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</si>
  <si>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</si>
  <si>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</si>
  <si>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</si>
  <si>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</si>
  <si>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</si>
  <si>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</si>
  <si>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</si>
  <si>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</si>
  <si>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</si>
  <si>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</si>
  <si>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</si>
  <si>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</si>
  <si>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</si>
  <si>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</si>
  <si>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</si>
  <si>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</si>
  <si>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</si>
  <si>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2026.7.1</t>
  </si>
  <si>
    <t xml:space="preserve">董云霄</t>
  </si>
  <si>
    <t xml:space="preserve">19:00-24:00</t>
  </si>
  <si>
    <t xml:space="preserve">郭斯元</t>
  </si>
  <si>
    <t xml:space="preserve">陈浏铭</t>
  </si>
  <si>
    <t xml:space="preserve">2026.7.2</t>
  </si>
  <si>
    <t xml:space="preserve">2026.7.3</t>
  </si>
  <si>
    <t xml:space="preserve">2026.7.4</t>
  </si>
  <si>
    <t xml:space="preserve">2026.7.5</t>
  </si>
  <si>
    <t xml:space="preserve">2026.7.6</t>
  </si>
  <si>
    <t xml:space="preserve">2026.7.7</t>
  </si>
  <si>
    <t xml:space="preserve">2026.7.8</t>
  </si>
  <si>
    <t xml:space="preserve">2026.7.9</t>
  </si>
  <si>
    <t xml:space="preserve">2026.7.10</t>
  </si>
  <si>
    <t xml:space="preserve">2026.7.11</t>
  </si>
  <si>
    <t xml:space="preserve">2026.7.13</t>
  </si>
  <si>
    <t xml:space="preserve">2026.7.14</t>
  </si>
  <si>
    <t xml:space="preserve">2026.7.15</t>
  </si>
  <si>
    <t xml:space="preserve">任子硕</t>
  </si>
  <si>
    <t xml:space="preserve">2026.7.16</t>
  </si>
  <si>
    <t xml:space="preserve">2026.7.17</t>
  </si>
  <si>
    <t xml:space="preserve">2026.7.18</t>
  </si>
  <si>
    <t xml:space="preserve">14:00-19:00</t>
  </si>
  <si>
    <t xml:space="preserve">翟晓丹</t>
  </si>
  <si>
    <t xml:space="preserve">2026.7.19</t>
  </si>
  <si>
    <t xml:space="preserve">2026.7.20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</si>
  <si>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</si>
  <si>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</si>
  <si>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</si>
  <si>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</si>
  <si>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</si>
  <si>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</si>
  <si>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武周帅</t>
  </si>
  <si>
    <t xml:space="preserve">2026.7.27</t>
  </si>
  <si>
    <t xml:space="preserve">2026.7.28</t>
  </si>
  <si>
    <t xml:space="preserve">2026.7.29</t>
  </si>
  <si>
    <t xml:space="preserve">2026.7.30</t>
  </si>
  <si>
    <t xml:space="preserve">2026.7.31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</si>
  <si>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</si>
  <si>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</si>
  <si>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</si>
  <si>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</si>
  <si>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</si>
  <si>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</si>
  <si>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</si>
  <si>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</si>
  <si>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</si>
  <si>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</si>
  <si>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</si>
  <si>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</si>
  <si>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</si>
  <si>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</si>
  <si>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</si>
  <si>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</si>
  <si>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</si>
  <si>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</si>
  <si>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</si>
  <si>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</si>
  <si>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2026.6.17</t>
  </si>
  <si>
    <t xml:space="preserve">董云霄</t>
  </si>
  <si>
    <t xml:space="preserve">20:00-24:00</t>
  </si>
  <si>
    <t xml:space="preserve">任子硕双</t>
  </si>
  <si>
    <t xml:space="preserve">陈浏铭</t>
  </si>
  <si>
    <t xml:space="preserve">任子硕</t>
  </si>
  <si>
    <t xml:space="preserve">2026.6.18</t>
  </si>
  <si>
    <t xml:space="preserve">魏迪</t>
  </si>
  <si>
    <t xml:space="preserve">2026.6.19</t>
  </si>
  <si>
    <t xml:space="preserve">魏迪双</t>
  </si>
  <si>
    <t xml:space="preserve">2026.6.20</t>
  </si>
  <si>
    <t xml:space="preserve">2026.6.21</t>
  </si>
  <si>
    <t xml:space="preserve">20:00-22:30</t>
  </si>
  <si>
    <t xml:space="preserve">2026.6.23</t>
  </si>
  <si>
    <t xml:space="preserve">2026.6.24</t>
  </si>
  <si>
    <t xml:space="preserve">郝泽晗双</t>
  </si>
  <si>
    <t xml:space="preserve">2026.6.25</t>
  </si>
  <si>
    <t xml:space="preserve">郭斯元</t>
  </si>
  <si>
    <t xml:space="preserve">2026.6.26</t>
  </si>
  <si>
    <t xml:space="preserve">2026.6.27</t>
  </si>
  <si>
    <t xml:space="preserve">2026.6.28</t>
  </si>
  <si>
    <t xml:space="preserve">2026.6.29</t>
  </si>
  <si>
    <t xml:space="preserve">19:00-24:00</t>
  </si>
  <si>
    <t xml:space="preserve">2026.6.30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</si>
  <si>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</si>
  <si>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</si>
  <si>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</si>
  <si>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</si>
  <si>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</si>
  <si>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保险支付数</t>
  </si>
  <si>
    <t xml:space="preserve">家庭单</t>
  </si>
  <si>
    <t xml:space="preserve">月缴</t>
  </si>
  <si>
    <t xml:space="preserve">年缴</t>
  </si>
  <si>
    <t xml:space="preserve">年化保费</t>
  </si>
  <si>
    <t xml:space="preserve">投流消耗</t>
  </si>
  <si>
    <t xml:space="preserve">ROI</t>
  </si>
  <si>
    <t xml:space="preserve">退保保费</t>
  </si>
  <si>
    <t xml:space="preserve">退保后roi</t>
  </si>
  <si>
    <t xml:space="preserve">单均</t>
  </si>
  <si>
    <t xml:space="preserve">保单成本</t>
  </si>
  <si>
    <t xml:space="preserve">助播</t>
  </si>
  <si>
    <t xml:space="preserve">助播时长</t>
  </si>
  <si>
    <t xml:space="preserve">投手</t>
  </si>
  <si>
    <t xml:space="preserve">投手时长</t>
  </si>
  <si>
    <t xml:space="preserve">翟晓丹</t>
  </si>
  <si>
    <t xml:space="preserve">06:00-11:00</t>
  </si>
  <si>
    <t xml:space="preserve">代文聪早</t>
  </si>
  <si>
    <t xml:space="preserve">陈浏铭</t>
  </si>
  <si>
    <t xml:space="preserve">张雪</t>
  </si>
  <si>
    <t xml:space="preserve">11:00-15:00</t>
  </si>
  <si>
    <t xml:space="preserve">郭智玲</t>
  </si>
  <si>
    <t xml:space="preserve">15:00-17:00</t>
  </si>
  <si>
    <t xml:space="preserve">彭亚迁</t>
  </si>
  <si>
    <t xml:space="preserve">17:00-21:00</t>
  </si>
  <si>
    <t xml:space="preserve">康梦帆</t>
  </si>
  <si>
    <t xml:space="preserve">21:00-02:00</t>
  </si>
  <si>
    <t xml:space="preserve">武周帅晚</t>
  </si>
  <si>
    <t xml:space="preserve">董云霄</t>
  </si>
  <si>
    <t xml:space="preserve">马晓晶</t>
  </si>
  <si>
    <t xml:space="preserve">17:00-22:00</t>
  </si>
  <si>
    <t xml:space="preserve">22:00-02:00</t>
  </si>
  <si>
    <t xml:space="preserve">11:00-16:00</t>
  </si>
  <si>
    <t xml:space="preserve">16:00-18:00</t>
  </si>
  <si>
    <t xml:space="preserve">18:00-22:00</t>
  </si>
  <si>
    <t xml:space="preserve">闫小姗双</t>
  </si>
  <si>
    <t xml:space="preserve">高琎梅双</t>
  </si>
  <si>
    <t xml:space="preserve">李哲早</t>
  </si>
  <si>
    <t xml:space="preserve">15:00-18:00</t>
  </si>
  <si>
    <t xml:space="preserve">16:00-21:00</t>
  </si>
  <si>
    <t xml:space="preserve">发甲方的日报 消耗和小时报对上即可  其他字段直接复制凌晨前就可以（可省略公式）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</si>
</sst>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0.00_ "/>
    <numFmt numFmtId="165" formatCode="0.00_);[Red](0.00)"/>
    <numFmt numFmtId="166" formatCode="yyyy/m/d"/>
    <numFmt numFmtId="167" formatCode="#,##0.00"/>
    <numFmt numFmtId="168" formatCode="0.00"/>
    <numFmt numFmtId="169" formatCode="0_);(0)"/>
    <numFmt numFmtId="170" formatCode="0.00_ "/>
    <numFmt numFmtId="171" formatCode="0.00_);[Red](0.00)"/>
    <numFmt numFmtId="172" formatCode="#,##0.00"/>
    <numFmt numFmtId="173" formatCode="0.00"/>
    <numFmt numFmtId="174" formatCode="0_);(0)"/>
    <numFmt numFmtId="175" formatCode="0.00_);(0.00)"/>
    <numFmt numFmtId="176" formatCode="0.00_ "/>
    <numFmt numFmtId="177" formatCode="0.00_);[Red](0.00)"/>
    <numFmt numFmtId="178" formatCode="#,##0.00"/>
    <numFmt numFmtId="179" formatCode="0.00"/>
    <numFmt numFmtId="180" formatCode="0.00_ "/>
    <numFmt numFmtId="181" formatCode="0.00_);[Red](0.00)"/>
    <numFmt numFmtId="182" formatCode="#,##0.00"/>
    <numFmt numFmtId="183" formatCode="0.00"/>
    <numFmt numFmtId="184" formatCode="0.00_);(0.00)"/>
    <numFmt numFmtId="185" formatCode="0.00_ "/>
    <numFmt numFmtId="186" formatCode="0.00_);[Red](0.00)"/>
    <numFmt numFmtId="187" formatCode="#,##0.00"/>
    <numFmt numFmtId="188" formatCode="0.00"/>
    <numFmt numFmtId="189" formatCode="0.00_ "/>
    <numFmt numFmtId="190" formatCode="0.00_);[Red](0.00)"/>
    <numFmt numFmtId="191" formatCode="yyyy/m/d"/>
    <numFmt numFmtId="192" formatCode="#,##0.00"/>
    <numFmt numFmtId="193" formatCode="0.00"/>
    <numFmt numFmtId="194" formatCode="0_);(0)"/>
  </numFmts>
  <fonts count="1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73C4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83931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9"/>
      <color rgb="FF31343B"/>
      <name val="Noto Sans SC"/>
      <family val="2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F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true" applyProtection="false" borderId="3" fillId="0" fontId="2" numFmtId="166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67" xfId="0">
      <alignment horizontal="center" vertical="center"/>
    </xf>
    <xf applyAlignment="true" applyBorder="false" applyFill="false" applyFont="true" applyNumberFormat="true" applyProtection="false" borderId="5" fillId="0" fontId="2" numFmtId="168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5" fillId="0" fontId="2" numFmtId="167" xfId="0">
      <alignment horizontal="center" vertical="center"/>
    </xf>
    <xf applyAlignment="true" applyBorder="false" applyFill="false" applyFont="true" applyNumberFormat="true" applyProtection="false" borderId="5" fillId="0" fontId="2" numFmtId="169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true" applyProtection="false" borderId="5" fillId="3" fontId="5" numFmtId="166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true" applyFont="true" applyNumberFormat="false" applyProtection="false" borderId="5" fillId="3" fontId="6" numFmtId="0" xfId="0">
      <alignment horizontal="center" vertical="center"/>
    </xf>
    <xf applyAlignment="true" applyBorder="false" applyFill="true" applyFont="true" applyNumberFormat="true" applyProtection="false" borderId="5" fillId="3" fontId="6" numFmtId="168" xfId="0">
      <alignment horizontal="center" vertical="center"/>
    </xf>
    <xf applyAlignment="true" applyBorder="false" applyFill="true" applyFont="true" applyNumberFormat="true" applyProtection="false" borderId="5" fillId="3" fontId="6" numFmtId="164" xfId="0">
      <alignment horizontal="center" vertical="center"/>
    </xf>
    <xf applyAlignment="true" applyBorder="false" applyFill="true" applyFont="true" applyNumberFormat="true" applyProtection="false" borderId="5" fillId="3" fontId="5" numFmtId="166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true" applyFont="true" applyNumberFormat="true" applyProtection="false" borderId="6" fillId="4" fontId="1" numFmtId="170" xfId="0">
      <alignment horizontal="center" vertical="center"/>
    </xf>
    <xf applyAlignment="true" applyBorder="false" applyFill="true" applyFont="true" applyNumberFormat="true" applyProtection="false" borderId="6" fillId="4" fontId="1" numFmtId="171" xfId="0">
      <alignment horizontal="center"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72" xfId="0">
      <alignment horizontal="center" vertical="center"/>
    </xf>
    <xf applyAlignment="true" applyBorder="false" applyFill="false" applyFont="true" applyNumberFormat="true" applyProtection="false" borderId="8" fillId="0" fontId="2" numFmtId="173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true" applyProtection="false" borderId="8" fillId="0" fontId="2" numFmtId="172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true" applyFont="true" applyNumberFormat="false" applyProtection="false" borderId="8" fillId="5" fontId="8" numFmtId="0" xfId="0">
      <alignment horizontal="center" vertical="center"/>
    </xf>
    <xf applyAlignment="true" applyBorder="false" applyFill="true" applyFont="true" applyNumberFormat="false" applyProtection="false" borderId="8" fillId="5" fontId="2" numFmtId="0" xfId="0">
      <alignment horizontal="center" vertical="center"/>
    </xf>
    <xf applyAlignment="true" applyBorder="false" applyFill="true" applyFont="true" applyNumberFormat="false" applyProtection="false" borderId="8" fillId="5" fontId="6" numFmtId="0" xfId="0">
      <alignment horizontal="center" vertical="center"/>
    </xf>
    <xf applyAlignment="true" applyBorder="false" applyFill="true" applyFont="true" applyNumberFormat="true" applyProtection="false" borderId="8" fillId="5" fontId="6" numFmtId="173" xfId="0">
      <alignment horizontal="center" vertical="center"/>
    </xf>
    <xf applyAlignment="true" applyBorder="false" applyFill="true" applyFont="true" applyNumberFormat="true" applyProtection="false" borderId="8" fillId="5" fontId="6" numFmtId="170" xfId="0">
      <alignment horizontal="center" vertical="center"/>
    </xf>
    <xf applyAlignment="true" applyBorder="false" applyFill="false" applyFont="true" applyNumberFormat="true" applyProtection="false" borderId="8" fillId="0" fontId="2" numFmtId="172" xfId="0">
      <alignment horizontal="center" vertical="center"/>
    </xf>
    <xf applyAlignment="true" applyBorder="false" applyFill="false" applyFont="true" applyNumberFormat="true" applyProtection="false" borderId="8" fillId="0" fontId="2" numFmtId="174" xfId="0">
      <alignment horizontal="center" vertical="center"/>
    </xf>
    <xf applyAlignment="true" applyBorder="false" applyFill="false" applyFont="true" applyNumberFormat="true" applyProtection="false" borderId="8" fillId="0" fontId="2" numFmtId="174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175" xfId="0">
      <alignment vertical="center"/>
    </xf>
    <xf applyAlignment="true" applyBorder="false" applyFill="true" applyFont="true" applyNumberFormat="false" applyProtection="false" borderId="0" fillId="6" fontId="10" numFmtId="0" xfId="0">
      <alignment horizontal="right"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0" fillId="7" fontId="1" numFmtId="0" xfId="0">
      <alignment horizontal="center" vertical="center"/>
    </xf>
    <xf applyAlignment="true" applyBorder="false" applyFill="true" applyFont="true" applyNumberFormat="true" applyProtection="false" borderId="10" fillId="7" fontId="1" numFmtId="176" xfId="0">
      <alignment horizontal="center" vertical="center"/>
    </xf>
    <xf applyAlignment="true" applyBorder="false" applyFill="true" applyFont="true" applyNumberFormat="true" applyProtection="false" borderId="10" fillId="7" fontId="1" numFmtId="177" xfId="0">
      <alignment horizontal="center" vertical="center"/>
    </xf>
    <xf applyAlignment="true" applyBorder="false" applyFill="true" applyFont="true" applyNumberFormat="false" applyProtection="false" borderId="11" fillId="7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2" numFmtId="178" xfId="0">
      <alignment horizontal="center" vertical="center"/>
    </xf>
    <xf applyAlignment="true" applyBorder="false" applyFill="false" applyFont="true" applyNumberFormat="true" applyProtection="false" borderId="12" fillId="0" fontId="2" numFmtId="178" xfId="0">
      <alignment horizontal="center" vertical="center"/>
    </xf>
    <xf applyAlignment="true" applyBorder="false" applyFill="false" applyFont="true" applyNumberFormat="true" applyProtection="false" borderId="12" fillId="0" fontId="2" numFmtId="179" xfId="0">
      <alignment horizontal="center" vertical="center"/>
    </xf>
    <xf applyAlignment="true" applyBorder="false" applyFill="false" applyFont="true" applyNumberFormat="false" applyProtection="false" borderId="12" fillId="0" fontId="4" numFmtId="0" xfId="0">
      <alignment horizontal="center" vertical="center"/>
    </xf>
    <xf applyAlignment="true" applyBorder="false" applyFill="true" applyFont="true" applyNumberFormat="false" applyProtection="false" borderId="12" fillId="8" fontId="8" numFmtId="0" xfId="0">
      <alignment horizontal="center" vertical="center"/>
    </xf>
    <xf applyAlignment="true" applyBorder="false" applyFill="true" applyFont="true" applyNumberFormat="false" applyProtection="false" borderId="12" fillId="8" fontId="2" numFmtId="0" xfId="0">
      <alignment horizontal="center" vertical="center"/>
    </xf>
    <xf applyAlignment="true" applyBorder="false" applyFill="true" applyFont="true" applyNumberFormat="false" applyProtection="false" borderId="12" fillId="8" fontId="6" numFmtId="0" xfId="0">
      <alignment horizontal="center" vertical="center"/>
    </xf>
    <xf applyAlignment="true" applyBorder="false" applyFill="true" applyFont="true" applyNumberFormat="true" applyProtection="false" borderId="12" fillId="8" fontId="6" numFmtId="179" xfId="0">
      <alignment horizontal="center" vertical="center"/>
    </xf>
    <xf applyAlignment="true" applyBorder="false" applyFill="true" applyFont="true" applyNumberFormat="true" applyProtection="false" borderId="12" fillId="8" fontId="6" numFmtId="176" xfId="0">
      <alignment horizontal="center" vertical="center"/>
    </xf>
    <xf applyAlignment="true" applyBorder="false" applyFill="true" applyFont="true" applyNumberFormat="false" applyProtection="false" borderId="12" fillId="8" fontId="6" numFmtId="0" xfId="0">
      <alignment horizontal="center" vertical="center"/>
    </xf>
    <xf applyAlignment="true" applyBorder="false" applyFill="false" applyFont="true" applyNumberFormat="false" applyProtection="false" borderId="12" fillId="0" fontId="9" numFmtId="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true" applyProtection="false" borderId="12" fillId="0" fontId="2" numFmtId="178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2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178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14" fillId="9" fontId="1" numFmtId="0" xfId="0">
      <alignment horizontal="center" vertical="center"/>
    </xf>
    <xf applyAlignment="true" applyBorder="false" applyFill="true" applyFont="true" applyNumberFormat="true" applyProtection="false" borderId="14" fillId="9" fontId="1" numFmtId="180" xfId="0">
      <alignment horizontal="center" vertical="center"/>
    </xf>
    <xf applyAlignment="true" applyBorder="false" applyFill="true" applyFont="true" applyNumberFormat="true" applyProtection="false" borderId="14" fillId="9" fontId="1" numFmtId="181" xfId="0">
      <alignment horizontal="center" vertical="center"/>
    </xf>
    <xf applyAlignment="true" applyBorder="false" applyFill="true" applyFont="true" applyNumberFormat="false" applyProtection="false" borderId="15" fillId="9" fontId="1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true" applyProtection="false" borderId="16" fillId="0" fontId="2" numFmtId="182" xfId="0">
      <alignment horizontal="center" vertical="center"/>
    </xf>
    <xf applyAlignment="true" applyBorder="false" applyFill="false" applyFont="true" applyNumberFormat="true" applyProtection="false" borderId="16" fillId="0" fontId="2" numFmtId="183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true" applyFont="true" applyNumberFormat="false" applyProtection="false" borderId="16" fillId="10" fontId="8" numFmtId="0" xfId="0">
      <alignment horizontal="center" vertical="center"/>
    </xf>
    <xf applyAlignment="true" applyBorder="false" applyFill="true" applyFont="true" applyNumberFormat="false" applyProtection="false" borderId="16" fillId="10" fontId="2" numFmtId="0" xfId="0">
      <alignment horizontal="center" vertical="center"/>
    </xf>
    <xf applyAlignment="true" applyBorder="false" applyFill="true" applyFont="true" applyNumberFormat="false" applyProtection="false" borderId="16" fillId="10" fontId="6" numFmtId="0" xfId="0">
      <alignment horizontal="center" vertical="center"/>
    </xf>
    <xf applyAlignment="true" applyBorder="false" applyFill="true" applyFont="true" applyNumberFormat="true" applyProtection="false" borderId="16" fillId="10" fontId="6" numFmtId="183" xfId="0">
      <alignment horizontal="center" vertical="center"/>
    </xf>
    <xf applyAlignment="true" applyBorder="false" applyFill="true" applyFont="true" applyNumberFormat="true" applyProtection="false" borderId="16" fillId="10" fontId="6" numFmtId="180" xfId="0">
      <alignment horizontal="center" vertical="center"/>
    </xf>
    <xf applyAlignment="true" applyBorder="false" applyFill="false" applyFont="true" applyNumberFormat="true" applyProtection="false" borderId="16" fillId="0" fontId="2" numFmtId="182" xfId="0">
      <alignment horizontal="center" vertical="center"/>
    </xf>
    <xf applyAlignment="true" applyBorder="false" applyFill="true" applyFont="true" applyNumberFormat="false" applyProtection="false" borderId="16" fillId="10" fontId="6" numFmtId="0" xfId="0">
      <alignment horizontal="center" vertical="center"/>
    </xf>
    <xf applyAlignment="true" applyBorder="false" applyFill="false" applyFont="true" applyNumberFormat="true" applyProtection="false" borderId="16" fillId="0" fontId="2" numFmtId="182" xfId="0">
      <alignment horizontal="center" vertical="center"/>
    </xf>
    <xf applyAlignment="true" applyBorder="false" applyFill="false" applyFont="true" applyNumberFormat="true" applyProtection="false" borderId="16" fillId="0" fontId="2" numFmtId="182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true" applyFont="true" applyNumberFormat="false" applyProtection="false" borderId="16" fillId="10" fontId="8" numFmtId="0" xfId="0">
      <alignment horizontal="center" vertical="center"/>
    </xf>
    <xf applyAlignment="true" applyBorder="false" applyFill="true" applyFont="true" applyNumberFormat="true" applyProtection="false" borderId="16" fillId="10" fontId="6" numFmtId="182" xfId="0">
      <alignment horizontal="center" vertical="center"/>
    </xf>
    <xf applyAlignment="true" applyBorder="false" applyFill="true" applyFont="true" applyNumberFormat="true" applyProtection="false" borderId="16" fillId="10" fontId="6" numFmtId="182" xfId="0">
      <alignment horizontal="center" vertical="center"/>
    </xf>
    <xf applyAlignment="true" applyBorder="false" applyFill="false" applyFont="true" applyNumberFormat="false" applyProtection="false" borderId="16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184" xfId="0">
      <alignment vertical="center"/>
    </xf>
    <xf applyAlignment="true" applyBorder="false" applyFill="true" applyFont="true" applyNumberFormat="false" applyProtection="false" borderId="17" fillId="11" fontId="1" numFmtId="0" xfId="0">
      <alignment horizontal="center" vertical="center"/>
    </xf>
    <xf applyAlignment="true" applyBorder="false" applyFill="true" applyFont="true" applyNumberFormat="true" applyProtection="false" borderId="17" fillId="11" fontId="1" numFmtId="185" xfId="0">
      <alignment horizontal="center" vertical="center"/>
    </xf>
    <xf applyAlignment="true" applyBorder="false" applyFill="true" applyFont="true" applyNumberFormat="true" applyProtection="false" borderId="17" fillId="11" fontId="1" numFmtId="186" xfId="0">
      <alignment horizontal="center" vertical="center"/>
    </xf>
    <xf applyAlignment="true" applyBorder="false" applyFill="true" applyFont="true" applyNumberFormat="false" applyProtection="false" borderId="18" fillId="11" fontId="1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true" applyProtection="false" borderId="19" fillId="0" fontId="2" numFmtId="187" xfId="0">
      <alignment horizontal="center" vertical="center"/>
    </xf>
    <xf applyAlignment="true" applyBorder="false" applyFill="false" applyFont="true" applyNumberFormat="true" applyProtection="false" borderId="19" fillId="0" fontId="2" numFmtId="188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true" applyFont="true" applyNumberFormat="false" applyProtection="false" borderId="19" fillId="12" fontId="8" numFmtId="0" xfId="0">
      <alignment horizontal="center" vertical="center"/>
    </xf>
    <xf applyAlignment="true" applyBorder="false" applyFill="true" applyFont="true" applyNumberFormat="false" applyProtection="false" borderId="19" fillId="12" fontId="2" numFmtId="0" xfId="0">
      <alignment horizontal="center" vertical="center"/>
    </xf>
    <xf applyAlignment="true" applyBorder="false" applyFill="true" applyFont="true" applyNumberFormat="false" applyProtection="false" borderId="19" fillId="12" fontId="6" numFmtId="0" xfId="0">
      <alignment horizontal="center" vertical="center"/>
    </xf>
    <xf applyAlignment="true" applyBorder="false" applyFill="true" applyFont="true" applyNumberFormat="true" applyProtection="false" borderId="19" fillId="12" fontId="6" numFmtId="188" xfId="0">
      <alignment horizontal="center" vertical="center"/>
    </xf>
    <xf applyAlignment="true" applyBorder="false" applyFill="true" applyFont="true" applyNumberFormat="true" applyProtection="false" borderId="19" fillId="12" fontId="6" numFmtId="185" xfId="0">
      <alignment horizontal="center" vertical="center"/>
    </xf>
    <xf applyAlignment="true" applyBorder="false" applyFill="true" applyFont="true" applyNumberFormat="false" applyProtection="false" borderId="19" fillId="12" fontId="8" numFmtId="0" xfId="0">
      <alignment horizontal="center" vertical="center"/>
    </xf>
    <xf applyAlignment="true" applyBorder="false" applyFill="false" applyFont="true" applyNumberFormat="true" applyProtection="false" borderId="19" fillId="0" fontId="2" numFmtId="188" xfId="0">
      <alignment horizontal="center" vertical="center"/>
    </xf>
    <xf applyAlignment="true" applyBorder="false" applyFill="false" applyFont="true" applyNumberFormat="false" applyProtection="false" borderId="19" fillId="0" fontId="9" numFmtId="0" xfId="0">
      <alignment horizontal="center" vertical="center"/>
    </xf>
    <xf applyAlignment="true" applyBorder="false" applyFill="false" applyFont="true" applyNumberFormat="true" applyProtection="false" borderId="19" fillId="0" fontId="2" numFmtId="18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20" fillId="13" fontId="1" numFmtId="0" xfId="0">
      <alignment horizontal="center" vertical="center"/>
    </xf>
    <xf applyAlignment="true" applyBorder="false" applyFill="true" applyFont="true" applyNumberFormat="true" applyProtection="false" borderId="20" fillId="13" fontId="1" numFmtId="189" xfId="0">
      <alignment horizontal="center" vertical="center"/>
    </xf>
    <xf applyAlignment="true" applyBorder="false" applyFill="true" applyFont="true" applyNumberFormat="true" applyProtection="false" borderId="20" fillId="13" fontId="1" numFmtId="190" xfId="0">
      <alignment horizontal="center" vertical="center"/>
    </xf>
    <xf applyAlignment="true" applyBorder="false" applyFill="true" applyFont="true" applyNumberFormat="false" applyProtection="false" borderId="21" fillId="13" fontId="1" numFmtId="0" xfId="0">
      <alignment horizontal="center" vertical="center"/>
    </xf>
    <xf applyAlignment="true" applyBorder="false" applyFill="false" applyFont="true" applyNumberFormat="true" applyProtection="false" borderId="22" fillId="0" fontId="2" numFmtId="191" xfId="0">
      <alignment horizontal="center" vertical="center"/>
    </xf>
    <xf applyAlignment="true" applyBorder="false" applyFill="false" applyFont="true" applyNumberFormat="false" applyProtection="false" borderId="23" fillId="0" fontId="3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true" applyProtection="false" borderId="24" fillId="0" fontId="2" numFmtId="192" xfId="0">
      <alignment horizontal="center" vertical="center"/>
    </xf>
    <xf applyAlignment="true" applyBorder="false" applyFill="false" applyFont="true" applyNumberFormat="true" applyProtection="false" borderId="24" fillId="0" fontId="2" numFmtId="193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false" applyFont="true" applyNumberFormat="true" applyProtection="false" borderId="24" fillId="0" fontId="2" numFmtId="192" xfId="0">
      <alignment horizontal="center" vertical="center"/>
    </xf>
    <xf applyAlignment="true" applyBorder="false" applyFill="false" applyFont="true" applyNumberFormat="true" applyProtection="false" borderId="24" fillId="0" fontId="2" numFmtId="194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true" applyFont="true" applyNumberFormat="true" applyProtection="false" borderId="24" fillId="14" fontId="5" numFmtId="191" xfId="0">
      <alignment horizontal="center" vertical="center"/>
    </xf>
    <xf applyAlignment="true" applyBorder="false" applyFill="true" applyFont="true" applyNumberFormat="false" applyProtection="false" borderId="24" fillId="14" fontId="2" numFmtId="0" xfId="0">
      <alignment horizontal="center" vertical="center"/>
    </xf>
    <xf applyAlignment="true" applyBorder="false" applyFill="true" applyFont="true" applyNumberFormat="false" applyProtection="false" borderId="24" fillId="14" fontId="6" numFmtId="0" xfId="0">
      <alignment horizontal="center" vertical="center"/>
    </xf>
    <xf applyAlignment="true" applyBorder="false" applyFill="true" applyFont="true" applyNumberFormat="true" applyProtection="false" borderId="24" fillId="14" fontId="6" numFmtId="193" xfId="0">
      <alignment horizontal="center" vertical="center"/>
    </xf>
    <xf applyAlignment="true" applyBorder="false" applyFill="true" applyFont="true" applyNumberFormat="true" applyProtection="false" borderId="24" fillId="14" fontId="6" numFmtId="189" xfId="0">
      <alignment horizontal="center" vertical="center"/>
    </xf>
    <xf applyAlignment="true" applyBorder="false" applyFill="true" applyFont="true" applyNumberFormat="true" applyProtection="false" borderId="24" fillId="14" fontId="5" numFmtId="191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Relationship Id="rId14" Target="worksheets/sheet7.xml" Type="http://schemas.openxmlformats.org/officeDocument/2006/relationships/worksheet"></Relationship><Relationship Id="rId15" Target="calcChain.xml" Type="http://schemas.openxmlformats.org/officeDocument/2006/relationships/calcChain"></Relationship><Relationship Id="rId16" Target="metadata.xml" Type="http://schemas.openxmlformats.org/officeDocument/2006/relationships/sheetMetadata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T$160" sheet="2026.9"/>
  </cacheSource>
  <cacheFields count="20">
    <cacheField name="日期" numFmtId="0">
      <sharedItems count="0"/>
    </cacheField>
    <cacheField name="主播" numFmtId="0">
      <sharedItems containsBlank="true" count="7">
        <s v="董云霄"/>
        <s v="张雪"/>
        <s v="彭亚迁"/>
        <s v="康梦帆"/>
        <s v="翟晓丹"/>
        <m/>
        <s v="马晓晶 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8" maxValue="20" count="12">
        <n v="5"/>
        <n v="4"/>
        <n v="3"/>
        <n v="20"/>
        <n v="17"/>
        <n v="19"/>
        <n v="2"/>
        <n v="4.75"/>
        <n v="3.25"/>
        <n v="1.8"/>
        <n v="4.25"/>
        <n v="17.3"/>
      </sharedItems>
    </cacheField>
    <cacheField name="保单数量" numFmtId="0">
      <sharedItems containsSemiMixedTypes="false" containsString="false" containsNumber="true" containsInteger="true" minValue="5" maxValue="217" count="0"/>
    </cacheField>
    <cacheField name="保险支付数" numFmtId="0">
      <sharedItems containsSemiMixedTypes="false" containsString="false" containsNumber="true" containsInteger="true" minValue="6" maxValue="185" count="0"/>
    </cacheField>
    <cacheField name="家庭单" numFmtId="0">
      <sharedItems containsSemiMixedTypes="false" containsString="false" containsNumber="true" containsInteger="true" minValue="0" maxValue="32" count="0"/>
    </cacheField>
    <cacheField name="月缴" numFmtId="0">
      <sharedItems containsSemiMixedTypes="false" containsString="false" containsNumber="true" minValue="4807.079999999987" maxValue="392831.76" count="0"/>
    </cacheField>
    <cacheField name="年缴" numFmtId="0">
      <sharedItems containsSemiMixedTypes="false" containsString="false" containsNumber="true" minValue="0" maxValue="32835" count="0"/>
    </cacheField>
    <cacheField name="年化保费" numFmtId="0">
      <sharedItems containsSemiMixedTypes="false" containsString="false" containsNumber="true" minValue="4807.079999999987" maxValue="425666.76" count="159">
        <n v="138748.37"/>
        <n v="62730.26000000001"/>
        <n v="51578.520000000026"/>
        <n v="45131.12000000001"/>
        <n v="69609.72000000004"/>
        <n v="367797.99000000005"/>
        <n v="47552.10999999999"/>
        <n v="72934.04000000001"/>
        <n v="27659.839999999982"/>
        <n v="52756.12"/>
        <n v="88229.75999999997"/>
        <n v="289131.86999999994"/>
        <n v="72231.73"/>
        <n v="18551.160000000003"/>
        <n v="33961.96000000001"/>
        <n v="61968.55999999999"/>
        <n v="35901.36000000001"/>
        <n v="222614.77000000002"/>
        <n v="51061.060000000005"/>
        <n v="52636.659999999996"/>
        <n v="51486.83999999998"/>
        <n v="10545.96000000005"/>
        <n v="165730.52000000005"/>
        <n v="69710.31999999999"/>
        <n v="44906.68000000001"/>
        <n v="61149.28"/>
        <n v="44204.83"/>
        <n v="219971.11"/>
        <n v="43210.56"/>
        <n v="54225.06999999999"/>
        <n v="37785.44000000002"/>
        <n v="53754.62000000001"/>
        <n v="188975.69"/>
        <n v="102768.36"/>
        <n v="66535"/>
        <n v="76295.04000000001"/>
        <n v="57749.15999999998"/>
        <n v="303347.56"/>
        <n v="66767.27"/>
        <n v="55702.52000000001"/>
        <n v="42709.06"/>
        <n v="37511.52000000002"/>
        <n v="202690.37000000002"/>
        <n v="65821.95999999999"/>
        <n v="38983.63999999999"/>
        <n v="57941.24000000003"/>
        <n v="62759.14"/>
        <n v="225505.97999999998"/>
        <n v="75081.76999999999"/>
        <n v="63486.76000000002"/>
        <n v="41859.900000000016"/>
        <n v="58200.72"/>
        <n v="238629.15000000002"/>
        <n v="85855.84"/>
        <n v="83233.36"/>
        <n v="39455.30999999998"/>
        <n v="45535.29000000002"/>
        <n v="254079.80000000005"/>
        <n v="59703.62"/>
        <n v="54637"/>
        <n v="77094.8"/>
        <n v="53167"/>
        <n v="244602.41999999998"/>
        <n v="93035.72999999998"/>
        <n v="82006.84000000003"/>
        <n v="48661.600000000006"/>
        <n v="39737.39999999999"/>
        <n v="263441.57"/>
        <n v="58876.28"/>
        <n v="58094.28"/>
        <n v="54813.23999999999"/>
        <n v="45413.48"/>
        <n v="217197.28"/>
        <n v="42939.48"/>
        <n v="36809.280000000006"/>
        <n v="20030.119999999995"/>
        <n v="28490.239999999998"/>
        <n v="128269.12"/>
        <n v="63353.56"/>
        <n v="53427.479999999996"/>
        <n v="66349.92"/>
        <n v="69430.94"/>
        <n v="252561.9"/>
        <n v="62749.479999999996"/>
        <n v="63864"/>
        <n v="70218.36000000003"/>
        <n v="101845.51999999995"/>
        <n v="298677.36"/>
        <n v="106526.41"/>
        <n v="76473.37000000001"/>
        <n v="57414.67999999999"/>
        <n v="52480.59999999999"/>
        <n v="292895.06"/>
        <n v="82281.52"/>
        <n v="61867.56000000001"/>
        <n v="60830.57999999998"/>
        <n v="76968.38"/>
        <n v="281948.04000000004"/>
        <n v="85486.31"/>
        <n v="48010.19000000002"/>
        <n v="35916.19999999998"/>
        <n v="38510.640000000014"/>
        <n v="207923.34"/>
        <n v="72631"/>
        <n v="67441.36000000002"/>
        <n v="95088.76"/>
        <n v="74720.09999999999"/>
        <n v="309881.22"/>
        <n v="101629.3"/>
        <n v="40183.59999999999"/>
        <n v="19371.72"/>
        <n v="61601.080000000016"/>
        <n v="222785.7"/>
        <n v="58811.159999999996"/>
        <n v="104429.89"/>
        <n v="33616.200000000004"/>
        <n v="47062.43999999999"/>
        <n v="243919.69"/>
        <n v="78359.12"/>
        <n v="110683.18000000002"/>
        <n v="65633.79999999999"/>
        <n v="103132.83999999997"/>
        <n v="357808.93999999994"/>
        <n v="100918.79"/>
        <n v="46615.84000000001"/>
        <n v="23234.439999999995"/>
        <n v="61547.20000000001"/>
        <n v="77748.75999999998"/>
        <n v="310065.03"/>
        <n v="158021.50999999998"/>
        <n v="72561.36000000002"/>
        <n v="29998.04"/>
        <n v="77940.33"/>
        <n v="87145.52"/>
        <n v="425666.76"/>
        <n v="89961.40000000001"/>
        <n v="76751.87000000002"/>
        <n v="17789.03999999998"/>
        <n v="47579.01000000001"/>
        <n v="58572.91999999994"/>
        <n v="290654.23999999993"/>
        <n v="113082.4"/>
        <n v="31870.799999999996"/>
        <n v="23304.359999999986"/>
        <n v="44033.080000000016"/>
        <n v="55299.080000000016"/>
        <n v="267589.72"/>
        <n v="44184.4"/>
        <n v="46871.880000000005"/>
        <n v="4807.079999999987"/>
        <n v="49595.84"/>
        <n v="78669.76000000001"/>
        <n v="224128.96"/>
        <n v="151588.96000000002"/>
        <n v="77645.95999999999"/>
        <n v="23793.15999999998"/>
        <n v="49396.68000000001"/>
        <n v="83246.91999999998"/>
        <n v="385671.68"/>
      </sharedItems>
    </cacheField>
    <cacheField name="投流消耗" numFmtId="0">
      <sharedItems containsSemiMixedTypes="false" containsString="false" containsNumber="true" minValue="8698.07" maxValue="232132.28" count="159">
        <n v="63608.5"/>
        <n v="44509.14"/>
        <n v="37521.86"/>
        <n v="32580.339999999997"/>
        <n v="49882.44"/>
        <n v="228102.28"/>
        <n v="38501.329999999994"/>
        <n v="36229.65"/>
        <n v="26211.17"/>
        <n v="30745.699999999997"/>
        <n v="46577.009999999995"/>
        <n v="178264.86"/>
        <n v="45845.47"/>
        <n v="21677.389999999996"/>
        <n v="20618.17"/>
        <n v="20447.14"/>
        <n v="29924.31"/>
        <n v="138512.48"/>
        <n v="34679.09"/>
        <n v="27704.359999999997"/>
        <n v="22884.28"/>
        <n v="16853.93"/>
        <n v="102121.66"/>
        <n v="36165.979999999996"/>
        <n v="31814.320000000003"/>
        <n v="24742.84"/>
        <n v="27933.33"/>
        <n v="120656.47"/>
        <n v="34017.64"/>
        <n v="33222.600000000006"/>
        <n v="23135.520000000004"/>
        <n v="30950.230000000003"/>
        <n v="121325.99000000002"/>
        <n v="43273.079999999994"/>
        <n v="40131.23"/>
        <n v="40998.63"/>
        <n v="32934.549999999996"/>
        <n v="157337.49"/>
        <n v="47432.05"/>
        <n v="30636.020000000004"/>
        <n v="32767.610000000004"/>
        <n v="27481.860000000004"/>
        <n v="138317.54"/>
        <n v="31170.379999999997"/>
        <n v="24892.18"/>
        <n v="29206.08"/>
        <n v="31356.53"/>
        <n v="116625.17"/>
        <n v="42176.99"/>
        <n v="41461.74"/>
        <n v="29122.3"/>
        <n v="27259.78"/>
        <n v="140020.81"/>
        <n v="44814.509999999995"/>
        <n v="44218.86"/>
        <n v="38577.689999999995"/>
        <n v="32023.7"/>
        <n v="159634.76"/>
        <n v="35045.4"/>
        <n v="30336.47"/>
        <n v="31561.4"/>
        <n v="29544.320000000003"/>
        <n v="126487.59000000001"/>
        <n v="43434.34"/>
        <n v="47863.96"/>
        <n v="30437.67"/>
        <n v="33741.21"/>
        <n v="155477.18"/>
        <n v="36020.68"/>
        <n v="37860.2"/>
        <n v="30288.65"/>
        <n v="39699.77"/>
        <n v="143869.3"/>
        <n v="30251.480000000003"/>
        <n v="24199.32"/>
        <n v="24076.65"/>
        <n v="17233.95"/>
        <n v="95761.40000000001"/>
        <n v="35811.61"/>
        <n v="31335.31"/>
        <n v="35683.67"/>
        <n v="37748.700000000004"/>
        <n v="140579.29"/>
        <n v="32946.43"/>
        <n v="38940.06"/>
        <n v="42115.93"/>
        <n v="54262.600000000006"/>
        <n v="168265.02"/>
        <n v="58745.19000000001"/>
        <n v="58672.56"/>
        <n v="35605.939999999995"/>
        <n v="34654.87"/>
        <n v="187678.56"/>
        <n v="51206.25"/>
        <n v="44041.810000000005"/>
        <n v="36971.55"/>
        <n v="38309.14000000001"/>
        <n v="170528.75"/>
        <n v="43262.28999999999"/>
        <n v="33128.99"/>
        <n v="25548.510000000002"/>
        <n v="30590.43"/>
        <n v="132530.22"/>
        <n v="40925.240000000005"/>
        <n v="45842.729999999996"/>
        <n v="41663.159999999996"/>
        <n v="39144.92"/>
        <n v="167576.05"/>
        <n v="59519.490000000005"/>
        <n v="26846.52"/>
        <n v="20060.96"/>
        <n v="33163.68"/>
        <n v="139590.65"/>
        <n v="58044.14"/>
        <n v="43865.41"/>
        <n v="23652.949999999997"/>
        <n v="22072.79"/>
        <n v="147635.29"/>
        <n v="41063.369999999995"/>
        <n v="52627.87"/>
        <n v="37508.2"/>
        <n v="37393.189999999995"/>
        <n v="168592.63"/>
        <n v="59205.130000000005"/>
        <n v="20137.68"/>
        <n v="13868.79"/>
        <n v="39265.77"/>
        <n v="43986.020000000004"/>
        <n v="176463.39"/>
        <n v="72290.01000000001"/>
        <n v="39815.72"/>
        <n v="24671.53"/>
        <n v="38304.27"/>
        <n v="57050.75000000001"/>
        <n v="232132.28"/>
        <n v="51510.23"/>
        <n v="44022.56"/>
        <n v="20722.42"/>
        <n v="26744.33"/>
        <n v="35487.229999999996"/>
        <n v="178486.77000000002"/>
        <n v="75202.81999999999"/>
        <n v="27989.57"/>
        <n v="14415.400000000001"/>
        <n v="29456.300000000003"/>
        <n v="29591.679999999997"/>
        <n v="176655.76999999996"/>
        <n v="35756.17"/>
        <n v="24388.35"/>
        <n v="8698.07"/>
        <n v="20598.68"/>
        <n v="45100.97000000001"/>
        <n v="134542.24"/>
        <n v="86605.92"/>
        <n v="41013.07"/>
        <n v="18039.059999999998"/>
        <n v="30504.120000000003"/>
        <n v="45775.520000000004"/>
        <n v="221937.69"/>
      </sharedItems>
    </cacheField>
    <cacheField name="ROI" numFmtId="0">
      <sharedItems containsSemiMixedTypes="false" containsString="false" containsNumber="true" minValue="0.5526605327388705" maxValue="3.030671282145082" count="0"/>
    </cacheField>
    <cacheField name="退保保费" numFmtId="0">
      <sharedItems containsSemiMixedTypes="false" containsString="false" containsNumber="true" minValue="0" maxValue="82956.63" count="0"/>
    </cacheField>
    <cacheField name="退保后roi" numFmtId="0">
      <sharedItems containsSemiMixedTypes="false" containsString="false" containsNumber="true" minValue="0.4018271599474567" maxValue="2.5442953650116498" count="0"/>
    </cacheField>
    <cacheField name="单均" numFmtId="0">
      <sharedItems containsSemiMixedTypes="false" containsString="false" containsNumber="true" minValue="961.4159999999974" maxValue="8205.780425531915" count="0"/>
    </cacheField>
    <cacheField name="保单成本" numFmtId="0">
      <sharedItems containsSemiMixedTypes="false" containsString="false" containsNumber="true" minValue="567.9761111111111" maxValue="4722.078510638298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4.5" maxValue="20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7" maxValue="20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T$147" sheet="2026.8"/>
  </cacheSource>
  <cacheFields count="20">
    <cacheField name="日期" numFmtId="0">
      <sharedItems count="0"/>
    </cacheField>
    <cacheField name="主播" numFmtId="0">
      <sharedItems containsBlank="true" count="10">
        <s v="董云霄"/>
        <s v="翟晓丹"/>
        <m/>
        <s v="卢美玲"/>
        <s v="索茜霖"/>
        <s v="康梦帆"/>
        <s v="张雪"/>
        <s v="刘艺聪"/>
        <s v="侯思蕊"/>
        <s v="彭亚迁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75" maxValue="20" count="14">
        <n v="5"/>
        <n v="10"/>
        <n v="15"/>
        <n v="4.75"/>
        <n v="9.75"/>
        <n v="6"/>
        <n v="4"/>
        <n v="2"/>
        <n v="20"/>
        <n v="3"/>
        <n v="3.5"/>
        <n v="4.5"/>
        <n v="1.75"/>
        <n v="17.75"/>
      </sharedItems>
    </cacheField>
    <cacheField name="保单数量" numFmtId="0">
      <sharedItems containsSemiMixedTypes="false" containsString="false" containsNumber="true" containsInteger="true" minValue="3" maxValue="233" count="0"/>
    </cacheField>
    <cacheField name="保险支付数" numFmtId="0">
      <sharedItems containsSemiMixedTypes="false" containsString="false" containsNumber="true" containsInteger="true" minValue="2" maxValue="195" count="0"/>
    </cacheField>
    <cacheField name="家庭单" numFmtId="0">
      <sharedItems containsSemiMixedTypes="false" containsString="false" containsNumber="true" containsInteger="true" minValue="0" maxValue="31" count="0"/>
    </cacheField>
    <cacheField name="月缴" numFmtId="0">
      <sharedItems containsSemiMixedTypes="false" containsString="false" containsNumber="true" minValue="1503.960000000001" maxValue="354939.24" count="0"/>
    </cacheField>
    <cacheField name="年缴" numFmtId="0">
      <sharedItems containsSemiMixedTypes="false" containsString="false" containsNumber="true" minValue="0" maxValue="48410.65000000001" count="0"/>
    </cacheField>
    <cacheField name="年化保费" numFmtId="0">
      <sharedItems containsSemiMixedTypes="false" containsString="false" containsNumber="true" minValue="2589.960000000001" maxValue="401701.04" count="0"/>
    </cacheField>
    <cacheField name="投流消耗" numFmtId="0">
      <sharedItems containsSemiMixedTypes="false" containsString="false" containsNumber="true" minValue="3366.4100000000003" maxValue="239418.40000000002" count="0"/>
    </cacheField>
    <cacheField name="ROI" numFmtId="0">
      <sharedItems containsSemiMixedTypes="false" containsString="false" containsNumber="true" minValue="0.22794308551694162" maxValue="2.706049215243794" count="0"/>
    </cacheField>
    <cacheField name="退保保费" numFmtId="0">
      <sharedItems containsSemiMixedTypes="false" containsString="false" containsNumber="true" minValue="0" maxValue="78103.44" count="0"/>
    </cacheField>
    <cacheField name="退保后roi" numFmtId="0">
      <sharedItems containsSemiMixedTypes="false" containsString="false" containsNumber="true" minValue="0.22794308551694162" maxValue="2.702950620987937" count="0"/>
    </cacheField>
    <cacheField name="单均" numFmtId="0">
      <sharedItems containsSemiMixedTypes="false" containsString="false" containsNumber="true" minValue="863.3200000000003" maxValue="3726.45" count="0"/>
    </cacheField>
    <cacheField name="保单成本" numFmtId="0">
      <sharedItems containsSemiMixedTypes="false" containsString="false" containsNumber="true" minValue="687.8552380952381" maxValue="4830.95666666666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3" maxValue="20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10" maxValue="20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T$73" sheet="2026.7"/>
  </cacheSource>
  <cacheFields count="20">
    <cacheField name="日期" numFmtId="0">
      <sharedItems count="0"/>
    </cacheField>
    <cacheField name="主播" numFmtId="0">
      <sharedItems containsBlank="true" count="3">
        <s v="董云霄"/>
        <m/>
        <s v="翟晓丹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4.5" maxValue="10" count="5">
        <n v="5"/>
        <n v="10"/>
        <n v="4.5"/>
        <n v="4.75"/>
        <n v="9.25"/>
      </sharedItems>
    </cacheField>
    <cacheField name="保单数量" numFmtId="0">
      <sharedItems containsSemiMixedTypes="false" containsString="false" containsNumber="true" containsInteger="true" minValue="4" maxValue="55" count="0"/>
    </cacheField>
    <cacheField name="保险支付数" numFmtId="0">
      <sharedItems containsSemiMixedTypes="false" containsString="false" containsNumber="true" containsInteger="true" minValue="4" maxValue="48" count="0"/>
    </cacheField>
    <cacheField name="家庭单" numFmtId="0">
      <sharedItems containsSemiMixedTypes="false" containsString="false" containsNumber="true" containsInteger="true" minValue="0" maxValue="6" count="0"/>
    </cacheField>
    <cacheField name="月缴" numFmtId="0">
      <sharedItems containsSemiMixedTypes="false" containsString="false" containsNumber="true" minValue="4641.56" maxValue="102604.68" count="0"/>
    </cacheField>
    <cacheField name="年缴" numFmtId="0">
      <sharedItems containsSemiMixedTypes="false" containsString="false" containsNumber="true" minValue="0" maxValue="28710.5" count="0"/>
    </cacheField>
    <cacheField name="年化保费" numFmtId="0">
      <sharedItems containsSemiMixedTypes="false" containsString="false" containsNumber="true" minValue="6548.56" maxValue="114828.38" count="54">
        <n v="6548.56"/>
        <n v="24048.68"/>
        <n v="14026.44"/>
        <n v="8067.72"/>
        <n v="31291.2"/>
        <n v="38050.64"/>
        <n v="33510.84"/>
        <n v="39675.44"/>
        <n v="27101.92"/>
        <n v="30739.23"/>
        <n v="43435.04"/>
        <n v="31803.49"/>
        <n v="66881.78"/>
        <n v="18863.16"/>
        <n v="11193.72"/>
        <n v="26716.4"/>
        <n v="31258.68"/>
        <n v="83569.7"/>
        <n v="114828.38"/>
        <n v="50108.96"/>
        <n v="51076.31"/>
        <n v="101185.26999999999"/>
        <n v="25635"/>
        <n v="22448.160000000003"/>
        <n v="48083.16"/>
        <n v="34265.049999999996"/>
        <n v="9187.560000000005"/>
        <n v="43452.61"/>
        <n v="26027.64"/>
        <n v="35871.36"/>
        <n v="61899"/>
        <n v="38535.52"/>
        <n v="43519.08000000001"/>
        <n v="82054.6"/>
        <n v="30565.3"/>
        <n v="35319.36"/>
        <n v="20819.88"/>
        <n v="56139.240000000005"/>
        <n v="32147.28"/>
        <n v="39510.12"/>
        <n v="20527.92"/>
        <n v="60038.04"/>
        <n v="35224.44"/>
        <n v="28238.089999999997"/>
        <n v="63462.53"/>
        <n v="22903.56"/>
        <n v="33090.119999999995"/>
        <n v="55993.67999999999"/>
        <n v="16209.6"/>
        <n v="38642.270000000004"/>
        <n v="54851.87"/>
        <n v="38648.36"/>
        <n v="24511.67"/>
        <n v="63160.03"/>
      </sharedItems>
    </cacheField>
    <cacheField name="投流消耗" numFmtId="0">
      <sharedItems containsSemiMixedTypes="false" containsString="false" containsNumber="true" minValue="13258.77" maxValue="67255.81" count="54">
        <n v="21938.43"/>
        <n v="22784.82"/>
        <n v="17415.63"/>
        <n v="13258.77"/>
        <n v="15600.86"/>
        <n v="22236.24"/>
        <n v="20718.92"/>
        <n v="19633.46"/>
        <n v="19019.28"/>
        <n v="20456.42"/>
        <n v="19309.05"/>
        <n v="19760.42"/>
        <n v="21632.87"/>
        <n v="17313.28"/>
        <n v="14807.730000000001"/>
        <n v="18410.59"/>
        <n v="18322.61"/>
        <n v="33545.67"/>
        <n v="51868.28"/>
        <n v="29072.700000000004"/>
        <n v="38183.11"/>
        <n v="67255.81"/>
        <n v="23472.68"/>
        <n v="20976.809999999998"/>
        <n v="44449.49"/>
        <n v="22535.37"/>
        <n v="18050.87"/>
        <n v="40586.24"/>
        <n v="17961.460000000003"/>
        <n v="18590.86"/>
        <n v="36552.32000000001"/>
        <n v="23615.489999999998"/>
        <n v="21726.510000000002"/>
        <n v="45342"/>
        <n v="24475.17"/>
        <n v="27439.32"/>
        <n v="20730.34"/>
        <n v="48169.66"/>
        <n v="20302.15"/>
        <n v="21604.71"/>
        <n v="20457.45"/>
        <n v="42062.16"/>
        <n v="20395.190000000002"/>
        <n v="19574.88"/>
        <n v="39970.07000000001"/>
        <n v="16298.26"/>
        <n v="16466.350000000002"/>
        <n v="32764.61"/>
        <n v="15609.79"/>
        <n v="20091.260000000002"/>
        <n v="35701.05"/>
        <n v="22774.800000000003"/>
        <n v="13521.82"/>
        <n v="36296.62"/>
      </sharedItems>
    </cacheField>
    <cacheField name="ROI" numFmtId="0">
      <sharedItems containsSemiMixedTypes="false" containsString="false" containsNumber="true" minValue="0.29849720330944374" maxValue="3.0916739202888937" count="0"/>
    </cacheField>
    <cacheField name="退保保费" numFmtId="0">
      <sharedItems containsSemiMixedTypes="false" containsString="false" containsNumber="true" minValue="0" maxValue="23540.8" count="0"/>
    </cacheField>
    <cacheField name="退保后roi" numFmtId="0">
      <sharedItems containsSemiMixedTypes="false" containsString="false" containsNumber="true" minValue="0.29849720330944374" maxValue="2.9145434701914263" count="0"/>
    </cacheField>
    <cacheField name="单均" numFmtId="0">
      <sharedItems containsSemiMixedTypes="false" containsString="false" containsNumber="true" minValue="1091.4266666666667" maxValue="2907.9034782608696" count="0"/>
    </cacheField>
    <cacheField name="保单成本" numFmtId="0">
      <sharedItems containsSemiMixedTypes="false" containsString="false" containsNumber="true" minValue="760.0161538461538" maxValue="3656.40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5" maxValue="10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5" maxValue="1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T$29" sheet="2026.6"/>
  </cacheSource>
  <cacheFields count="20">
    <cacheField name="日期" numFmtId="0">
      <sharedItems count="0"/>
    </cacheField>
    <cacheField name="主播" numFmtId="0">
      <sharedItems containsBlank="true" count="2">
        <s v="董云霄"/>
        <m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2.5" maxValue="5" count="5">
        <n v="4"/>
        <m/>
        <n v="2.5"/>
        <n v="5"/>
        <n v="4.5"/>
      </sharedItems>
    </cacheField>
    <cacheField name="保单数量" numFmtId="0">
      <sharedItems containsString="false" containsBlank="true" containsNumber="true" containsInteger="true" minValue="1" maxValue="20" count="8">
        <n v="1"/>
        <m/>
        <n v="3"/>
        <n v="2"/>
        <n v="7"/>
        <n v="4"/>
        <n v="14"/>
        <n v="20"/>
      </sharedItems>
    </cacheField>
    <cacheField name="保险支付数" numFmtId="0">
      <sharedItems containsString="false" containsBlank="true" containsNumber="true" containsInteger="true" minValue="0" maxValue="17" count="9">
        <n v="1"/>
        <m/>
        <n v="2"/>
        <n v="0"/>
        <n v="3"/>
        <n v="7"/>
        <n v="4"/>
        <n v="11"/>
        <n v="17"/>
      </sharedItems>
    </cacheField>
    <cacheField name="家庭单" numFmtId="0">
      <sharedItems containsString="false" containsBlank="true" containsNumber="true" containsInteger="true" minValue="0" maxValue="2" count="0"/>
    </cacheField>
    <cacheField name="月缴" numFmtId="0">
      <sharedItems containsString="false" containsBlank="true" containsNumber="true" minValue="498.96" maxValue="38365.32" count="0"/>
    </cacheField>
    <cacheField name="年缴" numFmtId="0">
      <sharedItems containsString="false" containsBlank="true" containsNumber="true" containsInteger="true" minValue="0" maxValue="1664" count="0"/>
    </cacheField>
    <cacheField name="年化保费" numFmtId="0">
      <sharedItems containsString="false" containsBlank="true" containsNumber="true" minValue="498.96" maxValue="38365.32" count="14">
        <n v="498.96"/>
        <m/>
        <n v="9372.48"/>
        <n v="2302.28"/>
        <n v="518.4"/>
        <n v="685.8"/>
        <n v="1591.92"/>
        <n v="2472.12"/>
        <n v="2916.12"/>
        <n v="542.16"/>
        <n v="15242.04"/>
        <n v="4621.32"/>
        <n v="15832.28"/>
        <n v="38365.32"/>
      </sharedItems>
    </cacheField>
    <cacheField name="投流消耗" numFmtId="0">
      <sharedItems containsString="false" containsBlank="true" containsNumber="true" minValue="1481.92" maxValue="25868.16" count="14">
        <n v="1481.92"/>
        <m/>
        <n v="4257.82"/>
        <n v="3917.92"/>
        <n v="5061.06"/>
        <n v="3106.62"/>
        <n v="3669.93"/>
        <n v="3474.7400000000002"/>
        <n v="3795.3599999999997"/>
        <n v="3362.9800000000005"/>
        <n v="14996.130000000001"/>
        <n v="12163.35"/>
        <n v="18676.92"/>
        <n v="25868.16"/>
      </sharedItems>
    </cacheField>
    <cacheField name="ROI" numFmtId="0">
      <sharedItems containsString="false" containsBlank="true" containsNumber="true" minValue="0.10242913539851334" maxValue="2.2012391317622635" count="0"/>
    </cacheField>
    <cacheField name="退保保费" numFmtId="0">
      <sharedItems containsString="false" containsBlank="true" containsNumber="true" minValue="0" maxValue="1901.88" count="0"/>
    </cacheField>
    <cacheField name="退保后roi" numFmtId="0">
      <sharedItems containsString="false" containsBlank="true" containsNumber="true" minValue="0" maxValue="2.0234298302887392" count="0"/>
    </cacheField>
    <cacheField name="单均" numFmtId="0">
      <sharedItems containsString="false" containsBlank="true" containsNumber="true" minValue="498.96" maxValue="3124.16" count="0"/>
    </cacheField>
    <cacheField name="保单成本" numFmtId="0">
      <sharedItems containsString="false" containsBlank="true" containsNumber="true" minValue="1265.12" maxValue="5061.06" count="0"/>
    </cacheField>
    <cacheField name="助播" numFmtId="0">
      <sharedItems containsBlank="true" count="0"/>
    </cacheField>
    <cacheField name="助播时长" numFmtId="0">
      <sharedItems containsSemiMixedTypes="false" containsString="false" containsNumber="true" minValue="1" maxValue="5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minValue="2.5" maxValue="5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66:$F$173" firstHeaderRow="1" firstDataRow="1" firstDataCol="1"/>
  <pivotFields count="20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h="true" x="5"/>
        <item x="6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dataField="true" compact="false" outline="false" showAll="false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F$151:$G$161" firstHeaderRow="1" firstDataRow="1" firstDataCol="1"/>
  <pivotFields count="20">
    <pivotField compact="false" outline="false" showAll="false"/>
    <pivotField axis="axisRow" compact="false" outline="false" showAll="false">
      <items count="11">
        <item x="0"/>
        <item x="1"/>
        <item h="true"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D$77:$G$80" firstHeaderRow="1" firstDataRow="1" firstDataCol="1"/>
  <pivotFields count="20">
    <pivotField compact="false" outline="false" showAll="false"/>
    <pivotField axis="axisRow" compact="false" outline="false" showAll="false">
      <items count="4">
        <item x="0"/>
        <item h="true" x="1"/>
        <item x="2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dataField="true" compact="false" outline="false" showAll="false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D$33:$I$35" firstHeaderRow="1" firstDataRow="1" firstDataCol="1"/>
  <pivotFields count="20">
    <pivotField compact="false" outline="false" showAll="false"/>
    <pivotField axis="axisRow" compact="false" outline="false" showAll="false">
      <items count="3">
        <item x="0"/>
        <item h="true" x="1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5">
    <dataField name="求和项:直播时长" fld="3" subtotal="sum"/>
    <dataField name="求和项:保单数量" fld="4" subtotal="sum"/>
    <dataField name="求和项:保险支付数" fld="5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3" t="s">
        <v>12</v>
      </c>
      <c r="M1" s="2" t="s">
        <v>13</v>
      </c>
      <c r="N1" s="3" t="s">
        <v>14</v>
      </c>
      <c r="O1" s="3" t="s">
        <v>15</v>
      </c>
      <c r="P1" s="3" t="s">
        <v>16</v>
      </c>
      <c r="Q1" s="1" t="s">
        <v>17</v>
      </c>
      <c r="R1" s="1" t="s">
        <v>18</v>
      </c>
      <c r="S1" s="4" t="s">
        <v>19</v>
      </c>
      <c r="T1" s="1" t="s">
        <v>20</v>
      </c>
    </row>
    <row hidden="true" r="2">
      <c r="A2" s="5">
        <v>46296</v>
      </c>
      <c r="B2" s="6" t="s">
        <v>21</v>
      </c>
      <c r="C2" s="7" t="s">
        <v>22</v>
      </c>
      <c r="D2" s="7">
        <v>5</v>
      </c>
      <c r="E2" s="7">
        <v>79</v>
      </c>
      <c r="F2" s="7">
        <v>63</v>
      </c>
      <c r="G2" s="7">
        <v>2</v>
      </c>
      <c r="H2" s="7">
        <v>130339.2</v>
      </c>
      <c r="I2" s="7">
        <v>1086</v>
      </c>
      <c r="J2" s="8">
        <f t="shared" ref="J2:J6" si="0">H2+I2</f>
      </c>
      <c r="K2" s="7">
        <v>87387.18</v>
      </c>
      <c r="L2" s="9">
        <f t="shared" ref="L2:L111" si="21">J2/K2</f>
      </c>
      <c r="M2" s="7">
        <v>28181.520000000004</v>
      </c>
      <c r="N2" s="9">
        <f t="shared" ref="N2:N111" si="19">(J2-M2)/K2</f>
      </c>
      <c r="O2" s="9">
        <f t="shared" ref="O2:O111" si="22">J2/E2</f>
      </c>
      <c r="P2" s="9">
        <f t="shared" ref="P2:P111" si="20">K2/E2</f>
      </c>
      <c r="Q2" s="7" t="s">
        <v>23</v>
      </c>
      <c r="R2" s="7">
        <v>10</v>
      </c>
      <c r="S2" s="10" t="s">
        <v>24</v>
      </c>
      <c r="T2" s="7">
        <v>20</v>
      </c>
    </row>
    <row hidden="true" r="3">
      <c r="A3" s="5">
        <v>46296</v>
      </c>
      <c r="B3" s="6" t="s">
        <v>25</v>
      </c>
      <c r="C3" s="7" t="s">
        <v>26</v>
      </c>
      <c r="D3" s="7">
        <v>4</v>
      </c>
      <c r="E3" s="7">
        <v>36</v>
      </c>
      <c r="F3" s="7">
        <v>24</v>
      </c>
      <c r="G3" s="7">
        <v>2</v>
      </c>
      <c r="H3" s="11">
        <v>55998.59999999999</v>
      </c>
      <c r="I3" s="7">
        <v>8092</v>
      </c>
      <c r="J3" s="8">
        <f t="shared" si="0"/>
      </c>
      <c r="K3" s="7">
        <v>35019.8</v>
      </c>
      <c r="L3" s="9">
        <f t="shared" si="21"/>
      </c>
      <c r="M3" s="7">
        <v>13119.48</v>
      </c>
      <c r="N3" s="9">
        <f t="shared" si="19"/>
      </c>
      <c r="O3" s="9">
        <f t="shared" si="22"/>
      </c>
      <c r="P3" s="9">
        <f t="shared" si="20"/>
      </c>
      <c r="Q3" s="7"/>
      <c r="R3" s="7"/>
      <c r="S3" s="10"/>
      <c r="T3" s="7"/>
    </row>
    <row hidden="true" r="4">
      <c r="A4" s="5">
        <v>46296</v>
      </c>
      <c r="B4" s="6" t="s">
        <v>27</v>
      </c>
      <c r="C4" s="7" t="s">
        <v>28</v>
      </c>
      <c r="D4" s="7">
        <v>2</v>
      </c>
      <c r="E4" s="7">
        <v>20</v>
      </c>
      <c r="F4" s="7">
        <v>15</v>
      </c>
      <c r="G4" s="7">
        <v>1</v>
      </c>
      <c r="H4" s="11">
        <v>31048.920000000013</v>
      </c>
      <c r="I4" s="7">
        <v>1371</v>
      </c>
      <c r="J4" s="8">
        <f t="shared" si="0"/>
      </c>
      <c r="K4" s="7">
        <v>14596.1</v>
      </c>
      <c r="L4" s="9">
        <f t="shared" si="21"/>
      </c>
      <c r="M4" s="7">
        <v>3888</v>
      </c>
      <c r="N4" s="9">
        <f t="shared" si="19"/>
      </c>
      <c r="O4" s="9">
        <f t="shared" si="22"/>
      </c>
      <c r="P4" s="9">
        <f t="shared" si="20"/>
      </c>
      <c r="Q4" s="7"/>
      <c r="R4" s="7"/>
      <c r="S4" s="10"/>
      <c r="T4" s="7"/>
    </row>
    <row hidden="true" r="5">
      <c r="A5" s="5">
        <v>46296</v>
      </c>
      <c r="B5" s="6" t="s">
        <v>29</v>
      </c>
      <c r="C5" s="7" t="s">
        <v>30</v>
      </c>
      <c r="D5" s="7">
        <v>4</v>
      </c>
      <c r="E5" s="7">
        <v>49</v>
      </c>
      <c r="F5" s="7">
        <v>43</v>
      </c>
      <c r="G5" s="7">
        <v>8</v>
      </c>
      <c r="H5" s="11">
        <v>85251.00000000003</v>
      </c>
      <c r="I5" s="7">
        <v>11047</v>
      </c>
      <c r="J5" s="8">
        <f t="shared" si="0"/>
      </c>
      <c r="K5" s="7">
        <v>48247.96</v>
      </c>
      <c r="L5" s="9">
        <f t="shared" si="21"/>
      </c>
      <c r="M5" s="7">
        <v>3886.6800000000003</v>
      </c>
      <c r="N5" s="9">
        <f t="shared" si="19"/>
      </c>
      <c r="O5" s="9">
        <f t="shared" si="22"/>
      </c>
      <c r="P5" s="9">
        <f t="shared" si="20"/>
      </c>
      <c r="Q5" s="7"/>
      <c r="R5" s="7"/>
      <c r="S5" s="10"/>
      <c r="T5" s="7"/>
    </row>
    <row hidden="true" r="6">
      <c r="A6" s="5">
        <v>46296</v>
      </c>
      <c r="B6" s="6" t="s">
        <v>31</v>
      </c>
      <c r="C6" s="7" t="s">
        <v>32</v>
      </c>
      <c r="D6" s="7">
        <v>5</v>
      </c>
      <c r="E6" s="12">
        <v>23</v>
      </c>
      <c r="F6" s="12">
        <v>20</v>
      </c>
      <c r="G6" s="7">
        <v>3</v>
      </c>
      <c r="H6" s="13">
        <v>35504.759999999966</v>
      </c>
      <c r="I6" s="13">
        <v>5591</v>
      </c>
      <c r="J6" s="8">
        <f t="shared" si="0"/>
      </c>
      <c r="K6" s="13">
        <v>41176.63</v>
      </c>
      <c r="L6" s="9">
        <f t="shared" si="21"/>
      </c>
      <c r="M6" s="7">
        <v>0</v>
      </c>
      <c r="N6" s="9">
        <f t="shared" si="19"/>
      </c>
      <c r="O6" s="9">
        <f t="shared" si="22"/>
      </c>
      <c r="P6" s="9">
        <f t="shared" si="20"/>
      </c>
      <c r="Q6" s="7" t="s">
        <v>33</v>
      </c>
      <c r="R6" s="7">
        <v>10</v>
      </c>
      <c r="S6" s="10"/>
      <c r="T6" s="7"/>
    </row>
    <row hidden="true" r="7">
      <c r="A7" s="14">
        <v>46296</v>
      </c>
      <c r="B7" s="15"/>
      <c r="C7" s="15"/>
      <c r="D7" s="16">
        <f>SUM(D2:D6)</f>
      </c>
      <c r="E7" s="16">
        <v>47</v>
      </c>
      <c r="F7" s="16">
        <v>42</v>
      </c>
      <c r="G7" s="16">
        <f>SUM(G2:G6)</f>
      </c>
      <c r="H7" s="16">
        <f>SUM(H2:H6)</f>
      </c>
      <c r="I7" s="16">
        <f>SUM(I2:I6)</f>
      </c>
      <c r="J7" s="16">
        <f>SUM(J2:J6)</f>
      </c>
      <c r="K7" s="16">
        <f>SUM(K2:K6)</f>
      </c>
      <c r="L7" s="17">
        <f t="shared" si="21"/>
      </c>
      <c r="M7" s="16">
        <f>SUM(M2:M6)</f>
      </c>
      <c r="N7" s="18">
        <f t="shared" si="19"/>
      </c>
      <c r="O7" s="17">
        <f t="shared" si="22"/>
      </c>
      <c r="P7" s="17">
        <f t="shared" si="20"/>
      </c>
      <c r="Q7" s="15"/>
      <c r="R7" s="16">
        <f>SUM(R2:R6)</f>
      </c>
      <c r="S7" s="15"/>
      <c r="T7" s="16">
        <f>SUM(T2:T6)</f>
      </c>
    </row>
    <row hidden="true" r="8">
      <c r="A8" s="5">
        <v>46297</v>
      </c>
      <c r="B8" s="6" t="s">
        <v>21</v>
      </c>
      <c r="C8" s="7" t="s">
        <v>22</v>
      </c>
      <c r="D8" s="7">
        <v>5</v>
      </c>
      <c r="E8" s="7">
        <v>47</v>
      </c>
      <c r="F8" s="7">
        <v>34</v>
      </c>
      <c r="G8" s="7">
        <v>0</v>
      </c>
      <c r="H8" s="7">
        <v>94664.16</v>
      </c>
      <c r="I8" s="7">
        <v>6370</v>
      </c>
      <c r="J8" s="8">
        <f t="shared" ref="J8:J12" si="1">H8+I8</f>
      </c>
      <c r="K8" s="7">
        <v>47931.23999999999</v>
      </c>
      <c r="L8" s="9">
        <f t="shared" si="21"/>
      </c>
      <c r="M8" s="7">
        <v>15556.759999999998</v>
      </c>
      <c r="N8" s="9">
        <f t="shared" si="19"/>
      </c>
      <c r="O8" s="9">
        <f t="shared" si="22"/>
      </c>
      <c r="P8" s="9">
        <f t="shared" si="20"/>
      </c>
      <c r="Q8" s="7" t="s">
        <v>23</v>
      </c>
      <c r="R8" s="7">
        <v>10</v>
      </c>
      <c r="S8" s="10" t="s">
        <v>24</v>
      </c>
      <c r="T8" s="7">
        <v>20</v>
      </c>
    </row>
    <row hidden="true" r="9">
      <c r="A9" s="5">
        <v>46297</v>
      </c>
      <c r="B9" s="6" t="s">
        <v>25</v>
      </c>
      <c r="C9" s="7" t="s">
        <v>26</v>
      </c>
      <c r="D9" s="7">
        <v>4</v>
      </c>
      <c r="E9" s="7">
        <v>21</v>
      </c>
      <c r="F9" s="7">
        <v>14</v>
      </c>
      <c r="G9" s="7">
        <v>0</v>
      </c>
      <c r="H9" s="11">
        <v>48150.720000000016</v>
      </c>
      <c r="I9" s="7">
        <v>0</v>
      </c>
      <c r="J9" s="8">
        <f t="shared" si="1"/>
      </c>
      <c r="K9" s="7">
        <v>22788.219999999998</v>
      </c>
      <c r="L9" s="9">
        <f t="shared" si="21"/>
      </c>
      <c r="M9" s="7">
        <v>25442.640000000003</v>
      </c>
      <c r="N9" s="9">
        <f t="shared" si="19"/>
      </c>
      <c r="O9" s="9">
        <f t="shared" si="22"/>
      </c>
      <c r="P9" s="9">
        <f t="shared" si="20"/>
      </c>
      <c r="Q9" s="7"/>
      <c r="R9" s="7"/>
      <c r="S9" s="10"/>
      <c r="T9" s="7"/>
    </row>
    <row hidden="true" r="10">
      <c r="A10" s="5">
        <v>46297</v>
      </c>
      <c r="B10" s="6" t="s">
        <v>27</v>
      </c>
      <c r="C10" s="7" t="s">
        <v>28</v>
      </c>
      <c r="D10" s="7">
        <v>2</v>
      </c>
      <c r="E10" s="7">
        <v>13</v>
      </c>
      <c r="F10" s="7">
        <v>11</v>
      </c>
      <c r="G10" s="7">
        <v>0</v>
      </c>
      <c r="H10" s="11">
        <v>23064.480000000018</v>
      </c>
      <c r="I10" s="7">
        <v>0</v>
      </c>
      <c r="J10" s="8">
        <f t="shared" si="1"/>
      </c>
      <c r="K10" s="7">
        <v>10913.150000000001</v>
      </c>
      <c r="L10" s="9">
        <f t="shared" si="21"/>
      </c>
      <c r="M10" s="7">
        <v>5581.4400000000005</v>
      </c>
      <c r="N10" s="9">
        <f t="shared" si="19"/>
      </c>
      <c r="O10" s="9">
        <f t="shared" si="22"/>
      </c>
      <c r="P10" s="9">
        <f t="shared" si="20"/>
      </c>
      <c r="Q10" s="7"/>
      <c r="R10" s="7"/>
      <c r="S10" s="10"/>
      <c r="T10" s="7"/>
    </row>
    <row hidden="true" r="11">
      <c r="A11" s="5">
        <v>46297</v>
      </c>
      <c r="B11" s="6" t="s">
        <v>31</v>
      </c>
      <c r="C11" s="7" t="s">
        <v>30</v>
      </c>
      <c r="D11" s="7">
        <v>4</v>
      </c>
      <c r="E11" s="7">
        <v>21</v>
      </c>
      <c r="F11" s="7">
        <v>18</v>
      </c>
      <c r="G11" s="7">
        <v>1</v>
      </c>
      <c r="H11" s="11">
        <v>28779.839999999997</v>
      </c>
      <c r="I11" s="7">
        <v>2399</v>
      </c>
      <c r="J11" s="8">
        <f t="shared" si="1"/>
      </c>
      <c r="K11" s="7">
        <v>21527.170000000002</v>
      </c>
      <c r="L11" s="9">
        <f t="shared" si="21"/>
      </c>
      <c r="M11" s="7">
        <v>8357.92</v>
      </c>
      <c r="N11" s="9">
        <f t="shared" si="19"/>
      </c>
      <c r="O11" s="9">
        <f t="shared" si="22"/>
      </c>
      <c r="P11" s="9">
        <f t="shared" si="20"/>
      </c>
      <c r="Q11" s="7"/>
      <c r="R11" s="7"/>
      <c r="S11" s="10"/>
      <c r="T11" s="7"/>
    </row>
    <row hidden="true" r="12">
      <c r="A12" s="5">
        <v>46297</v>
      </c>
      <c r="B12" s="6" t="s">
        <v>34</v>
      </c>
      <c r="C12" s="7" t="s">
        <v>32</v>
      </c>
      <c r="D12" s="7">
        <v>5</v>
      </c>
      <c r="E12" s="12">
        <v>23</v>
      </c>
      <c r="F12" s="12">
        <v>20</v>
      </c>
      <c r="G12" s="7">
        <v>4</v>
      </c>
      <c r="H12" s="13">
        <v>44956.92</v>
      </c>
      <c r="I12" s="13">
        <v>4264.7</v>
      </c>
      <c r="J12" s="8">
        <f t="shared" si="1"/>
      </c>
      <c r="K12" s="13">
        <v>26315.860000000004</v>
      </c>
      <c r="L12" s="9">
        <f t="shared" si="21"/>
      </c>
      <c r="M12" s="7">
        <v>0</v>
      </c>
      <c r="N12" s="9">
        <f t="shared" si="19"/>
      </c>
      <c r="O12" s="9">
        <f t="shared" si="22"/>
      </c>
      <c r="P12" s="9">
        <f t="shared" si="20"/>
      </c>
      <c r="Q12" s="7" t="s">
        <v>33</v>
      </c>
      <c r="R12" s="7">
        <v>10</v>
      </c>
      <c r="S12" s="10"/>
      <c r="T12" s="7"/>
    </row>
    <row hidden="true" r="13">
      <c r="A13" s="19">
        <v>46297</v>
      </c>
      <c r="B13" s="15"/>
      <c r="C13" s="15"/>
      <c r="D13" s="16">
        <f>SUM(D8:D12)</f>
      </c>
      <c r="E13" s="16">
        <v>47</v>
      </c>
      <c r="F13" s="16">
        <v>42</v>
      </c>
      <c r="G13" s="16">
        <f>SUM(G8:G12)</f>
      </c>
      <c r="H13" s="16">
        <f>SUM(H8:H12)</f>
      </c>
      <c r="I13" s="16">
        <f>SUM(I8:I12)</f>
      </c>
      <c r="J13" s="16">
        <f>SUM(J8:J12)</f>
      </c>
      <c r="K13" s="16">
        <f>SUM(K8:K12)</f>
      </c>
      <c r="L13" s="17">
        <f t="shared" si="21"/>
      </c>
      <c r="M13" s="16">
        <f>SUM(M8:M12)</f>
      </c>
      <c r="N13" s="18">
        <f t="shared" si="19"/>
      </c>
      <c r="O13" s="17">
        <f t="shared" si="22"/>
      </c>
      <c r="P13" s="17">
        <f t="shared" si="20"/>
      </c>
      <c r="Q13" s="15"/>
      <c r="R13" s="16">
        <f>SUM(R8:R12)</f>
      </c>
      <c r="S13" s="15"/>
      <c r="T13" s="16">
        <f>SUM(T8:T12)</f>
      </c>
    </row>
    <row hidden="true" r="14">
      <c r="A14" s="5">
        <v>46298</v>
      </c>
      <c r="B14" s="6" t="s">
        <v>21</v>
      </c>
      <c r="C14" s="7" t="s">
        <v>22</v>
      </c>
      <c r="D14" s="7">
        <v>5</v>
      </c>
      <c r="E14" s="7">
        <v>38</v>
      </c>
      <c r="F14" s="7">
        <v>34</v>
      </c>
      <c r="G14" s="7">
        <v>4</v>
      </c>
      <c r="H14" s="7">
        <v>56993.64</v>
      </c>
      <c r="I14" s="7">
        <v>3819</v>
      </c>
      <c r="J14" s="8">
        <f t="shared" ref="J14:J18" si="2">H14+I14</f>
      </c>
      <c r="K14" s="7">
        <v>40591.46</v>
      </c>
      <c r="L14" s="9">
        <f t="shared" si="21"/>
      </c>
      <c r="M14" s="7">
        <v>14515.32</v>
      </c>
      <c r="N14" s="9">
        <f t="shared" si="19"/>
      </c>
      <c r="O14" s="9">
        <f t="shared" si="22"/>
      </c>
      <c r="P14" s="9">
        <f t="shared" si="20"/>
      </c>
      <c r="Q14" s="7" t="s">
        <v>23</v>
      </c>
      <c r="R14" s="7">
        <v>10</v>
      </c>
      <c r="S14" s="10" t="s">
        <v>24</v>
      </c>
      <c r="T14" s="7">
        <v>20</v>
      </c>
    </row>
    <row hidden="true" r="15">
      <c r="A15" s="5">
        <v>46298</v>
      </c>
      <c r="B15" s="6" t="s">
        <v>25</v>
      </c>
      <c r="C15" s="7" t="s">
        <v>26</v>
      </c>
      <c r="D15" s="7">
        <v>4</v>
      </c>
      <c r="E15" s="7">
        <v>41</v>
      </c>
      <c r="F15" s="7">
        <v>32</v>
      </c>
      <c r="G15" s="7">
        <v>5</v>
      </c>
      <c r="H15" s="11">
        <v>63658.68000000001</v>
      </c>
      <c r="I15" s="7">
        <v>2271.000000000001</v>
      </c>
      <c r="J15" s="8">
        <f t="shared" si="2"/>
      </c>
      <c r="K15" s="7">
        <v>37758.87</v>
      </c>
      <c r="L15" s="9">
        <f t="shared" si="21"/>
      </c>
      <c r="M15" s="7">
        <v>10279.080000000002</v>
      </c>
      <c r="N15" s="9">
        <f t="shared" si="19"/>
      </c>
      <c r="O15" s="9">
        <f t="shared" si="22"/>
      </c>
      <c r="P15" s="9">
        <f t="shared" si="20"/>
      </c>
      <c r="Q15" s="7"/>
      <c r="R15" s="7"/>
      <c r="S15" s="10"/>
      <c r="T15" s="7"/>
    </row>
    <row hidden="true" r="16">
      <c r="A16" s="5">
        <v>46298</v>
      </c>
      <c r="B16" s="6" t="s">
        <v>35</v>
      </c>
      <c r="C16" s="7" t="s">
        <v>28</v>
      </c>
      <c r="D16" s="7">
        <v>2</v>
      </c>
      <c r="E16" s="7">
        <v>10</v>
      </c>
      <c r="F16" s="7">
        <v>11</v>
      </c>
      <c r="G16" s="7">
        <v>2</v>
      </c>
      <c r="H16" s="11">
        <v>14538.839999999997</v>
      </c>
      <c r="I16" s="7">
        <v>3341.999999999999</v>
      </c>
      <c r="J16" s="8">
        <f t="shared" si="2"/>
      </c>
      <c r="K16" s="7">
        <v>18300.45</v>
      </c>
      <c r="L16" s="9">
        <f t="shared" si="21"/>
      </c>
      <c r="M16" s="7">
        <v>2974.32</v>
      </c>
      <c r="N16" s="9">
        <f t="shared" si="19"/>
      </c>
      <c r="O16" s="9">
        <f t="shared" si="22"/>
      </c>
      <c r="P16" s="9">
        <f t="shared" si="20"/>
      </c>
      <c r="Q16" s="7"/>
      <c r="R16" s="7"/>
      <c r="S16" s="10"/>
      <c r="T16" s="7"/>
    </row>
    <row hidden="true" r="17">
      <c r="A17" s="5">
        <v>46298</v>
      </c>
      <c r="B17" s="6" t="s">
        <v>34</v>
      </c>
      <c r="C17" s="7" t="s">
        <v>36</v>
      </c>
      <c r="D17" s="7">
        <v>5</v>
      </c>
      <c r="E17" s="7">
        <v>25</v>
      </c>
      <c r="F17" s="7">
        <v>20</v>
      </c>
      <c r="G17" s="7">
        <v>0</v>
      </c>
      <c r="H17" s="11">
        <v>35760.96000000002</v>
      </c>
      <c r="I17" s="7">
        <v>0</v>
      </c>
      <c r="J17" s="8">
        <f t="shared" si="2"/>
      </c>
      <c r="K17" s="7">
        <v>34985.55</v>
      </c>
      <c r="L17" s="9">
        <f t="shared" si="21"/>
      </c>
      <c r="M17" s="7">
        <v>2464.56</v>
      </c>
      <c r="N17" s="9">
        <f t="shared" si="19"/>
      </c>
      <c r="O17" s="9">
        <f t="shared" si="22"/>
      </c>
      <c r="P17" s="9">
        <f t="shared" si="20"/>
      </c>
      <c r="Q17" s="7"/>
      <c r="R17" s="7"/>
      <c r="S17" s="10"/>
      <c r="T17" s="7"/>
    </row>
    <row hidden="true" r="18">
      <c r="A18" s="5">
        <v>46298</v>
      </c>
      <c r="B18" s="6" t="s">
        <v>29</v>
      </c>
      <c r="C18" s="7" t="s">
        <v>37</v>
      </c>
      <c r="D18" s="7">
        <v>4</v>
      </c>
      <c r="E18" s="12">
        <v>26</v>
      </c>
      <c r="F18" s="12">
        <v>22</v>
      </c>
      <c r="G18" s="7">
        <v>5</v>
      </c>
      <c r="H18" s="13">
        <v>42777.239999999976</v>
      </c>
      <c r="I18" s="13">
        <v>626</v>
      </c>
      <c r="J18" s="8">
        <f t="shared" si="2"/>
      </c>
      <c r="K18" s="13">
        <v>28207.91</v>
      </c>
      <c r="L18" s="9">
        <f t="shared" si="21"/>
      </c>
      <c r="M18" s="7">
        <v>453.6</v>
      </c>
      <c r="N18" s="9">
        <f t="shared" si="19"/>
      </c>
      <c r="O18" s="9">
        <f t="shared" si="22"/>
      </c>
      <c r="P18" s="9">
        <f t="shared" si="20"/>
      </c>
      <c r="Q18" s="7" t="s">
        <v>33</v>
      </c>
      <c r="R18" s="7">
        <v>10</v>
      </c>
      <c r="S18" s="10"/>
      <c r="T18" s="7"/>
    </row>
    <row hidden="true" r="19">
      <c r="A19" s="19">
        <v>46298</v>
      </c>
      <c r="B19" s="15"/>
      <c r="C19" s="15"/>
      <c r="D19" s="16">
        <f>SUM(D14:D18)</f>
      </c>
      <c r="E19" s="16">
        <v>47</v>
      </c>
      <c r="F19" s="16">
        <v>42</v>
      </c>
      <c r="G19" s="16">
        <f>SUM(G14:G18)</f>
      </c>
      <c r="H19" s="16">
        <f>SUM(H14:H18)</f>
      </c>
      <c r="I19" s="16">
        <f>SUM(I14:I18)</f>
      </c>
      <c r="J19" s="16">
        <f>SUM(J14:J18)</f>
      </c>
      <c r="K19" s="16">
        <f>SUM(K14:K18)</f>
      </c>
      <c r="L19" s="17">
        <f t="shared" si="21"/>
      </c>
      <c r="M19" s="16">
        <f>SUM(M14:M18)</f>
      </c>
      <c r="N19" s="18">
        <f t="shared" si="19"/>
      </c>
      <c r="O19" s="17">
        <f t="shared" si="22"/>
      </c>
      <c r="P19" s="17">
        <f t="shared" si="20"/>
      </c>
      <c r="Q19" s="15"/>
      <c r="R19" s="16">
        <f>SUM(R14:R18)</f>
      </c>
      <c r="S19" s="15"/>
      <c r="T19" s="16">
        <f>SUM(T14:T18)</f>
      </c>
    </row>
    <row hidden="true" r="20">
      <c r="A20" s="5">
        <v>46299</v>
      </c>
      <c r="B20" s="6" t="s">
        <v>34</v>
      </c>
      <c r="C20" s="7" t="s">
        <v>22</v>
      </c>
      <c r="D20" s="7">
        <v>5</v>
      </c>
      <c r="E20" s="7">
        <v>50</v>
      </c>
      <c r="F20" s="7">
        <v>41</v>
      </c>
      <c r="G20" s="7">
        <v>3</v>
      </c>
      <c r="H20" s="7">
        <v>85059.6</v>
      </c>
      <c r="I20" s="7">
        <v>506</v>
      </c>
      <c r="J20" s="8">
        <f t="shared" ref="J20:J24" si="3">H20+I20</f>
      </c>
      <c r="K20" s="7">
        <v>48983.19</v>
      </c>
      <c r="L20" s="9">
        <f t="shared" si="21"/>
      </c>
      <c r="M20" s="7">
        <v>17919.359999999997</v>
      </c>
      <c r="N20" s="9">
        <f t="shared" si="19"/>
      </c>
      <c r="O20" s="9">
        <f t="shared" si="22"/>
      </c>
      <c r="P20" s="9">
        <f t="shared" si="20"/>
      </c>
      <c r="Q20" s="7" t="s">
        <v>23</v>
      </c>
      <c r="R20" s="7">
        <v>10</v>
      </c>
      <c r="S20" s="10" t="s">
        <v>24</v>
      </c>
      <c r="T20" s="7">
        <v>20</v>
      </c>
    </row>
    <row hidden="true" r="21">
      <c r="A21" s="5">
        <v>46299</v>
      </c>
      <c r="B21" s="6" t="s">
        <v>21</v>
      </c>
      <c r="C21" s="7" t="s">
        <v>38</v>
      </c>
      <c r="D21" s="7">
        <v>5</v>
      </c>
      <c r="E21" s="7">
        <v>33</v>
      </c>
      <c r="F21" s="7">
        <v>28</v>
      </c>
      <c r="G21" s="7">
        <v>3</v>
      </c>
      <c r="H21" s="11">
        <v>52719.12000000001</v>
      </c>
      <c r="I21" s="7">
        <v>2605</v>
      </c>
      <c r="J21" s="8">
        <f t="shared" si="3"/>
      </c>
      <c r="K21" s="7">
        <v>33256.66</v>
      </c>
      <c r="L21" s="9">
        <f t="shared" si="21"/>
      </c>
      <c r="M21" s="7">
        <v>19630.08</v>
      </c>
      <c r="N21" s="9">
        <f t="shared" si="19"/>
      </c>
      <c r="O21" s="9">
        <f t="shared" si="22"/>
      </c>
      <c r="P21" s="9">
        <f t="shared" si="20"/>
      </c>
      <c r="Q21" s="7"/>
      <c r="R21" s="7"/>
      <c r="S21" s="10"/>
      <c r="T21" s="7"/>
    </row>
    <row hidden="true" r="22">
      <c r="A22" s="5">
        <v>46299</v>
      </c>
      <c r="B22" s="6" t="s">
        <v>35</v>
      </c>
      <c r="C22" s="7" t="s">
        <v>39</v>
      </c>
      <c r="D22" s="7">
        <v>2</v>
      </c>
      <c r="E22" s="7">
        <v>24</v>
      </c>
      <c r="F22" s="7">
        <v>24</v>
      </c>
      <c r="G22" s="7">
        <v>1</v>
      </c>
      <c r="H22" s="11">
        <v>26435.159999999974</v>
      </c>
      <c r="I22" s="7">
        <v>5983</v>
      </c>
      <c r="J22" s="8">
        <f t="shared" si="3"/>
      </c>
      <c r="K22" s="7">
        <v>21810.36</v>
      </c>
      <c r="L22" s="9">
        <f t="shared" si="21"/>
      </c>
      <c r="M22" s="7">
        <v>1617.84</v>
      </c>
      <c r="N22" s="9">
        <f t="shared" si="19"/>
      </c>
      <c r="O22" s="9">
        <f t="shared" si="22"/>
      </c>
      <c r="P22" s="9">
        <f t="shared" si="20"/>
      </c>
      <c r="Q22" s="7"/>
      <c r="R22" s="7"/>
      <c r="S22" s="10"/>
      <c r="T22" s="7"/>
    </row>
    <row hidden="true" r="23">
      <c r="A23" s="5">
        <v>46299</v>
      </c>
      <c r="B23" s="6" t="s">
        <v>29</v>
      </c>
      <c r="C23" s="7" t="s">
        <v>40</v>
      </c>
      <c r="D23" s="7">
        <v>4</v>
      </c>
      <c r="E23" s="7">
        <v>29</v>
      </c>
      <c r="F23" s="7">
        <v>24</v>
      </c>
      <c r="G23" s="7">
        <v>4</v>
      </c>
      <c r="H23" s="11">
        <v>49482.36</v>
      </c>
      <c r="I23" s="7">
        <v>2355</v>
      </c>
      <c r="J23" s="8">
        <f t="shared" si="3"/>
      </c>
      <c r="K23" s="7">
        <v>36755.37</v>
      </c>
      <c r="L23" s="9">
        <f t="shared" si="21"/>
      </c>
      <c r="M23" s="7">
        <v>676.08</v>
      </c>
      <c r="N23" s="9">
        <f t="shared" si="19"/>
      </c>
      <c r="O23" s="9">
        <f t="shared" si="22"/>
      </c>
      <c r="P23" s="9">
        <f t="shared" si="20"/>
      </c>
      <c r="Q23" s="7"/>
      <c r="R23" s="7"/>
      <c r="S23" s="10"/>
      <c r="T23" s="7"/>
    </row>
    <row hidden="true" r="24">
      <c r="A24" s="5">
        <v>46299</v>
      </c>
      <c r="B24" s="6" t="s">
        <v>25</v>
      </c>
      <c r="C24" s="7" t="s">
        <v>37</v>
      </c>
      <c r="D24" s="7">
        <v>4</v>
      </c>
      <c r="E24" s="12">
        <v>35</v>
      </c>
      <c r="F24" s="12">
        <v>28</v>
      </c>
      <c r="G24" s="7">
        <v>2</v>
      </c>
      <c r="H24" s="13">
        <v>36610.91999999999</v>
      </c>
      <c r="I24" s="13">
        <v>12209.050000000001</v>
      </c>
      <c r="J24" s="8">
        <f t="shared" si="3"/>
      </c>
      <c r="K24" s="13">
        <v>27509.91</v>
      </c>
      <c r="L24" s="9">
        <f t="shared" si="21"/>
      </c>
      <c r="M24" s="7">
        <v>663</v>
      </c>
      <c r="N24" s="9">
        <f t="shared" si="19"/>
      </c>
      <c r="O24" s="9">
        <f t="shared" si="22"/>
      </c>
      <c r="P24" s="9">
        <f t="shared" si="20"/>
      </c>
      <c r="Q24" s="7" t="s">
        <v>33</v>
      </c>
      <c r="R24" s="7">
        <v>10</v>
      </c>
      <c r="S24" s="10"/>
      <c r="T24" s="7"/>
    </row>
    <row hidden="true" r="25">
      <c r="A25" s="19">
        <v>46299</v>
      </c>
      <c r="B25" s="15"/>
      <c r="C25" s="15"/>
      <c r="D25" s="16">
        <f>SUM(D20:D24)</f>
      </c>
      <c r="E25" s="16">
        <v>47</v>
      </c>
      <c r="F25" s="16">
        <v>42</v>
      </c>
      <c r="G25" s="16">
        <f>SUM(G20:G24)</f>
      </c>
      <c r="H25" s="16">
        <f>SUM(H20:H24)</f>
      </c>
      <c r="I25" s="16">
        <f>SUM(I20:I24)</f>
      </c>
      <c r="J25" s="16">
        <f>SUM(J20:J24)</f>
      </c>
      <c r="K25" s="16">
        <f>SUM(K20:K24)</f>
      </c>
      <c r="L25" s="17">
        <f t="shared" si="21"/>
      </c>
      <c r="M25" s="16">
        <f>SUM(M20:M24)</f>
      </c>
      <c r="N25" s="18">
        <f t="shared" si="19"/>
      </c>
      <c r="O25" s="17">
        <f t="shared" si="22"/>
      </c>
      <c r="P25" s="17">
        <f t="shared" si="20"/>
      </c>
      <c r="Q25" s="15"/>
      <c r="R25" s="16">
        <f>SUM(R20:R24)</f>
      </c>
      <c r="S25" s="15"/>
      <c r="T25" s="16">
        <f>SUM(T20:T24)</f>
      </c>
    </row>
    <row hidden="true" r="26">
      <c r="A26" s="5">
        <v>46300</v>
      </c>
      <c r="B26" s="6" t="s">
        <v>34</v>
      </c>
      <c r="C26" s="7" t="s">
        <v>22</v>
      </c>
      <c r="D26" s="7">
        <v>5</v>
      </c>
      <c r="E26" s="7">
        <v>63</v>
      </c>
      <c r="F26" s="7">
        <v>49</v>
      </c>
      <c r="G26" s="7">
        <v>8</v>
      </c>
      <c r="H26" s="7">
        <v>102816.12</v>
      </c>
      <c r="I26" s="7">
        <v>5543</v>
      </c>
      <c r="J26" s="8">
        <f t="shared" ref="J26:J30" si="4">H26+I26</f>
      </c>
      <c r="K26" s="7">
        <v>52387.44</v>
      </c>
      <c r="L26" s="9">
        <f t="shared" si="21"/>
      </c>
      <c r="M26" s="7">
        <v>26848.96</v>
      </c>
      <c r="N26" s="9">
        <f t="shared" si="19"/>
      </c>
      <c r="O26" s="9">
        <f t="shared" si="22"/>
      </c>
      <c r="P26" s="9">
        <f t="shared" si="20"/>
      </c>
      <c r="Q26" s="7" t="s">
        <v>23</v>
      </c>
      <c r="R26" s="7">
        <v>10</v>
      </c>
      <c r="S26" s="10" t="s">
        <v>24</v>
      </c>
      <c r="T26" s="7">
        <v>20</v>
      </c>
    </row>
    <row hidden="true" r="27">
      <c r="A27" s="5">
        <v>46300</v>
      </c>
      <c r="B27" s="6" t="s">
        <v>21</v>
      </c>
      <c r="C27" s="7" t="s">
        <v>38</v>
      </c>
      <c r="D27" s="7">
        <v>5</v>
      </c>
      <c r="E27" s="7">
        <v>31</v>
      </c>
      <c r="F27" s="7">
        <v>26</v>
      </c>
      <c r="G27" s="7">
        <v>5</v>
      </c>
      <c r="H27" s="11">
        <v>73374.12000000004</v>
      </c>
      <c r="I27" s="7">
        <v>1398</v>
      </c>
      <c r="J27" s="8">
        <f t="shared" si="4"/>
      </c>
      <c r="K27" s="7">
        <v>38893.020000000004</v>
      </c>
      <c r="L27" s="9">
        <f t="shared" si="21"/>
      </c>
      <c r="M27" s="7">
        <v>9098.4</v>
      </c>
      <c r="N27" s="9">
        <f t="shared" si="19"/>
      </c>
      <c r="O27" s="9">
        <f t="shared" si="22"/>
      </c>
      <c r="P27" s="9">
        <f t="shared" si="20"/>
      </c>
      <c r="Q27" s="7"/>
      <c r="R27" s="7"/>
      <c r="S27" s="10"/>
      <c r="T27" s="7"/>
    </row>
    <row hidden="true" r="28">
      <c r="A28" s="5">
        <v>46300</v>
      </c>
      <c r="B28" s="6" t="s">
        <v>27</v>
      </c>
      <c r="C28" s="7" t="s">
        <v>39</v>
      </c>
      <c r="D28" s="7">
        <v>2</v>
      </c>
      <c r="E28" s="7">
        <v>26</v>
      </c>
      <c r="F28" s="7">
        <v>21</v>
      </c>
      <c r="G28" s="7">
        <v>3</v>
      </c>
      <c r="H28" s="11">
        <v>33554.87999999995</v>
      </c>
      <c r="I28" s="7">
        <v>2542.8500000000004</v>
      </c>
      <c r="J28" s="8">
        <f t="shared" si="4"/>
      </c>
      <c r="K28" s="7">
        <v>18202.35</v>
      </c>
      <c r="L28" s="9">
        <f t="shared" si="21"/>
      </c>
      <c r="M28" s="7">
        <v>5760.719999999999</v>
      </c>
      <c r="N28" s="9">
        <f t="shared" si="19"/>
      </c>
      <c r="O28" s="9">
        <f t="shared" si="22"/>
      </c>
      <c r="P28" s="9">
        <f t="shared" si="20"/>
      </c>
      <c r="Q28" s="7"/>
      <c r="R28" s="7"/>
      <c r="S28" s="10"/>
      <c r="T28" s="7"/>
    </row>
    <row hidden="true" r="29">
      <c r="A29" s="5">
        <v>46300</v>
      </c>
      <c r="B29" s="6" t="s">
        <v>25</v>
      </c>
      <c r="C29" s="7" t="s">
        <v>40</v>
      </c>
      <c r="D29" s="7">
        <v>4</v>
      </c>
      <c r="E29" s="7">
        <v>41</v>
      </c>
      <c r="F29" s="7">
        <v>36</v>
      </c>
      <c r="G29" s="7">
        <v>3</v>
      </c>
      <c r="H29" s="11">
        <v>66324</v>
      </c>
      <c r="I29" s="7">
        <v>1796</v>
      </c>
      <c r="J29" s="8">
        <f t="shared" si="4"/>
      </c>
      <c r="K29" s="7">
        <v>52667.01</v>
      </c>
      <c r="L29" s="9">
        <f t="shared" si="21"/>
      </c>
      <c r="M29" s="7">
        <v>4752</v>
      </c>
      <c r="N29" s="9">
        <f t="shared" si="19"/>
      </c>
      <c r="O29" s="9">
        <f t="shared" si="22"/>
      </c>
      <c r="P29" s="9">
        <f t="shared" si="20"/>
      </c>
      <c r="Q29" s="7"/>
      <c r="R29" s="7"/>
      <c r="S29" s="10"/>
      <c r="T29" s="7"/>
    </row>
    <row hidden="true" r="30">
      <c r="A30" s="5">
        <v>46300</v>
      </c>
      <c r="B30" s="6" t="s">
        <v>29</v>
      </c>
      <c r="C30" s="7" t="s">
        <v>37</v>
      </c>
      <c r="D30" s="7">
        <v>4</v>
      </c>
      <c r="E30" s="12">
        <v>21</v>
      </c>
      <c r="F30" s="12">
        <v>16</v>
      </c>
      <c r="G30" s="7">
        <v>5</v>
      </c>
      <c r="H30" s="13">
        <v>39870.719999999994</v>
      </c>
      <c r="I30" s="13">
        <v>3260.4</v>
      </c>
      <c r="J30" s="8">
        <f t="shared" si="4"/>
      </c>
      <c r="K30" s="13">
        <v>24933.690000000002</v>
      </c>
      <c r="L30" s="9">
        <f t="shared" si="21"/>
      </c>
      <c r="M30" s="7">
        <v>0</v>
      </c>
      <c r="N30" s="9">
        <f t="shared" si="19"/>
      </c>
      <c r="O30" s="9">
        <f t="shared" si="22"/>
      </c>
      <c r="P30" s="9">
        <f t="shared" si="20"/>
      </c>
      <c r="Q30" s="7" t="s">
        <v>33</v>
      </c>
      <c r="R30" s="7">
        <v>10</v>
      </c>
      <c r="S30" s="10"/>
      <c r="T30" s="7"/>
    </row>
    <row hidden="true" r="31">
      <c r="A31" s="19">
        <v>46300</v>
      </c>
      <c r="B31" s="15"/>
      <c r="C31" s="15"/>
      <c r="D31" s="16">
        <f>SUM(D26:D30)</f>
      </c>
      <c r="E31" s="16">
        <v>47</v>
      </c>
      <c r="F31" s="16">
        <v>42</v>
      </c>
      <c r="G31" s="16">
        <f>SUM(G26:G30)</f>
      </c>
      <c r="H31" s="16">
        <f>SUM(H26:H30)</f>
      </c>
      <c r="I31" s="16">
        <f>SUM(I26:I30)</f>
      </c>
      <c r="J31" s="16">
        <f>SUM(J26:J30)</f>
      </c>
      <c r="K31" s="16">
        <f>SUM(K26:K30)</f>
      </c>
      <c r="L31" s="17">
        <f t="shared" si="21"/>
      </c>
      <c r="M31" s="16">
        <f>SUM(M26:M30)</f>
      </c>
      <c r="N31" s="18">
        <f t="shared" si="19"/>
      </c>
      <c r="O31" s="17">
        <f t="shared" si="22"/>
      </c>
      <c r="P31" s="17">
        <f t="shared" si="20"/>
      </c>
      <c r="Q31" s="15"/>
      <c r="R31" s="16">
        <f>SUM(R26:R30)</f>
      </c>
      <c r="S31" s="15"/>
      <c r="T31" s="16">
        <f>SUM(T26:T30)</f>
      </c>
    </row>
    <row hidden="true" r="32">
      <c r="A32" s="5">
        <v>46301</v>
      </c>
      <c r="B32" s="6" t="s">
        <v>34</v>
      </c>
      <c r="C32" s="7" t="s">
        <v>22</v>
      </c>
      <c r="D32" s="7">
        <v>5</v>
      </c>
      <c r="E32" s="7">
        <v>16</v>
      </c>
      <c r="F32" s="7">
        <v>14</v>
      </c>
      <c r="G32" s="7">
        <v>1</v>
      </c>
      <c r="H32" s="7">
        <v>29562.96</v>
      </c>
      <c r="I32" s="7">
        <v>379</v>
      </c>
      <c r="J32" s="8">
        <f t="shared" ref="J32:J36" si="5">H32+I32</f>
      </c>
      <c r="K32" s="7">
        <v>29874.02</v>
      </c>
      <c r="L32" s="9">
        <f t="shared" si="21"/>
      </c>
      <c r="M32" s="7">
        <v>15839.32</v>
      </c>
      <c r="N32" s="9">
        <f t="shared" si="19"/>
      </c>
      <c r="O32" s="9">
        <f t="shared" si="22"/>
      </c>
      <c r="P32" s="9">
        <f t="shared" si="20"/>
      </c>
      <c r="Q32" s="7" t="s">
        <v>41</v>
      </c>
      <c r="R32" s="7">
        <v>9</v>
      </c>
      <c r="S32" s="10" t="s">
        <v>24</v>
      </c>
      <c r="T32" s="7">
        <v>20</v>
      </c>
    </row>
    <row hidden="true" r="33">
      <c r="A33" s="5">
        <v>46301</v>
      </c>
      <c r="B33" s="6" t="s">
        <v>21</v>
      </c>
      <c r="C33" s="7" t="s">
        <v>38</v>
      </c>
      <c r="D33" s="7">
        <v>5</v>
      </c>
      <c r="E33" s="7">
        <v>32</v>
      </c>
      <c r="F33" s="7">
        <v>20</v>
      </c>
      <c r="G33" s="7">
        <v>4</v>
      </c>
      <c r="H33" s="11">
        <v>58546.679999999986</v>
      </c>
      <c r="I33" s="7">
        <v>6421</v>
      </c>
      <c r="J33" s="8">
        <f t="shared" si="5"/>
      </c>
      <c r="K33" s="7">
        <v>23939.2</v>
      </c>
      <c r="L33" s="9">
        <f t="shared" si="21"/>
      </c>
      <c r="M33" s="7">
        <v>12740.639999999998</v>
      </c>
      <c r="N33" s="9">
        <f t="shared" si="19"/>
      </c>
      <c r="O33" s="9">
        <f t="shared" si="22"/>
      </c>
      <c r="P33" s="9">
        <f t="shared" si="20"/>
      </c>
      <c r="Q33" s="7" t="s">
        <v>42</v>
      </c>
      <c r="R33" s="7">
        <v>1</v>
      </c>
      <c r="S33" s="10"/>
      <c r="T33" s="7"/>
    </row>
    <row hidden="true" r="34">
      <c r="A34" s="5">
        <v>46301</v>
      </c>
      <c r="B34" s="6" t="s">
        <v>27</v>
      </c>
      <c r="C34" s="7" t="s">
        <v>39</v>
      </c>
      <c r="D34" s="7">
        <v>2</v>
      </c>
      <c r="E34" s="7">
        <v>23</v>
      </c>
      <c r="F34" s="7">
        <v>19</v>
      </c>
      <c r="G34" s="7">
        <v>1</v>
      </c>
      <c r="H34" s="11">
        <v>45524.76</v>
      </c>
      <c r="I34" s="7">
        <v>0</v>
      </c>
      <c r="J34" s="8">
        <f t="shared" si="5"/>
      </c>
      <c r="K34" s="7">
        <v>17341.91</v>
      </c>
      <c r="L34" s="9">
        <f t="shared" si="21"/>
      </c>
      <c r="M34" s="7">
        <v>15010.919999999998</v>
      </c>
      <c r="N34" s="9">
        <f t="shared" si="19"/>
      </c>
      <c r="O34" s="9">
        <f t="shared" si="22"/>
      </c>
      <c r="P34" s="9">
        <f t="shared" si="20"/>
      </c>
      <c r="Q34" s="7"/>
      <c r="R34" s="7"/>
      <c r="S34" s="10"/>
      <c r="T34" s="7"/>
    </row>
    <row hidden="true" r="35">
      <c r="A35" s="5">
        <v>46301</v>
      </c>
      <c r="B35" s="6" t="s">
        <v>29</v>
      </c>
      <c r="C35" s="7" t="s">
        <v>40</v>
      </c>
      <c r="D35" s="7">
        <v>4</v>
      </c>
      <c r="E35" s="7">
        <v>32</v>
      </c>
      <c r="F35" s="7">
        <v>22</v>
      </c>
      <c r="G35" s="7">
        <v>5</v>
      </c>
      <c r="H35" s="11">
        <v>32495.28</v>
      </c>
      <c r="I35" s="7">
        <v>5018.200000000001</v>
      </c>
      <c r="J35" s="8">
        <f t="shared" si="5"/>
      </c>
      <c r="K35" s="7">
        <v>34009.46</v>
      </c>
      <c r="L35" s="9">
        <f t="shared" si="21"/>
      </c>
      <c r="M35" s="7">
        <v>5095.08</v>
      </c>
      <c r="N35" s="9">
        <f t="shared" si="19"/>
      </c>
      <c r="O35" s="9">
        <f t="shared" si="22"/>
      </c>
      <c r="P35" s="9">
        <f t="shared" si="20"/>
      </c>
      <c r="Q35" s="7"/>
      <c r="R35" s="7"/>
      <c r="S35" s="10"/>
      <c r="T35" s="7"/>
    </row>
    <row hidden="true" r="36">
      <c r="A36" s="5">
        <v>46301</v>
      </c>
      <c r="B36" s="6" t="s">
        <v>31</v>
      </c>
      <c r="C36" s="7" t="s">
        <v>37</v>
      </c>
      <c r="D36" s="7">
        <v>4</v>
      </c>
      <c r="E36" s="12">
        <v>25</v>
      </c>
      <c r="F36" s="12">
        <v>21</v>
      </c>
      <c r="G36" s="7">
        <v>1</v>
      </c>
      <c r="H36" s="13">
        <v>37422.36</v>
      </c>
      <c r="I36" s="13">
        <v>1116</v>
      </c>
      <c r="J36" s="8">
        <f t="shared" si="5"/>
      </c>
      <c r="K36" s="13">
        <v>24061.109999999997</v>
      </c>
      <c r="L36" s="9">
        <f t="shared" si="21"/>
      </c>
      <c r="M36" s="7">
        <v>0</v>
      </c>
      <c r="N36" s="9">
        <f t="shared" si="19"/>
      </c>
      <c r="O36" s="9">
        <f t="shared" si="22"/>
      </c>
      <c r="P36" s="9">
        <f t="shared" si="20"/>
      </c>
      <c r="Q36" s="7" t="s">
        <v>33</v>
      </c>
      <c r="R36" s="7">
        <v>10</v>
      </c>
      <c r="S36" s="10"/>
      <c r="T36" s="7"/>
    </row>
    <row hidden="true" r="37">
      <c r="A37" s="19">
        <v>46301</v>
      </c>
      <c r="B37" s="15"/>
      <c r="C37" s="15"/>
      <c r="D37" s="16">
        <f>SUM(D32:D36)</f>
      </c>
      <c r="E37" s="16">
        <v>47</v>
      </c>
      <c r="F37" s="16">
        <v>42</v>
      </c>
      <c r="G37" s="16">
        <f>SUM(G32:G36)</f>
      </c>
      <c r="H37" s="16">
        <f>SUM(H32:H36)</f>
      </c>
      <c r="I37" s="16">
        <f>SUM(I32:I36)</f>
      </c>
      <c r="J37" s="16">
        <f>SUM(J32:J36)</f>
      </c>
      <c r="K37" s="16">
        <f>SUM(K32:K36)</f>
      </c>
      <c r="L37" s="17">
        <f t="shared" si="21"/>
      </c>
      <c r="M37" s="16">
        <f>SUM(M32:M36)</f>
      </c>
      <c r="N37" s="18">
        <f t="shared" si="19"/>
      </c>
      <c r="O37" s="17">
        <f t="shared" si="22"/>
      </c>
      <c r="P37" s="17">
        <f t="shared" si="20"/>
      </c>
      <c r="Q37" s="15"/>
      <c r="R37" s="16">
        <f>SUM(R32:R36)</f>
      </c>
      <c r="S37" s="15"/>
      <c r="T37" s="16">
        <f>SUM(T32:T36)</f>
      </c>
    </row>
    <row hidden="true" r="38">
      <c r="A38" s="5">
        <v>46302</v>
      </c>
      <c r="B38" s="6" t="s">
        <v>21</v>
      </c>
      <c r="C38" s="7" t="s">
        <v>22</v>
      </c>
      <c r="D38" s="7">
        <v>5</v>
      </c>
      <c r="E38" s="7">
        <v>38</v>
      </c>
      <c r="F38" s="7">
        <v>32</v>
      </c>
      <c r="G38" s="7">
        <v>1</v>
      </c>
      <c r="H38" s="7">
        <v>53286.84</v>
      </c>
      <c r="I38" s="7">
        <v>4075</v>
      </c>
      <c r="J38" s="8">
        <f t="shared" ref="J38:J42" si="6">H38+I38</f>
      </c>
      <c r="K38" s="7">
        <v>49516.14</v>
      </c>
      <c r="L38" s="9">
        <f t="shared" si="21"/>
      </c>
      <c r="M38" s="7">
        <v>21434.399999999998</v>
      </c>
      <c r="N38" s="9">
        <f t="shared" si="19"/>
      </c>
      <c r="O38" s="9">
        <f t="shared" si="22"/>
      </c>
      <c r="P38" s="9">
        <f t="shared" si="20"/>
      </c>
      <c r="Q38" s="7" t="s">
        <v>41</v>
      </c>
      <c r="R38" s="7">
        <v>10</v>
      </c>
      <c r="S38" s="10" t="s">
        <v>24</v>
      </c>
      <c r="T38" s="7">
        <v>20</v>
      </c>
    </row>
    <row hidden="true" r="39">
      <c r="A39" s="5">
        <v>46302</v>
      </c>
      <c r="B39" s="6" t="s">
        <v>25</v>
      </c>
      <c r="C39" s="7" t="s">
        <v>26</v>
      </c>
      <c r="D39" s="7">
        <v>4</v>
      </c>
      <c r="E39" s="7">
        <v>27</v>
      </c>
      <c r="F39" s="7">
        <v>22</v>
      </c>
      <c r="G39" s="7">
        <v>0</v>
      </c>
      <c r="H39" s="11">
        <v>35355.96000000001</v>
      </c>
      <c r="I39" s="7">
        <v>2521</v>
      </c>
      <c r="J39" s="8">
        <f t="shared" si="6"/>
      </c>
      <c r="K39" s="7">
        <v>25819.71</v>
      </c>
      <c r="L39" s="9">
        <f t="shared" si="21"/>
      </c>
      <c r="M39" s="7">
        <v>10843.2</v>
      </c>
      <c r="N39" s="9">
        <f t="shared" si="19"/>
      </c>
      <c r="O39" s="9">
        <f t="shared" si="22"/>
      </c>
      <c r="P39" s="9">
        <f t="shared" si="20"/>
      </c>
      <c r="Q39" s="7"/>
      <c r="R39" s="7"/>
      <c r="S39" s="10"/>
      <c r="T39" s="7"/>
    </row>
    <row hidden="true" r="40">
      <c r="A40" s="5">
        <v>46302</v>
      </c>
      <c r="B40" s="6" t="s">
        <v>35</v>
      </c>
      <c r="C40" s="7" t="s">
        <v>28</v>
      </c>
      <c r="D40" s="7">
        <v>2</v>
      </c>
      <c r="E40" s="7">
        <v>9</v>
      </c>
      <c r="F40" s="7">
        <v>9</v>
      </c>
      <c r="G40" s="7">
        <v>2</v>
      </c>
      <c r="H40" s="11">
        <v>15868.559999999998</v>
      </c>
      <c r="I40" s="7">
        <v>3976</v>
      </c>
      <c r="J40" s="8">
        <f t="shared" si="6"/>
      </c>
      <c r="K40" s="7">
        <v>9700.45</v>
      </c>
      <c r="L40" s="9">
        <f t="shared" si="21"/>
      </c>
      <c r="M40" s="7">
        <v>5287.5599999999995</v>
      </c>
      <c r="N40" s="9">
        <f t="shared" si="19"/>
      </c>
      <c r="O40" s="9">
        <f t="shared" si="22"/>
      </c>
      <c r="P40" s="9">
        <f t="shared" si="20"/>
      </c>
      <c r="Q40" s="7"/>
      <c r="R40" s="7"/>
      <c r="S40" s="10"/>
      <c r="T40" s="7"/>
    </row>
    <row hidden="true" r="41">
      <c r="A41" s="5">
        <v>46302</v>
      </c>
      <c r="B41" s="6" t="s">
        <v>29</v>
      </c>
      <c r="C41" s="7" t="s">
        <v>30</v>
      </c>
      <c r="D41" s="7">
        <v>4</v>
      </c>
      <c r="E41" s="7">
        <v>12</v>
      </c>
      <c r="F41" s="7">
        <v>11</v>
      </c>
      <c r="G41" s="7">
        <v>0</v>
      </c>
      <c r="H41" s="11">
        <v>17119.079999999994</v>
      </c>
      <c r="I41" s="7">
        <v>4509</v>
      </c>
      <c r="J41" s="8">
        <f t="shared" si="6"/>
      </c>
      <c r="K41" s="7">
        <v>21441.97</v>
      </c>
      <c r="L41" s="9">
        <f t="shared" si="21"/>
      </c>
      <c r="M41" s="7">
        <v>2075.76</v>
      </c>
      <c r="N41" s="9">
        <f t="shared" si="19"/>
      </c>
      <c r="O41" s="9">
        <f t="shared" si="22"/>
      </c>
      <c r="P41" s="9">
        <f t="shared" si="20"/>
      </c>
      <c r="Q41" s="7"/>
      <c r="R41" s="7"/>
      <c r="S41" s="10"/>
      <c r="T41" s="7"/>
    </row>
    <row hidden="true" r="42">
      <c r="A42" s="5">
        <v>46302</v>
      </c>
      <c r="B42" s="6" t="s">
        <v>31</v>
      </c>
      <c r="C42" s="7" t="s">
        <v>32</v>
      </c>
      <c r="D42" s="7">
        <v>5</v>
      </c>
      <c r="E42" s="12">
        <v>25</v>
      </c>
      <c r="F42" s="12">
        <v>24</v>
      </c>
      <c r="G42" s="7">
        <v>1</v>
      </c>
      <c r="H42" s="13">
        <v>35025.84000000002</v>
      </c>
      <c r="I42" s="13">
        <v>0</v>
      </c>
      <c r="J42" s="8">
        <f t="shared" si="6"/>
      </c>
      <c r="K42" s="13">
        <v>26724.909999999996</v>
      </c>
      <c r="L42" s="9">
        <f t="shared" si="21"/>
      </c>
      <c r="M42" s="7">
        <v>1622.16</v>
      </c>
      <c r="N42" s="9">
        <f t="shared" si="19"/>
      </c>
      <c r="O42" s="9">
        <f t="shared" si="22"/>
      </c>
      <c r="P42" s="9">
        <f t="shared" si="20"/>
      </c>
      <c r="Q42" s="7" t="s">
        <v>33</v>
      </c>
      <c r="R42" s="7">
        <v>10</v>
      </c>
      <c r="S42" s="10"/>
      <c r="T42" s="7"/>
    </row>
    <row hidden="true" r="43">
      <c r="A43" s="19">
        <v>46302</v>
      </c>
      <c r="B43" s="15"/>
      <c r="C43" s="15"/>
      <c r="D43" s="16">
        <f>SUM(D38:D42)</f>
      </c>
      <c r="E43" s="16">
        <v>47</v>
      </c>
      <c r="F43" s="16">
        <v>42</v>
      </c>
      <c r="G43" s="16">
        <f>SUM(G38:G42)</f>
      </c>
      <c r="H43" s="16">
        <f>SUM(H38:H42)</f>
      </c>
      <c r="I43" s="16">
        <f>SUM(I38:I42)</f>
      </c>
      <c r="J43" s="16">
        <f>SUM(J38:J42)</f>
      </c>
      <c r="K43" s="16">
        <f>SUM(K38:K42)</f>
      </c>
      <c r="L43" s="17">
        <f t="shared" si="21"/>
      </c>
      <c r="M43" s="16">
        <f>SUM(M38:M42)</f>
      </c>
      <c r="N43" s="18">
        <f t="shared" si="19"/>
      </c>
      <c r="O43" s="17">
        <f t="shared" si="22"/>
      </c>
      <c r="P43" s="17">
        <f t="shared" si="20"/>
      </c>
      <c r="Q43" s="15"/>
      <c r="R43" s="16">
        <f>SUM(R38:R42)</f>
      </c>
      <c r="S43" s="15"/>
      <c r="T43" s="16">
        <f>SUM(T38:T42)</f>
      </c>
    </row>
    <row hidden="true" r="44">
      <c r="A44" s="5">
        <v>46303</v>
      </c>
      <c r="B44" s="6" t="s">
        <v>34</v>
      </c>
      <c r="C44" s="7" t="s">
        <v>22</v>
      </c>
      <c r="D44" s="7">
        <v>5</v>
      </c>
      <c r="E44" s="7">
        <v>30</v>
      </c>
      <c r="F44" s="7">
        <v>26</v>
      </c>
      <c r="G44" s="7">
        <v>3</v>
      </c>
      <c r="H44" s="7">
        <v>39156</v>
      </c>
      <c r="I44" s="7">
        <v>5352.7</v>
      </c>
      <c r="J44" s="8">
        <f t="shared" ref="J44:J48" si="7">H44+I44</f>
      </c>
      <c r="K44" s="7">
        <v>31841.08</v>
      </c>
      <c r="L44" s="9">
        <f t="shared" si="21"/>
      </c>
      <c r="M44" s="7">
        <v>5338.32</v>
      </c>
      <c r="N44" s="9">
        <f t="shared" si="19"/>
      </c>
      <c r="O44" s="9">
        <f t="shared" si="22"/>
      </c>
      <c r="P44" s="9">
        <f t="shared" si="20"/>
      </c>
      <c r="Q44" s="7" t="s">
        <v>41</v>
      </c>
      <c r="R44" s="7">
        <v>10</v>
      </c>
      <c r="S44" s="10" t="s">
        <v>24</v>
      </c>
      <c r="T44" s="7">
        <v>20</v>
      </c>
    </row>
    <row hidden="true" r="45">
      <c r="A45" s="5">
        <v>46303</v>
      </c>
      <c r="B45" s="6" t="s">
        <v>31</v>
      </c>
      <c r="C45" s="7" t="s">
        <v>26</v>
      </c>
      <c r="D45" s="7">
        <v>4</v>
      </c>
      <c r="E45" s="7">
        <v>33</v>
      </c>
      <c r="F45" s="7">
        <v>30</v>
      </c>
      <c r="G45" s="7">
        <v>0</v>
      </c>
      <c r="H45" s="11">
        <v>48015.72</v>
      </c>
      <c r="I45" s="7">
        <v>2661</v>
      </c>
      <c r="J45" s="8">
        <f t="shared" si="7"/>
      </c>
      <c r="K45" s="7">
        <v>34192.49</v>
      </c>
      <c r="L45" s="9">
        <f t="shared" si="21"/>
      </c>
      <c r="M45" s="7">
        <v>20811.120000000003</v>
      </c>
      <c r="N45" s="9">
        <f t="shared" si="19"/>
      </c>
      <c r="O45" s="9">
        <f t="shared" si="22"/>
      </c>
      <c r="P45" s="9">
        <f t="shared" si="20"/>
      </c>
      <c r="Q45" s="7"/>
      <c r="R45" s="7"/>
      <c r="S45" s="10"/>
      <c r="T45" s="7"/>
    </row>
    <row hidden="true" r="46">
      <c r="A46" s="5">
        <v>46303</v>
      </c>
      <c r="B46" s="6" t="s">
        <v>27</v>
      </c>
      <c r="C46" s="7" t="s">
        <v>28</v>
      </c>
      <c r="D46" s="7">
        <v>2</v>
      </c>
      <c r="E46" s="7">
        <v>7</v>
      </c>
      <c r="F46" s="7">
        <v>4</v>
      </c>
      <c r="G46" s="7">
        <v>0</v>
      </c>
      <c r="H46" s="11">
        <v>8687.51999999999</v>
      </c>
      <c r="I46" s="7">
        <v>0</v>
      </c>
      <c r="J46" s="8">
        <f t="shared" si="7"/>
      </c>
      <c r="K46" s="7">
        <v>12728.8</v>
      </c>
      <c r="L46" s="9">
        <f t="shared" si="21"/>
      </c>
      <c r="M46" s="7">
        <v>3336.12</v>
      </c>
      <c r="N46" s="9">
        <f t="shared" si="19"/>
      </c>
      <c r="O46" s="9">
        <f t="shared" si="22"/>
      </c>
      <c r="P46" s="9">
        <f t="shared" si="20"/>
      </c>
      <c r="Q46" s="7"/>
      <c r="R46" s="7"/>
      <c r="S46" s="10"/>
      <c r="T46" s="7"/>
    </row>
    <row hidden="true" r="47">
      <c r="A47" s="5">
        <v>46303</v>
      </c>
      <c r="B47" s="6" t="s">
        <v>25</v>
      </c>
      <c r="C47" s="7" t="s">
        <v>30</v>
      </c>
      <c r="D47" s="7">
        <v>4</v>
      </c>
      <c r="E47" s="7">
        <v>25</v>
      </c>
      <c r="F47" s="7">
        <v>14</v>
      </c>
      <c r="G47" s="7">
        <v>1</v>
      </c>
      <c r="H47" s="11">
        <v>43922.88000000001</v>
      </c>
      <c r="I47" s="7">
        <v>0</v>
      </c>
      <c r="J47" s="8">
        <f t="shared" si="7"/>
      </c>
      <c r="K47" s="7">
        <v>16522.91</v>
      </c>
      <c r="L47" s="9">
        <f t="shared" si="21"/>
      </c>
      <c r="M47" s="7">
        <v>5352.4800000000005</v>
      </c>
      <c r="N47" s="9">
        <f t="shared" si="19"/>
      </c>
      <c r="O47" s="9">
        <f t="shared" si="22"/>
      </c>
      <c r="P47" s="9">
        <f t="shared" si="20"/>
      </c>
      <c r="Q47" s="7"/>
      <c r="R47" s="7"/>
      <c r="S47" s="10"/>
      <c r="T47" s="7"/>
    </row>
    <row hidden="true" r="48">
      <c r="A48" s="5">
        <v>46303</v>
      </c>
      <c r="B48" s="6" t="s">
        <v>21</v>
      </c>
      <c r="C48" s="7" t="s">
        <v>32</v>
      </c>
      <c r="D48" s="7">
        <v>5</v>
      </c>
      <c r="E48" s="12">
        <v>37</v>
      </c>
      <c r="F48" s="12">
        <v>34</v>
      </c>
      <c r="G48" s="7">
        <v>2</v>
      </c>
      <c r="H48" s="13">
        <v>47970.12000000002</v>
      </c>
      <c r="I48" s="13">
        <v>4150.1500000000015</v>
      </c>
      <c r="J48" s="8">
        <f t="shared" si="7"/>
      </c>
      <c r="K48" s="13">
        <v>28545.47</v>
      </c>
      <c r="L48" s="9">
        <f t="shared" si="21"/>
      </c>
      <c r="M48" s="7">
        <v>2126.52</v>
      </c>
      <c r="N48" s="9">
        <f t="shared" si="19"/>
      </c>
      <c r="O48" s="9">
        <f t="shared" si="22"/>
      </c>
      <c r="P48" s="9">
        <f t="shared" si="20"/>
      </c>
      <c r="Q48" s="7" t="s">
        <v>33</v>
      </c>
      <c r="R48" s="7">
        <v>10</v>
      </c>
      <c r="S48" s="10"/>
      <c r="T48" s="7"/>
    </row>
    <row hidden="true" r="49">
      <c r="A49" s="19">
        <v>46303</v>
      </c>
      <c r="B49" s="15"/>
      <c r="C49" s="15"/>
      <c r="D49" s="16">
        <f>SUM(D44:D48)</f>
      </c>
      <c r="E49" s="16">
        <v>47</v>
      </c>
      <c r="F49" s="16">
        <v>42</v>
      </c>
      <c r="G49" s="16">
        <f>SUM(G44:G48)</f>
      </c>
      <c r="H49" s="16">
        <f>SUM(H44:H48)</f>
      </c>
      <c r="I49" s="16">
        <f>SUM(I44:I48)</f>
      </c>
      <c r="J49" s="16">
        <f>SUM(J44:J48)</f>
      </c>
      <c r="K49" s="16">
        <f>SUM(K44:K48)</f>
      </c>
      <c r="L49" s="17">
        <f t="shared" si="21"/>
      </c>
      <c r="M49" s="16">
        <f>SUM(M44:M48)</f>
      </c>
      <c r="N49" s="18">
        <f t="shared" si="19"/>
      </c>
      <c r="O49" s="17">
        <f t="shared" si="22"/>
      </c>
      <c r="P49" s="17">
        <f t="shared" si="20"/>
      </c>
      <c r="Q49" s="15"/>
      <c r="R49" s="16">
        <f>SUM(R44:R48)</f>
      </c>
      <c r="S49" s="15"/>
      <c r="T49" s="16">
        <f>SUM(T44:T48)</f>
      </c>
    </row>
    <row hidden="true" r="50">
      <c r="A50" s="5">
        <v>46304</v>
      </c>
      <c r="B50" s="6" t="s">
        <v>34</v>
      </c>
      <c r="C50" s="7" t="s">
        <v>22</v>
      </c>
      <c r="D50" s="7">
        <v>5</v>
      </c>
      <c r="E50" s="7">
        <v>44</v>
      </c>
      <c r="F50" s="7">
        <v>37</v>
      </c>
      <c r="G50" s="7">
        <v>4</v>
      </c>
      <c r="H50" s="7">
        <v>73903.92</v>
      </c>
      <c r="I50" s="7">
        <v>3017.9999999999995</v>
      </c>
      <c r="J50" s="8">
        <f t="shared" ref="J50:J54" si="8">H50+I50</f>
      </c>
      <c r="K50" s="7">
        <v>53142.77</v>
      </c>
      <c r="L50" s="9">
        <f t="shared" si="21"/>
      </c>
      <c r="M50" s="7">
        <v>24572.679999999997</v>
      </c>
      <c r="N50" s="9">
        <f t="shared" si="19"/>
      </c>
      <c r="O50" s="9">
        <f t="shared" si="22"/>
      </c>
      <c r="P50" s="9">
        <f t="shared" si="20"/>
      </c>
      <c r="Q50" s="7" t="s">
        <v>43</v>
      </c>
      <c r="R50" s="7">
        <v>10</v>
      </c>
      <c r="S50" s="10" t="s">
        <v>24</v>
      </c>
      <c r="T50" s="7">
        <v>20</v>
      </c>
    </row>
    <row hidden="true" r="51">
      <c r="A51" s="5">
        <v>46304</v>
      </c>
      <c r="B51" s="6" t="s">
        <v>21</v>
      </c>
      <c r="C51" s="7" t="s">
        <v>26</v>
      </c>
      <c r="D51" s="7">
        <v>4</v>
      </c>
      <c r="E51" s="7">
        <v>35</v>
      </c>
      <c r="F51" s="7">
        <v>28</v>
      </c>
      <c r="G51" s="7">
        <v>0</v>
      </c>
      <c r="H51" s="11">
        <v>49426.2</v>
      </c>
      <c r="I51" s="7">
        <v>1024</v>
      </c>
      <c r="J51" s="8">
        <f t="shared" si="8"/>
      </c>
      <c r="K51" s="7">
        <v>30784.9</v>
      </c>
      <c r="L51" s="9">
        <f t="shared" si="21"/>
      </c>
      <c r="M51" s="7">
        <v>21094.72</v>
      </c>
      <c r="N51" s="9">
        <f t="shared" si="19"/>
      </c>
      <c r="O51" s="9">
        <f t="shared" si="22"/>
      </c>
      <c r="P51" s="9">
        <f t="shared" si="20"/>
      </c>
      <c r="Q51" s="7"/>
      <c r="R51" s="7"/>
      <c r="S51" s="10"/>
      <c r="T51" s="7"/>
    </row>
    <row hidden="true" r="52">
      <c r="A52" s="5">
        <v>46304</v>
      </c>
      <c r="B52" s="6" t="s">
        <v>27</v>
      </c>
      <c r="C52" s="7" t="s">
        <v>44</v>
      </c>
      <c r="D52" s="7">
        <v>3</v>
      </c>
      <c r="E52" s="7">
        <v>13</v>
      </c>
      <c r="F52" s="7">
        <v>12</v>
      </c>
      <c r="G52" s="7">
        <v>1</v>
      </c>
      <c r="H52" s="11">
        <v>16438.559999999998</v>
      </c>
      <c r="I52" s="7">
        <v>1664.0000000000005</v>
      </c>
      <c r="J52" s="8">
        <f t="shared" si="8"/>
      </c>
      <c r="K52" s="7">
        <v>16169.73</v>
      </c>
      <c r="L52" s="9">
        <f t="shared" si="21"/>
      </c>
      <c r="M52" s="7">
        <v>2416.760000000002</v>
      </c>
      <c r="N52" s="9">
        <f t="shared" si="19"/>
      </c>
      <c r="O52" s="9">
        <f t="shared" si="22"/>
      </c>
      <c r="P52" s="9">
        <f t="shared" si="20"/>
      </c>
      <c r="Q52" s="7"/>
      <c r="R52" s="7"/>
      <c r="S52" s="10"/>
      <c r="T52" s="7"/>
    </row>
    <row hidden="true" r="53">
      <c r="A53" s="5">
        <v>46304</v>
      </c>
      <c r="B53" s="6" t="s">
        <v>25</v>
      </c>
      <c r="C53" s="7" t="s">
        <v>40</v>
      </c>
      <c r="D53" s="7">
        <v>4</v>
      </c>
      <c r="E53" s="7">
        <v>22</v>
      </c>
      <c r="F53" s="7">
        <v>14</v>
      </c>
      <c r="G53" s="7">
        <v>1</v>
      </c>
      <c r="H53" s="11">
        <v>34660.32000000001</v>
      </c>
      <c r="I53" s="7">
        <v>1886</v>
      </c>
      <c r="J53" s="8">
        <f t="shared" si="8"/>
      </c>
      <c r="K53" s="7">
        <v>24871.07</v>
      </c>
      <c r="L53" s="9">
        <f t="shared" si="21"/>
      </c>
      <c r="M53" s="7">
        <v>7232.759999999998</v>
      </c>
      <c r="N53" s="9">
        <f t="shared" si="19"/>
      </c>
      <c r="O53" s="9">
        <f t="shared" si="22"/>
      </c>
      <c r="P53" s="9">
        <f t="shared" si="20"/>
      </c>
      <c r="Q53" s="7"/>
      <c r="R53" s="7"/>
      <c r="S53" s="10"/>
      <c r="T53" s="7"/>
    </row>
    <row hidden="true" r="54">
      <c r="A54" s="5">
        <v>46304</v>
      </c>
      <c r="B54" s="6" t="s">
        <v>31</v>
      </c>
      <c r="C54" s="7" t="s">
        <v>37</v>
      </c>
      <c r="D54" s="7">
        <v>4</v>
      </c>
      <c r="E54" s="12">
        <v>29</v>
      </c>
      <c r="F54" s="12">
        <v>25</v>
      </c>
      <c r="G54" s="7">
        <v>2</v>
      </c>
      <c r="H54" s="13">
        <v>45571.32</v>
      </c>
      <c r="I54" s="13">
        <v>3272</v>
      </c>
      <c r="J54" s="8">
        <f t="shared" si="8"/>
      </c>
      <c r="K54" s="13" cm="1">
        <f t="array" ref="K54:K54">IMPORTRANGE("https://meimeiwangluo.feishu.cn/sheets/F9A3suPgoh9arZtkkTkcPeRxnZc","'2026.10'!D242")</f>
      </c>
      <c r="L54" s="9">
        <f t="shared" si="21"/>
      </c>
      <c r="M54" s="7" cm="1">
        <f t="array" ref="M54:M54">IMPORTRANGE("https://meimeiwangluo.feishu.cn/sheets/F9A3suPgoh9arZtkkTkcPeRxnZc","'2026.10'!J242")</f>
      </c>
      <c r="N54" s="9">
        <f t="shared" si="19"/>
      </c>
      <c r="O54" s="9">
        <f t="shared" si="22"/>
      </c>
      <c r="P54" s="9">
        <f t="shared" si="20"/>
      </c>
      <c r="Q54" s="7" t="s">
        <v>41</v>
      </c>
      <c r="R54" s="7">
        <v>10</v>
      </c>
      <c r="S54" s="10"/>
      <c r="T54" s="7"/>
    </row>
    <row hidden="true" r="55">
      <c r="A55" s="19">
        <v>46304</v>
      </c>
      <c r="B55" s="15"/>
      <c r="C55" s="15"/>
      <c r="D55" s="16">
        <f>SUM(D50:D54)</f>
      </c>
      <c r="E55" s="16">
        <f>SUM(E50:E54)</f>
      </c>
      <c r="F55" s="16">
        <f>SUM(F50:F54)</f>
      </c>
      <c r="G55" s="16">
        <f>SUM(G50:G54)</f>
      </c>
      <c r="H55" s="16">
        <f>SUM(H50:H54)</f>
      </c>
      <c r="I55" s="16">
        <f>SUM(I50:I54)</f>
      </c>
      <c r="J55" s="16">
        <f>SUM(J50:J54)</f>
      </c>
      <c r="K55" s="16">
        <f>SUM(K50:K54)</f>
      </c>
      <c r="L55" s="17">
        <f t="shared" si="21"/>
      </c>
      <c r="M55" s="16">
        <f>SUM(M50:M54)</f>
      </c>
      <c r="N55" s="18">
        <f t="shared" si="19"/>
      </c>
      <c r="O55" s="17">
        <f t="shared" si="22"/>
      </c>
      <c r="P55" s="17">
        <f t="shared" si="20"/>
      </c>
      <c r="Q55" s="15"/>
      <c r="R55" s="16">
        <f>SUM(R50:R54)</f>
      </c>
      <c r="S55" s="15"/>
      <c r="T55" s="16">
        <f>SUM(T50:T54)</f>
      </c>
    </row>
    <row hidden="true" r="56">
      <c r="A56" s="5">
        <v>46305</v>
      </c>
      <c r="B56" s="6" t="s">
        <v>21</v>
      </c>
      <c r="C56" s="7" t="s">
        <v>22</v>
      </c>
      <c r="D56" s="7">
        <v>5</v>
      </c>
      <c r="E56" s="7">
        <v>19</v>
      </c>
      <c r="F56" s="7">
        <v>13</v>
      </c>
      <c r="G56" s="7">
        <v>1</v>
      </c>
      <c r="H56" s="7">
        <v>26104.68</v>
      </c>
      <c r="I56" s="7">
        <v>4683</v>
      </c>
      <c r="J56" s="8">
        <f t="shared" ref="J56:J60" si="9">H56+I56</f>
      </c>
      <c r="K56" s="7">
        <v>27087.53</v>
      </c>
      <c r="L56" s="9">
        <f t="shared" si="21"/>
      </c>
      <c r="M56" s="7">
        <v>4780.2</v>
      </c>
      <c r="N56" s="9">
        <f t="shared" si="19"/>
      </c>
      <c r="O56" s="9">
        <f t="shared" si="22"/>
      </c>
      <c r="P56" s="9">
        <f t="shared" si="20"/>
      </c>
      <c r="Q56" s="7" t="s">
        <v>23</v>
      </c>
      <c r="R56" s="7">
        <v>10</v>
      </c>
      <c r="S56" s="10" t="s">
        <v>24</v>
      </c>
      <c r="T56" s="7">
        <v>20</v>
      </c>
    </row>
    <row hidden="true" r="57">
      <c r="A57" s="5">
        <v>46305</v>
      </c>
      <c r="B57" s="6" t="s">
        <v>34</v>
      </c>
      <c r="C57" s="7" t="s">
        <v>26</v>
      </c>
      <c r="D57" s="7">
        <v>4</v>
      </c>
      <c r="E57" s="7">
        <v>36</v>
      </c>
      <c r="F57" s="7">
        <v>26</v>
      </c>
      <c r="G57" s="7">
        <v>5</v>
      </c>
      <c r="H57" s="11">
        <v>75109.92000000001</v>
      </c>
      <c r="I57" s="7">
        <v>2422</v>
      </c>
      <c r="J57" s="8">
        <f t="shared" si="9"/>
      </c>
      <c r="K57" s="7">
        <v>26392.530000000002</v>
      </c>
      <c r="L57" s="9">
        <f t="shared" si="21"/>
      </c>
      <c r="M57" s="7">
        <v>35230.08</v>
      </c>
      <c r="N57" s="9">
        <f t="shared" si="19"/>
      </c>
      <c r="O57" s="9">
        <f t="shared" si="22"/>
      </c>
      <c r="P57" s="9">
        <f t="shared" si="20"/>
      </c>
      <c r="Q57" s="7"/>
      <c r="R57" s="7"/>
      <c r="S57" s="10"/>
      <c r="T57" s="7"/>
    </row>
    <row hidden="true" r="58">
      <c r="A58" s="5">
        <v>46305</v>
      </c>
      <c r="B58" s="6" t="s">
        <v>27</v>
      </c>
      <c r="C58" s="7" t="s">
        <v>44</v>
      </c>
      <c r="D58" s="7">
        <v>3</v>
      </c>
      <c r="E58" s="7">
        <v>25</v>
      </c>
      <c r="F58" s="7">
        <v>21</v>
      </c>
      <c r="G58" s="7">
        <v>0</v>
      </c>
      <c r="H58" s="11">
        <v>47703.59999999998</v>
      </c>
      <c r="I58" s="7">
        <v>1204</v>
      </c>
      <c r="J58" s="8">
        <f t="shared" si="9"/>
      </c>
      <c r="K58" s="7">
        <v>25309.61</v>
      </c>
      <c r="L58" s="9">
        <f t="shared" si="21"/>
      </c>
      <c r="M58" s="7">
        <v>18215.28</v>
      </c>
      <c r="N58" s="9">
        <f t="shared" si="19"/>
      </c>
      <c r="O58" s="9">
        <f t="shared" si="22"/>
      </c>
      <c r="P58" s="9">
        <f t="shared" si="20"/>
      </c>
      <c r="Q58" s="7"/>
      <c r="R58" s="7"/>
      <c r="S58" s="10"/>
      <c r="T58" s="7"/>
    </row>
    <row hidden="true" r="59">
      <c r="A59" s="5">
        <v>46305</v>
      </c>
      <c r="B59" s="6" t="s">
        <v>25</v>
      </c>
      <c r="C59" s="7" t="s">
        <v>40</v>
      </c>
      <c r="D59" s="7">
        <v>4</v>
      </c>
      <c r="E59" s="7">
        <v>39</v>
      </c>
      <c r="F59" s="7">
        <v>30</v>
      </c>
      <c r="G59" s="7">
        <v>4</v>
      </c>
      <c r="H59" s="11">
        <v>73930.92</v>
      </c>
      <c r="I59" s="7">
        <v>506</v>
      </c>
      <c r="J59" s="8">
        <f t="shared" si="9"/>
      </c>
      <c r="K59" s="7">
        <v>35333</v>
      </c>
      <c r="L59" s="9">
        <f t="shared" si="21"/>
      </c>
      <c r="M59" s="7">
        <v>22043.39999999999</v>
      </c>
      <c r="N59" s="9">
        <f t="shared" si="19"/>
      </c>
      <c r="O59" s="9">
        <f t="shared" si="22"/>
      </c>
      <c r="P59" s="9">
        <f t="shared" si="20"/>
      </c>
      <c r="Q59" s="7"/>
      <c r="R59" s="7"/>
      <c r="S59" s="10"/>
      <c r="T59" s="7"/>
    </row>
    <row hidden="true" r="60">
      <c r="A60" s="5">
        <v>46305</v>
      </c>
      <c r="B60" s="6" t="s">
        <v>29</v>
      </c>
      <c r="C60" s="7" t="s">
        <v>37</v>
      </c>
      <c r="D60" s="7">
        <v>4</v>
      </c>
      <c r="E60" s="12">
        <v>33</v>
      </c>
      <c r="F60" s="12">
        <v>28</v>
      </c>
      <c r="G60" s="7">
        <v>4</v>
      </c>
      <c r="H60" s="13">
        <v>68464.43999999997</v>
      </c>
      <c r="I60" s="13">
        <v>861</v>
      </c>
      <c r="J60" s="8">
        <f t="shared" si="9"/>
      </c>
      <c r="K60" s="13" cm="1">
        <f t="array" ref="K60:K60">IMPORTRANGE("https://meimeiwangluo.feishu.cn/sheets/F9A3suPgoh9arZtkkTkcPeRxnZc","'2026.10'!D269")</f>
      </c>
      <c r="L60" s="9">
        <f t="shared" si="21"/>
      </c>
      <c r="M60" s="7" cm="1">
        <f t="array" ref="M60:M60">IMPORTRANGE("https://meimeiwangluo.feishu.cn/sheets/F9A3suPgoh9arZtkkTkcPeRxnZc","'2026.10'!J269")</f>
      </c>
      <c r="N60" s="9">
        <f t="shared" si="19"/>
      </c>
      <c r="O60" s="9">
        <f t="shared" si="22"/>
      </c>
      <c r="P60" s="9">
        <f t="shared" si="20"/>
      </c>
      <c r="Q60" s="7" t="s">
        <v>41</v>
      </c>
      <c r="R60" s="7">
        <v>10</v>
      </c>
      <c r="S60" s="10"/>
      <c r="T60" s="7"/>
    </row>
    <row hidden="true" r="61">
      <c r="A61" s="19">
        <v>46305</v>
      </c>
      <c r="B61" s="15"/>
      <c r="C61" s="15"/>
      <c r="D61" s="16">
        <f>SUM(D56:D60)</f>
      </c>
      <c r="E61" s="16">
        <f>SUM(E56:E60)</f>
      </c>
      <c r="F61" s="16">
        <f>SUM(F56:F60)</f>
      </c>
      <c r="G61" s="16">
        <f>SUM(G56:G60)</f>
      </c>
      <c r="H61" s="16">
        <f>SUM(H56:H60)</f>
      </c>
      <c r="I61" s="16">
        <f>SUM(I56:I60)</f>
      </c>
      <c r="J61" s="16">
        <f>SUM(J56:J60)</f>
      </c>
      <c r="K61" s="16">
        <f>SUM(K56:K60)</f>
      </c>
      <c r="L61" s="17">
        <f t="shared" si="21"/>
      </c>
      <c r="M61" s="16">
        <f>SUM(M56:M60)</f>
      </c>
      <c r="N61" s="18">
        <f t="shared" si="19"/>
      </c>
      <c r="O61" s="17">
        <f t="shared" si="22"/>
      </c>
      <c r="P61" s="17">
        <f t="shared" si="20"/>
      </c>
      <c r="Q61" s="15"/>
      <c r="R61" s="16">
        <f>SUM(R56:R60)</f>
      </c>
      <c r="S61" s="15"/>
      <c r="T61" s="16">
        <f>SUM(T56:T60)</f>
      </c>
    </row>
    <row hidden="true" r="62">
      <c r="A62" s="5">
        <v>46306</v>
      </c>
      <c r="B62" s="6" t="s">
        <v>34</v>
      </c>
      <c r="C62" s="7" t="s">
        <v>22</v>
      </c>
      <c r="D62" s="7">
        <v>5</v>
      </c>
      <c r="E62" s="7">
        <v>37</v>
      </c>
      <c r="F62" s="7">
        <v>31</v>
      </c>
      <c r="G62" s="7">
        <v>6</v>
      </c>
      <c r="H62" s="7">
        <v>70175.04000000001</v>
      </c>
      <c r="I62" s="7">
        <v>5585.5</v>
      </c>
      <c r="J62" s="8">
        <f t="shared" ref="J62:J66" si="10">H62+I62</f>
      </c>
      <c r="K62" s="7">
        <v>41160.619999999995</v>
      </c>
      <c r="L62" s="9">
        <f t="shared" si="21"/>
      </c>
      <c r="M62" s="7">
        <v>37388.159999999996</v>
      </c>
      <c r="N62" s="9">
        <f t="shared" si="19"/>
      </c>
      <c r="O62" s="9">
        <f t="shared" si="22"/>
      </c>
      <c r="P62" s="9">
        <f t="shared" si="20"/>
      </c>
      <c r="Q62" s="7" t="s">
        <v>23</v>
      </c>
      <c r="R62" s="7">
        <v>10</v>
      </c>
      <c r="S62" s="10" t="s">
        <v>24</v>
      </c>
      <c r="T62" s="7">
        <v>20</v>
      </c>
    </row>
    <row hidden="true" r="63">
      <c r="A63" s="5">
        <v>46306</v>
      </c>
      <c r="B63" s="6" t="s">
        <v>25</v>
      </c>
      <c r="C63" s="7" t="s">
        <v>26</v>
      </c>
      <c r="D63" s="7">
        <v>4</v>
      </c>
      <c r="E63" s="7">
        <v>23</v>
      </c>
      <c r="F63" s="7">
        <v>20</v>
      </c>
      <c r="G63" s="7">
        <v>2</v>
      </c>
      <c r="H63" s="11">
        <v>41178.72</v>
      </c>
      <c r="I63" s="7">
        <v>0</v>
      </c>
      <c r="J63" s="8">
        <f t="shared" si="10"/>
      </c>
      <c r="K63" s="7">
        <v>23943.2</v>
      </c>
      <c r="L63" s="9">
        <f t="shared" si="21"/>
      </c>
      <c r="M63" s="7">
        <v>8387.28</v>
      </c>
      <c r="N63" s="9">
        <f t="shared" si="19"/>
      </c>
      <c r="O63" s="9">
        <f t="shared" si="22"/>
      </c>
      <c r="P63" s="9">
        <f t="shared" si="20"/>
      </c>
      <c r="Q63" s="7"/>
      <c r="R63" s="7"/>
      <c r="S63" s="10"/>
      <c r="T63" s="7"/>
    </row>
    <row hidden="true" r="64">
      <c r="A64" s="5">
        <v>46306</v>
      </c>
      <c r="B64" s="6" t="s">
        <v>35</v>
      </c>
      <c r="C64" s="7" t="s">
        <v>28</v>
      </c>
      <c r="D64" s="7">
        <v>2</v>
      </c>
      <c r="E64" s="7">
        <v>17</v>
      </c>
      <c r="F64" s="7">
        <v>13</v>
      </c>
      <c r="G64" s="7">
        <v>0</v>
      </c>
      <c r="H64" s="11">
        <v>34913.16</v>
      </c>
      <c r="I64" s="7">
        <v>0</v>
      </c>
      <c r="J64" s="8">
        <f t="shared" si="10"/>
      </c>
      <c r="K64" s="7">
        <v>16077.939999999999</v>
      </c>
      <c r="L64" s="9">
        <f t="shared" si="21"/>
      </c>
      <c r="M64" s="7">
        <v>3633.12</v>
      </c>
      <c r="N64" s="9">
        <f t="shared" si="19"/>
      </c>
      <c r="O64" s="9">
        <f t="shared" si="22"/>
      </c>
      <c r="P64" s="9">
        <f t="shared" si="20"/>
      </c>
      <c r="Q64" s="7"/>
      <c r="R64" s="7"/>
      <c r="S64" s="10"/>
      <c r="T64" s="7"/>
    </row>
    <row hidden="true" r="65">
      <c r="A65" s="5">
        <v>46306</v>
      </c>
      <c r="B65" s="6" t="s">
        <v>21</v>
      </c>
      <c r="C65" s="7" t="s">
        <v>36</v>
      </c>
      <c r="D65" s="7">
        <v>5</v>
      </c>
      <c r="E65" s="7">
        <v>29</v>
      </c>
      <c r="F65" s="7">
        <v>25</v>
      </c>
      <c r="G65" s="7">
        <v>1</v>
      </c>
      <c r="H65" s="11">
        <v>57534.479999999996</v>
      </c>
      <c r="I65" s="7">
        <v>1437</v>
      </c>
      <c r="J65" s="8">
        <f t="shared" si="10"/>
      </c>
      <c r="K65" s="7">
        <v>33182.28999999999</v>
      </c>
      <c r="L65" s="9">
        <f t="shared" si="21"/>
      </c>
      <c r="M65" s="7">
        <v>3018.6000000000004</v>
      </c>
      <c r="N65" s="9">
        <f t="shared" si="19"/>
      </c>
      <c r="O65" s="9">
        <f t="shared" si="22"/>
      </c>
      <c r="P65" s="9">
        <f t="shared" si="20"/>
      </c>
      <c r="Q65" s="7"/>
      <c r="R65" s="7"/>
      <c r="S65" s="10"/>
      <c r="T65" s="7"/>
    </row>
    <row hidden="true" r="66">
      <c r="A66" s="5">
        <v>46306</v>
      </c>
      <c r="B66" s="6" t="s">
        <v>29</v>
      </c>
      <c r="C66" s="7" t="s">
        <v>37</v>
      </c>
      <c r="D66" s="7">
        <v>4</v>
      </c>
      <c r="E66" s="12">
        <v>19</v>
      </c>
      <c r="F66" s="12">
        <v>15</v>
      </c>
      <c r="G66" s="7">
        <v>4</v>
      </c>
      <c r="H66" s="13">
        <v>23599.799999999974</v>
      </c>
      <c r="I66" s="13">
        <v>7415.7</v>
      </c>
      <c r="J66" s="8">
        <f t="shared" si="10"/>
      </c>
      <c r="K66" s="13">
        <v>25129.14</v>
      </c>
      <c r="L66" s="9">
        <f t="shared" si="21"/>
      </c>
      <c r="M66" s="7">
        <v>0</v>
      </c>
      <c r="N66" s="9">
        <f t="shared" si="19"/>
      </c>
      <c r="O66" s="9">
        <f t="shared" si="22"/>
      </c>
      <c r="P66" s="9">
        <f t="shared" si="20"/>
      </c>
      <c r="Q66" s="7" t="s">
        <v>33</v>
      </c>
      <c r="R66" s="7">
        <v>10</v>
      </c>
      <c r="S66" s="10"/>
      <c r="T66" s="7"/>
    </row>
    <row hidden="true" r="67">
      <c r="A67" s="19">
        <v>46306</v>
      </c>
      <c r="B67" s="15"/>
      <c r="C67" s="15"/>
      <c r="D67" s="16">
        <f>SUM(D62:D66)</f>
      </c>
      <c r="E67" s="16">
        <f>SUM(E62:E66)</f>
      </c>
      <c r="F67" s="16">
        <f>SUM(F62:F66)</f>
      </c>
      <c r="G67" s="16">
        <f>SUM(G62:G66)</f>
      </c>
      <c r="H67" s="16">
        <f>SUM(H62:H66)</f>
      </c>
      <c r="I67" s="16">
        <f>SUM(I62:I66)</f>
      </c>
      <c r="J67" s="16">
        <f>SUM(J62:J66)</f>
      </c>
      <c r="K67" s="16">
        <f>SUM(K62:K66)</f>
      </c>
      <c r="L67" s="17">
        <f t="shared" si="21"/>
      </c>
      <c r="M67" s="16">
        <f>SUM(M62:M66)</f>
      </c>
      <c r="N67" s="18">
        <f t="shared" si="19"/>
      </c>
      <c r="O67" s="17">
        <f t="shared" si="22"/>
      </c>
      <c r="P67" s="17">
        <f t="shared" si="20"/>
      </c>
      <c r="Q67" s="15"/>
      <c r="R67" s="16">
        <f>SUM(R62:R66)</f>
      </c>
      <c r="S67" s="15"/>
      <c r="T67" s="16">
        <f>SUM(T62:T66)</f>
      </c>
    </row>
    <row hidden="true" r="68">
      <c r="A68" s="5">
        <v>46307</v>
      </c>
      <c r="B68" s="6" t="s">
        <v>34</v>
      </c>
      <c r="C68" s="7" t="s">
        <v>22</v>
      </c>
      <c r="D68" s="7">
        <v>5</v>
      </c>
      <c r="E68" s="7">
        <v>34</v>
      </c>
      <c r="F68" s="7">
        <v>29</v>
      </c>
      <c r="G68" s="7">
        <v>2</v>
      </c>
      <c r="H68" s="7">
        <v>57121.799999999996</v>
      </c>
      <c r="I68" s="7">
        <v>5551.000000000001</v>
      </c>
      <c r="J68" s="8">
        <f t="shared" ref="J68:J72" si="11">H68+I68</f>
      </c>
      <c r="K68" s="7">
        <v>41517.420000000006</v>
      </c>
      <c r="L68" s="9">
        <f t="shared" si="21"/>
      </c>
      <c r="M68" s="7">
        <v>23821.28</v>
      </c>
      <c r="N68" s="9">
        <f t="shared" si="19"/>
      </c>
      <c r="O68" s="9">
        <f t="shared" si="22"/>
      </c>
      <c r="P68" s="9">
        <f t="shared" si="20"/>
      </c>
      <c r="Q68" s="7" t="s">
        <v>23</v>
      </c>
      <c r="R68" s="7">
        <v>10</v>
      </c>
      <c r="S68" s="10" t="s">
        <v>24</v>
      </c>
      <c r="T68" s="7">
        <v>20</v>
      </c>
    </row>
    <row hidden="true" r="69">
      <c r="A69" s="5">
        <v>46307</v>
      </c>
      <c r="B69" s="6" t="s">
        <v>21</v>
      </c>
      <c r="C69" s="7" t="s">
        <v>26</v>
      </c>
      <c r="D69" s="7">
        <v>4</v>
      </c>
      <c r="E69" s="7">
        <v>40</v>
      </c>
      <c r="F69" s="7">
        <v>32</v>
      </c>
      <c r="G69" s="7">
        <v>2</v>
      </c>
      <c r="H69" s="11">
        <v>65578.44</v>
      </c>
      <c r="I69" s="7">
        <v>0</v>
      </c>
      <c r="J69" s="8">
        <f t="shared" si="11"/>
      </c>
      <c r="K69" s="7">
        <v>42231.28999999999</v>
      </c>
      <c r="L69" s="9">
        <f t="shared" si="21"/>
      </c>
      <c r="M69" s="7">
        <v>16941.96</v>
      </c>
      <c r="N69" s="9">
        <f t="shared" si="19"/>
      </c>
      <c r="O69" s="9">
        <f t="shared" si="22"/>
      </c>
      <c r="P69" s="9">
        <f t="shared" si="20"/>
      </c>
      <c r="Q69" s="7"/>
      <c r="R69" s="7"/>
      <c r="S69" s="10"/>
      <c r="T69" s="7"/>
    </row>
    <row hidden="true" r="70">
      <c r="A70" s="5">
        <v>46307</v>
      </c>
      <c r="B70" s="6" t="s">
        <v>27</v>
      </c>
      <c r="C70" s="7" t="s">
        <v>44</v>
      </c>
      <c r="D70" s="7">
        <v>3</v>
      </c>
      <c r="E70" s="7">
        <v>30</v>
      </c>
      <c r="F70" s="7">
        <v>23</v>
      </c>
      <c r="G70" s="7">
        <v>1</v>
      </c>
      <c r="H70" s="11">
        <v>54090.72000000004</v>
      </c>
      <c r="I70" s="7">
        <v>0</v>
      </c>
      <c r="J70" s="8">
        <f t="shared" si="11"/>
      </c>
      <c r="K70" s="7">
        <v>26013.33</v>
      </c>
      <c r="L70" s="9">
        <f t="shared" si="21"/>
      </c>
      <c r="M70" s="7">
        <v>14576.76</v>
      </c>
      <c r="N70" s="9">
        <f t="shared" si="19"/>
      </c>
      <c r="O70" s="9">
        <f t="shared" si="22"/>
      </c>
      <c r="P70" s="9">
        <f t="shared" si="20"/>
      </c>
      <c r="Q70" s="7"/>
      <c r="R70" s="7"/>
      <c r="S70" s="10"/>
      <c r="T70" s="7"/>
    </row>
    <row hidden="true" r="71">
      <c r="A71" s="5">
        <v>46307</v>
      </c>
      <c r="B71" s="6" t="s">
        <v>29</v>
      </c>
      <c r="C71" s="7" t="s">
        <v>40</v>
      </c>
      <c r="D71" s="7">
        <v>4</v>
      </c>
      <c r="E71" s="7">
        <v>35</v>
      </c>
      <c r="F71" s="7">
        <v>30</v>
      </c>
      <c r="G71" s="7">
        <v>1</v>
      </c>
      <c r="H71" s="11">
        <v>47369.75999999998</v>
      </c>
      <c r="I71" s="7">
        <v>2563</v>
      </c>
      <c r="J71" s="8">
        <f t="shared" si="11"/>
      </c>
      <c r="K71" s="7">
        <v>28919.77</v>
      </c>
      <c r="L71" s="9">
        <f t="shared" si="21"/>
      </c>
      <c r="M71" s="7">
        <v>3159.44</v>
      </c>
      <c r="N71" s="9">
        <f t="shared" si="19"/>
      </c>
      <c r="O71" s="9">
        <f t="shared" si="22"/>
      </c>
      <c r="P71" s="9">
        <f t="shared" si="20"/>
      </c>
      <c r="Q71" s="7"/>
      <c r="R71" s="7"/>
      <c r="S71" s="10"/>
      <c r="T71" s="7"/>
    </row>
    <row hidden="true" r="72">
      <c r="A72" s="5">
        <v>46307</v>
      </c>
      <c r="B72" s="6" t="s">
        <v>31</v>
      </c>
      <c r="C72" s="7" t="s">
        <v>37</v>
      </c>
      <c r="D72" s="7">
        <v>4</v>
      </c>
      <c r="E72" s="12">
        <v>36</v>
      </c>
      <c r="F72" s="12">
        <v>33</v>
      </c>
      <c r="G72" s="7">
        <v>1</v>
      </c>
      <c r="H72" s="13">
        <v>65071.68000000004</v>
      </c>
      <c r="I72" s="13">
        <v>3380.999999999999</v>
      </c>
      <c r="J72" s="8">
        <f t="shared" si="11"/>
      </c>
      <c r="K72" s="13">
        <v>33778.86</v>
      </c>
      <c r="L72" s="9">
        <f t="shared" si="21"/>
      </c>
      <c r="M72" s="7">
        <v>855.36</v>
      </c>
      <c r="N72" s="9">
        <f t="shared" si="19"/>
      </c>
      <c r="O72" s="9">
        <f t="shared" si="22"/>
      </c>
      <c r="P72" s="9">
        <f t="shared" si="20"/>
      </c>
      <c r="Q72" s="7" t="s">
        <v>33</v>
      </c>
      <c r="R72" s="7">
        <v>10</v>
      </c>
      <c r="S72" s="10"/>
      <c r="T72" s="7"/>
    </row>
    <row hidden="true" r="73">
      <c r="A73" s="19">
        <v>46307</v>
      </c>
      <c r="B73" s="15"/>
      <c r="C73" s="15"/>
      <c r="D73" s="16">
        <f>SUM(D68:D72)</f>
      </c>
      <c r="E73" s="16">
        <f>SUM(E68:E72)</f>
      </c>
      <c r="F73" s="16">
        <f>SUM(F68:F72)</f>
      </c>
      <c r="G73" s="16">
        <f>SUM(G68:G72)</f>
      </c>
      <c r="H73" s="16">
        <f>SUM(H68:H72)</f>
      </c>
      <c r="I73" s="16">
        <f>SUM(I68:I72)</f>
      </c>
      <c r="J73" s="16">
        <f>SUM(J68:J72)</f>
      </c>
      <c r="K73" s="16">
        <f>SUM(K68:K72)</f>
      </c>
      <c r="L73" s="17">
        <f t="shared" si="21"/>
      </c>
      <c r="M73" s="16">
        <f>SUM(M68:M72)</f>
      </c>
      <c r="N73" s="18">
        <f t="shared" si="19"/>
      </c>
      <c r="O73" s="17">
        <f t="shared" si="22"/>
      </c>
      <c r="P73" s="17">
        <f t="shared" si="20"/>
      </c>
      <c r="Q73" s="15"/>
      <c r="R73" s="16">
        <f>SUM(R68:R72)</f>
      </c>
      <c r="S73" s="15"/>
      <c r="T73" s="16">
        <f>SUM(T68:T72)</f>
      </c>
    </row>
    <row hidden="true" r="74">
      <c r="A74" s="5">
        <v>46308</v>
      </c>
      <c r="B74" s="6" t="s">
        <v>21</v>
      </c>
      <c r="C74" s="7" t="s">
        <v>22</v>
      </c>
      <c r="D74" s="7">
        <v>5</v>
      </c>
      <c r="E74" s="7">
        <v>33</v>
      </c>
      <c r="F74" s="7">
        <v>28</v>
      </c>
      <c r="G74" s="7">
        <v>1</v>
      </c>
      <c r="H74" s="7">
        <v>57924.36000000001</v>
      </c>
      <c r="I74" s="7">
        <v>0</v>
      </c>
      <c r="J74" s="8">
        <f t="shared" ref="J74:J78" si="12">H74+I74</f>
      </c>
      <c r="K74" s="7">
        <v>36969.79</v>
      </c>
      <c r="L74" s="9">
        <f t="shared" si="21"/>
      </c>
      <c r="M74" s="7">
        <v>14415.84</v>
      </c>
      <c r="N74" s="9">
        <f t="shared" si="19"/>
      </c>
      <c r="O74" s="9">
        <f t="shared" si="22"/>
      </c>
      <c r="P74" s="9">
        <f t="shared" si="20"/>
      </c>
      <c r="Q74" s="7" t="s">
        <v>23</v>
      </c>
      <c r="R74" s="7">
        <v>10</v>
      </c>
      <c r="S74" s="10" t="s">
        <v>24</v>
      </c>
      <c r="T74" s="7">
        <v>20</v>
      </c>
    </row>
    <row hidden="true" r="75">
      <c r="A75" s="5">
        <v>46308</v>
      </c>
      <c r="B75" s="6" t="s">
        <v>34</v>
      </c>
      <c r="C75" s="7" t="s">
        <v>26</v>
      </c>
      <c r="D75" s="7">
        <v>4</v>
      </c>
      <c r="E75" s="7">
        <v>23</v>
      </c>
      <c r="F75" s="7">
        <v>17</v>
      </c>
      <c r="G75" s="7">
        <v>1</v>
      </c>
      <c r="H75" s="11">
        <v>31686.359999999986</v>
      </c>
      <c r="I75" s="7">
        <v>0</v>
      </c>
      <c r="J75" s="8">
        <f t="shared" si="12"/>
      </c>
      <c r="K75" s="7">
        <v>27963.5</v>
      </c>
      <c r="L75" s="9">
        <f t="shared" si="21"/>
      </c>
      <c r="M75" s="7">
        <v>11687.759999999998</v>
      </c>
      <c r="N75" s="9">
        <f t="shared" si="19"/>
      </c>
      <c r="O75" s="9">
        <f t="shared" si="22"/>
      </c>
      <c r="P75" s="9">
        <f t="shared" si="20"/>
      </c>
      <c r="Q75" s="7"/>
      <c r="R75" s="7"/>
      <c r="S75" s="10"/>
      <c r="T75" s="7"/>
    </row>
    <row hidden="true" r="76">
      <c r="A76" s="5">
        <v>46308</v>
      </c>
      <c r="B76" s="6" t="s">
        <v>35</v>
      </c>
      <c r="C76" s="7" t="s">
        <v>44</v>
      </c>
      <c r="D76" s="7">
        <v>3</v>
      </c>
      <c r="E76" s="7">
        <v>13</v>
      </c>
      <c r="F76" s="7">
        <v>8</v>
      </c>
      <c r="G76" s="7">
        <v>0</v>
      </c>
      <c r="H76" s="11">
        <v>14907.240000000023</v>
      </c>
      <c r="I76" s="7">
        <v>3520</v>
      </c>
      <c r="J76" s="8">
        <f t="shared" si="12"/>
      </c>
      <c r="K76" s="7">
        <v>19498.800000000003</v>
      </c>
      <c r="L76" s="9">
        <f t="shared" si="21"/>
      </c>
      <c r="M76" s="7">
        <v>7664</v>
      </c>
      <c r="N76" s="9">
        <f t="shared" si="19"/>
      </c>
      <c r="O76" s="9">
        <f t="shared" si="22"/>
      </c>
      <c r="P76" s="9">
        <f t="shared" si="20"/>
      </c>
      <c r="Q76" s="7"/>
      <c r="R76" s="7"/>
      <c r="S76" s="10"/>
      <c r="T76" s="7"/>
    </row>
    <row hidden="true" r="77">
      <c r="A77" s="5">
        <v>46308</v>
      </c>
      <c r="B77" s="6" t="s">
        <v>25</v>
      </c>
      <c r="C77" s="7" t="s">
        <v>40</v>
      </c>
      <c r="D77" s="7">
        <v>4</v>
      </c>
      <c r="E77" s="7">
        <v>25</v>
      </c>
      <c r="F77" s="7">
        <v>23</v>
      </c>
      <c r="G77" s="7">
        <v>6</v>
      </c>
      <c r="H77" s="11">
        <v>61996.919999999984</v>
      </c>
      <c r="I77" s="7">
        <v>5000</v>
      </c>
      <c r="J77" s="8">
        <f t="shared" si="12"/>
      </c>
      <c r="K77" s="7">
        <v>25172.63</v>
      </c>
      <c r="L77" s="9">
        <f t="shared" si="21"/>
      </c>
      <c r="M77" s="7">
        <v>0</v>
      </c>
      <c r="N77" s="9">
        <f t="shared" si="19"/>
      </c>
      <c r="O77" s="9">
        <f t="shared" si="22"/>
      </c>
      <c r="P77" s="9">
        <f t="shared" si="20"/>
      </c>
      <c r="Q77" s="7"/>
      <c r="R77" s="7"/>
      <c r="S77" s="10"/>
      <c r="T77" s="7"/>
    </row>
    <row hidden="true" r="78">
      <c r="A78" s="5">
        <v>46308</v>
      </c>
      <c r="B78" s="6" t="s">
        <v>31</v>
      </c>
      <c r="C78" s="7" t="s">
        <v>37</v>
      </c>
      <c r="D78" s="7">
        <v>4</v>
      </c>
      <c r="E78" s="12">
        <v>24</v>
      </c>
      <c r="F78" s="12">
        <v>23</v>
      </c>
      <c r="G78" s="7">
        <v>3</v>
      </c>
      <c r="H78" s="13">
        <v>34300.20000000002</v>
      </c>
      <c r="I78" s="13">
        <v>3117.9</v>
      </c>
      <c r="J78" s="8">
        <f t="shared" si="12"/>
      </c>
      <c r="K78" s="13">
        <v>26862.89</v>
      </c>
      <c r="L78" s="9">
        <f t="shared" si="21"/>
      </c>
      <c r="M78" s="7">
        <v>1290.6</v>
      </c>
      <c r="N78" s="9">
        <f t="shared" si="19"/>
      </c>
      <c r="O78" s="9">
        <f t="shared" si="22"/>
      </c>
      <c r="P78" s="9">
        <f t="shared" si="20"/>
      </c>
      <c r="Q78" s="7" t="s">
        <v>33</v>
      </c>
      <c r="R78" s="7">
        <v>10</v>
      </c>
      <c r="S78" s="10"/>
      <c r="T78" s="7"/>
    </row>
    <row hidden="true" r="79">
      <c r="A79" s="19">
        <v>46308</v>
      </c>
      <c r="B79" s="15"/>
      <c r="C79" s="15"/>
      <c r="D79" s="16">
        <f>SUM(D74:D78)</f>
      </c>
      <c r="E79" s="16">
        <f>SUM(E74:E78)</f>
      </c>
      <c r="F79" s="16">
        <f>SUM(F74:F78)</f>
      </c>
      <c r="G79" s="16">
        <f>SUM(G74:G78)</f>
      </c>
      <c r="H79" s="16">
        <f>SUM(H74:H78)</f>
      </c>
      <c r="I79" s="16">
        <f>SUM(I74:I78)</f>
      </c>
      <c r="J79" s="16">
        <f>SUM(J74:J78)</f>
      </c>
      <c r="K79" s="16">
        <f>SUM(K74:K78)</f>
      </c>
      <c r="L79" s="17">
        <f t="shared" si="21"/>
      </c>
      <c r="M79" s="16">
        <f>SUM(M74:M78)</f>
      </c>
      <c r="N79" s="18">
        <f t="shared" si="19"/>
      </c>
      <c r="O79" s="17">
        <f t="shared" si="22"/>
      </c>
      <c r="P79" s="17">
        <f t="shared" si="20"/>
      </c>
      <c r="Q79" s="15"/>
      <c r="R79" s="16">
        <f>SUM(R74:R78)</f>
      </c>
      <c r="S79" s="15"/>
      <c r="T79" s="16">
        <f>SUM(T74:T78)</f>
      </c>
    </row>
    <row hidden="true" r="80">
      <c r="A80" s="5">
        <v>46309</v>
      </c>
      <c r="B80" s="6" t="s">
        <v>21</v>
      </c>
      <c r="C80" s="7" t="s">
        <v>22</v>
      </c>
      <c r="D80" s="7">
        <v>5</v>
      </c>
      <c r="E80" s="7">
        <v>26</v>
      </c>
      <c r="F80" s="7">
        <v>20</v>
      </c>
      <c r="G80" s="7">
        <v>1</v>
      </c>
      <c r="H80" s="7">
        <v>32969.520000000004</v>
      </c>
      <c r="I80" s="7">
        <v>2042.9999999999995</v>
      </c>
      <c r="J80" s="8">
        <f t="shared" ref="J80:J84" si="13">H80+I80</f>
      </c>
      <c r="K80" s="7">
        <v>34832.28</v>
      </c>
      <c r="L80" s="9">
        <f t="shared" si="21"/>
      </c>
      <c r="M80" s="7">
        <v>14091.84</v>
      </c>
      <c r="N80" s="9">
        <f t="shared" si="19"/>
      </c>
      <c r="O80" s="9">
        <f t="shared" si="22"/>
      </c>
      <c r="P80" s="9">
        <f t="shared" si="20"/>
      </c>
      <c r="Q80" s="7" t="s">
        <v>23</v>
      </c>
      <c r="R80" s="7">
        <v>10</v>
      </c>
      <c r="S80" s="10" t="s">
        <v>24</v>
      </c>
      <c r="T80" s="7">
        <v>20</v>
      </c>
    </row>
    <row hidden="true" r="81">
      <c r="A81" s="5">
        <v>46309</v>
      </c>
      <c r="B81" s="6" t="s">
        <v>34</v>
      </c>
      <c r="C81" s="7" t="s">
        <v>26</v>
      </c>
      <c r="D81" s="7">
        <v>4</v>
      </c>
      <c r="E81" s="7">
        <v>21</v>
      </c>
      <c r="F81" s="7">
        <v>19</v>
      </c>
      <c r="G81" s="7">
        <v>3</v>
      </c>
      <c r="H81" s="11">
        <v>27621.72</v>
      </c>
      <c r="I81" s="7">
        <v>1314</v>
      </c>
      <c r="J81" s="8">
        <f t="shared" si="13"/>
      </c>
      <c r="K81" s="7">
        <v>26752.25</v>
      </c>
      <c r="L81" s="9">
        <f t="shared" si="21"/>
      </c>
      <c r="M81" s="7">
        <v>10842</v>
      </c>
      <c r="N81" s="9">
        <f t="shared" si="19"/>
      </c>
      <c r="O81" s="9">
        <f t="shared" si="22"/>
      </c>
      <c r="P81" s="9">
        <f t="shared" si="20"/>
      </c>
      <c r="Q81" s="7"/>
      <c r="R81" s="7"/>
      <c r="S81" s="10"/>
      <c r="T81" s="7"/>
    </row>
    <row hidden="true" r="82">
      <c r="A82" s="5">
        <v>46309</v>
      </c>
      <c r="B82" s="6" t="s">
        <v>27</v>
      </c>
      <c r="C82" s="7" t="s">
        <v>44</v>
      </c>
      <c r="D82" s="7">
        <v>3</v>
      </c>
      <c r="E82" s="7">
        <v>8</v>
      </c>
      <c r="F82" s="7">
        <v>9</v>
      </c>
      <c r="G82" s="7">
        <v>0</v>
      </c>
      <c r="H82" s="11">
        <v>9471.599999999991</v>
      </c>
      <c r="I82" s="7">
        <v>325</v>
      </c>
      <c r="J82" s="8">
        <f t="shared" si="13"/>
      </c>
      <c r="K82" s="7">
        <v>13713.24</v>
      </c>
      <c r="L82" s="9">
        <f t="shared" si="21"/>
      </c>
      <c r="M82" s="7">
        <v>4860</v>
      </c>
      <c r="N82" s="9">
        <f t="shared" si="19"/>
      </c>
      <c r="O82" s="9">
        <f t="shared" si="22"/>
      </c>
      <c r="P82" s="9">
        <f t="shared" si="20"/>
      </c>
      <c r="Q82" s="7"/>
      <c r="R82" s="7"/>
      <c r="S82" s="10"/>
      <c r="T82" s="7"/>
    </row>
    <row hidden="true" r="83">
      <c r="A83" s="5">
        <v>46309</v>
      </c>
      <c r="B83" s="6" t="s">
        <v>29</v>
      </c>
      <c r="C83" s="7" t="s">
        <v>40</v>
      </c>
      <c r="D83" s="7">
        <v>4</v>
      </c>
      <c r="E83" s="7">
        <v>10</v>
      </c>
      <c r="F83" s="7">
        <v>7</v>
      </c>
      <c r="G83" s="7">
        <v>1</v>
      </c>
      <c r="H83" s="11">
        <v>16529.640000000018</v>
      </c>
      <c r="I83" s="7">
        <v>5646</v>
      </c>
      <c r="J83" s="8">
        <f t="shared" si="13"/>
      </c>
      <c r="K83" s="7">
        <v>15041.08</v>
      </c>
      <c r="L83" s="9">
        <f t="shared" si="21"/>
      </c>
      <c r="M83" s="7">
        <v>6704.52</v>
      </c>
      <c r="N83" s="9">
        <f t="shared" si="19"/>
      </c>
      <c r="O83" s="9">
        <f t="shared" si="22"/>
      </c>
      <c r="P83" s="9">
        <f t="shared" si="20"/>
      </c>
      <c r="Q83" s="7"/>
      <c r="R83" s="7"/>
      <c r="S83" s="10"/>
      <c r="T83" s="7"/>
    </row>
    <row hidden="true" r="84">
      <c r="A84" s="5">
        <v>46309</v>
      </c>
      <c r="B84" s="6" t="s">
        <v>31</v>
      </c>
      <c r="C84" s="7" t="s">
        <v>37</v>
      </c>
      <c r="D84" s="7">
        <v>4</v>
      </c>
      <c r="E84" s="12">
        <v>19</v>
      </c>
      <c r="F84" s="12">
        <v>17</v>
      </c>
      <c r="G84" s="7">
        <v>1</v>
      </c>
      <c r="H84" s="13">
        <v>36676.679999999986</v>
      </c>
      <c r="I84" s="13">
        <v>0</v>
      </c>
      <c r="J84" s="8">
        <f t="shared" si="13"/>
      </c>
      <c r="K84" s="13">
        <v>14833.1</v>
      </c>
      <c r="L84" s="9">
        <f t="shared" si="21"/>
      </c>
      <c r="M84" s="7">
        <v>685.8</v>
      </c>
      <c r="N84" s="9">
        <f t="shared" si="19"/>
      </c>
      <c r="O84" s="9">
        <f t="shared" si="22"/>
      </c>
      <c r="P84" s="9">
        <f t="shared" si="20"/>
      </c>
      <c r="Q84" s="7" t="s">
        <v>33</v>
      </c>
      <c r="R84" s="7">
        <v>10</v>
      </c>
      <c r="S84" s="10"/>
      <c r="T84" s="7"/>
    </row>
    <row hidden="true" r="85">
      <c r="A85" s="19">
        <v>46309</v>
      </c>
      <c r="B85" s="15"/>
      <c r="C85" s="15"/>
      <c r="D85" s="16">
        <f>SUM(D80:D84)</f>
      </c>
      <c r="E85" s="16">
        <f>SUM(E80:E84)</f>
      </c>
      <c r="F85" s="16">
        <f>SUM(F80:F84)</f>
      </c>
      <c r="G85" s="16">
        <f>SUM(G80:G84)</f>
      </c>
      <c r="H85" s="16">
        <f>SUM(H80:H84)</f>
      </c>
      <c r="I85" s="16">
        <f>SUM(I80:I84)</f>
      </c>
      <c r="J85" s="16">
        <f>SUM(J80:J84)</f>
      </c>
      <c r="K85" s="16">
        <f>SUM(K80:K84)</f>
      </c>
      <c r="L85" s="17">
        <f t="shared" si="21"/>
      </c>
      <c r="M85" s="16">
        <f>SUM(M80:M84)</f>
      </c>
      <c r="N85" s="18">
        <f t="shared" si="19"/>
      </c>
      <c r="O85" s="17">
        <f t="shared" si="22"/>
      </c>
      <c r="P85" s="17">
        <f t="shared" si="20"/>
      </c>
      <c r="Q85" s="15"/>
      <c r="R85" s="16">
        <f>SUM(R80:R84)</f>
      </c>
      <c r="S85" s="15"/>
      <c r="T85" s="16">
        <f>SUM(T80:T84)</f>
      </c>
    </row>
    <row hidden="true" r="86">
      <c r="A86" s="5">
        <v>46310</v>
      </c>
      <c r="B86" s="6" t="s">
        <v>34</v>
      </c>
      <c r="C86" s="7" t="s">
        <v>22</v>
      </c>
      <c r="D86" s="7">
        <v>5</v>
      </c>
      <c r="E86" s="7">
        <v>20</v>
      </c>
      <c r="F86" s="7">
        <v>15</v>
      </c>
      <c r="G86" s="7">
        <v>1</v>
      </c>
      <c r="H86" s="7">
        <v>43506</v>
      </c>
      <c r="I86" s="7">
        <v>0</v>
      </c>
      <c r="J86" s="8">
        <f t="shared" ref="J86:J90" si="14">H86+I86</f>
      </c>
      <c r="K86" s="7">
        <v>26208.6</v>
      </c>
      <c r="L86" s="9">
        <f t="shared" si="21"/>
      </c>
      <c r="M86" s="7">
        <v>23446.8</v>
      </c>
      <c r="N86" s="9">
        <f t="shared" si="19"/>
      </c>
      <c r="O86" s="9">
        <f t="shared" si="22"/>
      </c>
      <c r="P86" s="9">
        <f t="shared" si="20"/>
      </c>
      <c r="Q86" s="7" t="s">
        <v>43</v>
      </c>
      <c r="R86" s="7">
        <v>10</v>
      </c>
      <c r="S86" s="10" t="s">
        <v>24</v>
      </c>
      <c r="T86" s="7">
        <v>20</v>
      </c>
    </row>
    <row hidden="true" r="87">
      <c r="A87" s="5">
        <v>46310</v>
      </c>
      <c r="B87" s="6" t="s">
        <v>25</v>
      </c>
      <c r="C87" s="7" t="s">
        <v>26</v>
      </c>
      <c r="D87" s="7">
        <v>4</v>
      </c>
      <c r="E87" s="7">
        <v>15</v>
      </c>
      <c r="F87" s="7">
        <v>11</v>
      </c>
      <c r="G87" s="7">
        <v>2</v>
      </c>
      <c r="H87" s="11">
        <v>32612.51999999999</v>
      </c>
      <c r="I87" s="7">
        <v>0</v>
      </c>
      <c r="J87" s="8">
        <f t="shared" si="14"/>
      </c>
      <c r="K87" s="7">
        <v>15143.78</v>
      </c>
      <c r="L87" s="9">
        <f t="shared" si="21"/>
      </c>
      <c r="M87" s="7">
        <v>5479.92</v>
      </c>
      <c r="N87" s="9">
        <f t="shared" si="19"/>
      </c>
      <c r="O87" s="9">
        <f t="shared" si="22"/>
      </c>
      <c r="P87" s="9">
        <f t="shared" si="20"/>
      </c>
      <c r="Q87" s="7"/>
      <c r="R87" s="7"/>
      <c r="S87" s="10"/>
      <c r="T87" s="7"/>
    </row>
    <row hidden="true" r="88">
      <c r="A88" s="5">
        <v>46310</v>
      </c>
      <c r="B88" s="6" t="s">
        <v>27</v>
      </c>
      <c r="C88" s="7" t="s">
        <v>44</v>
      </c>
      <c r="D88" s="7">
        <v>3</v>
      </c>
      <c r="E88" s="7">
        <v>17</v>
      </c>
      <c r="F88" s="7">
        <v>16</v>
      </c>
      <c r="G88" s="7">
        <v>0</v>
      </c>
      <c r="H88" s="11">
        <v>21706.920000000013</v>
      </c>
      <c r="I88" s="7">
        <v>663</v>
      </c>
      <c r="J88" s="8">
        <f t="shared" si="14"/>
      </c>
      <c r="K88" s="7">
        <v>14407.11</v>
      </c>
      <c r="L88" s="9">
        <f t="shared" si="21"/>
      </c>
      <c r="M88" s="7">
        <v>3827.52</v>
      </c>
      <c r="N88" s="9">
        <f t="shared" si="19"/>
      </c>
      <c r="O88" s="9">
        <f t="shared" si="22"/>
      </c>
      <c r="P88" s="9">
        <f t="shared" si="20"/>
      </c>
      <c r="Q88" s="7"/>
      <c r="R88" s="7"/>
      <c r="S88" s="10"/>
      <c r="T88" s="7"/>
    </row>
    <row hidden="true" r="89">
      <c r="A89" s="5">
        <v>46310</v>
      </c>
      <c r="B89" s="6" t="s">
        <v>31</v>
      </c>
      <c r="C89" s="7" t="s">
        <v>40</v>
      </c>
      <c r="D89" s="7">
        <v>4</v>
      </c>
      <c r="E89" s="7">
        <v>32</v>
      </c>
      <c r="F89" s="7">
        <v>29</v>
      </c>
      <c r="G89" s="7">
        <v>0</v>
      </c>
      <c r="H89" s="11">
        <v>65673.71999999999</v>
      </c>
      <c r="I89" s="7">
        <v>1656</v>
      </c>
      <c r="J89" s="8">
        <f t="shared" si="14"/>
      </c>
      <c r="K89" s="7">
        <v>31854.13</v>
      </c>
      <c r="L89" s="9">
        <f t="shared" si="21"/>
      </c>
      <c r="M89" s="7">
        <v>3881.52</v>
      </c>
      <c r="N89" s="9">
        <f t="shared" si="19"/>
      </c>
      <c r="O89" s="9">
        <f t="shared" si="22"/>
      </c>
      <c r="P89" s="9">
        <f t="shared" si="20"/>
      </c>
      <c r="Q89" s="7"/>
      <c r="R89" s="7"/>
      <c r="S89" s="10"/>
      <c r="T89" s="7"/>
    </row>
    <row hidden="true" r="90">
      <c r="A90" s="5">
        <v>46310</v>
      </c>
      <c r="B90" s="6" t="s">
        <v>29</v>
      </c>
      <c r="C90" s="7" t="s">
        <v>37</v>
      </c>
      <c r="D90" s="7">
        <v>4</v>
      </c>
      <c r="E90" s="12">
        <v>24</v>
      </c>
      <c r="F90" s="12">
        <v>19</v>
      </c>
      <c r="G90" s="7">
        <v>3</v>
      </c>
      <c r="H90" s="13">
        <v>48652.92000000001</v>
      </c>
      <c r="I90" s="13">
        <v>11176.65</v>
      </c>
      <c r="J90" s="8">
        <f t="shared" si="14"/>
      </c>
      <c r="K90" s="13">
        <v>22813.04</v>
      </c>
      <c r="L90" s="9">
        <f t="shared" si="21"/>
      </c>
      <c r="M90" s="7">
        <v>0</v>
      </c>
      <c r="N90" s="9">
        <f t="shared" si="19"/>
      </c>
      <c r="O90" s="9">
        <f t="shared" si="22"/>
      </c>
      <c r="P90" s="9">
        <f t="shared" si="20"/>
      </c>
      <c r="Q90" s="7" t="s">
        <v>33</v>
      </c>
      <c r="R90" s="7">
        <v>10</v>
      </c>
      <c r="S90" s="10"/>
      <c r="T90" s="7"/>
    </row>
    <row hidden="true" r="91">
      <c r="A91" s="19">
        <v>46310</v>
      </c>
      <c r="B91" s="15"/>
      <c r="C91" s="15"/>
      <c r="D91" s="16">
        <f>SUM(D86:D90)</f>
      </c>
      <c r="E91" s="16">
        <f>SUM(E86:E90)</f>
      </c>
      <c r="F91" s="16">
        <f>SUM(F86:F90)</f>
      </c>
      <c r="G91" s="16">
        <f>SUM(G86:G90)</f>
      </c>
      <c r="H91" s="16">
        <f>SUM(H86:H90)</f>
      </c>
      <c r="I91" s="16">
        <f>SUM(I86:I90)</f>
      </c>
      <c r="J91" s="16">
        <f>SUM(J86:J90)</f>
      </c>
      <c r="K91" s="16">
        <f>SUM(K86:K90)</f>
      </c>
      <c r="L91" s="17">
        <f t="shared" si="21"/>
      </c>
      <c r="M91" s="16">
        <f>SUM(M86:M90)</f>
      </c>
      <c r="N91" s="18">
        <f t="shared" si="19"/>
      </c>
      <c r="O91" s="17">
        <f t="shared" si="22"/>
      </c>
      <c r="P91" s="17">
        <f t="shared" si="20"/>
      </c>
      <c r="Q91" s="15"/>
      <c r="R91" s="16">
        <f>SUM(R86:R90)</f>
      </c>
      <c r="S91" s="15"/>
      <c r="T91" s="16">
        <f>SUM(T86:T90)</f>
      </c>
    </row>
    <row hidden="true" r="92">
      <c r="A92" s="5">
        <v>46311</v>
      </c>
      <c r="B92" s="6" t="s">
        <v>34</v>
      </c>
      <c r="C92" s="7" t="s">
        <v>22</v>
      </c>
      <c r="D92" s="7">
        <v>5</v>
      </c>
      <c r="E92" s="7">
        <v>45</v>
      </c>
      <c r="F92" s="7">
        <v>36</v>
      </c>
      <c r="G92" s="7">
        <v>6</v>
      </c>
      <c r="H92" s="7">
        <v>78576.12</v>
      </c>
      <c r="I92" s="7">
        <v>2339</v>
      </c>
      <c r="J92" s="8">
        <f t="shared" ref="J92:J95" si="15">H92+I92</f>
      </c>
      <c r="K92" s="7">
        <v>40939.66</v>
      </c>
      <c r="L92" s="9">
        <f t="shared" si="21"/>
      </c>
      <c r="M92" s="7">
        <v>24845.04</v>
      </c>
      <c r="N92" s="9">
        <f t="shared" si="19"/>
      </c>
      <c r="O92" s="9">
        <f t="shared" si="22"/>
      </c>
      <c r="P92" s="9">
        <f t="shared" si="20"/>
      </c>
      <c r="Q92" s="7" t="s">
        <v>23</v>
      </c>
      <c r="R92" s="7">
        <v>10</v>
      </c>
      <c r="S92" s="10" t="s">
        <v>24</v>
      </c>
      <c r="T92" s="7">
        <v>20</v>
      </c>
    </row>
    <row hidden="true" r="93">
      <c r="A93" s="5">
        <v>46311</v>
      </c>
      <c r="B93" s="6" t="s">
        <v>25</v>
      </c>
      <c r="C93" s="7" t="s">
        <v>38</v>
      </c>
      <c r="D93" s="7">
        <v>5</v>
      </c>
      <c r="E93" s="7">
        <v>46</v>
      </c>
      <c r="F93" s="7">
        <v>34</v>
      </c>
      <c r="G93" s="7">
        <v>4</v>
      </c>
      <c r="H93" s="11">
        <v>70715.52000000002</v>
      </c>
      <c r="I93" s="7">
        <v>2413</v>
      </c>
      <c r="J93" s="8">
        <f t="shared" si="15"/>
      </c>
      <c r="K93" s="7">
        <v>46436.2</v>
      </c>
      <c r="L93" s="9">
        <f t="shared" si="21"/>
      </c>
      <c r="M93" s="7">
        <v>21025.32</v>
      </c>
      <c r="N93" s="9">
        <f t="shared" si="19"/>
      </c>
      <c r="O93" s="9">
        <f t="shared" si="22"/>
      </c>
      <c r="P93" s="9">
        <f t="shared" si="20"/>
      </c>
      <c r="Q93" s="7"/>
      <c r="R93" s="7"/>
      <c r="S93" s="10"/>
      <c r="T93" s="7"/>
    </row>
    <row hidden="true" r="94">
      <c r="A94" s="5">
        <v>46311</v>
      </c>
      <c r="B94" s="6" t="s">
        <v>27</v>
      </c>
      <c r="C94" s="7" t="s">
        <v>45</v>
      </c>
      <c r="D94" s="7">
        <v>5</v>
      </c>
      <c r="E94" s="7">
        <v>42</v>
      </c>
      <c r="F94" s="7">
        <v>31</v>
      </c>
      <c r="G94" s="7">
        <v>5</v>
      </c>
      <c r="H94" s="11">
        <v>61640.99999999999</v>
      </c>
      <c r="I94" s="7">
        <v>5757.450000000001</v>
      </c>
      <c r="J94" s="8">
        <f t="shared" si="15"/>
      </c>
      <c r="K94" s="7">
        <v>39806.96000000001</v>
      </c>
      <c r="L94" s="9">
        <f t="shared" si="21"/>
      </c>
      <c r="M94" s="7">
        <v>18929.230000000003</v>
      </c>
      <c r="N94" s="9">
        <f t="shared" si="19"/>
      </c>
      <c r="O94" s="9">
        <f t="shared" si="22"/>
      </c>
      <c r="P94" s="9">
        <f t="shared" si="20"/>
      </c>
      <c r="Q94" s="7"/>
      <c r="R94" s="7"/>
      <c r="S94" s="10"/>
      <c r="T94" s="7"/>
    </row>
    <row hidden="true" r="95">
      <c r="A95" s="5">
        <v>46311</v>
      </c>
      <c r="B95" s="6" t="s">
        <v>31</v>
      </c>
      <c r="C95" s="7" t="s">
        <v>32</v>
      </c>
      <c r="D95" s="7">
        <v>5</v>
      </c>
      <c r="E95" s="12">
        <v>52</v>
      </c>
      <c r="F95" s="12">
        <v>48</v>
      </c>
      <c r="G95" s="7">
        <v>5</v>
      </c>
      <c r="H95" s="13">
        <v>84213.95999999995</v>
      </c>
      <c r="I95" s="13">
        <v>3893.8999999999983</v>
      </c>
      <c r="J95" s="8">
        <f t="shared" si="15"/>
      </c>
      <c r="K95" s="13">
        <v>46221.9</v>
      </c>
      <c r="L95" s="9">
        <f t="shared" si="21"/>
      </c>
      <c r="M95" s="7">
        <v>3237.84</v>
      </c>
      <c r="N95" s="9">
        <f t="shared" si="19"/>
      </c>
      <c r="O95" s="9">
        <f t="shared" si="22"/>
      </c>
      <c r="P95" s="9">
        <f t="shared" si="20"/>
      </c>
      <c r="Q95" s="7" t="s">
        <v>33</v>
      </c>
      <c r="R95" s="7">
        <v>10</v>
      </c>
      <c r="S95" s="10"/>
      <c r="T95" s="7"/>
    </row>
    <row hidden="true" r="96">
      <c r="A96" s="19">
        <v>46311</v>
      </c>
      <c r="B96" s="15"/>
      <c r="C96" s="15"/>
      <c r="D96" s="16">
        <f>SUM(D92:D95)</f>
      </c>
      <c r="E96" s="16">
        <f>SUM(E92:E95)</f>
      </c>
      <c r="F96" s="16">
        <f>SUM(F92:F95)</f>
      </c>
      <c r="G96" s="16">
        <f>SUM(G92:G95)</f>
      </c>
      <c r="H96" s="16">
        <f>SUM(H92:H95)</f>
      </c>
      <c r="I96" s="16">
        <f>SUM(I92:I95)</f>
      </c>
      <c r="J96" s="16">
        <f>SUM(J92:J95)</f>
      </c>
      <c r="K96" s="16">
        <f>SUM(K92:K95)</f>
      </c>
      <c r="L96" s="17">
        <f t="shared" si="21"/>
      </c>
      <c r="M96" s="16">
        <f>SUM(M92:M95)</f>
      </c>
      <c r="N96" s="18">
        <f t="shared" si="19"/>
      </c>
      <c r="O96" s="17">
        <f t="shared" si="22"/>
      </c>
      <c r="P96" s="17">
        <f t="shared" si="20"/>
      </c>
      <c r="Q96" s="15"/>
      <c r="R96" s="16">
        <f>SUM(R92:R95)</f>
      </c>
      <c r="S96" s="15"/>
      <c r="T96" s="16">
        <f>SUM(T92:T95)</f>
      </c>
    </row>
    <row hidden="true" r="97">
      <c r="A97" s="5">
        <v>46312</v>
      </c>
      <c r="B97" s="6" t="s">
        <v>34</v>
      </c>
      <c r="C97" s="7" t="s">
        <v>22</v>
      </c>
      <c r="D97" s="7">
        <v>5</v>
      </c>
      <c r="E97" s="7">
        <v>42</v>
      </c>
      <c r="F97" s="7">
        <v>36</v>
      </c>
      <c r="G97" s="7">
        <v>3</v>
      </c>
      <c r="H97" s="7">
        <v>68529.24</v>
      </c>
      <c r="I97" s="7">
        <v>4115</v>
      </c>
      <c r="J97" s="8">
        <f t="shared" ref="J97:J100" si="16">H97+I97</f>
      </c>
      <c r="K97" s="7">
        <v>46998.42</v>
      </c>
      <c r="L97" s="9">
        <f t="shared" si="21"/>
      </c>
      <c r="M97" s="7">
        <v>14603.16</v>
      </c>
      <c r="N97" s="9">
        <f t="shared" si="19"/>
      </c>
      <c r="O97" s="9">
        <f t="shared" si="22"/>
      </c>
      <c r="P97" s="9">
        <f t="shared" si="20"/>
      </c>
      <c r="Q97" s="7" t="s">
        <v>23</v>
      </c>
      <c r="R97" s="7">
        <v>10</v>
      </c>
      <c r="S97" s="10" t="s">
        <v>24</v>
      </c>
      <c r="T97" s="7">
        <v>20</v>
      </c>
    </row>
    <row hidden="true" r="98">
      <c r="A98" s="5">
        <v>46312</v>
      </c>
      <c r="B98" s="6" t="s">
        <v>27</v>
      </c>
      <c r="C98" s="7" t="s">
        <v>38</v>
      </c>
      <c r="D98" s="7">
        <v>5</v>
      </c>
      <c r="E98" s="7">
        <v>33</v>
      </c>
      <c r="F98" s="7">
        <v>28</v>
      </c>
      <c r="G98" s="7">
        <v>3</v>
      </c>
      <c r="H98" s="11">
        <v>58301.639999999985</v>
      </c>
      <c r="I98" s="7">
        <v>1265</v>
      </c>
      <c r="J98" s="8">
        <f t="shared" si="16"/>
      </c>
      <c r="K98" s="7">
        <v>35083.25</v>
      </c>
      <c r="L98" s="9">
        <f t="shared" si="21"/>
      </c>
      <c r="M98" s="7">
        <v>20491.28</v>
      </c>
      <c r="N98" s="9">
        <f t="shared" si="19"/>
      </c>
      <c r="O98" s="9">
        <f t="shared" si="22"/>
      </c>
      <c r="P98" s="9">
        <f t="shared" si="20"/>
      </c>
      <c r="Q98" s="7"/>
      <c r="R98" s="7"/>
      <c r="S98" s="10"/>
      <c r="T98" s="7"/>
    </row>
    <row hidden="true" r="99">
      <c r="A99" s="5">
        <v>46312</v>
      </c>
      <c r="B99" s="6" t="s">
        <v>31</v>
      </c>
      <c r="C99" s="7" t="s">
        <v>45</v>
      </c>
      <c r="D99" s="7">
        <v>5</v>
      </c>
      <c r="E99" s="7">
        <v>35</v>
      </c>
      <c r="F99" s="7">
        <v>29</v>
      </c>
      <c r="G99" s="7">
        <v>6</v>
      </c>
      <c r="H99" s="11">
        <v>74948.88000000002</v>
      </c>
      <c r="I99" s="7">
        <v>6429</v>
      </c>
      <c r="J99" s="8">
        <f t="shared" si="16"/>
      </c>
      <c r="K99" s="7">
        <v>38675.3</v>
      </c>
      <c r="L99" s="9">
        <f t="shared" si="21"/>
      </c>
      <c r="M99" s="7">
        <v>2056.32</v>
      </c>
      <c r="N99" s="9">
        <f t="shared" si="19"/>
      </c>
      <c r="O99" s="9">
        <f t="shared" si="22"/>
      </c>
      <c r="P99" s="9">
        <f t="shared" si="20"/>
      </c>
      <c r="Q99" s="7"/>
      <c r="R99" s="7"/>
      <c r="S99" s="10"/>
      <c r="T99" s="7"/>
    </row>
    <row hidden="true" r="100">
      <c r="A100" s="5">
        <v>46312</v>
      </c>
      <c r="B100" s="6" t="s">
        <v>29</v>
      </c>
      <c r="C100" s="7" t="s">
        <v>32</v>
      </c>
      <c r="D100" s="7">
        <v>5</v>
      </c>
      <c r="E100" s="12">
        <v>21</v>
      </c>
      <c r="F100" s="12">
        <v>18</v>
      </c>
      <c r="G100" s="7">
        <v>4</v>
      </c>
      <c r="H100" s="13">
        <v>37185.719999999994</v>
      </c>
      <c r="I100" s="13">
        <v>3008.35</v>
      </c>
      <c r="J100" s="8">
        <f t="shared" si="16"/>
      </c>
      <c r="K100" s="13">
        <v>33446.5</v>
      </c>
      <c r="L100" s="9">
        <f t="shared" si="21"/>
      </c>
      <c r="M100" s="7">
        <v>0</v>
      </c>
      <c r="N100" s="9">
        <f t="shared" si="19"/>
      </c>
      <c r="O100" s="9">
        <f t="shared" si="22"/>
      </c>
      <c r="P100" s="9">
        <f t="shared" si="20"/>
      </c>
      <c r="Q100" s="7" t="s">
        <v>33</v>
      </c>
      <c r="R100" s="7">
        <v>10</v>
      </c>
      <c r="S100" s="10"/>
      <c r="T100" s="7"/>
    </row>
    <row hidden="true" r="101">
      <c r="A101" s="19">
        <v>46312</v>
      </c>
      <c r="B101" s="15"/>
      <c r="C101" s="15"/>
      <c r="D101" s="16">
        <f>SUM(D97:D100)</f>
      </c>
      <c r="E101" s="16">
        <f>SUM(E97:E100)</f>
      </c>
      <c r="F101" s="16">
        <f>SUM(F97:F100)</f>
      </c>
      <c r="G101" s="16">
        <f>SUM(G97:G100)</f>
      </c>
      <c r="H101" s="16">
        <f>SUM(H97:H100)</f>
      </c>
      <c r="I101" s="16">
        <f>SUM(I97:I100)</f>
      </c>
      <c r="J101" s="16">
        <f>SUM(J97:J100)</f>
      </c>
      <c r="K101" s="16">
        <f>SUM(K97:K100)</f>
      </c>
      <c r="L101" s="17">
        <f t="shared" si="21"/>
      </c>
      <c r="M101" s="16">
        <f>SUM(M97:M100)</f>
      </c>
      <c r="N101" s="18">
        <f t="shared" si="19"/>
      </c>
      <c r="O101" s="17">
        <f t="shared" si="22"/>
      </c>
      <c r="P101" s="17">
        <f t="shared" si="20"/>
      </c>
      <c r="Q101" s="15"/>
      <c r="R101" s="16">
        <f>SUM(R97:R100)</f>
      </c>
      <c r="S101" s="15"/>
      <c r="T101" s="16">
        <f>SUM(T97:T100)</f>
      </c>
    </row>
    <row r="102">
      <c r="A102" s="5">
        <v>46313</v>
      </c>
      <c r="B102" s="6" t="s">
        <v>34</v>
      </c>
      <c r="C102" s="7" t="s">
        <v>22</v>
      </c>
      <c r="D102" s="7">
        <v>5</v>
      </c>
      <c r="E102" s="7">
        <v>29</v>
      </c>
      <c r="F102" s="7">
        <v>25</v>
      </c>
      <c r="G102" s="7">
        <v>3</v>
      </c>
      <c r="H102" s="7">
        <v>47381.15999999999</v>
      </c>
      <c r="I102" s="7">
        <v>4926</v>
      </c>
      <c r="J102" s="8">
        <f t="shared" ref="J102:J105" si="17">H102+I102</f>
      </c>
      <c r="K102" s="7">
        <v>41347.520000000004</v>
      </c>
      <c r="L102" s="9">
        <f t="shared" si="21"/>
      </c>
      <c r="M102" s="7">
        <v>11922.6</v>
      </c>
      <c r="N102" s="9">
        <f t="shared" si="19"/>
      </c>
      <c r="O102" s="9">
        <f t="shared" si="22"/>
      </c>
      <c r="P102" s="9">
        <f t="shared" si="20"/>
      </c>
      <c r="Q102" s="7" t="s">
        <v>23</v>
      </c>
      <c r="R102" s="7">
        <v>10</v>
      </c>
      <c r="S102" s="10" t="s">
        <v>24</v>
      </c>
      <c r="T102" s="7">
        <v>20</v>
      </c>
    </row>
    <row r="103">
      <c r="A103" s="5">
        <v>46313</v>
      </c>
      <c r="B103" s="6" t="s">
        <v>31</v>
      </c>
      <c r="C103" s="7" t="s">
        <v>38</v>
      </c>
      <c r="D103" s="7">
        <v>5</v>
      </c>
      <c r="E103" s="7">
        <v>31</v>
      </c>
      <c r="F103" s="7">
        <v>23</v>
      </c>
      <c r="G103" s="7">
        <v>0</v>
      </c>
      <c r="H103" s="11">
        <v>40375.8</v>
      </c>
      <c r="I103" s="7">
        <v>0</v>
      </c>
      <c r="J103" s="8">
        <f t="shared" si="17"/>
      </c>
      <c r="K103" s="7">
        <v>26002.630000000005</v>
      </c>
      <c r="L103" s="9">
        <f t="shared" si="21"/>
      </c>
      <c r="M103" s="7">
        <v>13572.36</v>
      </c>
      <c r="N103" s="9">
        <f t="shared" si="19"/>
      </c>
      <c r="O103" s="9">
        <f t="shared" si="22"/>
      </c>
      <c r="P103" s="9">
        <f t="shared" si="20"/>
      </c>
      <c r="Q103" s="7"/>
      <c r="R103" s="7"/>
      <c r="S103" s="10"/>
      <c r="T103" s="7"/>
    </row>
    <row r="104">
      <c r="A104" s="5">
        <v>46313</v>
      </c>
      <c r="B104" s="6" t="s">
        <v>29</v>
      </c>
      <c r="C104" s="7" t="s">
        <v>45</v>
      </c>
      <c r="D104" s="7">
        <v>5</v>
      </c>
      <c r="E104" s="7">
        <v>29</v>
      </c>
      <c r="F104" s="7">
        <v>26</v>
      </c>
      <c r="G104" s="7">
        <v>4</v>
      </c>
      <c r="H104" s="11">
        <v>36848.039999999986</v>
      </c>
      <c r="I104" s="7">
        <v>8375</v>
      </c>
      <c r="J104" s="8">
        <f t="shared" si="17"/>
      </c>
      <c r="K104" s="7">
        <v>31705.969999999998</v>
      </c>
      <c r="L104" s="9">
        <f t="shared" si="21"/>
      </c>
      <c r="M104" s="7">
        <v>1899.9</v>
      </c>
      <c r="N104" s="9">
        <f t="shared" si="19"/>
      </c>
      <c r="O104" s="9">
        <f t="shared" si="22"/>
      </c>
      <c r="P104" s="9">
        <f t="shared" si="20"/>
      </c>
      <c r="Q104" s="7"/>
      <c r="R104" s="7"/>
      <c r="S104" s="10"/>
      <c r="T104" s="7"/>
    </row>
    <row r="105">
      <c r="A105" s="5">
        <v>46313</v>
      </c>
      <c r="B105" s="6" t="s">
        <v>27</v>
      </c>
      <c r="C105" s="7" t="s">
        <v>32</v>
      </c>
      <c r="D105" s="7">
        <v>5</v>
      </c>
      <c r="E105" s="12">
        <v>32</v>
      </c>
      <c r="F105" s="12">
        <v>25</v>
      </c>
      <c r="G105" s="7">
        <v>3</v>
      </c>
      <c r="H105" s="13">
        <v>62401.92000000003</v>
      </c>
      <c r="I105" s="13">
        <v>2144.999999999998</v>
      </c>
      <c r="J105" s="8">
        <f t="shared" si="17"/>
      </c>
      <c r="K105" s="13">
        <v>29808.850000000006</v>
      </c>
      <c r="L105" s="9">
        <f t="shared" si="21"/>
      </c>
      <c r="M105" s="7">
        <v>2298.24</v>
      </c>
      <c r="N105" s="9">
        <f t="shared" si="19"/>
      </c>
      <c r="O105" s="9">
        <f t="shared" si="22"/>
      </c>
      <c r="P105" s="9">
        <f t="shared" si="20"/>
      </c>
      <c r="Q105" s="7" t="s">
        <v>33</v>
      </c>
      <c r="R105" s="7">
        <v>10</v>
      </c>
      <c r="S105" s="10"/>
      <c r="T105" s="7"/>
    </row>
    <row r="106">
      <c r="A106" s="19">
        <v>46313</v>
      </c>
      <c r="B106" s="15"/>
      <c r="C106" s="15"/>
      <c r="D106" s="16">
        <f>SUM(D102:D105)</f>
      </c>
      <c r="E106" s="16">
        <f>SUM(E102:E105)</f>
      </c>
      <c r="F106" s="16">
        <f>SUM(F102:F105)</f>
      </c>
      <c r="G106" s="16">
        <f>SUM(G102:G105)</f>
      </c>
      <c r="H106" s="16">
        <f>SUM(H102:H105)</f>
      </c>
      <c r="I106" s="16">
        <f>SUM(I102:I105)</f>
      </c>
      <c r="J106" s="16">
        <f>SUM(J102:J105)</f>
      </c>
      <c r="K106" s="16">
        <f>SUM(K102:K105)</f>
      </c>
      <c r="L106" s="17">
        <f t="shared" si="21"/>
      </c>
      <c r="M106" s="16">
        <f>SUM(M102:M105)</f>
      </c>
      <c r="N106" s="18">
        <f t="shared" si="19"/>
      </c>
      <c r="O106" s="17">
        <f t="shared" si="22"/>
      </c>
      <c r="P106" s="17">
        <f t="shared" si="20"/>
      </c>
      <c r="Q106" s="15"/>
      <c r="R106" s="16">
        <f>SUM(R102:R105)</f>
      </c>
      <c r="S106" s="15"/>
      <c r="T106" s="16">
        <f>SUM(T102:T105)</f>
      </c>
    </row>
    <row r="107">
      <c r="A107" s="5">
        <v>46314</v>
      </c>
      <c r="B107" s="6" t="s">
        <v>34</v>
      </c>
      <c r="C107" s="7" t="s">
        <v>22</v>
      </c>
      <c r="D107" s="7">
        <v>5</v>
      </c>
      <c r="E107" s="20">
        <v>40</v>
      </c>
      <c r="F107" s="20">
        <v>33</v>
      </c>
      <c r="G107" s="7">
        <v>9</v>
      </c>
      <c r="H107" s="7">
        <v>69072.72</v>
      </c>
      <c r="I107" s="7">
        <v>7634.799999999999</v>
      </c>
      <c r="J107" s="8">
        <f t="shared" ref="J107:J110" si="18">H107+I107</f>
      </c>
      <c r="K107" s="7">
        <v>37231.009999999995</v>
      </c>
      <c r="L107" s="9">
        <f t="shared" si="21"/>
      </c>
      <c r="M107" s="7"/>
      <c r="N107" s="9">
        <f t="shared" si="19"/>
      </c>
      <c r="O107" s="9">
        <f t="shared" si="22"/>
      </c>
      <c r="P107" s="9">
        <f t="shared" si="20"/>
      </c>
      <c r="Q107" s="7" t="s">
        <v>23</v>
      </c>
      <c r="R107" s="7">
        <v>10</v>
      </c>
      <c r="S107" s="10" t="s">
        <v>24</v>
      </c>
      <c r="T107" s="7">
        <v>20</v>
      </c>
    </row>
    <row r="108">
      <c r="A108" s="5">
        <v>46314</v>
      </c>
      <c r="B108" s="6" t="s">
        <v>29</v>
      </c>
      <c r="C108" s="7" t="s">
        <v>38</v>
      </c>
      <c r="D108" s="7">
        <v>5</v>
      </c>
      <c r="E108" s="7"/>
      <c r="F108" s="7"/>
      <c r="G108" s="7"/>
      <c r="H108" s="11"/>
      <c r="I108" s="7"/>
      <c r="J108" s="8">
        <f t="shared" si="18"/>
      </c>
      <c r="K108" s="7"/>
      <c r="L108" s="9">
        <f t="shared" si="21"/>
      </c>
      <c r="M108" s="7"/>
      <c r="N108" s="9">
        <f t="shared" si="19"/>
      </c>
      <c r="O108" s="9">
        <f t="shared" si="22"/>
      </c>
      <c r="P108" s="9">
        <f t="shared" si="20"/>
      </c>
      <c r="Q108" s="7"/>
      <c r="R108" s="7"/>
      <c r="S108" s="10"/>
      <c r="T108" s="7"/>
    </row>
    <row r="109">
      <c r="A109" s="5">
        <v>46314</v>
      </c>
      <c r="B109" s="6" t="s">
        <v>27</v>
      </c>
      <c r="C109" s="7" t="s">
        <v>45</v>
      </c>
      <c r="D109" s="7">
        <v>5</v>
      </c>
      <c r="E109" s="7"/>
      <c r="F109" s="7"/>
      <c r="G109" s="7"/>
      <c r="H109" s="11"/>
      <c r="I109" s="7"/>
      <c r="J109" s="8">
        <f t="shared" si="18"/>
      </c>
      <c r="K109" s="7"/>
      <c r="L109" s="9">
        <f t="shared" si="21"/>
      </c>
      <c r="M109" s="7"/>
      <c r="N109" s="9">
        <f t="shared" si="19"/>
      </c>
      <c r="O109" s="9">
        <f t="shared" si="22"/>
      </c>
      <c r="P109" s="9">
        <f t="shared" si="20"/>
      </c>
      <c r="Q109" s="7"/>
      <c r="R109" s="7"/>
      <c r="S109" s="10"/>
      <c r="T109" s="7"/>
    </row>
    <row r="110">
      <c r="A110" s="5">
        <v>46314</v>
      </c>
      <c r="B110" s="6" t="s">
        <v>31</v>
      </c>
      <c r="C110" s="7" t="s">
        <v>32</v>
      </c>
      <c r="D110" s="7">
        <v>5</v>
      </c>
      <c r="E110" s="12"/>
      <c r="F110" s="12"/>
      <c r="G110" s="7"/>
      <c r="H110" s="13"/>
      <c r="I110" s="13"/>
      <c r="J110" s="8">
        <f t="shared" si="18"/>
      </c>
      <c r="K110" s="13"/>
      <c r="L110" s="9">
        <f t="shared" si="21"/>
      </c>
      <c r="M110" s="7"/>
      <c r="N110" s="9">
        <f t="shared" si="19"/>
      </c>
      <c r="O110" s="9">
        <f t="shared" si="22"/>
      </c>
      <c r="P110" s="9">
        <f t="shared" si="20"/>
      </c>
      <c r="Q110" s="7" t="s">
        <v>33</v>
      </c>
      <c r="R110" s="7">
        <v>10</v>
      </c>
      <c r="S110" s="10"/>
      <c r="T110" s="7"/>
    </row>
    <row r="111">
      <c r="A111" s="19">
        <v>46314</v>
      </c>
      <c r="B111" s="15"/>
      <c r="C111" s="15"/>
      <c r="D111" s="16">
        <f>SUM(D107:D110)</f>
      </c>
      <c r="E111" s="16">
        <f>SUM(E107:E110)</f>
      </c>
      <c r="F111" s="16">
        <f>SUM(F107:F110)</f>
      </c>
      <c r="G111" s="16">
        <f>SUM(G107:G110)</f>
      </c>
      <c r="H111" s="16">
        <f>SUM(H107:H110)</f>
      </c>
      <c r="I111" s="16">
        <f>SUM(I107:I110)</f>
      </c>
      <c r="J111" s="16">
        <f>SUM(J107:J110)</f>
      </c>
      <c r="K111" s="16">
        <f>SUM(K107:K110)</f>
      </c>
      <c r="L111" s="17">
        <f t="shared" si="21"/>
      </c>
      <c r="M111" s="16">
        <f>SUM(M107:M110)</f>
      </c>
      <c r="N111" s="18">
        <f t="shared" si="19"/>
      </c>
      <c r="O111" s="17">
        <f t="shared" si="22"/>
      </c>
      <c r="P111" s="17">
        <f t="shared" si="20"/>
      </c>
      <c r="Q111" s="15"/>
      <c r="R111" s="16">
        <f>SUM(R107:R110)</f>
      </c>
      <c r="S111" s="15"/>
      <c r="T111" s="16">
        <f>SUM(T107:T110)</f>
      </c>
    </row>
    <row r="112">
      <c r="B112" s="21" t="s">
        <v>46</v>
      </c>
      <c r="C112" s="21"/>
      <c r="D112" s="21"/>
      <c r="E112" s="21"/>
      <c r="F112" s="21"/>
    </row>
  </sheetData>
  <autoFilter ref="A1:T199">
    <filterColumn colId="0">
      <filters blank="true">
        <dateGroupItem dateTimeGrouping="day" day="18" month="10" year="2026"/>
      </filters>
    </filterColumn>
  </autoFilter>
  <mergeCells>
    <mergeCell ref="B112:F11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</cols>
  <sheetData>
    <row r="1">
      <c r="A1" s="22" t="s">
        <v>47</v>
      </c>
      <c r="B1" s="22" t="s">
        <v>48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53</v>
      </c>
      <c r="H1" s="22" t="s">
        <v>54</v>
      </c>
      <c r="I1" s="22" t="s">
        <v>55</v>
      </c>
      <c r="J1" s="23" t="s">
        <v>56</v>
      </c>
      <c r="K1" s="23" t="s">
        <v>57</v>
      </c>
      <c r="L1" s="24" t="s">
        <v>58</v>
      </c>
      <c r="M1" s="23" t="s">
        <v>59</v>
      </c>
      <c r="N1" s="24" t="s">
        <v>60</v>
      </c>
      <c r="O1" s="24" t="s">
        <v>61</v>
      </c>
      <c r="P1" s="24" t="s">
        <v>62</v>
      </c>
      <c r="Q1" s="22" t="s">
        <v>63</v>
      </c>
      <c r="R1" s="22" t="s">
        <v>64</v>
      </c>
      <c r="S1" s="25" t="s">
        <v>65</v>
      </c>
      <c r="T1" s="22" t="s">
        <v>66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>
      <c r="A2" s="26" t="s">
        <v>67</v>
      </c>
      <c r="B2" s="26" t="s">
        <v>68</v>
      </c>
      <c r="C2" s="26" t="s">
        <v>69</v>
      </c>
      <c r="D2" s="26">
        <v>5</v>
      </c>
      <c r="E2" s="26">
        <v>73</v>
      </c>
      <c r="F2" s="26">
        <v>64</v>
      </c>
      <c r="G2" s="26">
        <v>10</v>
      </c>
      <c r="H2" s="26">
        <v>124542.72</v>
      </c>
      <c r="I2" s="26">
        <v>14205.65</v>
      </c>
      <c r="J2" s="27">
        <f t="shared" ref="J2:J6" si="2">H2+I2</f>
      </c>
      <c r="K2" s="26">
        <v>63608.5</v>
      </c>
      <c r="L2" s="28">
        <f t="shared" ref="L2:L160" si="34">J2/K2</f>
      </c>
      <c r="M2" s="26">
        <v>34897.04</v>
      </c>
      <c r="N2" s="28">
        <f t="shared" ref="N2:N160" si="32">(J2-M2)/K2</f>
      </c>
      <c r="O2" s="28">
        <f t="shared" ref="O2:O160" si="35">J2/E2</f>
      </c>
      <c r="P2" s="28">
        <f t="shared" ref="P2:P160" si="0">K2/E2</f>
      </c>
      <c r="Q2" s="26"/>
      <c r="R2" s="26"/>
      <c r="S2" s="29" t="s">
        <v>70</v>
      </c>
      <c r="T2" s="26">
        <v>10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6" t="s">
        <v>67</v>
      </c>
      <c r="B3" s="26" t="s">
        <v>71</v>
      </c>
      <c r="C3" s="26" t="s">
        <v>72</v>
      </c>
      <c r="D3" s="26">
        <v>4</v>
      </c>
      <c r="E3" s="26">
        <v>39</v>
      </c>
      <c r="F3" s="26">
        <v>34</v>
      </c>
      <c r="G3" s="26">
        <v>4</v>
      </c>
      <c r="H3" s="30">
        <v>57135.96000000001</v>
      </c>
      <c r="I3" s="26">
        <v>5594.300000000001</v>
      </c>
      <c r="J3" s="27">
        <f t="shared" si="2"/>
      </c>
      <c r="K3" s="26">
        <v>44509.14</v>
      </c>
      <c r="L3" s="28">
        <f t="shared" si="34"/>
      </c>
      <c r="M3" s="26">
        <v>10182</v>
      </c>
      <c r="N3" s="28">
        <f t="shared" si="32"/>
      </c>
      <c r="O3" s="28">
        <f t="shared" si="35"/>
      </c>
      <c r="P3" s="28">
        <f t="shared" si="0"/>
      </c>
      <c r="Q3" s="26"/>
      <c r="R3" s="26"/>
      <c r="S3" s="29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6" t="s">
        <v>67</v>
      </c>
      <c r="B4" s="26" t="s">
        <v>73</v>
      </c>
      <c r="C4" s="26" t="s">
        <v>74</v>
      </c>
      <c r="D4" s="26">
        <v>3</v>
      </c>
      <c r="E4" s="26">
        <v>30</v>
      </c>
      <c r="F4" s="26">
        <v>22</v>
      </c>
      <c r="G4" s="26">
        <v>4</v>
      </c>
      <c r="H4" s="30">
        <v>47885.520000000026</v>
      </c>
      <c r="I4" s="26">
        <v>3693</v>
      </c>
      <c r="J4" s="27">
        <f t="shared" si="2"/>
      </c>
      <c r="K4" s="26">
        <v>37521.86</v>
      </c>
      <c r="L4" s="28">
        <f t="shared" si="34"/>
      </c>
      <c r="M4" s="26">
        <v>17726.64</v>
      </c>
      <c r="N4" s="28">
        <f t="shared" si="32"/>
      </c>
      <c r="O4" s="28">
        <f t="shared" si="35"/>
      </c>
      <c r="P4" s="28">
        <f t="shared" si="0"/>
      </c>
      <c r="Q4" s="26" t="s">
        <v>75</v>
      </c>
      <c r="R4" s="26">
        <v>10</v>
      </c>
      <c r="S4" s="29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26" t="s">
        <v>67</v>
      </c>
      <c r="B5" s="31" t="s">
        <v>76</v>
      </c>
      <c r="C5" s="26" t="s">
        <v>77</v>
      </c>
      <c r="D5" s="26">
        <v>3</v>
      </c>
      <c r="E5" s="26">
        <v>30</v>
      </c>
      <c r="F5" s="26">
        <v>28</v>
      </c>
      <c r="G5" s="26">
        <v>1</v>
      </c>
      <c r="H5" s="30">
        <v>43908.12000000001</v>
      </c>
      <c r="I5" s="26">
        <v>1223</v>
      </c>
      <c r="J5" s="27">
        <f t="shared" si="2"/>
      </c>
      <c r="K5" s="26">
        <v>32580.339999999997</v>
      </c>
      <c r="L5" s="28">
        <f t="shared" si="34"/>
      </c>
      <c r="M5" s="26">
        <v>3306.96</v>
      </c>
      <c r="N5" s="28">
        <f t="shared" si="32"/>
      </c>
      <c r="O5" s="28">
        <f t="shared" si="35"/>
      </c>
      <c r="P5" s="28">
        <f t="shared" si="0"/>
      </c>
      <c r="Q5" s="26"/>
      <c r="R5" s="26"/>
      <c r="S5" s="2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>
      <c r="A6" s="26" t="s">
        <v>67</v>
      </c>
      <c r="B6" s="26" t="s">
        <v>78</v>
      </c>
      <c r="C6" s="26" t="s">
        <v>79</v>
      </c>
      <c r="D6" s="26">
        <v>5</v>
      </c>
      <c r="E6" s="26">
        <v>42</v>
      </c>
      <c r="F6" s="26">
        <v>36</v>
      </c>
      <c r="G6" s="26">
        <v>4</v>
      </c>
      <c r="H6" s="30">
        <v>63996.720000000045</v>
      </c>
      <c r="I6" s="26">
        <v>5613</v>
      </c>
      <c r="J6" s="27">
        <f t="shared" si="2"/>
      </c>
      <c r="K6" s="26">
        <v>49882.44</v>
      </c>
      <c r="L6" s="28">
        <f t="shared" si="34"/>
      </c>
      <c r="M6" s="26">
        <v>0</v>
      </c>
      <c r="N6" s="28">
        <f t="shared" si="32"/>
      </c>
      <c r="O6" s="28">
        <f t="shared" si="35"/>
      </c>
      <c r="P6" s="28">
        <f t="shared" si="0"/>
      </c>
      <c r="Q6" s="26" t="s">
        <v>80</v>
      </c>
      <c r="R6" s="26">
        <v>10</v>
      </c>
      <c r="S6" s="29" t="s">
        <v>81</v>
      </c>
      <c r="T6" s="26">
        <v>10</v>
      </c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>
      <c r="A7" s="32" t="s">
        <v>67</v>
      </c>
      <c r="B7" s="33"/>
      <c r="C7" s="33"/>
      <c r="D7" s="34">
        <f>SUM(D2:D6)</f>
      </c>
      <c r="E7" s="34">
        <f>SUM(E2:E6)</f>
      </c>
      <c r="F7" s="34">
        <f>SUM(F2:F6)</f>
      </c>
      <c r="G7" s="34">
        <f>SUM(G2:G6)</f>
      </c>
      <c r="H7" s="34">
        <f>SUM(H2:H6)</f>
      </c>
      <c r="I7" s="34">
        <f>SUM(I2:I6)</f>
      </c>
      <c r="J7" s="34">
        <f>SUM(J2:J6)</f>
      </c>
      <c r="K7" s="34">
        <f>SUM(K2:K6)</f>
      </c>
      <c r="L7" s="35">
        <f t="shared" si="34"/>
      </c>
      <c r="M7" s="34">
        <f>SUM(M2:M6)</f>
      </c>
      <c r="N7" s="36">
        <f t="shared" si="32"/>
      </c>
      <c r="O7" s="35">
        <f t="shared" si="35"/>
      </c>
      <c r="P7" s="35">
        <f t="shared" si="0"/>
      </c>
      <c r="Q7" s="33"/>
      <c r="R7" s="34">
        <f>SUM(R2:R6)</f>
      </c>
      <c r="S7" s="33"/>
      <c r="T7" s="34">
        <f>SUM(T2:T6)</f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26" t="s">
        <v>82</v>
      </c>
      <c r="B8" s="26" t="s">
        <v>68</v>
      </c>
      <c r="C8" s="26" t="s">
        <v>69</v>
      </c>
      <c r="D8" s="26">
        <v>5</v>
      </c>
      <c r="E8" s="26">
        <v>31</v>
      </c>
      <c r="F8" s="26">
        <v>27</v>
      </c>
      <c r="G8" s="26">
        <v>4</v>
      </c>
      <c r="H8" s="26">
        <v>42863.159999999996</v>
      </c>
      <c r="I8" s="26">
        <v>4688.95</v>
      </c>
      <c r="J8" s="27">
        <f t="shared" ref="J8:J12" si="3">H8+I8</f>
      </c>
      <c r="K8" s="26">
        <v>38501.329999999994</v>
      </c>
      <c r="L8" s="28">
        <f t="shared" si="34"/>
      </c>
      <c r="M8" s="26">
        <v>16329.189999999999</v>
      </c>
      <c r="N8" s="28">
        <f t="shared" si="32"/>
      </c>
      <c r="O8" s="28">
        <f t="shared" si="35"/>
      </c>
      <c r="P8" s="28">
        <f t="shared" si="0"/>
      </c>
      <c r="Q8" s="26"/>
      <c r="R8" s="26"/>
      <c r="S8" s="29" t="s">
        <v>70</v>
      </c>
      <c r="T8" s="26">
        <v>10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>
      <c r="A9" s="26" t="s">
        <v>82</v>
      </c>
      <c r="B9" s="26" t="s">
        <v>71</v>
      </c>
      <c r="C9" s="26" t="s">
        <v>72</v>
      </c>
      <c r="D9" s="26">
        <v>4</v>
      </c>
      <c r="E9" s="26">
        <v>40</v>
      </c>
      <c r="F9" s="26">
        <v>36</v>
      </c>
      <c r="G9" s="26">
        <v>2</v>
      </c>
      <c r="H9" s="30">
        <v>66749.04000000001</v>
      </c>
      <c r="I9" s="26">
        <v>6185.000000000001</v>
      </c>
      <c r="J9" s="27">
        <f t="shared" si="3"/>
      </c>
      <c r="K9" s="26">
        <v>36229.65</v>
      </c>
      <c r="L9" s="28">
        <f t="shared" si="34"/>
      </c>
      <c r="M9" s="26">
        <v>30669.359999999997</v>
      </c>
      <c r="N9" s="28">
        <f t="shared" si="32"/>
      </c>
      <c r="O9" s="28">
        <f t="shared" si="35"/>
      </c>
      <c r="P9" s="28">
        <f t="shared" si="0"/>
      </c>
      <c r="Q9" s="26"/>
      <c r="R9" s="26"/>
      <c r="S9" s="29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>
      <c r="A10" s="26" t="s">
        <v>82</v>
      </c>
      <c r="B10" s="26" t="s">
        <v>73</v>
      </c>
      <c r="C10" s="26" t="s">
        <v>74</v>
      </c>
      <c r="D10" s="26">
        <v>3</v>
      </c>
      <c r="E10" s="26">
        <v>17</v>
      </c>
      <c r="F10" s="26">
        <v>12</v>
      </c>
      <c r="G10" s="26">
        <v>1</v>
      </c>
      <c r="H10" s="30">
        <v>23625.839999999982</v>
      </c>
      <c r="I10" s="26">
        <v>4034</v>
      </c>
      <c r="J10" s="27">
        <f t="shared" si="3"/>
      </c>
      <c r="K10" s="26">
        <v>26211.17</v>
      </c>
      <c r="L10" s="28">
        <f t="shared" si="34"/>
      </c>
      <c r="M10" s="26">
        <v>17127.480000000003</v>
      </c>
      <c r="N10" s="28">
        <f t="shared" si="32"/>
      </c>
      <c r="O10" s="28">
        <f t="shared" si="35"/>
      </c>
      <c r="P10" s="28">
        <f t="shared" si="0"/>
      </c>
      <c r="Q10" s="26" t="s">
        <v>75</v>
      </c>
      <c r="R10" s="26">
        <v>10</v>
      </c>
      <c r="S10" s="29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>
      <c r="A11" s="26" t="s">
        <v>82</v>
      </c>
      <c r="B11" s="31" t="s">
        <v>76</v>
      </c>
      <c r="C11" s="26" t="s">
        <v>77</v>
      </c>
      <c r="D11" s="26">
        <v>3</v>
      </c>
      <c r="E11" s="26">
        <v>32</v>
      </c>
      <c r="F11" s="26">
        <v>29</v>
      </c>
      <c r="G11" s="26">
        <v>3</v>
      </c>
      <c r="H11" s="30">
        <v>45491.520000000004</v>
      </c>
      <c r="I11" s="26">
        <v>7264.5999999999985</v>
      </c>
      <c r="J11" s="27">
        <f t="shared" si="3"/>
      </c>
      <c r="K11" s="26">
        <v>30745.699999999997</v>
      </c>
      <c r="L11" s="28">
        <f t="shared" si="34"/>
      </c>
      <c r="M11" s="26">
        <v>16163.000000000002</v>
      </c>
      <c r="N11" s="28">
        <f t="shared" si="32"/>
      </c>
      <c r="O11" s="28">
        <f t="shared" si="35"/>
      </c>
      <c r="P11" s="28">
        <f t="shared" si="0"/>
      </c>
      <c r="Q11" s="26"/>
      <c r="R11" s="26"/>
      <c r="S11" s="29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26" t="s">
        <v>82</v>
      </c>
      <c r="B12" s="26" t="s">
        <v>78</v>
      </c>
      <c r="C12" s="26" t="s">
        <v>79</v>
      </c>
      <c r="D12" s="26">
        <v>5</v>
      </c>
      <c r="E12" s="26">
        <v>45</v>
      </c>
      <c r="F12" s="26">
        <v>38</v>
      </c>
      <c r="G12" s="26">
        <v>2</v>
      </c>
      <c r="H12" s="30">
        <v>83070.95999999996</v>
      </c>
      <c r="I12" s="26">
        <v>5158.8</v>
      </c>
      <c r="J12" s="27">
        <f t="shared" si="3"/>
      </c>
      <c r="K12" s="26">
        <v>46577.009999999995</v>
      </c>
      <c r="L12" s="28">
        <f t="shared" si="34"/>
      </c>
      <c r="M12" s="26">
        <v>2667.6</v>
      </c>
      <c r="N12" s="28">
        <f t="shared" si="32"/>
      </c>
      <c r="O12" s="28">
        <f t="shared" si="35"/>
      </c>
      <c r="P12" s="28">
        <f t="shared" si="0"/>
      </c>
      <c r="Q12" s="26" t="s">
        <v>80</v>
      </c>
      <c r="R12" s="26">
        <v>10</v>
      </c>
      <c r="S12" s="29" t="s">
        <v>81</v>
      </c>
      <c r="T12" s="26">
        <v>10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>
      <c r="A13" s="32" t="s">
        <v>82</v>
      </c>
      <c r="B13" s="33"/>
      <c r="C13" s="33"/>
      <c r="D13" s="34">
        <f>SUM(D8:D12)</f>
      </c>
      <c r="E13" s="34">
        <f>SUM(E8:E12)</f>
      </c>
      <c r="F13" s="34">
        <f>SUM(F8:F12)</f>
      </c>
      <c r="G13" s="34">
        <f>SUM(G8:G12)</f>
      </c>
      <c r="H13" s="34">
        <f>SUM(H8:H12)</f>
      </c>
      <c r="I13" s="34">
        <f>SUM(I8:I12)</f>
      </c>
      <c r="J13" s="34">
        <f>SUM(J8:J12)</f>
      </c>
      <c r="K13" s="34">
        <f>SUM(K8:K12)</f>
      </c>
      <c r="L13" s="35">
        <f t="shared" si="34"/>
      </c>
      <c r="M13" s="34">
        <f>SUM(M8:M12)</f>
      </c>
      <c r="N13" s="36">
        <f t="shared" si="32"/>
      </c>
      <c r="O13" s="35">
        <f t="shared" si="35"/>
      </c>
      <c r="P13" s="35">
        <f t="shared" si="0"/>
      </c>
      <c r="Q13" s="33"/>
      <c r="R13" s="34">
        <f>SUM(R8:R12)</f>
      </c>
      <c r="S13" s="33"/>
      <c r="T13" s="34">
        <f>SUM(T8:T12)</f>
      </c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26" t="s">
        <v>83</v>
      </c>
      <c r="B14" s="26" t="s">
        <v>68</v>
      </c>
      <c r="C14" s="26" t="s">
        <v>69</v>
      </c>
      <c r="D14" s="26">
        <v>5</v>
      </c>
      <c r="E14" s="26">
        <v>44</v>
      </c>
      <c r="F14" s="26">
        <v>35</v>
      </c>
      <c r="G14" s="26">
        <v>3</v>
      </c>
      <c r="H14" s="26">
        <v>66522.48</v>
      </c>
      <c r="I14" s="26">
        <v>5709.249999999999</v>
      </c>
      <c r="J14" s="27">
        <f t="shared" ref="J14:J18" si="4">H14+I14</f>
      </c>
      <c r="K14" s="26">
        <v>45845.47</v>
      </c>
      <c r="L14" s="28">
        <f t="shared" si="34"/>
      </c>
      <c r="M14" s="26">
        <v>22463.239999999998</v>
      </c>
      <c r="N14" s="28">
        <f t="shared" si="32"/>
      </c>
      <c r="O14" s="28">
        <f t="shared" si="35"/>
      </c>
      <c r="P14" s="28">
        <f t="shared" si="0"/>
      </c>
      <c r="Q14" s="26" t="s">
        <v>84</v>
      </c>
      <c r="R14" s="26">
        <v>4.5</v>
      </c>
      <c r="S14" s="29" t="s">
        <v>70</v>
      </c>
      <c r="T14" s="26">
        <v>10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>
      <c r="A15" s="26" t="s">
        <v>83</v>
      </c>
      <c r="B15" s="26" t="s">
        <v>71</v>
      </c>
      <c r="C15" s="26" t="s">
        <v>72</v>
      </c>
      <c r="D15" s="26">
        <v>4</v>
      </c>
      <c r="E15" s="26">
        <v>13</v>
      </c>
      <c r="F15" s="26">
        <v>7</v>
      </c>
      <c r="G15" s="26">
        <v>0</v>
      </c>
      <c r="H15" s="30">
        <v>16121.160000000003</v>
      </c>
      <c r="I15" s="26">
        <v>2430</v>
      </c>
      <c r="J15" s="27">
        <f t="shared" si="4"/>
      </c>
      <c r="K15" s="26">
        <v>21677.389999999996</v>
      </c>
      <c r="L15" s="28">
        <f t="shared" si="34"/>
      </c>
      <c r="M15" s="26">
        <v>7871.04</v>
      </c>
      <c r="N15" s="28">
        <f t="shared" si="32"/>
      </c>
      <c r="O15" s="28">
        <f t="shared" si="35"/>
      </c>
      <c r="P15" s="28">
        <f t="shared" si="0"/>
      </c>
      <c r="Q15" s="26" t="s">
        <v>85</v>
      </c>
      <c r="R15" s="26">
        <v>5.5</v>
      </c>
      <c r="S15" s="29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>
      <c r="A16" s="26" t="s">
        <v>83</v>
      </c>
      <c r="B16" s="26" t="s">
        <v>78</v>
      </c>
      <c r="C16" s="26" t="s">
        <v>86</v>
      </c>
      <c r="D16" s="26">
        <v>4</v>
      </c>
      <c r="E16" s="26">
        <v>23</v>
      </c>
      <c r="F16" s="26">
        <v>18</v>
      </c>
      <c r="G16" s="26">
        <v>1</v>
      </c>
      <c r="H16" s="30">
        <v>23460.960000000006</v>
      </c>
      <c r="I16" s="26">
        <v>10501</v>
      </c>
      <c r="J16" s="27">
        <f t="shared" si="4"/>
      </c>
      <c r="K16" s="26">
        <v>20618.17</v>
      </c>
      <c r="L16" s="28">
        <f t="shared" si="34"/>
      </c>
      <c r="M16" s="26">
        <v>9349.52</v>
      </c>
      <c r="N16" s="28">
        <f t="shared" si="32"/>
      </c>
      <c r="O16" s="28">
        <f t="shared" si="35"/>
      </c>
      <c r="P16" s="28">
        <f t="shared" si="0"/>
      </c>
      <c r="Q16" s="26"/>
      <c r="R16" s="26"/>
      <c r="S16" s="29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>
      <c r="A17" s="26" t="s">
        <v>83</v>
      </c>
      <c r="B17" s="31" t="s">
        <v>76</v>
      </c>
      <c r="C17" s="26" t="s">
        <v>87</v>
      </c>
      <c r="D17" s="26">
        <v>3</v>
      </c>
      <c r="E17" s="26">
        <v>36</v>
      </c>
      <c r="F17" s="26">
        <v>29</v>
      </c>
      <c r="G17" s="26">
        <v>0</v>
      </c>
      <c r="H17" s="30">
        <v>58624.55999999999</v>
      </c>
      <c r="I17" s="26">
        <v>3343.999999999998</v>
      </c>
      <c r="J17" s="27">
        <f t="shared" si="4"/>
      </c>
      <c r="K17" s="26">
        <v>20447.14</v>
      </c>
      <c r="L17" s="28">
        <f t="shared" si="34"/>
      </c>
      <c r="M17" s="26">
        <v>18847.08</v>
      </c>
      <c r="N17" s="28">
        <f t="shared" si="32"/>
      </c>
      <c r="O17" s="28">
        <f t="shared" si="35"/>
      </c>
      <c r="P17" s="28">
        <f t="shared" si="0"/>
      </c>
      <c r="Q17" s="26"/>
      <c r="R17" s="26"/>
      <c r="S17" s="29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>
      <c r="A18" s="26" t="s">
        <v>83</v>
      </c>
      <c r="B18" s="26" t="s">
        <v>73</v>
      </c>
      <c r="C18" s="26" t="s">
        <v>88</v>
      </c>
      <c r="D18" s="26">
        <v>4</v>
      </c>
      <c r="E18" s="26">
        <v>21</v>
      </c>
      <c r="F18" s="26">
        <v>19</v>
      </c>
      <c r="G18" s="26">
        <v>0</v>
      </c>
      <c r="H18" s="30">
        <v>35901.36000000001</v>
      </c>
      <c r="I18" s="26">
        <v>0</v>
      </c>
      <c r="J18" s="27">
        <f t="shared" si="4"/>
      </c>
      <c r="K18" s="26">
        <v>29924.31</v>
      </c>
      <c r="L18" s="28">
        <f t="shared" si="34"/>
      </c>
      <c r="M18" s="26">
        <v>0</v>
      </c>
      <c r="N18" s="28">
        <f t="shared" si="32"/>
      </c>
      <c r="O18" s="28">
        <f t="shared" si="35"/>
      </c>
      <c r="P18" s="28">
        <f t="shared" si="0"/>
      </c>
      <c r="Q18" s="26" t="s">
        <v>80</v>
      </c>
      <c r="R18" s="26">
        <v>10</v>
      </c>
      <c r="S18" s="29" t="s">
        <v>81</v>
      </c>
      <c r="T18" s="26">
        <v>10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>
      <c r="A19" s="32" t="s">
        <v>83</v>
      </c>
      <c r="B19" s="33"/>
      <c r="C19" s="33"/>
      <c r="D19" s="34">
        <f>SUM(D14:D18)</f>
      </c>
      <c r="E19" s="34">
        <f>SUM(E14:E18)</f>
      </c>
      <c r="F19" s="34">
        <f>SUM(F14:F18)</f>
      </c>
      <c r="G19" s="34">
        <f>SUM(G14:G18)</f>
      </c>
      <c r="H19" s="34">
        <f>SUM(H14:H18)</f>
      </c>
      <c r="I19" s="34">
        <f>SUM(I14:I18)</f>
      </c>
      <c r="J19" s="34">
        <f>SUM(J14:J18)</f>
      </c>
      <c r="K19" s="34">
        <f>SUM(K14:K18)</f>
      </c>
      <c r="L19" s="35">
        <f t="shared" si="34"/>
      </c>
      <c r="M19" s="34">
        <f>SUM(M14:M18)</f>
      </c>
      <c r="N19" s="36">
        <f t="shared" si="32"/>
      </c>
      <c r="O19" s="35">
        <f t="shared" si="35"/>
      </c>
      <c r="P19" s="35">
        <f t="shared" si="0"/>
      </c>
      <c r="Q19" s="33"/>
      <c r="R19" s="34">
        <f>SUM(R14:R18)</f>
      </c>
      <c r="S19" s="33"/>
      <c r="T19" s="34">
        <f>SUM(T14:T18)</f>
      </c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26" t="s">
        <v>89</v>
      </c>
      <c r="B20" s="26" t="s">
        <v>68</v>
      </c>
      <c r="C20" s="26" t="s">
        <v>69</v>
      </c>
      <c r="D20" s="26">
        <v>5</v>
      </c>
      <c r="E20" s="26">
        <v>27</v>
      </c>
      <c r="F20" s="26">
        <v>22</v>
      </c>
      <c r="G20" s="26">
        <v>4</v>
      </c>
      <c r="H20" s="26">
        <v>43022.16</v>
      </c>
      <c r="I20" s="26">
        <v>8038.9</v>
      </c>
      <c r="J20" s="27">
        <f t="shared" ref="J20:J23" si="5">H20+I20</f>
      </c>
      <c r="K20" s="26">
        <v>34679.09</v>
      </c>
      <c r="L20" s="28">
        <f t="shared" si="34"/>
      </c>
      <c r="M20" s="26">
        <v>16527.57</v>
      </c>
      <c r="N20" s="28">
        <f t="shared" si="32"/>
      </c>
      <c r="O20" s="28">
        <f t="shared" si="35"/>
      </c>
      <c r="P20" s="28">
        <f t="shared" si="0"/>
      </c>
      <c r="Q20" s="26" t="s">
        <v>84</v>
      </c>
      <c r="R20" s="26">
        <v>10</v>
      </c>
      <c r="S20" s="29" t="s">
        <v>70</v>
      </c>
      <c r="T20" s="26">
        <v>10</v>
      </c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>
      <c r="A21" s="26" t="s">
        <v>89</v>
      </c>
      <c r="B21" s="26" t="s">
        <v>78</v>
      </c>
      <c r="C21" s="26" t="s">
        <v>90</v>
      </c>
      <c r="D21" s="26">
        <v>5</v>
      </c>
      <c r="E21" s="26">
        <v>38</v>
      </c>
      <c r="F21" s="26">
        <v>31</v>
      </c>
      <c r="G21" s="26">
        <v>3</v>
      </c>
      <c r="H21" s="30">
        <v>49946.159999999996</v>
      </c>
      <c r="I21" s="26">
        <v>2690.5</v>
      </c>
      <c r="J21" s="27">
        <f t="shared" si="5"/>
      </c>
      <c r="K21" s="26">
        <v>27704.359999999997</v>
      </c>
      <c r="L21" s="28">
        <f t="shared" si="34"/>
      </c>
      <c r="M21" s="26">
        <v>14624.62</v>
      </c>
      <c r="N21" s="28">
        <f t="shared" si="32"/>
      </c>
      <c r="O21" s="28">
        <f t="shared" si="35"/>
      </c>
      <c r="P21" s="28">
        <f t="shared" si="0"/>
      </c>
      <c r="Q21" s="26"/>
      <c r="R21" s="26"/>
      <c r="S21" s="29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>
      <c r="A22" s="26" t="s">
        <v>89</v>
      </c>
      <c r="B22" s="26" t="s">
        <v>71</v>
      </c>
      <c r="C22" s="26" t="s">
        <v>91</v>
      </c>
      <c r="D22" s="26">
        <v>4</v>
      </c>
      <c r="E22" s="26">
        <v>28</v>
      </c>
      <c r="F22" s="26">
        <v>20</v>
      </c>
      <c r="G22" s="26">
        <v>1</v>
      </c>
      <c r="H22" s="30">
        <v>49677.83999999998</v>
      </c>
      <c r="I22" s="26">
        <v>1809</v>
      </c>
      <c r="J22" s="27">
        <f t="shared" si="5"/>
      </c>
      <c r="K22" s="26">
        <v>22884.28</v>
      </c>
      <c r="L22" s="28">
        <f t="shared" si="34"/>
      </c>
      <c r="M22" s="26">
        <v>21487.679999999997</v>
      </c>
      <c r="N22" s="28">
        <f t="shared" si="32"/>
      </c>
      <c r="O22" s="28">
        <f t="shared" si="35"/>
      </c>
      <c r="P22" s="28">
        <f t="shared" si="0"/>
      </c>
      <c r="Q22" s="26"/>
      <c r="R22" s="26"/>
      <c r="S22" s="29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>
      <c r="A23" s="26" t="s">
        <v>89</v>
      </c>
      <c r="B23" s="31" t="s">
        <v>76</v>
      </c>
      <c r="C23" s="26" t="s">
        <v>92</v>
      </c>
      <c r="D23" s="26">
        <v>3</v>
      </c>
      <c r="E23" s="26">
        <v>7</v>
      </c>
      <c r="F23" s="26">
        <v>6</v>
      </c>
      <c r="G23" s="26">
        <v>0</v>
      </c>
      <c r="H23" s="30">
        <v>9246.96000000005</v>
      </c>
      <c r="I23" s="26">
        <v>1299</v>
      </c>
      <c r="J23" s="27">
        <f t="shared" si="5"/>
      </c>
      <c r="K23" s="26">
        <v>16853.93</v>
      </c>
      <c r="L23" s="28">
        <f t="shared" si="34"/>
      </c>
      <c r="M23" s="26">
        <v>0</v>
      </c>
      <c r="N23" s="28">
        <f t="shared" si="32"/>
      </c>
      <c r="O23" s="28">
        <f t="shared" si="35"/>
      </c>
      <c r="P23" s="28">
        <f t="shared" si="0"/>
      </c>
      <c r="Q23" s="26" t="s">
        <v>93</v>
      </c>
      <c r="R23" s="26">
        <v>7</v>
      </c>
      <c r="S23" s="29" t="s">
        <v>81</v>
      </c>
      <c r="T23" s="26">
        <v>7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>
      <c r="A24" s="32" t="s">
        <v>89</v>
      </c>
      <c r="B24" s="33"/>
      <c r="C24" s="33"/>
      <c r="D24" s="34">
        <f>SUM(D20:D23)</f>
      </c>
      <c r="E24" s="34">
        <f>SUM(E20:E23)</f>
      </c>
      <c r="F24" s="34">
        <f>SUM(F20:F23)</f>
      </c>
      <c r="G24" s="34">
        <f>SUM(G20:G23)</f>
      </c>
      <c r="H24" s="34">
        <f>SUM(H20:H23)</f>
      </c>
      <c r="I24" s="34">
        <f>SUM(I20:I23)</f>
      </c>
      <c r="J24" s="34">
        <f>SUM(J20:J23)</f>
      </c>
      <c r="K24" s="34">
        <f>SUM(K20:K23)</f>
      </c>
      <c r="L24" s="35">
        <f t="shared" si="34"/>
      </c>
      <c r="M24" s="34">
        <f>SUM(M20:M23)</f>
      </c>
      <c r="N24" s="36">
        <f t="shared" si="32"/>
      </c>
      <c r="O24" s="35">
        <f t="shared" si="35"/>
      </c>
      <c r="P24" s="35">
        <f t="shared" si="0"/>
      </c>
      <c r="Q24" s="33"/>
      <c r="R24" s="34">
        <f>SUM(R20:R23)</f>
      </c>
      <c r="S24" s="33"/>
      <c r="T24" s="34">
        <f>SUM(T20:T23)</f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>
      <c r="A25" s="26" t="s">
        <v>94</v>
      </c>
      <c r="B25" s="26" t="s">
        <v>78</v>
      </c>
      <c r="C25" s="26" t="s">
        <v>69</v>
      </c>
      <c r="D25" s="26">
        <v>5</v>
      </c>
      <c r="E25" s="26">
        <v>36</v>
      </c>
      <c r="F25" s="26">
        <v>29</v>
      </c>
      <c r="G25" s="26">
        <v>2</v>
      </c>
      <c r="H25" s="26">
        <v>61708.31999999999</v>
      </c>
      <c r="I25" s="26">
        <v>8002</v>
      </c>
      <c r="J25" s="27">
        <f t="shared" ref="J25:J28" si="6">H25+I25</f>
      </c>
      <c r="K25" s="26">
        <v>36165.979999999996</v>
      </c>
      <c r="L25" s="28">
        <f t="shared" si="34"/>
      </c>
      <c r="M25" s="26">
        <v>29814.240000000005</v>
      </c>
      <c r="N25" s="28">
        <f t="shared" si="32"/>
      </c>
      <c r="O25" s="28">
        <f t="shared" si="35"/>
      </c>
      <c r="P25" s="28">
        <f t="shared" si="0"/>
      </c>
      <c r="Q25" s="26" t="s">
        <v>75</v>
      </c>
      <c r="R25" s="26">
        <v>10</v>
      </c>
      <c r="S25" s="29" t="s">
        <v>70</v>
      </c>
      <c r="T25" s="26">
        <v>20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>
      <c r="A26" s="26" t="s">
        <v>94</v>
      </c>
      <c r="B26" s="26" t="s">
        <v>71</v>
      </c>
      <c r="C26" s="26" t="s">
        <v>90</v>
      </c>
      <c r="D26" s="26">
        <v>5</v>
      </c>
      <c r="E26" s="26">
        <v>27</v>
      </c>
      <c r="F26" s="26">
        <v>22</v>
      </c>
      <c r="G26" s="26">
        <v>3</v>
      </c>
      <c r="H26" s="30">
        <v>42295.68000000001</v>
      </c>
      <c r="I26" s="26">
        <v>2611</v>
      </c>
      <c r="J26" s="27">
        <f t="shared" si="6"/>
      </c>
      <c r="K26" s="26">
        <v>31814.320000000003</v>
      </c>
      <c r="L26" s="28">
        <f t="shared" si="34"/>
      </c>
      <c r="M26" s="26">
        <v>13222.439999999999</v>
      </c>
      <c r="N26" s="28">
        <f t="shared" si="32"/>
      </c>
      <c r="O26" s="28">
        <f t="shared" si="35"/>
      </c>
      <c r="P26" s="28">
        <f t="shared" si="0"/>
      </c>
      <c r="Q26" s="26"/>
      <c r="R26" s="26"/>
      <c r="S26" s="29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>
      <c r="A27" s="26" t="s">
        <v>94</v>
      </c>
      <c r="B27" s="26" t="s">
        <v>73</v>
      </c>
      <c r="C27" s="26" t="s">
        <v>95</v>
      </c>
      <c r="D27" s="26">
        <v>5</v>
      </c>
      <c r="E27" s="26">
        <v>29</v>
      </c>
      <c r="F27" s="26">
        <v>26</v>
      </c>
      <c r="G27" s="26">
        <v>1</v>
      </c>
      <c r="H27" s="30">
        <v>55487.28</v>
      </c>
      <c r="I27" s="26">
        <v>5662</v>
      </c>
      <c r="J27" s="27">
        <f t="shared" si="6"/>
      </c>
      <c r="K27" s="26">
        <v>24742.84</v>
      </c>
      <c r="L27" s="28">
        <f t="shared" si="34"/>
      </c>
      <c r="M27" s="26">
        <v>13332.720000000001</v>
      </c>
      <c r="N27" s="28">
        <f t="shared" si="32"/>
      </c>
      <c r="O27" s="28">
        <f t="shared" si="35"/>
      </c>
      <c r="P27" s="28">
        <f t="shared" si="0"/>
      </c>
      <c r="Q27" s="26"/>
      <c r="R27" s="26"/>
      <c r="S27" s="29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>
      <c r="A28" s="26" t="s">
        <v>94</v>
      </c>
      <c r="B28" s="31" t="s">
        <v>76</v>
      </c>
      <c r="C28" s="26" t="s">
        <v>79</v>
      </c>
      <c r="D28" s="26">
        <v>5</v>
      </c>
      <c r="E28" s="26">
        <v>24</v>
      </c>
      <c r="F28" s="26">
        <v>24</v>
      </c>
      <c r="G28" s="26">
        <v>3</v>
      </c>
      <c r="H28" s="30">
        <v>36970.68</v>
      </c>
      <c r="I28" s="26">
        <v>7234.15</v>
      </c>
      <c r="J28" s="27">
        <f t="shared" si="6"/>
      </c>
      <c r="K28" s="26">
        <v>27933.33</v>
      </c>
      <c r="L28" s="28">
        <f t="shared" si="34"/>
      </c>
      <c r="M28" s="26">
        <v>0</v>
      </c>
      <c r="N28" s="28">
        <f t="shared" si="32"/>
      </c>
      <c r="O28" s="28">
        <f t="shared" si="35"/>
      </c>
      <c r="P28" s="28">
        <f t="shared" si="0"/>
      </c>
      <c r="Q28" s="26" t="s">
        <v>80</v>
      </c>
      <c r="R28" s="26">
        <v>10</v>
      </c>
      <c r="S28" s="29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>
      <c r="A29" s="32" t="s">
        <v>94</v>
      </c>
      <c r="B29" s="33"/>
      <c r="C29" s="33"/>
      <c r="D29" s="34">
        <f>SUM(D25:D28)</f>
      </c>
      <c r="E29" s="34">
        <f>SUM(E25:E28)</f>
      </c>
      <c r="F29" s="34">
        <f>SUM(F25:F28)</f>
      </c>
      <c r="G29" s="34">
        <f>SUM(G25:G28)</f>
      </c>
      <c r="H29" s="34">
        <f>SUM(H25:H28)</f>
      </c>
      <c r="I29" s="34">
        <f>SUM(I25:I28)</f>
      </c>
      <c r="J29" s="34">
        <f>SUM(J25:J28)</f>
      </c>
      <c r="K29" s="34">
        <f>SUM(K25:K28)</f>
      </c>
      <c r="L29" s="35">
        <f t="shared" si="34"/>
      </c>
      <c r="M29" s="34">
        <f>SUM(M25:M28)</f>
      </c>
      <c r="N29" s="36">
        <f t="shared" si="32"/>
      </c>
      <c r="O29" s="35">
        <f t="shared" si="35"/>
      </c>
      <c r="P29" s="35">
        <f t="shared" si="0"/>
      </c>
      <c r="Q29" s="33"/>
      <c r="R29" s="34">
        <f>SUM(R25:R28)</f>
      </c>
      <c r="S29" s="33"/>
      <c r="T29" s="34">
        <f>SUM(T25:T28)</f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>
      <c r="A30" s="26" t="s">
        <v>96</v>
      </c>
      <c r="B30" s="26" t="s">
        <v>78</v>
      </c>
      <c r="C30" s="26" t="s">
        <v>69</v>
      </c>
      <c r="D30" s="26">
        <v>5</v>
      </c>
      <c r="E30" s="26">
        <v>32</v>
      </c>
      <c r="F30" s="26">
        <v>30</v>
      </c>
      <c r="G30" s="26">
        <v>1</v>
      </c>
      <c r="H30" s="26">
        <v>36100.56</v>
      </c>
      <c r="I30" s="26">
        <v>7110</v>
      </c>
      <c r="J30" s="27">
        <f t="shared" ref="J30:J33" si="7">H30+I30</f>
      </c>
      <c r="K30" s="26">
        <v>34017.64</v>
      </c>
      <c r="L30" s="28">
        <f t="shared" si="34"/>
      </c>
      <c r="M30" s="26">
        <v>15025.319999999998</v>
      </c>
      <c r="N30" s="28">
        <f t="shared" si="32"/>
      </c>
      <c r="O30" s="28">
        <f t="shared" si="35"/>
      </c>
      <c r="P30" s="28">
        <f t="shared" si="0"/>
      </c>
      <c r="Q30" s="26" t="s">
        <v>75</v>
      </c>
      <c r="R30" s="26">
        <v>10</v>
      </c>
      <c r="S30" s="29" t="s">
        <v>70</v>
      </c>
      <c r="T30" s="26">
        <v>20</v>
      </c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>
      <c r="A31" s="26" t="s">
        <v>96</v>
      </c>
      <c r="B31" s="26" t="s">
        <v>73</v>
      </c>
      <c r="C31" s="26" t="s">
        <v>90</v>
      </c>
      <c r="D31" s="26">
        <v>5</v>
      </c>
      <c r="E31" s="26">
        <v>27</v>
      </c>
      <c r="F31" s="26">
        <v>23</v>
      </c>
      <c r="G31" s="26">
        <v>7</v>
      </c>
      <c r="H31" s="30">
        <v>43752.119999999995</v>
      </c>
      <c r="I31" s="26">
        <v>10472.949999999999</v>
      </c>
      <c r="J31" s="27">
        <f t="shared" si="7"/>
      </c>
      <c r="K31" s="26">
        <v>33222.600000000006</v>
      </c>
      <c r="L31" s="28">
        <f t="shared" si="34"/>
      </c>
      <c r="M31" s="26">
        <v>16313.630000000001</v>
      </c>
      <c r="N31" s="28">
        <f t="shared" si="32"/>
      </c>
      <c r="O31" s="28">
        <f t="shared" si="35"/>
      </c>
      <c r="P31" s="28">
        <f t="shared" si="0"/>
      </c>
      <c r="Q31" s="26"/>
      <c r="R31" s="26"/>
      <c r="S31" s="29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>
      <c r="A32" s="26" t="s">
        <v>96</v>
      </c>
      <c r="B32" s="26" t="s">
        <v>71</v>
      </c>
      <c r="C32" s="26" t="s">
        <v>95</v>
      </c>
      <c r="D32" s="26">
        <v>5</v>
      </c>
      <c r="E32" s="26">
        <v>25</v>
      </c>
      <c r="F32" s="26">
        <v>22</v>
      </c>
      <c r="G32" s="26">
        <v>1</v>
      </c>
      <c r="H32" s="30">
        <v>35848.44000000001</v>
      </c>
      <c r="I32" s="26">
        <v>1937.0000000000036</v>
      </c>
      <c r="J32" s="27">
        <f t="shared" si="7"/>
      </c>
      <c r="K32" s="26">
        <v>23135.520000000004</v>
      </c>
      <c r="L32" s="28">
        <f t="shared" si="34"/>
      </c>
      <c r="M32" s="26">
        <v>638.28</v>
      </c>
      <c r="N32" s="28">
        <f t="shared" si="32"/>
      </c>
      <c r="O32" s="28">
        <f t="shared" si="35"/>
      </c>
      <c r="P32" s="28">
        <f t="shared" si="0"/>
      </c>
      <c r="Q32" s="26"/>
      <c r="R32" s="26"/>
      <c r="S32" s="29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>
      <c r="A33" s="26" t="s">
        <v>96</v>
      </c>
      <c r="B33" s="31" t="s">
        <v>76</v>
      </c>
      <c r="C33" s="26" t="s">
        <v>79</v>
      </c>
      <c r="D33" s="26">
        <v>5</v>
      </c>
      <c r="E33" s="26">
        <v>22</v>
      </c>
      <c r="F33" s="26">
        <v>18</v>
      </c>
      <c r="G33" s="26">
        <v>3</v>
      </c>
      <c r="H33" s="30">
        <v>47688.72000000001</v>
      </c>
      <c r="I33" s="26">
        <v>6065.9000000000015</v>
      </c>
      <c r="J33" s="27">
        <f t="shared" si="7"/>
      </c>
      <c r="K33" s="26">
        <v>30950.230000000003</v>
      </c>
      <c r="L33" s="28">
        <f t="shared" si="34"/>
      </c>
      <c r="M33" s="26">
        <v>2647.96</v>
      </c>
      <c r="N33" s="28">
        <f t="shared" si="32"/>
      </c>
      <c r="O33" s="28">
        <f t="shared" si="35"/>
      </c>
      <c r="P33" s="28">
        <f t="shared" si="0"/>
      </c>
      <c r="Q33" s="26" t="s">
        <v>80</v>
      </c>
      <c r="R33" s="26">
        <v>10</v>
      </c>
      <c r="S33" s="29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>
      <c r="A34" s="32" t="s">
        <v>96</v>
      </c>
      <c r="B34" s="33"/>
      <c r="C34" s="33"/>
      <c r="D34" s="34">
        <f>SUM(D30:D33)</f>
      </c>
      <c r="E34" s="34">
        <f>SUM(E30:E33)</f>
      </c>
      <c r="F34" s="34">
        <f>SUM(F30:F33)</f>
      </c>
      <c r="G34" s="34">
        <f>SUM(G30:G33)</f>
      </c>
      <c r="H34" s="34">
        <f>SUM(H30:H33)</f>
      </c>
      <c r="I34" s="34">
        <f>SUM(I30:I33)</f>
      </c>
      <c r="J34" s="34">
        <f>SUM(J30:J33)</f>
      </c>
      <c r="K34" s="34">
        <f>SUM(K30:K33)</f>
      </c>
      <c r="L34" s="35">
        <f t="shared" si="34"/>
      </c>
      <c r="M34" s="34">
        <f>SUM(M30:M33)</f>
      </c>
      <c r="N34" s="36">
        <f t="shared" si="32"/>
      </c>
      <c r="O34" s="35">
        <f t="shared" si="35"/>
      </c>
      <c r="P34" s="35">
        <f t="shared" si="0"/>
      </c>
      <c r="Q34" s="33"/>
      <c r="R34" s="34">
        <f>SUM(R30:R33)</f>
      </c>
      <c r="S34" s="33"/>
      <c r="T34" s="34">
        <f>SUM(T30:T33)</f>
      </c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>
      <c r="A35" s="26" t="s">
        <v>97</v>
      </c>
      <c r="B35" s="26" t="s">
        <v>78</v>
      </c>
      <c r="C35" s="26" t="s">
        <v>69</v>
      </c>
      <c r="D35" s="26">
        <v>5</v>
      </c>
      <c r="E35" s="26">
        <v>59</v>
      </c>
      <c r="F35" s="26">
        <v>52</v>
      </c>
      <c r="G35" s="26">
        <v>5</v>
      </c>
      <c r="H35" s="26">
        <v>99066.36</v>
      </c>
      <c r="I35" s="26">
        <v>3702</v>
      </c>
      <c r="J35" s="27">
        <f t="shared" ref="J35:J38" si="8">H35+I35</f>
      </c>
      <c r="K35" s="26">
        <v>43273.079999999994</v>
      </c>
      <c r="L35" s="28">
        <f t="shared" si="34"/>
      </c>
      <c r="M35" s="26">
        <v>19172.16</v>
      </c>
      <c r="N35" s="28">
        <f t="shared" si="32"/>
      </c>
      <c r="O35" s="28">
        <f t="shared" si="35"/>
      </c>
      <c r="P35" s="28">
        <f t="shared" si="0"/>
      </c>
      <c r="Q35" s="26" t="s">
        <v>84</v>
      </c>
      <c r="R35" s="26">
        <v>10</v>
      </c>
      <c r="S35" s="29" t="s">
        <v>70</v>
      </c>
      <c r="T35" s="26">
        <v>20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>
      <c r="A36" s="26" t="s">
        <v>97</v>
      </c>
      <c r="B36" s="26" t="s">
        <v>73</v>
      </c>
      <c r="C36" s="26" t="s">
        <v>90</v>
      </c>
      <c r="D36" s="26">
        <v>5</v>
      </c>
      <c r="E36" s="26">
        <v>36</v>
      </c>
      <c r="F36" s="26">
        <v>27</v>
      </c>
      <c r="G36" s="26">
        <v>4</v>
      </c>
      <c r="H36" s="30">
        <v>63809.99999999999</v>
      </c>
      <c r="I36" s="26">
        <v>2725</v>
      </c>
      <c r="J36" s="27">
        <f t="shared" si="8"/>
      </c>
      <c r="K36" s="26">
        <v>40131.23</v>
      </c>
      <c r="L36" s="28">
        <f t="shared" si="34"/>
      </c>
      <c r="M36" s="26">
        <v>25267.239999999998</v>
      </c>
      <c r="N36" s="28">
        <f t="shared" si="32"/>
      </c>
      <c r="O36" s="28">
        <f t="shared" si="35"/>
      </c>
      <c r="P36" s="28">
        <f t="shared" si="0"/>
      </c>
      <c r="Q36" s="26"/>
      <c r="R36" s="26"/>
      <c r="S36" s="29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>
      <c r="A37" s="26" t="s">
        <v>97</v>
      </c>
      <c r="B37" s="26" t="s">
        <v>71</v>
      </c>
      <c r="C37" s="26" t="s">
        <v>95</v>
      </c>
      <c r="D37" s="26">
        <v>5</v>
      </c>
      <c r="E37" s="26">
        <v>33</v>
      </c>
      <c r="F37" s="26">
        <v>27</v>
      </c>
      <c r="G37" s="26">
        <v>4</v>
      </c>
      <c r="H37" s="30">
        <v>73390.44</v>
      </c>
      <c r="I37" s="26">
        <v>2904.6000000000004</v>
      </c>
      <c r="J37" s="27">
        <f t="shared" si="8"/>
      </c>
      <c r="K37" s="26">
        <v>40998.63</v>
      </c>
      <c r="L37" s="28">
        <f t="shared" si="34"/>
      </c>
      <c r="M37" s="26">
        <v>10586.16</v>
      </c>
      <c r="N37" s="28">
        <f t="shared" si="32"/>
      </c>
      <c r="O37" s="28">
        <f t="shared" si="35"/>
      </c>
      <c r="P37" s="28">
        <f t="shared" si="0"/>
      </c>
      <c r="Q37" s="26"/>
      <c r="R37" s="26"/>
      <c r="S37" s="29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>
      <c r="A38" s="26" t="s">
        <v>97</v>
      </c>
      <c r="B38" s="31" t="s">
        <v>76</v>
      </c>
      <c r="C38" s="26" t="s">
        <v>79</v>
      </c>
      <c r="D38" s="26">
        <v>5</v>
      </c>
      <c r="E38" s="26">
        <v>28</v>
      </c>
      <c r="F38" s="26">
        <v>26</v>
      </c>
      <c r="G38" s="26">
        <v>2</v>
      </c>
      <c r="H38" s="30">
        <v>57104.15999999998</v>
      </c>
      <c r="I38" s="26">
        <v>645</v>
      </c>
      <c r="J38" s="27">
        <f t="shared" si="8"/>
      </c>
      <c r="K38" s="26">
        <v>32934.549999999996</v>
      </c>
      <c r="L38" s="28">
        <f t="shared" si="34"/>
      </c>
      <c r="M38" s="26">
        <v>1622.16</v>
      </c>
      <c r="N38" s="28">
        <f t="shared" si="32"/>
      </c>
      <c r="O38" s="28">
        <f t="shared" si="35"/>
      </c>
      <c r="P38" s="28">
        <f t="shared" si="0"/>
      </c>
      <c r="Q38" s="26" t="s">
        <v>80</v>
      </c>
      <c r="R38" s="26">
        <v>10</v>
      </c>
      <c r="S38" s="29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>
      <c r="A39" s="32" t="s">
        <v>97</v>
      </c>
      <c r="B39" s="33"/>
      <c r="C39" s="33"/>
      <c r="D39" s="34">
        <f>SUM(D35:D38)</f>
      </c>
      <c r="E39" s="34">
        <f>SUM(E35:E38)</f>
      </c>
      <c r="F39" s="34">
        <f>SUM(F35:F38)</f>
      </c>
      <c r="G39" s="34">
        <f>SUM(G35:G38)</f>
      </c>
      <c r="H39" s="34">
        <f>SUM(H35:H38)</f>
      </c>
      <c r="I39" s="34">
        <f>SUM(I35:I38)</f>
      </c>
      <c r="J39" s="34">
        <f>SUM(J35:J38)</f>
      </c>
      <c r="K39" s="34">
        <f>SUM(K35:K38)</f>
      </c>
      <c r="L39" s="35">
        <f t="shared" si="34"/>
      </c>
      <c r="M39" s="34">
        <f>SUM(M35:M38)</f>
      </c>
      <c r="N39" s="36">
        <f t="shared" si="32"/>
      </c>
      <c r="O39" s="35">
        <f t="shared" si="35"/>
      </c>
      <c r="P39" s="35">
        <f t="shared" si="0"/>
      </c>
      <c r="Q39" s="33"/>
      <c r="R39" s="34">
        <f>SUM(R35:R38)</f>
      </c>
      <c r="S39" s="33"/>
      <c r="T39" s="34">
        <f>SUM(T35:T38)</f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>
      <c r="A40" s="26" t="s">
        <v>98</v>
      </c>
      <c r="B40" s="26" t="s">
        <v>78</v>
      </c>
      <c r="C40" s="26" t="s">
        <v>69</v>
      </c>
      <c r="D40" s="26">
        <v>5</v>
      </c>
      <c r="E40" s="26">
        <v>42</v>
      </c>
      <c r="F40" s="26">
        <v>35</v>
      </c>
      <c r="G40" s="26">
        <v>3</v>
      </c>
      <c r="H40" s="26">
        <v>56613.72</v>
      </c>
      <c r="I40" s="26">
        <v>10153.55</v>
      </c>
      <c r="J40" s="27">
        <f t="shared" ref="J40:J43" si="9">H40+I40</f>
      </c>
      <c r="K40" s="26">
        <v>47432.05</v>
      </c>
      <c r="L40" s="28">
        <f t="shared" si="34"/>
      </c>
      <c r="M40" s="26">
        <v>20626.480000000003</v>
      </c>
      <c r="N40" s="28">
        <f t="shared" si="32"/>
      </c>
      <c r="O40" s="28">
        <f t="shared" si="35"/>
      </c>
      <c r="P40" s="28">
        <f t="shared" si="0"/>
      </c>
      <c r="Q40" s="26" t="s">
        <v>75</v>
      </c>
      <c r="R40" s="26">
        <v>10</v>
      </c>
      <c r="S40" s="29" t="s">
        <v>70</v>
      </c>
      <c r="T40" s="26">
        <v>20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>
      <c r="A41" s="26" t="s">
        <v>98</v>
      </c>
      <c r="B41" s="26" t="s">
        <v>71</v>
      </c>
      <c r="C41" s="26" t="s">
        <v>90</v>
      </c>
      <c r="D41" s="26">
        <v>5</v>
      </c>
      <c r="E41" s="26">
        <v>34</v>
      </c>
      <c r="F41" s="26">
        <v>28</v>
      </c>
      <c r="G41" s="26">
        <v>3</v>
      </c>
      <c r="H41" s="30">
        <v>51485.52000000001</v>
      </c>
      <c r="I41" s="26">
        <v>4217</v>
      </c>
      <c r="J41" s="27">
        <f t="shared" si="9"/>
      </c>
      <c r="K41" s="26">
        <v>30636.020000000004</v>
      </c>
      <c r="L41" s="28">
        <f t="shared" si="34"/>
      </c>
      <c r="M41" s="26">
        <v>15852.24</v>
      </c>
      <c r="N41" s="28">
        <f t="shared" si="32"/>
      </c>
      <c r="O41" s="28">
        <f t="shared" si="35"/>
      </c>
      <c r="P41" s="28">
        <f t="shared" si="0"/>
      </c>
      <c r="Q41" s="26"/>
      <c r="R41" s="26"/>
      <c r="S41" s="29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>
      <c r="A42" s="26" t="s">
        <v>98</v>
      </c>
      <c r="B42" s="31" t="s">
        <v>76</v>
      </c>
      <c r="C42" s="26" t="s">
        <v>95</v>
      </c>
      <c r="D42" s="26">
        <v>5</v>
      </c>
      <c r="E42" s="26">
        <v>25</v>
      </c>
      <c r="F42" s="26">
        <v>23</v>
      </c>
      <c r="G42" s="26">
        <v>3</v>
      </c>
      <c r="H42" s="30">
        <v>37221.35999999999</v>
      </c>
      <c r="I42" s="26">
        <v>5487.700000000001</v>
      </c>
      <c r="J42" s="27">
        <f t="shared" si="9"/>
      </c>
      <c r="K42" s="26">
        <v>32767.610000000004</v>
      </c>
      <c r="L42" s="28">
        <f t="shared" si="34"/>
      </c>
      <c r="M42" s="26">
        <v>11266.44</v>
      </c>
      <c r="N42" s="28">
        <f t="shared" si="32"/>
      </c>
      <c r="O42" s="28">
        <f t="shared" si="35"/>
      </c>
      <c r="P42" s="28">
        <f t="shared" si="0"/>
      </c>
      <c r="Q42" s="26"/>
      <c r="R42" s="26"/>
      <c r="S42" s="29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>
      <c r="A43" s="26" t="s">
        <v>98</v>
      </c>
      <c r="B43" s="26" t="s">
        <v>73</v>
      </c>
      <c r="C43" s="26" t="s">
        <v>79</v>
      </c>
      <c r="D43" s="26">
        <v>5</v>
      </c>
      <c r="E43" s="26">
        <v>21</v>
      </c>
      <c r="F43" s="26">
        <v>18</v>
      </c>
      <c r="G43" s="26">
        <v>2</v>
      </c>
      <c r="H43" s="30">
        <v>36656.52000000002</v>
      </c>
      <c r="I43" s="26">
        <v>855</v>
      </c>
      <c r="J43" s="27">
        <f t="shared" si="9"/>
      </c>
      <c r="K43" s="26">
        <v>27481.860000000004</v>
      </c>
      <c r="L43" s="28">
        <f t="shared" si="34"/>
      </c>
      <c r="M43" s="26">
        <v>411.48</v>
      </c>
      <c r="N43" s="28">
        <f t="shared" si="32"/>
      </c>
      <c r="O43" s="28">
        <f t="shared" si="35"/>
      </c>
      <c r="P43" s="28">
        <f t="shared" si="0"/>
      </c>
      <c r="Q43" s="26" t="s">
        <v>80</v>
      </c>
      <c r="R43" s="26">
        <v>10</v>
      </c>
      <c r="S43" s="29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>
      <c r="A44" s="32" t="s">
        <v>98</v>
      </c>
      <c r="B44" s="33"/>
      <c r="C44" s="33"/>
      <c r="D44" s="34">
        <f>SUM(D40:D43)</f>
      </c>
      <c r="E44" s="34">
        <f>SUM(E40:E43)</f>
      </c>
      <c r="F44" s="34">
        <f>SUM(F40:F43)</f>
      </c>
      <c r="G44" s="34">
        <f>SUM(G40:G43)</f>
      </c>
      <c r="H44" s="34">
        <f>SUM(H40:H43)</f>
      </c>
      <c r="I44" s="34">
        <f>SUM(I40:I43)</f>
      </c>
      <c r="J44" s="34">
        <f>SUM(J40:J43)</f>
      </c>
      <c r="K44" s="34">
        <f>SUM(K40:K43)</f>
      </c>
      <c r="L44" s="35">
        <f t="shared" si="34"/>
      </c>
      <c r="M44" s="34">
        <f>SUM(M40:M43)</f>
      </c>
      <c r="N44" s="36">
        <f t="shared" si="32"/>
      </c>
      <c r="O44" s="35">
        <f t="shared" si="35"/>
      </c>
      <c r="P44" s="35">
        <f t="shared" si="0"/>
      </c>
      <c r="Q44" s="33"/>
      <c r="R44" s="34">
        <f>SUM(R40:R43)</f>
      </c>
      <c r="S44" s="33"/>
      <c r="T44" s="34">
        <f>SUM(T40:T43)</f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>
      <c r="A45" s="26" t="s">
        <v>99</v>
      </c>
      <c r="B45" s="26" t="s">
        <v>78</v>
      </c>
      <c r="C45" s="26" t="s">
        <v>69</v>
      </c>
      <c r="D45" s="26">
        <v>5</v>
      </c>
      <c r="E45" s="26">
        <v>33</v>
      </c>
      <c r="F45" s="26">
        <v>28</v>
      </c>
      <c r="G45" s="26">
        <v>3</v>
      </c>
      <c r="H45" s="26">
        <v>63138.96</v>
      </c>
      <c r="I45" s="26">
        <v>2683</v>
      </c>
      <c r="J45" s="27">
        <f t="shared" ref="J45:J48" si="10">H45+I45</f>
      </c>
      <c r="K45" s="26">
        <v>31170.379999999997</v>
      </c>
      <c r="L45" s="28">
        <f t="shared" si="34"/>
      </c>
      <c r="M45" s="26">
        <v>18960.480000000003</v>
      </c>
      <c r="N45" s="28">
        <f t="shared" si="32"/>
      </c>
      <c r="O45" s="28">
        <f t="shared" si="35"/>
      </c>
      <c r="P45" s="28">
        <f t="shared" si="0"/>
      </c>
      <c r="Q45" s="26" t="s">
        <v>75</v>
      </c>
      <c r="R45" s="26">
        <v>10</v>
      </c>
      <c r="S45" s="29" t="s">
        <v>70</v>
      </c>
      <c r="T45" s="26">
        <v>20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>
      <c r="A46" s="26" t="s">
        <v>99</v>
      </c>
      <c r="B46" s="26" t="s">
        <v>71</v>
      </c>
      <c r="C46" s="26" t="s">
        <v>90</v>
      </c>
      <c r="D46" s="26">
        <v>5</v>
      </c>
      <c r="E46" s="26">
        <v>19</v>
      </c>
      <c r="F46" s="26">
        <v>14</v>
      </c>
      <c r="G46" s="26">
        <v>3</v>
      </c>
      <c r="H46" s="30">
        <v>37232.63999999999</v>
      </c>
      <c r="I46" s="26">
        <v>1751</v>
      </c>
      <c r="J46" s="27">
        <f t="shared" si="10"/>
      </c>
      <c r="K46" s="26">
        <v>24892.18</v>
      </c>
      <c r="L46" s="28">
        <f t="shared" si="34"/>
      </c>
      <c r="M46" s="26">
        <v>17187.84</v>
      </c>
      <c r="N46" s="28">
        <f t="shared" si="32"/>
      </c>
      <c r="O46" s="28">
        <f t="shared" si="35"/>
      </c>
      <c r="P46" s="28">
        <f t="shared" si="0"/>
      </c>
      <c r="Q46" s="26"/>
      <c r="R46" s="26"/>
      <c r="S46" s="29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>
      <c r="A47" s="26" t="s">
        <v>99</v>
      </c>
      <c r="B47" s="31" t="s">
        <v>76</v>
      </c>
      <c r="C47" s="26" t="s">
        <v>95</v>
      </c>
      <c r="D47" s="26">
        <v>5</v>
      </c>
      <c r="E47" s="26">
        <v>34</v>
      </c>
      <c r="F47" s="26">
        <v>30</v>
      </c>
      <c r="G47" s="26">
        <v>2</v>
      </c>
      <c r="H47" s="30">
        <v>54699.24000000003</v>
      </c>
      <c r="I47" s="26">
        <v>3242</v>
      </c>
      <c r="J47" s="27">
        <f t="shared" si="10"/>
      </c>
      <c r="K47" s="26">
        <v>29206.08</v>
      </c>
      <c r="L47" s="28">
        <f t="shared" si="34"/>
      </c>
      <c r="M47" s="26">
        <v>6036.12</v>
      </c>
      <c r="N47" s="28">
        <f t="shared" si="32"/>
      </c>
      <c r="O47" s="28">
        <f t="shared" si="35"/>
      </c>
      <c r="P47" s="28">
        <f t="shared" si="0"/>
      </c>
      <c r="Q47" s="26"/>
      <c r="R47" s="26"/>
      <c r="S47" s="29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>
      <c r="A48" s="26" t="s">
        <v>99</v>
      </c>
      <c r="B48" s="26" t="s">
        <v>73</v>
      </c>
      <c r="C48" s="26" t="s">
        <v>79</v>
      </c>
      <c r="D48" s="26">
        <v>5</v>
      </c>
      <c r="E48" s="26">
        <v>35</v>
      </c>
      <c r="F48" s="26">
        <v>31</v>
      </c>
      <c r="G48" s="26">
        <v>2</v>
      </c>
      <c r="H48" s="30">
        <v>54605.64</v>
      </c>
      <c r="I48" s="26">
        <v>8153.5</v>
      </c>
      <c r="J48" s="27">
        <f t="shared" si="10"/>
      </c>
      <c r="K48" s="26">
        <v>31356.53</v>
      </c>
      <c r="L48" s="28">
        <f t="shared" si="34"/>
      </c>
      <c r="M48" s="26">
        <v>11489.16</v>
      </c>
      <c r="N48" s="28">
        <f t="shared" si="32"/>
      </c>
      <c r="O48" s="28">
        <f t="shared" si="35"/>
      </c>
      <c r="P48" s="28">
        <f t="shared" si="0"/>
      </c>
      <c r="Q48" s="26" t="s">
        <v>80</v>
      </c>
      <c r="R48" s="26">
        <v>10</v>
      </c>
      <c r="S48" s="29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>
      <c r="A49" s="32" t="s">
        <v>99</v>
      </c>
      <c r="B49" s="33"/>
      <c r="C49" s="33"/>
      <c r="D49" s="34">
        <f>SUM(D45:D48)</f>
      </c>
      <c r="E49" s="34">
        <f>SUM(E45:E48)</f>
      </c>
      <c r="F49" s="34">
        <f>SUM(F45:F48)</f>
      </c>
      <c r="G49" s="34">
        <f>SUM(G45:G48)</f>
      </c>
      <c r="H49" s="34">
        <f>SUM(H45:H48)</f>
      </c>
      <c r="I49" s="34">
        <f>SUM(I45:I48)</f>
      </c>
      <c r="J49" s="34">
        <f>SUM(J45:J48)</f>
      </c>
      <c r="K49" s="34">
        <f>SUM(K45:K48)</f>
      </c>
      <c r="L49" s="35">
        <f t="shared" si="34"/>
      </c>
      <c r="M49" s="34">
        <f>SUM(M45:M48)</f>
      </c>
      <c r="N49" s="36">
        <f t="shared" si="32"/>
      </c>
      <c r="O49" s="35">
        <f t="shared" si="35"/>
      </c>
      <c r="P49" s="35">
        <f t="shared" si="0"/>
      </c>
      <c r="Q49" s="33"/>
      <c r="R49" s="34">
        <f>SUM(R45:R48)</f>
      </c>
      <c r="S49" s="33"/>
      <c r="T49" s="34">
        <f>SUM(T45:T48)</f>
      </c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>
      <c r="A50" s="26" t="s">
        <v>100</v>
      </c>
      <c r="B50" s="26" t="s">
        <v>78</v>
      </c>
      <c r="C50" s="26" t="s">
        <v>69</v>
      </c>
      <c r="D50" s="26">
        <v>5</v>
      </c>
      <c r="E50" s="26">
        <v>42</v>
      </c>
      <c r="F50" s="26">
        <v>35</v>
      </c>
      <c r="G50" s="26">
        <v>6</v>
      </c>
      <c r="H50" s="26">
        <v>66813.12</v>
      </c>
      <c r="I50" s="26">
        <v>8268.65</v>
      </c>
      <c r="J50" s="27">
        <f t="shared" ref="J50:J53" si="11">H50+I50</f>
      </c>
      <c r="K50" s="26">
        <v>42176.99</v>
      </c>
      <c r="L50" s="28">
        <f t="shared" si="34"/>
      </c>
      <c r="M50" s="26">
        <v>16098.93</v>
      </c>
      <c r="N50" s="28">
        <f t="shared" si="32"/>
      </c>
      <c r="O50" s="28">
        <f t="shared" si="35"/>
      </c>
      <c r="P50" s="28">
        <f t="shared" si="0"/>
      </c>
      <c r="Q50" s="26" t="s">
        <v>75</v>
      </c>
      <c r="R50" s="26">
        <v>10</v>
      </c>
      <c r="S50" s="29" t="s">
        <v>70</v>
      </c>
      <c r="T50" s="26">
        <v>20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>
      <c r="A51" s="26" t="s">
        <v>100</v>
      </c>
      <c r="B51" s="26" t="s">
        <v>71</v>
      </c>
      <c r="C51" s="26" t="s">
        <v>90</v>
      </c>
      <c r="D51" s="26">
        <v>5</v>
      </c>
      <c r="E51" s="26">
        <v>36</v>
      </c>
      <c r="F51" s="26">
        <v>32</v>
      </c>
      <c r="G51" s="26">
        <v>2</v>
      </c>
      <c r="H51" s="30">
        <v>56411.76000000002</v>
      </c>
      <c r="I51" s="26">
        <v>7075</v>
      </c>
      <c r="J51" s="27">
        <f t="shared" si="11"/>
      </c>
      <c r="K51" s="26">
        <v>41461.74</v>
      </c>
      <c r="L51" s="28">
        <f t="shared" si="34"/>
      </c>
      <c r="M51" s="26">
        <v>25591.04</v>
      </c>
      <c r="N51" s="28">
        <f t="shared" si="32"/>
      </c>
      <c r="O51" s="28">
        <f t="shared" si="35"/>
      </c>
      <c r="P51" s="28">
        <f t="shared" si="0"/>
      </c>
      <c r="Q51" s="26"/>
      <c r="R51" s="26"/>
      <c r="S51" s="29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>
      <c r="A52" s="26" t="s">
        <v>100</v>
      </c>
      <c r="B52" s="31" t="s">
        <v>73</v>
      </c>
      <c r="C52" s="26" t="s">
        <v>95</v>
      </c>
      <c r="D52" s="26">
        <v>5</v>
      </c>
      <c r="E52" s="26">
        <v>24</v>
      </c>
      <c r="F52" s="26">
        <v>19</v>
      </c>
      <c r="G52" s="26">
        <v>4</v>
      </c>
      <c r="H52" s="30">
        <v>34671.000000000015</v>
      </c>
      <c r="I52" s="26">
        <v>7188.899999999999</v>
      </c>
      <c r="J52" s="27">
        <f t="shared" si="11"/>
      </c>
      <c r="K52" s="26">
        <v>29122.3</v>
      </c>
      <c r="L52" s="28">
        <f t="shared" si="34"/>
      </c>
      <c r="M52" s="26">
        <v>5921.639999999999</v>
      </c>
      <c r="N52" s="28">
        <f t="shared" si="32"/>
      </c>
      <c r="O52" s="28">
        <f t="shared" si="35"/>
      </c>
      <c r="P52" s="28">
        <f t="shared" si="0"/>
      </c>
      <c r="Q52" s="26"/>
      <c r="R52" s="26"/>
      <c r="S52" s="29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>
      <c r="A53" s="26" t="s">
        <v>100</v>
      </c>
      <c r="B53" s="26" t="s">
        <v>76</v>
      </c>
      <c r="C53" s="26" t="s">
        <v>79</v>
      </c>
      <c r="D53" s="26">
        <v>5</v>
      </c>
      <c r="E53" s="26">
        <v>28</v>
      </c>
      <c r="F53" s="26">
        <v>25</v>
      </c>
      <c r="G53" s="26">
        <v>7</v>
      </c>
      <c r="H53" s="30">
        <v>58200.72</v>
      </c>
      <c r="I53" s="26">
        <v>0</v>
      </c>
      <c r="J53" s="27">
        <f t="shared" si="11"/>
      </c>
      <c r="K53" s="26">
        <v>27259.78</v>
      </c>
      <c r="L53" s="28">
        <f t="shared" si="34"/>
      </c>
      <c r="M53" s="26">
        <v>3279.72</v>
      </c>
      <c r="N53" s="28">
        <f t="shared" si="32"/>
      </c>
      <c r="O53" s="28">
        <f t="shared" si="35"/>
      </c>
      <c r="P53" s="28">
        <f t="shared" si="0"/>
      </c>
      <c r="Q53" s="26" t="s">
        <v>80</v>
      </c>
      <c r="R53" s="26">
        <v>10</v>
      </c>
      <c r="S53" s="29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>
      <c r="A54" s="32" t="s">
        <v>100</v>
      </c>
      <c r="B54" s="33"/>
      <c r="C54" s="33"/>
      <c r="D54" s="34">
        <f>SUM(D50:D53)</f>
      </c>
      <c r="E54" s="34">
        <f>SUM(E50:E53)</f>
      </c>
      <c r="F54" s="34">
        <f>SUM(F50:F53)</f>
      </c>
      <c r="G54" s="34">
        <f>SUM(G50:G53)</f>
      </c>
      <c r="H54" s="34">
        <f>SUM(H50:H53)</f>
      </c>
      <c r="I54" s="34">
        <f>SUM(I50:I53)</f>
      </c>
      <c r="J54" s="34">
        <f>SUM(J50:J53)</f>
      </c>
      <c r="K54" s="34">
        <f>SUM(K50:K53)</f>
      </c>
      <c r="L54" s="35">
        <f t="shared" si="34"/>
      </c>
      <c r="M54" s="34">
        <f>SUM(M50:M53)</f>
      </c>
      <c r="N54" s="36">
        <f t="shared" si="32"/>
      </c>
      <c r="O54" s="35">
        <f t="shared" si="35"/>
      </c>
      <c r="P54" s="35">
        <f t="shared" si="0"/>
      </c>
      <c r="Q54" s="33"/>
      <c r="R54" s="34">
        <f>SUM(R50:R53)</f>
      </c>
      <c r="S54" s="33"/>
      <c r="T54" s="34">
        <f>SUM(T50:T53)</f>
      </c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>
      <c r="A55" s="26" t="s">
        <v>101</v>
      </c>
      <c r="B55" s="26" t="s">
        <v>78</v>
      </c>
      <c r="C55" s="26" t="s">
        <v>69</v>
      </c>
      <c r="D55" s="26">
        <v>5</v>
      </c>
      <c r="E55" s="26">
        <v>48</v>
      </c>
      <c r="F55" s="26">
        <v>40</v>
      </c>
      <c r="G55" s="26">
        <v>2</v>
      </c>
      <c r="H55" s="26">
        <v>84567.84</v>
      </c>
      <c r="I55" s="26">
        <v>1288</v>
      </c>
      <c r="J55" s="27">
        <f t="shared" ref="J55:J58" si="12">H55+I55</f>
      </c>
      <c r="K55" s="26">
        <v>44814.509999999995</v>
      </c>
      <c r="L55" s="28">
        <f t="shared" si="34"/>
      </c>
      <c r="M55" s="26">
        <v>29012.28</v>
      </c>
      <c r="N55" s="28">
        <f t="shared" si="32"/>
      </c>
      <c r="O55" s="28">
        <f t="shared" si="35"/>
      </c>
      <c r="P55" s="28">
        <f t="shared" si="0"/>
      </c>
      <c r="Q55" s="26" t="s">
        <v>84</v>
      </c>
      <c r="R55" s="26">
        <v>10</v>
      </c>
      <c r="S55" s="29" t="s">
        <v>70</v>
      </c>
      <c r="T55" s="26">
        <v>20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>
      <c r="A56" s="26" t="s">
        <v>101</v>
      </c>
      <c r="B56" s="26" t="s">
        <v>71</v>
      </c>
      <c r="C56" s="26" t="s">
        <v>90</v>
      </c>
      <c r="D56" s="26">
        <v>5</v>
      </c>
      <c r="E56" s="26">
        <v>50</v>
      </c>
      <c r="F56" s="26">
        <v>37</v>
      </c>
      <c r="G56" s="26">
        <v>1</v>
      </c>
      <c r="H56" s="30">
        <v>73023.36</v>
      </c>
      <c r="I56" s="26">
        <v>10210</v>
      </c>
      <c r="J56" s="27">
        <f t="shared" si="12"/>
      </c>
      <c r="K56" s="26">
        <v>44218.86</v>
      </c>
      <c r="L56" s="28">
        <f t="shared" si="34"/>
      </c>
      <c r="M56" s="26">
        <v>25100.48</v>
      </c>
      <c r="N56" s="28">
        <f t="shared" si="32"/>
      </c>
      <c r="O56" s="28">
        <f t="shared" si="35"/>
      </c>
      <c r="P56" s="28">
        <f t="shared" si="0"/>
      </c>
      <c r="Q56" s="26"/>
      <c r="R56" s="26"/>
      <c r="S56" s="29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>
      <c r="A57" s="26" t="s">
        <v>101</v>
      </c>
      <c r="B57" s="31" t="s">
        <v>76</v>
      </c>
      <c r="C57" s="26" t="s">
        <v>95</v>
      </c>
      <c r="D57" s="26">
        <v>5</v>
      </c>
      <c r="E57" s="26">
        <v>29</v>
      </c>
      <c r="F57" s="26">
        <v>25</v>
      </c>
      <c r="G57" s="26">
        <v>2</v>
      </c>
      <c r="H57" s="30">
        <v>33873.959999999985</v>
      </c>
      <c r="I57" s="26">
        <v>5581.35</v>
      </c>
      <c r="J57" s="27">
        <f t="shared" si="12"/>
      </c>
      <c r="K57" s="26">
        <v>38577.689999999995</v>
      </c>
      <c r="L57" s="28">
        <f t="shared" si="34"/>
      </c>
      <c r="M57" s="26">
        <v>3864.56</v>
      </c>
      <c r="N57" s="28">
        <f t="shared" si="32"/>
      </c>
      <c r="O57" s="28">
        <f t="shared" si="35"/>
      </c>
      <c r="P57" s="28">
        <f t="shared" si="0"/>
      </c>
      <c r="Q57" s="26"/>
      <c r="R57" s="26"/>
      <c r="S57" s="29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>
      <c r="A58" s="26" t="s">
        <v>101</v>
      </c>
      <c r="B58" s="26" t="s">
        <v>73</v>
      </c>
      <c r="C58" s="26" t="s">
        <v>79</v>
      </c>
      <c r="D58" s="26">
        <v>5</v>
      </c>
      <c r="E58" s="26">
        <v>27</v>
      </c>
      <c r="F58" s="26">
        <v>26</v>
      </c>
      <c r="G58" s="26">
        <v>6</v>
      </c>
      <c r="H58" s="30">
        <v>43318.44000000002</v>
      </c>
      <c r="I58" s="26">
        <v>2216.850000000002</v>
      </c>
      <c r="J58" s="27">
        <f t="shared" si="12"/>
      </c>
      <c r="K58" s="26">
        <v>32023.7</v>
      </c>
      <c r="L58" s="28">
        <f t="shared" si="34"/>
      </c>
      <c r="M58" s="26">
        <v>9954.72</v>
      </c>
      <c r="N58" s="28">
        <f t="shared" si="32"/>
      </c>
      <c r="O58" s="28">
        <f t="shared" si="35"/>
      </c>
      <c r="P58" s="28">
        <f t="shared" si="0"/>
      </c>
      <c r="Q58" s="26" t="s">
        <v>80</v>
      </c>
      <c r="R58" s="26">
        <v>10</v>
      </c>
      <c r="S58" s="29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>
      <c r="A59" s="32" t="s">
        <v>101</v>
      </c>
      <c r="B59" s="33"/>
      <c r="C59" s="33"/>
      <c r="D59" s="34">
        <f>SUM(D55:D58)</f>
      </c>
      <c r="E59" s="34">
        <f>SUM(E55:E58)</f>
      </c>
      <c r="F59" s="34">
        <f>SUM(F55:F58)</f>
      </c>
      <c r="G59" s="34">
        <f>SUM(G55:G58)</f>
      </c>
      <c r="H59" s="34">
        <f>SUM(H55:H58)</f>
      </c>
      <c r="I59" s="34">
        <f>SUM(I55:I58)</f>
      </c>
      <c r="J59" s="34">
        <f>SUM(J55:J58)</f>
      </c>
      <c r="K59" s="34">
        <f>SUM(K55:K58)</f>
      </c>
      <c r="L59" s="35">
        <f t="shared" si="34"/>
      </c>
      <c r="M59" s="34">
        <f>SUM(M55:M58)</f>
      </c>
      <c r="N59" s="36">
        <f t="shared" si="32"/>
      </c>
      <c r="O59" s="35">
        <f t="shared" si="35"/>
      </c>
      <c r="P59" s="35">
        <f t="shared" si="0"/>
      </c>
      <c r="Q59" s="33"/>
      <c r="R59" s="34">
        <f>SUM(R55:R58)</f>
      </c>
      <c r="S59" s="33"/>
      <c r="T59" s="34">
        <f>SUM(T55:T58)</f>
      </c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>
      <c r="A60" s="26" t="s">
        <v>102</v>
      </c>
      <c r="B60" s="26" t="s">
        <v>78</v>
      </c>
      <c r="C60" s="26" t="s">
        <v>69</v>
      </c>
      <c r="D60" s="26">
        <v>5</v>
      </c>
      <c r="E60" s="26">
        <v>32</v>
      </c>
      <c r="F60" s="26">
        <v>30</v>
      </c>
      <c r="G60" s="26">
        <v>1</v>
      </c>
      <c r="H60" s="26">
        <v>55554.12</v>
      </c>
      <c r="I60" s="26">
        <v>4149.5</v>
      </c>
      <c r="J60" s="27">
        <f t="shared" ref="J60:J62" si="13">H60+I60</f>
      </c>
      <c r="K60" s="26">
        <v>35045.4</v>
      </c>
      <c r="L60" s="28">
        <f t="shared" si="34"/>
      </c>
      <c r="M60" s="26">
        <v>29012.28</v>
      </c>
      <c r="N60" s="28">
        <f t="shared" si="32"/>
      </c>
      <c r="O60" s="28">
        <f t="shared" si="35"/>
      </c>
      <c r="P60" s="28">
        <f t="shared" si="0"/>
      </c>
      <c r="Q60" s="26" t="s">
        <v>84</v>
      </c>
      <c r="R60" s="26">
        <v>10</v>
      </c>
      <c r="S60" s="29" t="s">
        <v>70</v>
      </c>
      <c r="T60" s="26">
        <v>20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>
      <c r="A61" s="26" t="s">
        <v>102</v>
      </c>
      <c r="B61" s="26" t="s">
        <v>71</v>
      </c>
      <c r="C61" s="26" t="s">
        <v>90</v>
      </c>
      <c r="D61" s="26">
        <v>5</v>
      </c>
      <c r="E61" s="26">
        <v>30</v>
      </c>
      <c r="F61" s="26">
        <v>24</v>
      </c>
      <c r="G61" s="26">
        <v>2</v>
      </c>
      <c r="H61" s="30">
        <v>51717</v>
      </c>
      <c r="I61" s="26">
        <v>2920</v>
      </c>
      <c r="J61" s="27">
        <f t="shared" si="13"/>
      </c>
      <c r="K61" s="26">
        <v>30336.47</v>
      </c>
      <c r="L61" s="28">
        <f t="shared" si="34"/>
      </c>
      <c r="M61" s="26">
        <v>25100.48</v>
      </c>
      <c r="N61" s="28">
        <f t="shared" si="32"/>
      </c>
      <c r="O61" s="28">
        <f t="shared" si="35"/>
      </c>
      <c r="P61" s="28">
        <f t="shared" si="0"/>
      </c>
      <c r="Q61" s="26"/>
      <c r="R61" s="26"/>
      <c r="S61" s="29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>
      <c r="A62" s="26" t="s">
        <v>102</v>
      </c>
      <c r="B62" s="31" t="s">
        <v>73</v>
      </c>
      <c r="C62" s="26" t="s">
        <v>95</v>
      </c>
      <c r="D62" s="26">
        <v>5</v>
      </c>
      <c r="E62" s="26">
        <v>30</v>
      </c>
      <c r="F62" s="26">
        <v>23</v>
      </c>
      <c r="G62" s="26">
        <v>6</v>
      </c>
      <c r="H62" s="30">
        <v>68446.2</v>
      </c>
      <c r="I62" s="26">
        <v>8648.6</v>
      </c>
      <c r="J62" s="27">
        <f t="shared" si="13"/>
      </c>
      <c r="K62" s="26">
        <v>31561.4</v>
      </c>
      <c r="L62" s="28">
        <f t="shared" si="34"/>
      </c>
      <c r="M62" s="26">
        <v>3864.56</v>
      </c>
      <c r="N62" s="28">
        <f t="shared" si="32"/>
      </c>
      <c r="O62" s="28">
        <f t="shared" si="35"/>
      </c>
      <c r="P62" s="28">
        <f t="shared" si="0"/>
      </c>
      <c r="Q62" s="26"/>
      <c r="R62" s="26"/>
      <c r="S62" s="29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>
      <c r="A63" s="26" t="s">
        <v>102</v>
      </c>
      <c r="B63" s="26" t="s">
        <v>76</v>
      </c>
      <c r="C63" s="26" t="s">
        <v>79</v>
      </c>
      <c r="D63" s="26">
        <v>5</v>
      </c>
      <c r="E63" s="26">
        <v>26</v>
      </c>
      <c r="F63" s="26">
        <v>24</v>
      </c>
      <c r="G63" s="26">
        <v>1</v>
      </c>
      <c r="H63" s="30">
        <v>51285</v>
      </c>
      <c r="I63" s="26">
        <v>1882</v>
      </c>
      <c r="J63" s="37">
        <v>53167</v>
      </c>
      <c r="K63" s="26">
        <v>29544.320000000003</v>
      </c>
      <c r="L63" s="28">
        <f t="shared" si="34"/>
      </c>
      <c r="M63" s="26">
        <v>9954.72</v>
      </c>
      <c r="N63" s="28">
        <f t="shared" si="32"/>
      </c>
      <c r="O63" s="28">
        <f t="shared" si="35"/>
      </c>
      <c r="P63" s="28">
        <f t="shared" si="0"/>
      </c>
      <c r="Q63" s="26" t="s">
        <v>103</v>
      </c>
      <c r="R63" s="26">
        <v>10</v>
      </c>
      <c r="S63" s="29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>
      <c r="A64" s="32" t="s">
        <v>102</v>
      </c>
      <c r="B64" s="33"/>
      <c r="C64" s="33"/>
      <c r="D64" s="34">
        <f>SUM(D60:D63)</f>
      </c>
      <c r="E64" s="34">
        <f>SUM(E60:E63)</f>
      </c>
      <c r="F64" s="34">
        <f>SUM(F60:F63)</f>
      </c>
      <c r="G64" s="34">
        <f>SUM(G60:G63)</f>
      </c>
      <c r="H64" s="34">
        <f>SUM(H60:H63)</f>
      </c>
      <c r="I64" s="34">
        <f>SUM(I60:I63)</f>
      </c>
      <c r="J64" s="34">
        <f>SUM(J60:J63)</f>
      </c>
      <c r="K64" s="34">
        <f>SUM(K60:K63)</f>
      </c>
      <c r="L64" s="35">
        <f t="shared" si="34"/>
      </c>
      <c r="M64" s="34">
        <f>SUM(M60:M63)</f>
      </c>
      <c r="N64" s="36">
        <f t="shared" si="32"/>
      </c>
      <c r="O64" s="35">
        <f t="shared" si="35"/>
      </c>
      <c r="P64" s="35">
        <f t="shared" si="0"/>
      </c>
      <c r="Q64" s="33"/>
      <c r="R64" s="34">
        <f>SUM(R60:R63)</f>
      </c>
      <c r="S64" s="33"/>
      <c r="T64" s="34">
        <f>SUM(T60:T63)</f>
      </c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>
      <c r="A65" s="26" t="s">
        <v>104</v>
      </c>
      <c r="B65" s="26" t="s">
        <v>78</v>
      </c>
      <c r="C65" s="26" t="s">
        <v>69</v>
      </c>
      <c r="D65" s="26">
        <v>5</v>
      </c>
      <c r="E65" s="26">
        <v>42</v>
      </c>
      <c r="F65" s="26">
        <v>34</v>
      </c>
      <c r="G65" s="26">
        <v>7</v>
      </c>
      <c r="H65" s="26">
        <v>70414.07999999999</v>
      </c>
      <c r="I65" s="26">
        <v>22621.65</v>
      </c>
      <c r="J65" s="27">
        <f t="shared" ref="J65:J68" si="14">H65+I65</f>
      </c>
      <c r="K65" s="26">
        <v>43434.34</v>
      </c>
      <c r="L65" s="28">
        <f t="shared" si="34"/>
      </c>
      <c r="M65" s="26">
        <v>26058.48</v>
      </c>
      <c r="N65" s="28">
        <f t="shared" si="32"/>
      </c>
      <c r="O65" s="28">
        <f t="shared" si="35"/>
      </c>
      <c r="P65" s="28">
        <f t="shared" si="0"/>
      </c>
      <c r="Q65" s="26" t="s">
        <v>105</v>
      </c>
      <c r="R65" s="26">
        <v>10</v>
      </c>
      <c r="S65" s="29" t="s">
        <v>70</v>
      </c>
      <c r="T65" s="26">
        <v>20</v>
      </c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>
      <c r="A66" s="26" t="s">
        <v>104</v>
      </c>
      <c r="B66" s="26" t="s">
        <v>68</v>
      </c>
      <c r="C66" s="26" t="s">
        <v>90</v>
      </c>
      <c r="D66" s="26">
        <v>5</v>
      </c>
      <c r="E66" s="26">
        <v>44</v>
      </c>
      <c r="F66" s="26">
        <v>36</v>
      </c>
      <c r="G66" s="26">
        <v>1</v>
      </c>
      <c r="H66" s="30">
        <v>78990.84000000003</v>
      </c>
      <c r="I66" s="26">
        <v>3016</v>
      </c>
      <c r="J66" s="27">
        <f t="shared" si="14"/>
      </c>
      <c r="K66" s="26">
        <v>47863.96</v>
      </c>
      <c r="L66" s="28">
        <f t="shared" si="34"/>
      </c>
      <c r="M66" s="26">
        <v>13311.32</v>
      </c>
      <c r="N66" s="28">
        <f t="shared" si="32"/>
      </c>
      <c r="O66" s="28">
        <f t="shared" si="35"/>
      </c>
      <c r="P66" s="28">
        <f t="shared" si="0"/>
      </c>
      <c r="Q66" s="26"/>
      <c r="R66" s="26"/>
      <c r="S66" s="29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>
      <c r="A67" s="26" t="s">
        <v>104</v>
      </c>
      <c r="B67" s="31" t="s">
        <v>73</v>
      </c>
      <c r="C67" s="26" t="s">
        <v>95</v>
      </c>
      <c r="D67" s="26">
        <v>5</v>
      </c>
      <c r="E67" s="26">
        <v>28</v>
      </c>
      <c r="F67" s="26">
        <v>24</v>
      </c>
      <c r="G67" s="26">
        <v>2</v>
      </c>
      <c r="H67" s="30">
        <v>45954.600000000006</v>
      </c>
      <c r="I67" s="26">
        <v>2707</v>
      </c>
      <c r="J67" s="27">
        <f t="shared" si="14"/>
      </c>
      <c r="K67" s="26">
        <v>30437.67</v>
      </c>
      <c r="L67" s="28">
        <f t="shared" si="34"/>
      </c>
      <c r="M67" s="26">
        <v>2420.28</v>
      </c>
      <c r="N67" s="28">
        <f t="shared" si="32"/>
      </c>
      <c r="O67" s="28">
        <f t="shared" si="35"/>
      </c>
      <c r="P67" s="28">
        <f t="shared" si="0"/>
      </c>
      <c r="Q67" s="26"/>
      <c r="R67" s="26"/>
      <c r="S67" s="29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>
      <c r="A68" s="26" t="s">
        <v>104</v>
      </c>
      <c r="B68" s="26" t="s">
        <v>76</v>
      </c>
      <c r="C68" s="26" t="s">
        <v>79</v>
      </c>
      <c r="D68" s="26">
        <v>5</v>
      </c>
      <c r="E68" s="26">
        <v>22</v>
      </c>
      <c r="F68" s="26">
        <v>20</v>
      </c>
      <c r="G68" s="26">
        <v>1</v>
      </c>
      <c r="H68" s="30">
        <v>39737.39999999999</v>
      </c>
      <c r="I68" s="26">
        <v>0</v>
      </c>
      <c r="J68" s="27">
        <f t="shared" si="14"/>
      </c>
      <c r="K68" s="26">
        <v>33741.21</v>
      </c>
      <c r="L68" s="28">
        <f t="shared" si="34"/>
      </c>
      <c r="M68" s="26">
        <v>0</v>
      </c>
      <c r="N68" s="28">
        <f t="shared" si="32"/>
      </c>
      <c r="O68" s="28">
        <f t="shared" si="35"/>
      </c>
      <c r="P68" s="28">
        <f t="shared" si="0"/>
      </c>
      <c r="Q68" s="26" t="s">
        <v>80</v>
      </c>
      <c r="R68" s="26">
        <v>10</v>
      </c>
      <c r="S68" s="29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>
      <c r="A69" s="32" t="s">
        <v>104</v>
      </c>
      <c r="B69" s="33"/>
      <c r="C69" s="33"/>
      <c r="D69" s="34">
        <f>SUM(D65:D68)</f>
      </c>
      <c r="E69" s="34">
        <f>SUM(E65:E68)</f>
      </c>
      <c r="F69" s="34">
        <f>SUM(F65:F68)</f>
      </c>
      <c r="G69" s="34">
        <f>SUM(G65:G68)</f>
      </c>
      <c r="H69" s="34">
        <f>SUM(H65:H68)</f>
      </c>
      <c r="I69" s="34">
        <f>SUM(I65:I68)</f>
      </c>
      <c r="J69" s="34">
        <f>SUM(J65:J68)</f>
      </c>
      <c r="K69" s="34">
        <f>SUM(K65:K68)</f>
      </c>
      <c r="L69" s="35">
        <f t="shared" si="34"/>
      </c>
      <c r="M69" s="34">
        <f>SUM(M65:M68)</f>
      </c>
      <c r="N69" s="36">
        <f t="shared" si="32"/>
      </c>
      <c r="O69" s="35">
        <f t="shared" si="35"/>
      </c>
      <c r="P69" s="35">
        <f t="shared" si="0"/>
      </c>
      <c r="Q69" s="33"/>
      <c r="R69" s="34">
        <f>SUM(R65:R68)</f>
      </c>
      <c r="S69" s="33"/>
      <c r="T69" s="34">
        <f>SUM(T65:T68)</f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>
      <c r="A70" s="26" t="s">
        <v>106</v>
      </c>
      <c r="B70" s="26" t="s">
        <v>68</v>
      </c>
      <c r="C70" s="26" t="s">
        <v>69</v>
      </c>
      <c r="D70" s="26">
        <v>5</v>
      </c>
      <c r="E70" s="26">
        <v>34</v>
      </c>
      <c r="F70" s="26">
        <v>26</v>
      </c>
      <c r="G70" s="26">
        <v>6</v>
      </c>
      <c r="H70" s="26">
        <v>57203.28</v>
      </c>
      <c r="I70" s="26">
        <v>1673</v>
      </c>
      <c r="J70" s="27">
        <f t="shared" ref="J70:J73" si="15">H70+I70</f>
      </c>
      <c r="K70" s="26">
        <v>36020.68</v>
      </c>
      <c r="L70" s="28">
        <f t="shared" si="34"/>
      </c>
      <c r="M70" s="26">
        <v>11597.640000000001</v>
      </c>
      <c r="N70" s="28">
        <f t="shared" si="32"/>
      </c>
      <c r="O70" s="28">
        <f t="shared" si="35"/>
      </c>
      <c r="P70" s="28">
        <f t="shared" si="0"/>
      </c>
      <c r="Q70" s="26" t="s">
        <v>105</v>
      </c>
      <c r="R70" s="26">
        <v>10</v>
      </c>
      <c r="S70" s="29" t="s">
        <v>70</v>
      </c>
      <c r="T70" s="26">
        <v>20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>
      <c r="A71" s="26" t="s">
        <v>106</v>
      </c>
      <c r="B71" s="26" t="s">
        <v>78</v>
      </c>
      <c r="C71" s="26" t="s">
        <v>90</v>
      </c>
      <c r="D71" s="26">
        <v>5</v>
      </c>
      <c r="E71" s="26">
        <v>31</v>
      </c>
      <c r="F71" s="26">
        <v>33</v>
      </c>
      <c r="G71" s="26">
        <v>1</v>
      </c>
      <c r="H71" s="30">
        <v>58094.28</v>
      </c>
      <c r="I71" s="26">
        <v>0</v>
      </c>
      <c r="J71" s="27">
        <f t="shared" si="15"/>
      </c>
      <c r="K71" s="26">
        <v>37860.2</v>
      </c>
      <c r="L71" s="28">
        <f t="shared" si="34"/>
      </c>
      <c r="M71" s="26">
        <v>25692.12</v>
      </c>
      <c r="N71" s="28">
        <f t="shared" si="32"/>
      </c>
      <c r="O71" s="28">
        <f t="shared" si="35"/>
      </c>
      <c r="P71" s="28">
        <f t="shared" si="0"/>
      </c>
      <c r="Q71" s="26"/>
      <c r="R71" s="26"/>
      <c r="S71" s="29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>
      <c r="A72" s="26" t="s">
        <v>106</v>
      </c>
      <c r="B72" s="31" t="s">
        <v>76</v>
      </c>
      <c r="C72" s="26" t="s">
        <v>95</v>
      </c>
      <c r="D72" s="26">
        <v>5</v>
      </c>
      <c r="E72" s="26">
        <v>35</v>
      </c>
      <c r="F72" s="26">
        <v>25</v>
      </c>
      <c r="G72" s="26">
        <v>0</v>
      </c>
      <c r="H72" s="30">
        <v>54813.23999999999</v>
      </c>
      <c r="I72" s="26">
        <v>0</v>
      </c>
      <c r="J72" s="27">
        <f t="shared" si="15"/>
      </c>
      <c r="K72" s="26">
        <v>30288.65</v>
      </c>
      <c r="L72" s="28">
        <f t="shared" si="34"/>
      </c>
      <c r="M72" s="26">
        <v>10804.32</v>
      </c>
      <c r="N72" s="28">
        <f t="shared" si="32"/>
      </c>
      <c r="O72" s="28">
        <f t="shared" si="35"/>
      </c>
      <c r="P72" s="28">
        <f t="shared" si="0"/>
      </c>
      <c r="Q72" s="26"/>
      <c r="R72" s="26"/>
      <c r="S72" s="29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>
      <c r="A73" s="26" t="s">
        <v>106</v>
      </c>
      <c r="B73" s="26" t="s">
        <v>71</v>
      </c>
      <c r="C73" s="26" t="s">
        <v>79</v>
      </c>
      <c r="D73" s="26">
        <v>5</v>
      </c>
      <c r="E73" s="26">
        <v>24</v>
      </c>
      <c r="F73" s="26">
        <v>18</v>
      </c>
      <c r="G73" s="26">
        <v>1</v>
      </c>
      <c r="H73" s="30">
        <v>42480.48</v>
      </c>
      <c r="I73" s="26">
        <v>2933</v>
      </c>
      <c r="J73" s="27">
        <f t="shared" si="15"/>
      </c>
      <c r="K73" s="26">
        <v>39699.77</v>
      </c>
      <c r="L73" s="28">
        <f t="shared" si="34"/>
      </c>
      <c r="M73" s="26">
        <v>3532.68</v>
      </c>
      <c r="N73" s="28">
        <f t="shared" si="32"/>
      </c>
      <c r="O73" s="28">
        <f t="shared" si="35"/>
      </c>
      <c r="P73" s="28">
        <f t="shared" si="0"/>
      </c>
      <c r="Q73" s="26" t="s">
        <v>80</v>
      </c>
      <c r="R73" s="26">
        <v>10</v>
      </c>
      <c r="S73" s="29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>
      <c r="A74" s="32" t="s">
        <v>106</v>
      </c>
      <c r="B74" s="33"/>
      <c r="C74" s="33"/>
      <c r="D74" s="34">
        <f>SUM(D70:D73)</f>
      </c>
      <c r="E74" s="34">
        <f>SUM(E70:E73)</f>
      </c>
      <c r="F74" s="34">
        <f>SUM(F70:F73)</f>
      </c>
      <c r="G74" s="34">
        <f>SUM(G70:G73)</f>
      </c>
      <c r="H74" s="34">
        <f>SUM(H70:H73)</f>
      </c>
      <c r="I74" s="34">
        <f>SUM(I70:I73)</f>
      </c>
      <c r="J74" s="34">
        <f>SUM(J70:J73)</f>
      </c>
      <c r="K74" s="34">
        <f>SUM(K70:K73)</f>
      </c>
      <c r="L74" s="35">
        <f t="shared" si="34"/>
      </c>
      <c r="M74" s="34">
        <f>SUM(M70:M73)</f>
      </c>
      <c r="N74" s="36">
        <f t="shared" si="32"/>
      </c>
      <c r="O74" s="35">
        <f t="shared" si="35"/>
      </c>
      <c r="P74" s="35">
        <f t="shared" si="0"/>
      </c>
      <c r="Q74" s="33"/>
      <c r="R74" s="34">
        <f>SUM(R70:R73)</f>
      </c>
      <c r="S74" s="33"/>
      <c r="T74" s="34">
        <f>SUM(T70:T73)</f>
      </c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>
      <c r="A75" s="26" t="s">
        <v>107</v>
      </c>
      <c r="B75" s="26" t="s">
        <v>78</v>
      </c>
      <c r="C75" s="26" t="s">
        <v>69</v>
      </c>
      <c r="D75" s="26">
        <v>5</v>
      </c>
      <c r="E75" s="26">
        <v>27</v>
      </c>
      <c r="F75" s="26">
        <v>23</v>
      </c>
      <c r="G75" s="26">
        <v>1</v>
      </c>
      <c r="H75" s="26">
        <v>41331.48</v>
      </c>
      <c r="I75" s="26">
        <v>1608</v>
      </c>
      <c r="J75" s="27">
        <f t="shared" ref="J75:J78" si="16">H75+I75</f>
      </c>
      <c r="K75" s="26">
        <v>30251.480000000003</v>
      </c>
      <c r="L75" s="28">
        <f t="shared" si="34"/>
      </c>
      <c r="M75" s="26">
        <v>7259.639999999999</v>
      </c>
      <c r="N75" s="28">
        <f t="shared" si="32"/>
      </c>
      <c r="O75" s="28">
        <f t="shared" si="35"/>
      </c>
      <c r="P75" s="28">
        <f t="shared" si="0"/>
      </c>
      <c r="Q75" s="26" t="s">
        <v>105</v>
      </c>
      <c r="R75" s="26">
        <v>10</v>
      </c>
      <c r="S75" s="29" t="s">
        <v>70</v>
      </c>
      <c r="T75" s="26">
        <v>19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>
      <c r="A76" s="26" t="s">
        <v>107</v>
      </c>
      <c r="B76" s="26" t="s">
        <v>76</v>
      </c>
      <c r="C76" s="26" t="s">
        <v>90</v>
      </c>
      <c r="D76" s="26">
        <v>5</v>
      </c>
      <c r="E76" s="26">
        <v>23</v>
      </c>
      <c r="F76" s="26">
        <v>23</v>
      </c>
      <c r="G76" s="26">
        <v>1</v>
      </c>
      <c r="H76" s="30">
        <v>36809.280000000006</v>
      </c>
      <c r="I76" s="26">
        <v>0</v>
      </c>
      <c r="J76" s="27">
        <f t="shared" si="16"/>
      </c>
      <c r="K76" s="26">
        <v>24199.32</v>
      </c>
      <c r="L76" s="28">
        <f t="shared" si="34"/>
      </c>
      <c r="M76" s="26">
        <v>3943.08</v>
      </c>
      <c r="N76" s="28">
        <f t="shared" si="32"/>
      </c>
      <c r="O76" s="28">
        <f t="shared" si="35"/>
      </c>
      <c r="P76" s="28">
        <f t="shared" si="0"/>
      </c>
      <c r="Q76" s="26"/>
      <c r="R76" s="26"/>
      <c r="S76" s="29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>
      <c r="A77" s="26" t="s">
        <v>107</v>
      </c>
      <c r="B77" s="31" t="s">
        <v>73</v>
      </c>
      <c r="C77" s="26" t="s">
        <v>95</v>
      </c>
      <c r="D77" s="26">
        <v>5</v>
      </c>
      <c r="E77" s="26">
        <v>15</v>
      </c>
      <c r="F77" s="26">
        <v>13</v>
      </c>
      <c r="G77" s="26">
        <v>0</v>
      </c>
      <c r="H77" s="30">
        <v>19131.119999999995</v>
      </c>
      <c r="I77" s="26">
        <v>899</v>
      </c>
      <c r="J77" s="27">
        <f t="shared" si="16"/>
      </c>
      <c r="K77" s="26">
        <v>24076.65</v>
      </c>
      <c r="L77" s="28">
        <f t="shared" si="34"/>
      </c>
      <c r="M77" s="26">
        <v>10094.119999999999</v>
      </c>
      <c r="N77" s="28">
        <f t="shared" si="32"/>
      </c>
      <c r="O77" s="28">
        <f t="shared" si="35"/>
      </c>
      <c r="P77" s="28">
        <f t="shared" si="0"/>
      </c>
      <c r="Q77" s="26"/>
      <c r="R77" s="26"/>
      <c r="S77" s="29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>
      <c r="A78" s="26" t="s">
        <v>107</v>
      </c>
      <c r="B78" s="26" t="s">
        <v>71</v>
      </c>
      <c r="C78" s="26" t="s">
        <v>108</v>
      </c>
      <c r="D78" s="26">
        <v>4</v>
      </c>
      <c r="E78" s="26">
        <v>16</v>
      </c>
      <c r="F78" s="26">
        <v>12</v>
      </c>
      <c r="G78" s="26">
        <v>2</v>
      </c>
      <c r="H78" s="30">
        <v>22434.239999999998</v>
      </c>
      <c r="I78" s="26">
        <v>6056</v>
      </c>
      <c r="J78" s="27">
        <f t="shared" si="16"/>
      </c>
      <c r="K78" s="26">
        <v>17233.95</v>
      </c>
      <c r="L78" s="28">
        <f t="shared" si="34"/>
      </c>
      <c r="M78" s="26">
        <v>0</v>
      </c>
      <c r="N78" s="28">
        <f t="shared" si="32"/>
      </c>
      <c r="O78" s="28">
        <f t="shared" si="35"/>
      </c>
      <c r="P78" s="28">
        <f t="shared" si="0"/>
      </c>
      <c r="Q78" s="26" t="s">
        <v>109</v>
      </c>
      <c r="R78" s="26">
        <v>9</v>
      </c>
      <c r="S78" s="29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>
      <c r="A79" s="32" t="s">
        <v>107</v>
      </c>
      <c r="B79" s="33"/>
      <c r="C79" s="33"/>
      <c r="D79" s="34">
        <f>SUM(D75:D78)</f>
      </c>
      <c r="E79" s="34">
        <f>SUM(E75:E78)</f>
      </c>
      <c r="F79" s="34">
        <f>SUM(F75:F78)</f>
      </c>
      <c r="G79" s="34">
        <f>SUM(G75:G78)</f>
      </c>
      <c r="H79" s="34">
        <f>SUM(H75:H78)</f>
      </c>
      <c r="I79" s="34">
        <f>SUM(I75:I78)</f>
      </c>
      <c r="J79" s="34">
        <f>SUM(J75:J78)</f>
      </c>
      <c r="K79" s="34">
        <f>SUM(K75:K78)</f>
      </c>
      <c r="L79" s="35">
        <f t="shared" si="34"/>
      </c>
      <c r="M79" s="34">
        <f>SUM(M75:M78)</f>
      </c>
      <c r="N79" s="36">
        <f t="shared" si="32"/>
      </c>
      <c r="O79" s="35">
        <f t="shared" si="35"/>
      </c>
      <c r="P79" s="35">
        <f t="shared" si="0"/>
      </c>
      <c r="Q79" s="33"/>
      <c r="R79" s="34">
        <f>SUM(R75:R78)</f>
      </c>
      <c r="S79" s="33"/>
      <c r="T79" s="34">
        <f>SUM(T75:T78)</f>
      </c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>
      <c r="A80" s="26" t="s">
        <v>110</v>
      </c>
      <c r="B80" s="26" t="s">
        <v>78</v>
      </c>
      <c r="C80" s="26" t="s">
        <v>69</v>
      </c>
      <c r="D80" s="26">
        <v>5</v>
      </c>
      <c r="E80" s="26">
        <v>34</v>
      </c>
      <c r="F80" s="26">
        <v>29</v>
      </c>
      <c r="G80" s="26">
        <v>2</v>
      </c>
      <c r="H80" s="26">
        <v>59392.56</v>
      </c>
      <c r="I80" s="26">
        <v>3961</v>
      </c>
      <c r="J80" s="27">
        <f t="shared" ref="J80:J83" si="17">H80+I80</f>
      </c>
      <c r="K80" s="26">
        <v>35811.61</v>
      </c>
      <c r="L80" s="28">
        <f t="shared" si="34"/>
      </c>
      <c r="M80" s="26">
        <v>8036.5599999999995</v>
      </c>
      <c r="N80" s="28">
        <f t="shared" si="32"/>
      </c>
      <c r="O80" s="28">
        <f t="shared" si="35"/>
      </c>
      <c r="P80" s="28">
        <f t="shared" si="0"/>
      </c>
      <c r="Q80" s="26" t="s">
        <v>75</v>
      </c>
      <c r="R80" s="26">
        <v>10</v>
      </c>
      <c r="S80" s="29" t="s">
        <v>70</v>
      </c>
      <c r="T80" s="26">
        <v>20</v>
      </c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>
      <c r="A81" s="26" t="s">
        <v>110</v>
      </c>
      <c r="B81" s="26" t="s">
        <v>71</v>
      </c>
      <c r="C81" s="26" t="s">
        <v>90</v>
      </c>
      <c r="D81" s="26">
        <v>5</v>
      </c>
      <c r="E81" s="26">
        <v>29</v>
      </c>
      <c r="F81" s="26">
        <v>21</v>
      </c>
      <c r="G81" s="26">
        <v>4</v>
      </c>
      <c r="H81" s="30">
        <v>53427.479999999996</v>
      </c>
      <c r="I81" s="26">
        <v>0</v>
      </c>
      <c r="J81" s="27">
        <f t="shared" si="17"/>
      </c>
      <c r="K81" s="26">
        <v>31335.31</v>
      </c>
      <c r="L81" s="28">
        <f t="shared" si="34"/>
      </c>
      <c r="M81" s="26">
        <v>13318.56</v>
      </c>
      <c r="N81" s="28">
        <f t="shared" si="32"/>
      </c>
      <c r="O81" s="28">
        <f t="shared" si="35"/>
      </c>
      <c r="P81" s="28">
        <f t="shared" si="0"/>
      </c>
      <c r="Q81" s="26"/>
      <c r="R81" s="26"/>
      <c r="S81" s="29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>
      <c r="A82" s="26" t="s">
        <v>110</v>
      </c>
      <c r="B82" s="31" t="s">
        <v>73</v>
      </c>
      <c r="C82" s="26" t="s">
        <v>95</v>
      </c>
      <c r="D82" s="26">
        <v>5</v>
      </c>
      <c r="E82" s="26">
        <v>34</v>
      </c>
      <c r="F82" s="26">
        <v>26</v>
      </c>
      <c r="G82" s="26">
        <v>2</v>
      </c>
      <c r="H82" s="30">
        <v>66349.92</v>
      </c>
      <c r="I82" s="26">
        <v>0</v>
      </c>
      <c r="J82" s="27">
        <f t="shared" si="17"/>
      </c>
      <c r="K82" s="26">
        <v>35683.67</v>
      </c>
      <c r="L82" s="28">
        <f t="shared" si="34"/>
      </c>
      <c r="M82" s="26">
        <v>7742.52</v>
      </c>
      <c r="N82" s="28">
        <f t="shared" si="32"/>
      </c>
      <c r="O82" s="28">
        <f t="shared" si="35"/>
      </c>
      <c r="P82" s="28">
        <f t="shared" si="0"/>
      </c>
      <c r="Q82" s="26"/>
      <c r="R82" s="26"/>
      <c r="S82" s="29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>
      <c r="A83" s="26" t="s">
        <v>110</v>
      </c>
      <c r="B83" s="26" t="s">
        <v>76</v>
      </c>
      <c r="C83" s="26" t="s">
        <v>79</v>
      </c>
      <c r="D83" s="26">
        <v>5</v>
      </c>
      <c r="E83" s="26">
        <v>37</v>
      </c>
      <c r="F83" s="26">
        <v>33</v>
      </c>
      <c r="G83" s="26">
        <v>2</v>
      </c>
      <c r="H83" s="30">
        <v>62337.240000000005</v>
      </c>
      <c r="I83" s="26">
        <v>7093.700000000001</v>
      </c>
      <c r="J83" s="27">
        <f t="shared" si="17"/>
      </c>
      <c r="K83" s="26">
        <v>37748.700000000004</v>
      </c>
      <c r="L83" s="28">
        <f t="shared" si="34"/>
      </c>
      <c r="M83" s="26">
        <v>7504.92</v>
      </c>
      <c r="N83" s="28">
        <f t="shared" si="32"/>
      </c>
      <c r="O83" s="28">
        <f t="shared" si="35"/>
      </c>
      <c r="P83" s="28">
        <f t="shared" si="0"/>
      </c>
      <c r="Q83" s="26" t="s">
        <v>109</v>
      </c>
      <c r="R83" s="26">
        <v>10</v>
      </c>
      <c r="S83" s="29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>
      <c r="A84" s="32" t="s">
        <v>110</v>
      </c>
      <c r="B84" s="33"/>
      <c r="C84" s="33"/>
      <c r="D84" s="34">
        <f>SUM(D80:D83)</f>
      </c>
      <c r="E84" s="34">
        <f>SUM(E80:E83)</f>
      </c>
      <c r="F84" s="34">
        <f>SUM(F80:F83)</f>
      </c>
      <c r="G84" s="34">
        <f>SUM(G80:G83)</f>
      </c>
      <c r="H84" s="34">
        <f>SUM(H80:H83)</f>
      </c>
      <c r="I84" s="34">
        <f>SUM(I80:I83)</f>
      </c>
      <c r="J84" s="34">
        <f>SUM(J80:J83)</f>
      </c>
      <c r="K84" s="34">
        <f>SUM(K80:K83)</f>
      </c>
      <c r="L84" s="35">
        <f t="shared" si="34"/>
      </c>
      <c r="M84" s="34">
        <f>SUM(M80:M83)</f>
      </c>
      <c r="N84" s="36">
        <f t="shared" si="32"/>
      </c>
      <c r="O84" s="35">
        <f t="shared" si="35"/>
      </c>
      <c r="P84" s="35">
        <f t="shared" si="0"/>
      </c>
      <c r="Q84" s="33"/>
      <c r="R84" s="34">
        <f>SUM(R80:R83)</f>
      </c>
      <c r="S84" s="33"/>
      <c r="T84" s="34">
        <f>SUM(T80:T83)</f>
      </c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>
      <c r="A85" s="26" t="s">
        <v>111</v>
      </c>
      <c r="B85" s="26" t="s">
        <v>78</v>
      </c>
      <c r="C85" s="26" t="s">
        <v>69</v>
      </c>
      <c r="D85" s="26">
        <v>5</v>
      </c>
      <c r="E85" s="26">
        <v>33</v>
      </c>
      <c r="F85" s="26">
        <v>27</v>
      </c>
      <c r="G85" s="26">
        <v>3</v>
      </c>
      <c r="H85" s="26">
        <v>59013.479999999996</v>
      </c>
      <c r="I85" s="26">
        <v>3736</v>
      </c>
      <c r="J85" s="27">
        <f t="shared" ref="J85:J88" si="18">H85+I85</f>
      </c>
      <c r="K85" s="26">
        <v>32946.43</v>
      </c>
      <c r="L85" s="28">
        <f t="shared" si="34"/>
      </c>
      <c r="M85" s="26">
        <v>5828.76</v>
      </c>
      <c r="N85" s="28">
        <f t="shared" si="32"/>
      </c>
      <c r="O85" s="28">
        <f t="shared" si="35"/>
      </c>
      <c r="P85" s="28">
        <f t="shared" si="0"/>
      </c>
      <c r="Q85" s="26" t="s">
        <v>75</v>
      </c>
      <c r="R85" s="26">
        <v>10</v>
      </c>
      <c r="S85" s="29" t="s">
        <v>70</v>
      </c>
      <c r="T85" s="26">
        <v>20</v>
      </c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>
      <c r="A86" s="26" t="s">
        <v>111</v>
      </c>
      <c r="B86" s="26" t="s">
        <v>71</v>
      </c>
      <c r="C86" s="26" t="s">
        <v>90</v>
      </c>
      <c r="D86" s="26">
        <v>5</v>
      </c>
      <c r="E86" s="26">
        <v>33</v>
      </c>
      <c r="F86" s="26">
        <v>27</v>
      </c>
      <c r="G86" s="26">
        <v>4</v>
      </c>
      <c r="H86" s="30">
        <v>62799</v>
      </c>
      <c r="I86" s="26">
        <v>1065</v>
      </c>
      <c r="J86" s="27">
        <f t="shared" si="18"/>
      </c>
      <c r="K86" s="26">
        <v>38940.06</v>
      </c>
      <c r="L86" s="28">
        <f t="shared" si="34"/>
      </c>
      <c r="M86" s="26">
        <v>24708.96</v>
      </c>
      <c r="N86" s="28">
        <f t="shared" si="32"/>
      </c>
      <c r="O86" s="28">
        <f t="shared" si="35"/>
      </c>
      <c r="P86" s="28">
        <f t="shared" si="0"/>
      </c>
      <c r="Q86" s="26"/>
      <c r="R86" s="26"/>
      <c r="S86" s="29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>
      <c r="A87" s="26" t="s">
        <v>111</v>
      </c>
      <c r="B87" s="31" t="s">
        <v>76</v>
      </c>
      <c r="C87" s="26" t="s">
        <v>95</v>
      </c>
      <c r="D87" s="26">
        <v>5</v>
      </c>
      <c r="E87" s="26">
        <v>47</v>
      </c>
      <c r="F87" s="26">
        <v>35</v>
      </c>
      <c r="G87" s="26">
        <v>1</v>
      </c>
      <c r="H87" s="30">
        <v>66816.36000000003</v>
      </c>
      <c r="I87" s="26">
        <v>3402</v>
      </c>
      <c r="J87" s="27">
        <f t="shared" si="18"/>
      </c>
      <c r="K87" s="26">
        <v>42115.93</v>
      </c>
      <c r="L87" s="28">
        <f t="shared" si="34"/>
      </c>
      <c r="M87" s="26">
        <v>22136.04</v>
      </c>
      <c r="N87" s="28">
        <f t="shared" si="32"/>
      </c>
      <c r="O87" s="28">
        <f t="shared" si="35"/>
      </c>
      <c r="P87" s="28">
        <f t="shared" si="0"/>
      </c>
      <c r="Q87" s="26"/>
      <c r="R87" s="26"/>
      <c r="S87" s="29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>
      <c r="A88" s="26" t="s">
        <v>111</v>
      </c>
      <c r="B88" s="26" t="s">
        <v>68</v>
      </c>
      <c r="C88" s="26" t="s">
        <v>79</v>
      </c>
      <c r="D88" s="26">
        <v>5</v>
      </c>
      <c r="E88" s="26">
        <v>51</v>
      </c>
      <c r="F88" s="26">
        <v>47</v>
      </c>
      <c r="G88" s="26">
        <v>2</v>
      </c>
      <c r="H88" s="30">
        <v>97829.51999999995</v>
      </c>
      <c r="I88" s="26">
        <v>4016</v>
      </c>
      <c r="J88" s="27">
        <f t="shared" si="18"/>
      </c>
      <c r="K88" s="26">
        <v>54262.600000000006</v>
      </c>
      <c r="L88" s="28">
        <f t="shared" si="34"/>
      </c>
      <c r="M88" s="26">
        <v>8818.560000000001</v>
      </c>
      <c r="N88" s="28">
        <f t="shared" si="32"/>
      </c>
      <c r="O88" s="28">
        <f t="shared" si="35"/>
      </c>
      <c r="P88" s="28">
        <f t="shared" si="0"/>
      </c>
      <c r="Q88" s="26" t="s">
        <v>109</v>
      </c>
      <c r="R88" s="26">
        <v>10</v>
      </c>
      <c r="S88" s="29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>
      <c r="A89" s="32" t="s">
        <v>111</v>
      </c>
      <c r="B89" s="33"/>
      <c r="C89" s="33"/>
      <c r="D89" s="34">
        <f>SUM(D85:D88)</f>
      </c>
      <c r="E89" s="34">
        <f>SUM(E85:E88)</f>
      </c>
      <c r="F89" s="34">
        <f>SUM(F85:F88)</f>
      </c>
      <c r="G89" s="34">
        <f>SUM(G85:G88)</f>
      </c>
      <c r="H89" s="34">
        <f>SUM(H85:H88)</f>
      </c>
      <c r="I89" s="34">
        <f>SUM(I85:I88)</f>
      </c>
      <c r="J89" s="34">
        <f>SUM(J85:J88)</f>
      </c>
      <c r="K89" s="34">
        <f>SUM(K85:K88)</f>
      </c>
      <c r="L89" s="35">
        <f t="shared" si="34"/>
      </c>
      <c r="M89" s="34">
        <f>SUM(M85:M88)</f>
      </c>
      <c r="N89" s="36">
        <f t="shared" si="32"/>
      </c>
      <c r="O89" s="35">
        <f t="shared" si="35"/>
      </c>
      <c r="P89" s="35">
        <f t="shared" si="0"/>
      </c>
      <c r="Q89" s="33"/>
      <c r="R89" s="34">
        <f>SUM(R85:R88)</f>
      </c>
      <c r="S89" s="33"/>
      <c r="T89" s="34">
        <f>SUM(T85:T88)</f>
      </c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>
      <c r="A90" s="26" t="s">
        <v>112</v>
      </c>
      <c r="B90" s="26" t="s">
        <v>78</v>
      </c>
      <c r="C90" s="26" t="s">
        <v>69</v>
      </c>
      <c r="D90" s="26">
        <v>5</v>
      </c>
      <c r="E90" s="26">
        <v>60</v>
      </c>
      <c r="F90" s="26">
        <v>51</v>
      </c>
      <c r="G90" s="26">
        <v>7</v>
      </c>
      <c r="H90" s="26">
        <v>102612.36</v>
      </c>
      <c r="I90" s="26">
        <v>3914.05</v>
      </c>
      <c r="J90" s="27">
        <f t="shared" ref="J90:J93" si="19">H90+I90</f>
      </c>
      <c r="K90" s="26">
        <v>58745.19000000001</v>
      </c>
      <c r="L90" s="28">
        <f t="shared" si="34"/>
      </c>
      <c r="M90" s="26">
        <v>33226.44</v>
      </c>
      <c r="N90" s="28">
        <f t="shared" si="32"/>
      </c>
      <c r="O90" s="28">
        <f t="shared" si="35"/>
      </c>
      <c r="P90" s="28">
        <f t="shared" si="0"/>
      </c>
      <c r="Q90" s="26" t="s">
        <v>75</v>
      </c>
      <c r="R90" s="26">
        <v>10</v>
      </c>
      <c r="S90" s="29" t="s">
        <v>70</v>
      </c>
      <c r="T90" s="26">
        <v>20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>
      <c r="A91" s="26" t="s">
        <v>112</v>
      </c>
      <c r="B91" s="26" t="s">
        <v>68</v>
      </c>
      <c r="C91" s="26" t="s">
        <v>90</v>
      </c>
      <c r="D91" s="26">
        <v>5</v>
      </c>
      <c r="E91" s="26">
        <v>41</v>
      </c>
      <c r="F91" s="26">
        <v>36</v>
      </c>
      <c r="G91" s="26">
        <v>3</v>
      </c>
      <c r="H91" s="30">
        <v>69776.52</v>
      </c>
      <c r="I91" s="26">
        <v>6696.849999999999</v>
      </c>
      <c r="J91" s="27">
        <f t="shared" si="19"/>
      </c>
      <c r="K91" s="26">
        <v>58672.56</v>
      </c>
      <c r="L91" s="28">
        <f t="shared" si="34"/>
      </c>
      <c r="M91" s="26">
        <v>8191.799999999999</v>
      </c>
      <c r="N91" s="28">
        <f t="shared" si="32"/>
      </c>
      <c r="O91" s="28">
        <f t="shared" si="35"/>
      </c>
      <c r="P91" s="28">
        <f t="shared" si="0"/>
      </c>
      <c r="Q91" s="26"/>
      <c r="R91" s="26"/>
      <c r="S91" s="29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>
      <c r="A92" s="26" t="s">
        <v>112</v>
      </c>
      <c r="B92" s="31" t="s">
        <v>73</v>
      </c>
      <c r="C92" s="26" t="s">
        <v>95</v>
      </c>
      <c r="D92" s="26">
        <v>5</v>
      </c>
      <c r="E92" s="26">
        <v>33</v>
      </c>
      <c r="F92" s="26">
        <v>29</v>
      </c>
      <c r="G92" s="26">
        <v>0</v>
      </c>
      <c r="H92" s="30">
        <v>57073.67999999999</v>
      </c>
      <c r="I92" s="26">
        <v>341</v>
      </c>
      <c r="J92" s="27">
        <f t="shared" si="19"/>
      </c>
      <c r="K92" s="26">
        <v>35605.939999999995</v>
      </c>
      <c r="L92" s="28">
        <f t="shared" si="34"/>
      </c>
      <c r="M92" s="26">
        <v>4074.84</v>
      </c>
      <c r="N92" s="28">
        <f t="shared" si="32"/>
      </c>
      <c r="O92" s="28">
        <f t="shared" si="35"/>
      </c>
      <c r="P92" s="28">
        <f t="shared" si="0"/>
      </c>
      <c r="Q92" s="26"/>
      <c r="R92" s="26"/>
      <c r="S92" s="29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>
      <c r="A93" s="26" t="s">
        <v>112</v>
      </c>
      <c r="B93" s="26" t="s">
        <v>76</v>
      </c>
      <c r="C93" s="26" t="s">
        <v>79</v>
      </c>
      <c r="D93" s="26">
        <v>5</v>
      </c>
      <c r="E93" s="26">
        <v>33</v>
      </c>
      <c r="F93" s="26">
        <v>29</v>
      </c>
      <c r="G93" s="26">
        <v>1</v>
      </c>
      <c r="H93" s="30">
        <v>49032.59999999999</v>
      </c>
      <c r="I93" s="26">
        <v>3448</v>
      </c>
      <c r="J93" s="27">
        <f t="shared" si="19"/>
      </c>
      <c r="K93" s="26">
        <v>34654.87</v>
      </c>
      <c r="L93" s="28">
        <f t="shared" si="34"/>
      </c>
      <c r="M93" s="26">
        <v>1105.92</v>
      </c>
      <c r="N93" s="28">
        <f t="shared" si="32"/>
      </c>
      <c r="O93" s="28">
        <f t="shared" si="35"/>
      </c>
      <c r="P93" s="28">
        <f t="shared" si="0"/>
      </c>
      <c r="Q93" s="26" t="s">
        <v>109</v>
      </c>
      <c r="R93" s="26">
        <v>10</v>
      </c>
      <c r="S93" s="29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>
      <c r="A94" s="32" t="s">
        <v>112</v>
      </c>
      <c r="B94" s="33"/>
      <c r="C94" s="33"/>
      <c r="D94" s="34">
        <f>SUM(D90:D93)</f>
      </c>
      <c r="E94" s="34">
        <f>SUM(E90:E93)</f>
      </c>
      <c r="F94" s="34">
        <f>SUM(F90:F93)</f>
      </c>
      <c r="G94" s="34">
        <f>SUM(G90:G93)</f>
      </c>
      <c r="H94" s="34">
        <f>SUM(H90:H93)</f>
      </c>
      <c r="I94" s="34">
        <f>SUM(I90:I93)</f>
      </c>
      <c r="J94" s="34">
        <f>SUM(J90:J93)</f>
      </c>
      <c r="K94" s="34">
        <f>SUM(K90:K93)</f>
      </c>
      <c r="L94" s="35">
        <f t="shared" si="34"/>
      </c>
      <c r="M94" s="34">
        <f>SUM(M90:M93)</f>
      </c>
      <c r="N94" s="36">
        <f t="shared" si="32"/>
      </c>
      <c r="O94" s="35">
        <f t="shared" si="35"/>
      </c>
      <c r="P94" s="35">
        <f t="shared" si="0"/>
      </c>
      <c r="Q94" s="33"/>
      <c r="R94" s="34">
        <f>SUM(R90:R93)</f>
      </c>
      <c r="S94" s="33"/>
      <c r="T94" s="34">
        <f>SUM(T90:T93)</f>
      </c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>
      <c r="A95" s="26" t="s">
        <v>113</v>
      </c>
      <c r="B95" s="26" t="s">
        <v>68</v>
      </c>
      <c r="C95" s="26" t="s">
        <v>69</v>
      </c>
      <c r="D95" s="26">
        <v>5</v>
      </c>
      <c r="E95" s="26">
        <v>56</v>
      </c>
      <c r="F95" s="26">
        <v>50</v>
      </c>
      <c r="G95" s="26">
        <v>7</v>
      </c>
      <c r="H95" s="26">
        <v>78422.52</v>
      </c>
      <c r="I95" s="26">
        <v>3859</v>
      </c>
      <c r="J95" s="27">
        <f t="shared" ref="J95:J98" si="20">H95+I95</f>
      </c>
      <c r="K95" s="26">
        <v>51206.25</v>
      </c>
      <c r="L95" s="28">
        <f t="shared" si="34"/>
      </c>
      <c r="M95" s="26">
        <v>11921.88</v>
      </c>
      <c r="N95" s="28">
        <f t="shared" si="32"/>
      </c>
      <c r="O95" s="28">
        <f t="shared" si="35"/>
      </c>
      <c r="P95" s="28">
        <f t="shared" si="0"/>
      </c>
      <c r="Q95" s="26" t="s">
        <v>75</v>
      </c>
      <c r="R95" s="26">
        <v>10</v>
      </c>
      <c r="S95" s="29" t="s">
        <v>70</v>
      </c>
      <c r="T95" s="26">
        <v>20</v>
      </c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>
      <c r="A96" s="26" t="s">
        <v>113</v>
      </c>
      <c r="B96" s="26" t="s">
        <v>71</v>
      </c>
      <c r="C96" s="26" t="s">
        <v>90</v>
      </c>
      <c r="D96" s="26">
        <v>5</v>
      </c>
      <c r="E96" s="26">
        <v>34</v>
      </c>
      <c r="F96" s="26">
        <v>33</v>
      </c>
      <c r="G96" s="26">
        <v>3</v>
      </c>
      <c r="H96" s="30">
        <v>60793.56000000001</v>
      </c>
      <c r="I96" s="26">
        <v>1074</v>
      </c>
      <c r="J96" s="27">
        <f t="shared" si="20"/>
      </c>
      <c r="K96" s="26">
        <v>44041.810000000005</v>
      </c>
      <c r="L96" s="28">
        <f t="shared" si="34"/>
      </c>
      <c r="M96" s="26">
        <v>18329.039999999997</v>
      </c>
      <c r="N96" s="28">
        <f t="shared" si="32"/>
      </c>
      <c r="O96" s="28">
        <f t="shared" si="35"/>
      </c>
      <c r="P96" s="28">
        <f t="shared" si="0"/>
      </c>
      <c r="Q96" s="26"/>
      <c r="R96" s="26"/>
      <c r="S96" s="29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>
      <c r="A97" s="26" t="s">
        <v>113</v>
      </c>
      <c r="B97" s="31" t="s">
        <v>76</v>
      </c>
      <c r="C97" s="26" t="s">
        <v>95</v>
      </c>
      <c r="D97" s="26">
        <v>5</v>
      </c>
      <c r="E97" s="26">
        <v>36</v>
      </c>
      <c r="F97" s="26">
        <v>28</v>
      </c>
      <c r="G97" s="26">
        <v>2</v>
      </c>
      <c r="H97" s="30">
        <v>53574.47999999998</v>
      </c>
      <c r="I97" s="26">
        <v>7256.1</v>
      </c>
      <c r="J97" s="27">
        <f t="shared" si="20"/>
      </c>
      <c r="K97" s="26">
        <v>36971.55</v>
      </c>
      <c r="L97" s="28">
        <f t="shared" si="34"/>
      </c>
      <c r="M97" s="26">
        <v>12403.74</v>
      </c>
      <c r="N97" s="28">
        <f t="shared" si="32"/>
      </c>
      <c r="O97" s="28">
        <f t="shared" si="35"/>
      </c>
      <c r="P97" s="28">
        <f t="shared" si="0"/>
      </c>
      <c r="Q97" s="26"/>
      <c r="R97" s="26"/>
      <c r="S97" s="29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>
      <c r="A98" s="26" t="s">
        <v>113</v>
      </c>
      <c r="B98" s="26" t="s">
        <v>78</v>
      </c>
      <c r="C98" s="26" t="s">
        <v>79</v>
      </c>
      <c r="D98" s="26">
        <v>5</v>
      </c>
      <c r="E98" s="26">
        <v>31</v>
      </c>
      <c r="F98" s="26">
        <v>28</v>
      </c>
      <c r="G98" s="26">
        <v>6</v>
      </c>
      <c r="H98" s="30">
        <v>69809.88</v>
      </c>
      <c r="I98" s="26">
        <v>7158.5</v>
      </c>
      <c r="J98" s="27">
        <f t="shared" si="20"/>
      </c>
      <c r="K98" s="26">
        <v>38309.14000000001</v>
      </c>
      <c r="L98" s="28">
        <f t="shared" si="34"/>
      </c>
      <c r="M98" s="26">
        <v>6850.8</v>
      </c>
      <c r="N98" s="28">
        <f t="shared" si="32"/>
      </c>
      <c r="O98" s="28">
        <f t="shared" si="35"/>
      </c>
      <c r="P98" s="28">
        <f t="shared" si="0"/>
      </c>
      <c r="Q98" s="26" t="s">
        <v>80</v>
      </c>
      <c r="R98" s="26">
        <v>10</v>
      </c>
      <c r="S98" s="29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>
      <c r="A99" s="32" t="s">
        <v>113</v>
      </c>
      <c r="B99" s="33"/>
      <c r="C99" s="33"/>
      <c r="D99" s="34">
        <f>SUM(D95:D98)</f>
      </c>
      <c r="E99" s="34">
        <f>SUM(E95:E98)</f>
      </c>
      <c r="F99" s="34">
        <f>SUM(F95:F98)</f>
      </c>
      <c r="G99" s="34">
        <f>SUM(G95:G98)</f>
      </c>
      <c r="H99" s="34">
        <f>SUM(H95:H98)</f>
      </c>
      <c r="I99" s="34">
        <f>SUM(I95:I98)</f>
      </c>
      <c r="J99" s="34">
        <f>SUM(J95:J98)</f>
      </c>
      <c r="K99" s="34">
        <f>SUM(K95:K98)</f>
      </c>
      <c r="L99" s="35">
        <f t="shared" si="34"/>
      </c>
      <c r="M99" s="34">
        <f>SUM(M95:M98)</f>
      </c>
      <c r="N99" s="36">
        <f t="shared" si="32"/>
      </c>
      <c r="O99" s="35">
        <f t="shared" si="35"/>
      </c>
      <c r="P99" s="35">
        <f t="shared" si="0"/>
      </c>
      <c r="Q99" s="33"/>
      <c r="R99" s="34">
        <f>SUM(R95:R98)</f>
      </c>
      <c r="S99" s="33"/>
      <c r="T99" s="34">
        <f>SUM(T95:T98)</f>
      </c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>
      <c r="A100" s="26" t="s">
        <v>114</v>
      </c>
      <c r="B100" s="26" t="s">
        <v>68</v>
      </c>
      <c r="C100" s="26" t="s">
        <v>69</v>
      </c>
      <c r="D100" s="26">
        <v>5</v>
      </c>
      <c r="E100" s="26">
        <v>41</v>
      </c>
      <c r="F100" s="26">
        <v>30</v>
      </c>
      <c r="G100" s="26">
        <v>10</v>
      </c>
      <c r="H100" s="26">
        <v>79902.95999999999</v>
      </c>
      <c r="I100" s="26">
        <v>5583.35</v>
      </c>
      <c r="J100" s="27">
        <f t="shared" ref="J100:J103" si="21">H100+I100</f>
      </c>
      <c r="K100" s="26">
        <v>43262.28999999999</v>
      </c>
      <c r="L100" s="28">
        <f t="shared" si="34"/>
      </c>
      <c r="M100" s="26">
        <v>30401.159999999996</v>
      </c>
      <c r="N100" s="28">
        <f t="shared" si="32"/>
      </c>
      <c r="O100" s="28">
        <f t="shared" si="35"/>
      </c>
      <c r="P100" s="28">
        <f t="shared" si="0"/>
      </c>
      <c r="Q100" s="26" t="s">
        <v>75</v>
      </c>
      <c r="R100" s="26">
        <v>10</v>
      </c>
      <c r="S100" s="29" t="s">
        <v>70</v>
      </c>
      <c r="T100" s="26">
        <v>20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>
      <c r="A101" s="26" t="s">
        <v>114</v>
      </c>
      <c r="B101" s="26" t="s">
        <v>71</v>
      </c>
      <c r="C101" s="26" t="s">
        <v>90</v>
      </c>
      <c r="D101" s="26">
        <v>5</v>
      </c>
      <c r="E101" s="26">
        <v>27</v>
      </c>
      <c r="F101" s="26">
        <v>20</v>
      </c>
      <c r="G101" s="26">
        <v>3</v>
      </c>
      <c r="H101" s="30">
        <v>43458.24000000002</v>
      </c>
      <c r="I101" s="26">
        <v>4551.949999999999</v>
      </c>
      <c r="J101" s="27">
        <f t="shared" si="21"/>
      </c>
      <c r="K101" s="26">
        <v>33128.99</v>
      </c>
      <c r="L101" s="28">
        <f t="shared" si="34"/>
      </c>
      <c r="M101" s="26">
        <v>17487.8</v>
      </c>
      <c r="N101" s="28">
        <f t="shared" si="32"/>
      </c>
      <c r="O101" s="28">
        <f t="shared" si="35"/>
      </c>
      <c r="P101" s="28">
        <f t="shared" si="0"/>
      </c>
      <c r="Q101" s="26"/>
      <c r="R101" s="26"/>
      <c r="S101" s="29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>
      <c r="A102" s="26" t="s">
        <v>114</v>
      </c>
      <c r="B102" s="31" t="s">
        <v>73</v>
      </c>
      <c r="C102" s="26" t="s">
        <v>95</v>
      </c>
      <c r="D102" s="26">
        <v>5</v>
      </c>
      <c r="E102" s="26">
        <v>21</v>
      </c>
      <c r="F102" s="26">
        <v>15</v>
      </c>
      <c r="G102" s="26">
        <v>4</v>
      </c>
      <c r="H102" s="30">
        <v>31885.199999999983</v>
      </c>
      <c r="I102" s="26">
        <v>4031</v>
      </c>
      <c r="J102" s="27">
        <f t="shared" si="21"/>
      </c>
      <c r="K102" s="26">
        <v>25548.510000000002</v>
      </c>
      <c r="L102" s="28">
        <f t="shared" si="34"/>
      </c>
      <c r="M102" s="26">
        <v>13232.16</v>
      </c>
      <c r="N102" s="28">
        <f t="shared" si="32"/>
      </c>
      <c r="O102" s="28">
        <f t="shared" si="35"/>
      </c>
      <c r="P102" s="28">
        <f t="shared" si="0"/>
      </c>
      <c r="Q102" s="26"/>
      <c r="R102" s="26"/>
      <c r="S102" s="29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>
      <c r="A103" s="26" t="s">
        <v>114</v>
      </c>
      <c r="B103" s="26" t="s">
        <v>78</v>
      </c>
      <c r="C103" s="26" t="s">
        <v>79</v>
      </c>
      <c r="D103" s="26">
        <v>5</v>
      </c>
      <c r="E103" s="26">
        <v>22</v>
      </c>
      <c r="F103" s="26">
        <v>20</v>
      </c>
      <c r="G103" s="26">
        <v>0</v>
      </c>
      <c r="H103" s="30">
        <v>38510.640000000014</v>
      </c>
      <c r="I103" s="26">
        <v>0</v>
      </c>
      <c r="J103" s="27">
        <f t="shared" si="21"/>
      </c>
      <c r="K103" s="26">
        <v>30590.43</v>
      </c>
      <c r="L103" s="28">
        <f t="shared" si="34"/>
      </c>
      <c r="M103" s="26">
        <v>0</v>
      </c>
      <c r="N103" s="28">
        <f t="shared" si="32"/>
      </c>
      <c r="O103" s="28">
        <f t="shared" si="35"/>
      </c>
      <c r="P103" s="28">
        <f t="shared" si="0"/>
      </c>
      <c r="Q103" s="26" t="s">
        <v>80</v>
      </c>
      <c r="R103" s="26">
        <v>10</v>
      </c>
      <c r="S103" s="29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>
      <c r="A104" s="32" t="s">
        <v>114</v>
      </c>
      <c r="B104" s="33"/>
      <c r="C104" s="33"/>
      <c r="D104" s="34">
        <f>SUM(D100:D103)</f>
      </c>
      <c r="E104" s="34">
        <f>SUM(E100:E103)</f>
      </c>
      <c r="F104" s="34">
        <f>SUM(F100:F103)</f>
      </c>
      <c r="G104" s="34">
        <f>SUM(G100:G103)</f>
      </c>
      <c r="H104" s="34">
        <f>SUM(H100:H103)</f>
      </c>
      <c r="I104" s="34">
        <f>SUM(I100:I103)</f>
      </c>
      <c r="J104" s="34">
        <f>SUM(J100:J103)</f>
      </c>
      <c r="K104" s="34">
        <f>SUM(K100:K103)</f>
      </c>
      <c r="L104" s="35">
        <f t="shared" si="34"/>
      </c>
      <c r="M104" s="34">
        <f>SUM(M100:M103)</f>
      </c>
      <c r="N104" s="36">
        <f t="shared" si="32"/>
      </c>
      <c r="O104" s="35">
        <f t="shared" si="35"/>
      </c>
      <c r="P104" s="35">
        <f t="shared" si="0"/>
      </c>
      <c r="Q104" s="33"/>
      <c r="R104" s="34">
        <f>SUM(R100:R103)</f>
      </c>
      <c r="S104" s="33"/>
      <c r="T104" s="34">
        <f>SUM(T100:T103)</f>
      </c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>
      <c r="A105" s="26" t="s">
        <v>115</v>
      </c>
      <c r="B105" s="26" t="s">
        <v>68</v>
      </c>
      <c r="C105" s="26" t="s">
        <v>69</v>
      </c>
      <c r="D105" s="26">
        <v>5</v>
      </c>
      <c r="E105" s="26">
        <v>42</v>
      </c>
      <c r="F105" s="26">
        <v>36</v>
      </c>
      <c r="G105" s="26">
        <v>2</v>
      </c>
      <c r="H105" s="26">
        <v>71436</v>
      </c>
      <c r="I105" s="26">
        <v>1195</v>
      </c>
      <c r="J105" s="27">
        <f t="shared" ref="J105:J108" si="22">H105+I105</f>
      </c>
      <c r="K105" s="26">
        <v>40925.240000000005</v>
      </c>
      <c r="L105" s="28">
        <f t="shared" si="34"/>
      </c>
      <c r="M105" s="26">
        <v>24874</v>
      </c>
      <c r="N105" s="28">
        <f t="shared" si="32"/>
      </c>
      <c r="O105" s="28">
        <f t="shared" si="35"/>
      </c>
      <c r="P105" s="28">
        <f t="shared" si="0"/>
      </c>
      <c r="Q105" s="26" t="s">
        <v>75</v>
      </c>
      <c r="R105" s="26">
        <v>10</v>
      </c>
      <c r="S105" s="29" t="s">
        <v>70</v>
      </c>
      <c r="T105" s="26">
        <v>20</v>
      </c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>
      <c r="A106" s="26" t="s">
        <v>115</v>
      </c>
      <c r="B106" s="26" t="s">
        <v>76</v>
      </c>
      <c r="C106" s="26" t="s">
        <v>90</v>
      </c>
      <c r="D106" s="26">
        <v>5</v>
      </c>
      <c r="E106" s="26">
        <v>39</v>
      </c>
      <c r="F106" s="26">
        <v>37</v>
      </c>
      <c r="G106" s="26">
        <v>3</v>
      </c>
      <c r="H106" s="30">
        <v>52814.76000000001</v>
      </c>
      <c r="I106" s="26">
        <v>14626.6</v>
      </c>
      <c r="J106" s="27">
        <f t="shared" si="22"/>
      </c>
      <c r="K106" s="26">
        <v>45842.729999999996</v>
      </c>
      <c r="L106" s="28">
        <f t="shared" si="34"/>
      </c>
      <c r="M106" s="26">
        <v>21649.960000000003</v>
      </c>
      <c r="N106" s="28">
        <f t="shared" si="32"/>
      </c>
      <c r="O106" s="28">
        <f t="shared" si="35"/>
      </c>
      <c r="P106" s="28">
        <f t="shared" si="0"/>
      </c>
      <c r="Q106" s="26"/>
      <c r="R106" s="26"/>
      <c r="S106" s="29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>
      <c r="A107" s="26" t="s">
        <v>115</v>
      </c>
      <c r="B107" s="31" t="s">
        <v>73</v>
      </c>
      <c r="C107" s="26" t="s">
        <v>95</v>
      </c>
      <c r="D107" s="26">
        <v>5</v>
      </c>
      <c r="E107" s="26">
        <v>46</v>
      </c>
      <c r="F107" s="26">
        <v>34</v>
      </c>
      <c r="G107" s="26">
        <v>8</v>
      </c>
      <c r="H107" s="30">
        <v>92978.76</v>
      </c>
      <c r="I107" s="26">
        <v>2109.999999999998</v>
      </c>
      <c r="J107" s="27">
        <f t="shared" si="22"/>
      </c>
      <c r="K107" s="26">
        <v>41663.159999999996</v>
      </c>
      <c r="L107" s="28">
        <f t="shared" si="34"/>
      </c>
      <c r="M107" s="26">
        <v>19355.760000000002</v>
      </c>
      <c r="N107" s="28">
        <f t="shared" si="32"/>
      </c>
      <c r="O107" s="28">
        <f t="shared" si="35"/>
      </c>
      <c r="P107" s="28">
        <f t="shared" si="0"/>
      </c>
      <c r="Q107" s="26"/>
      <c r="R107" s="26"/>
      <c r="S107" s="29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>
      <c r="A108" s="26" t="s">
        <v>115</v>
      </c>
      <c r="B108" s="26" t="s">
        <v>78</v>
      </c>
      <c r="C108" s="26" t="s">
        <v>79</v>
      </c>
      <c r="D108" s="26">
        <v>5</v>
      </c>
      <c r="E108" s="26">
        <v>40</v>
      </c>
      <c r="F108" s="26">
        <v>33</v>
      </c>
      <c r="G108" s="26">
        <v>6</v>
      </c>
      <c r="H108" s="30">
        <v>72911.4</v>
      </c>
      <c r="I108" s="26">
        <v>1808.7000000000007</v>
      </c>
      <c r="J108" s="27">
        <f t="shared" si="22"/>
      </c>
      <c r="K108" s="26">
        <v>39144.92</v>
      </c>
      <c r="L108" s="28">
        <f t="shared" si="34"/>
      </c>
      <c r="M108" s="26">
        <v>3449.5999999999995</v>
      </c>
      <c r="N108" s="28">
        <f t="shared" si="32"/>
      </c>
      <c r="O108" s="28">
        <f t="shared" si="35"/>
      </c>
      <c r="P108" s="28">
        <f t="shared" si="0"/>
      </c>
      <c r="Q108" s="26" t="s">
        <v>80</v>
      </c>
      <c r="R108" s="26">
        <v>10</v>
      </c>
      <c r="S108" s="29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>
      <c r="A109" s="32" t="s">
        <v>115</v>
      </c>
      <c r="B109" s="33"/>
      <c r="C109" s="33"/>
      <c r="D109" s="34">
        <f>SUM(D105:D108)</f>
      </c>
      <c r="E109" s="34">
        <f>SUM(E105:E108)</f>
      </c>
      <c r="F109" s="34">
        <f>SUM(F105:F108)</f>
      </c>
      <c r="G109" s="34">
        <f>SUM(G105:G108)</f>
      </c>
      <c r="H109" s="34">
        <f>SUM(H105:H108)</f>
      </c>
      <c r="I109" s="34">
        <f>SUM(I105:I108)</f>
      </c>
      <c r="J109" s="34">
        <f>SUM(J105:J108)</f>
      </c>
      <c r="K109" s="34">
        <f>SUM(K105:K108)</f>
      </c>
      <c r="L109" s="35">
        <f t="shared" si="34"/>
      </c>
      <c r="M109" s="34">
        <f>SUM(M105:M108)</f>
      </c>
      <c r="N109" s="36">
        <f t="shared" si="32"/>
      </c>
      <c r="O109" s="35">
        <f t="shared" si="35"/>
      </c>
      <c r="P109" s="35">
        <f t="shared" si="0"/>
      </c>
      <c r="Q109" s="33"/>
      <c r="R109" s="34">
        <f>SUM(R105:R108)</f>
      </c>
      <c r="S109" s="33"/>
      <c r="T109" s="34">
        <f>SUM(T105:T108)</f>
      </c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>
      <c r="A110" s="26" t="s">
        <v>116</v>
      </c>
      <c r="B110" s="26" t="s">
        <v>68</v>
      </c>
      <c r="C110" s="26" t="s">
        <v>69</v>
      </c>
      <c r="D110" s="26">
        <v>5</v>
      </c>
      <c r="E110" s="26">
        <v>43</v>
      </c>
      <c r="F110" s="26">
        <v>31</v>
      </c>
      <c r="G110" s="26">
        <v>7</v>
      </c>
      <c r="H110" s="26">
        <v>76630.8</v>
      </c>
      <c r="I110" s="26">
        <v>24998.5</v>
      </c>
      <c r="J110" s="27">
        <f t="shared" ref="J110:J113" si="23">H110+I110</f>
      </c>
      <c r="K110" s="26">
        <v>59519.490000000005</v>
      </c>
      <c r="L110" s="28">
        <f t="shared" si="34"/>
      </c>
      <c r="M110" s="26">
        <v>34078.979999999996</v>
      </c>
      <c r="N110" s="28">
        <f t="shared" si="32"/>
      </c>
      <c r="O110" s="28">
        <f t="shared" si="35"/>
      </c>
      <c r="P110" s="28">
        <f t="shared" si="0"/>
      </c>
      <c r="Q110" s="26" t="s">
        <v>75</v>
      </c>
      <c r="R110" s="26">
        <v>10</v>
      </c>
      <c r="S110" s="29" t="s">
        <v>70</v>
      </c>
      <c r="T110" s="26">
        <v>20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>
      <c r="A111" s="26" t="s">
        <v>116</v>
      </c>
      <c r="B111" s="26" t="s">
        <v>71</v>
      </c>
      <c r="C111" s="26" t="s">
        <v>90</v>
      </c>
      <c r="D111" s="26">
        <v>5</v>
      </c>
      <c r="E111" s="26">
        <v>25</v>
      </c>
      <c r="F111" s="26">
        <v>19</v>
      </c>
      <c r="G111" s="26">
        <v>1</v>
      </c>
      <c r="H111" s="30">
        <v>38988.59999999999</v>
      </c>
      <c r="I111" s="26">
        <v>1195</v>
      </c>
      <c r="J111" s="27">
        <f t="shared" si="23"/>
      </c>
      <c r="K111" s="26">
        <v>26846.52</v>
      </c>
      <c r="L111" s="28">
        <f t="shared" si="34"/>
      </c>
      <c r="M111" s="26">
        <v>7024.32</v>
      </c>
      <c r="N111" s="28">
        <f t="shared" si="32"/>
      </c>
      <c r="O111" s="28">
        <f t="shared" si="35"/>
      </c>
      <c r="P111" s="28">
        <f t="shared" si="0"/>
      </c>
      <c r="Q111" s="26"/>
      <c r="R111" s="26"/>
      <c r="S111" s="29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>
      <c r="A112" s="26" t="s">
        <v>116</v>
      </c>
      <c r="B112" s="31" t="s">
        <v>76</v>
      </c>
      <c r="C112" s="26" t="s">
        <v>95</v>
      </c>
      <c r="D112" s="26">
        <v>5</v>
      </c>
      <c r="E112" s="26">
        <v>18</v>
      </c>
      <c r="F112" s="26">
        <v>13</v>
      </c>
      <c r="G112" s="26">
        <v>0</v>
      </c>
      <c r="H112" s="30">
        <v>19371.72</v>
      </c>
      <c r="I112" s="26">
        <v>0</v>
      </c>
      <c r="J112" s="27">
        <f t="shared" si="23"/>
      </c>
      <c r="K112" s="26">
        <v>20060.96</v>
      </c>
      <c r="L112" s="28">
        <f t="shared" si="34"/>
      </c>
      <c r="M112" s="26">
        <v>3124.44</v>
      </c>
      <c r="N112" s="28">
        <f t="shared" si="32"/>
      </c>
      <c r="O112" s="28">
        <f t="shared" si="35"/>
      </c>
      <c r="P112" s="28">
        <f t="shared" si="0"/>
      </c>
      <c r="Q112" s="26"/>
      <c r="R112" s="26"/>
      <c r="S112" s="29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>
      <c r="A113" s="26" t="s">
        <v>116</v>
      </c>
      <c r="B113" s="26" t="s">
        <v>78</v>
      </c>
      <c r="C113" s="26" t="s">
        <v>79</v>
      </c>
      <c r="D113" s="26">
        <v>5</v>
      </c>
      <c r="E113" s="38">
        <v>41</v>
      </c>
      <c r="F113" s="38">
        <v>37</v>
      </c>
      <c r="G113" s="26">
        <v>4</v>
      </c>
      <c r="H113" s="26">
        <v>60340.080000000016</v>
      </c>
      <c r="I113" s="26">
        <v>1261</v>
      </c>
      <c r="J113" s="27">
        <f t="shared" si="23"/>
      </c>
      <c r="K113" s="26">
        <v>33163.68</v>
      </c>
      <c r="L113" s="28">
        <f t="shared" si="34"/>
      </c>
      <c r="M113" s="26">
        <v>2703.240000000009</v>
      </c>
      <c r="N113" s="28">
        <f t="shared" si="32"/>
      </c>
      <c r="O113" s="28">
        <f t="shared" si="35"/>
      </c>
      <c r="P113" s="28">
        <f t="shared" si="0"/>
      </c>
      <c r="Q113" s="26" t="s">
        <v>117</v>
      </c>
      <c r="R113" s="26">
        <v>10</v>
      </c>
      <c r="S113" s="29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>
      <c r="A114" s="32" t="s">
        <v>116</v>
      </c>
      <c r="B114" s="33"/>
      <c r="C114" s="33"/>
      <c r="D114" s="34">
        <f>SUM(D110:D113)</f>
      </c>
      <c r="E114" s="34">
        <f>SUM(E110:E113)</f>
      </c>
      <c r="F114" s="34">
        <f>SUM(F110:F113)</f>
      </c>
      <c r="G114" s="34">
        <f>SUM(G110:G113)</f>
      </c>
      <c r="H114" s="34">
        <f>SUM(H110:H113)</f>
      </c>
      <c r="I114" s="34">
        <f>SUM(I110:I113)</f>
      </c>
      <c r="J114" s="34">
        <f>SUM(J110:J113)</f>
      </c>
      <c r="K114" s="34">
        <f>SUM(K110:K113)</f>
      </c>
      <c r="L114" s="35">
        <f t="shared" si="34"/>
      </c>
      <c r="M114" s="34">
        <f>SUM(M110:M113)</f>
      </c>
      <c r="N114" s="36">
        <f t="shared" si="32"/>
      </c>
      <c r="O114" s="35">
        <f t="shared" si="35"/>
      </c>
      <c r="P114" s="35">
        <f t="shared" si="0"/>
      </c>
      <c r="Q114" s="33"/>
      <c r="R114" s="34">
        <f>SUM(R110:R113)</f>
      </c>
      <c r="S114" s="33"/>
      <c r="T114" s="34">
        <f>SUM(T110:T113)</f>
      </c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>
      <c r="A115" s="26" t="s">
        <v>118</v>
      </c>
      <c r="B115" s="26" t="s">
        <v>68</v>
      </c>
      <c r="C115" s="26" t="s">
        <v>69</v>
      </c>
      <c r="D115" s="26">
        <v>5</v>
      </c>
      <c r="E115" s="26">
        <v>38</v>
      </c>
      <c r="F115" s="26">
        <v>33</v>
      </c>
      <c r="G115" s="26">
        <v>1</v>
      </c>
      <c r="H115" s="26">
        <v>50771.159999999996</v>
      </c>
      <c r="I115" s="26">
        <v>8040</v>
      </c>
      <c r="J115" s="27">
        <f t="shared" ref="J115:J118" si="24">H115+I115</f>
      </c>
      <c r="K115" s="26">
        <v>58044.14</v>
      </c>
      <c r="L115" s="28">
        <f t="shared" si="34"/>
      </c>
      <c r="M115" s="26">
        <v>17701.36</v>
      </c>
      <c r="N115" s="28">
        <f t="shared" si="32"/>
      </c>
      <c r="O115" s="28">
        <f t="shared" si="35"/>
      </c>
      <c r="P115" s="28">
        <f t="shared" si="0"/>
      </c>
      <c r="Q115" s="26" t="s">
        <v>75</v>
      </c>
      <c r="R115" s="26">
        <v>10</v>
      </c>
      <c r="S115" s="29" t="s">
        <v>70</v>
      </c>
      <c r="T115" s="26">
        <v>20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>
      <c r="A116" s="26" t="s">
        <v>118</v>
      </c>
      <c r="B116" s="26" t="s">
        <v>71</v>
      </c>
      <c r="C116" s="26" t="s">
        <v>90</v>
      </c>
      <c r="D116" s="26">
        <v>5</v>
      </c>
      <c r="E116" s="26">
        <v>49</v>
      </c>
      <c r="F116" s="26">
        <v>36</v>
      </c>
      <c r="G116" s="26">
        <v>6</v>
      </c>
      <c r="H116" s="30">
        <v>95749.44</v>
      </c>
      <c r="I116" s="26">
        <v>8680.45</v>
      </c>
      <c r="J116" s="27">
        <f t="shared" si="24"/>
      </c>
      <c r="K116" s="26">
        <v>43865.41</v>
      </c>
      <c r="L116" s="28">
        <f t="shared" si="34"/>
      </c>
      <c r="M116" s="26">
        <v>28360.32</v>
      </c>
      <c r="N116" s="28">
        <f t="shared" si="32"/>
      </c>
      <c r="O116" s="28">
        <f t="shared" si="35"/>
      </c>
      <c r="P116" s="28">
        <f t="shared" si="0"/>
      </c>
      <c r="Q116" s="26"/>
      <c r="R116" s="26"/>
      <c r="S116" s="29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>
      <c r="A117" s="26" t="s">
        <v>118</v>
      </c>
      <c r="B117" s="31" t="s">
        <v>73</v>
      </c>
      <c r="C117" s="26" t="s">
        <v>95</v>
      </c>
      <c r="D117" s="26">
        <v>5</v>
      </c>
      <c r="E117" s="26">
        <v>15</v>
      </c>
      <c r="F117" s="26">
        <v>10</v>
      </c>
      <c r="G117" s="26">
        <v>3</v>
      </c>
      <c r="H117" s="30">
        <v>32179.200000000004</v>
      </c>
      <c r="I117" s="26">
        <v>1437</v>
      </c>
      <c r="J117" s="27">
        <f t="shared" si="24"/>
      </c>
      <c r="K117" s="26">
        <v>23652.949999999997</v>
      </c>
      <c r="L117" s="28">
        <f t="shared" si="34"/>
      </c>
      <c r="M117" s="26">
        <v>3288.6000000000004</v>
      </c>
      <c r="N117" s="28">
        <f t="shared" si="32"/>
      </c>
      <c r="O117" s="28">
        <f t="shared" si="35"/>
      </c>
      <c r="P117" s="28">
        <f t="shared" si="0"/>
      </c>
      <c r="Q117" s="26"/>
      <c r="R117" s="26"/>
      <c r="S117" s="29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>
      <c r="A118" s="26" t="s">
        <v>118</v>
      </c>
      <c r="B118" s="26" t="s">
        <v>78</v>
      </c>
      <c r="C118" s="26" t="s">
        <v>79</v>
      </c>
      <c r="D118" s="26">
        <v>5</v>
      </c>
      <c r="E118" s="38">
        <v>26</v>
      </c>
      <c r="F118" s="38">
        <v>21</v>
      </c>
      <c r="G118" s="26">
        <v>3</v>
      </c>
      <c r="H118" s="26">
        <v>44182.43999999999</v>
      </c>
      <c r="I118" s="26">
        <v>2880</v>
      </c>
      <c r="J118" s="27">
        <f t="shared" si="24"/>
      </c>
      <c r="K118" s="26">
        <v>22072.79</v>
      </c>
      <c r="L118" s="28">
        <f t="shared" si="34"/>
      </c>
      <c r="M118" s="26">
        <v>1449.36</v>
      </c>
      <c r="N118" s="28">
        <f t="shared" si="32"/>
      </c>
      <c r="O118" s="28">
        <f t="shared" si="35"/>
      </c>
      <c r="P118" s="28">
        <f t="shared" si="0"/>
      </c>
      <c r="Q118" s="26" t="s">
        <v>119</v>
      </c>
      <c r="R118" s="26">
        <v>10</v>
      </c>
      <c r="S118" s="29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>
      <c r="A119" s="32" t="s">
        <v>118</v>
      </c>
      <c r="B119" s="33"/>
      <c r="C119" s="33"/>
      <c r="D119" s="34">
        <f>SUM(D115:D118)</f>
      </c>
      <c r="E119" s="34">
        <f>SUM(E115:E118)</f>
      </c>
      <c r="F119" s="34">
        <f>SUM(F115:F118)</f>
      </c>
      <c r="G119" s="34">
        <f>SUM(G115:G118)</f>
      </c>
      <c r="H119" s="34">
        <f>SUM(H115:H118)</f>
      </c>
      <c r="I119" s="34">
        <f>SUM(I115:I118)</f>
      </c>
      <c r="J119" s="34">
        <f>SUM(J115:J118)</f>
      </c>
      <c r="K119" s="34">
        <f>SUM(K115:K118)</f>
      </c>
      <c r="L119" s="35">
        <f t="shared" si="34"/>
      </c>
      <c r="M119" s="34">
        <f>SUM(M115:M118)</f>
      </c>
      <c r="N119" s="36">
        <f t="shared" si="32"/>
      </c>
      <c r="O119" s="35">
        <f t="shared" si="35"/>
      </c>
      <c r="P119" s="35">
        <f t="shared" si="0"/>
      </c>
      <c r="Q119" s="33"/>
      <c r="R119" s="34">
        <f>SUM(R115:R118)</f>
      </c>
      <c r="S119" s="33"/>
      <c r="T119" s="34">
        <f>SUM(T115:T118)</f>
      </c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>
      <c r="A120" s="26" t="s">
        <v>120</v>
      </c>
      <c r="B120" s="26" t="s">
        <v>68</v>
      </c>
      <c r="C120" s="26" t="s">
        <v>69</v>
      </c>
      <c r="D120" s="26">
        <v>5</v>
      </c>
      <c r="E120" s="26">
        <v>43</v>
      </c>
      <c r="F120" s="26">
        <v>36</v>
      </c>
      <c r="G120" s="26">
        <v>4</v>
      </c>
      <c r="H120" s="26">
        <v>73284.12</v>
      </c>
      <c r="I120" s="26">
        <v>5075</v>
      </c>
      <c r="J120" s="27">
        <f t="shared" ref="J120:J123" si="25">H120+I120</f>
      </c>
      <c r="K120" s="26">
        <v>41063.369999999995</v>
      </c>
      <c r="L120" s="28">
        <f t="shared" si="34"/>
      </c>
      <c r="M120" s="26">
        <v>16472.12</v>
      </c>
      <c r="N120" s="28">
        <f t="shared" si="32"/>
      </c>
      <c r="O120" s="28">
        <f t="shared" si="35"/>
      </c>
      <c r="P120" s="28">
        <f t="shared" si="0"/>
      </c>
      <c r="Q120" s="26" t="s">
        <v>75</v>
      </c>
      <c r="R120" s="26">
        <v>10</v>
      </c>
      <c r="S120" s="29" t="s">
        <v>70</v>
      </c>
      <c r="T120" s="26">
        <v>20</v>
      </c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>
      <c r="A121" s="26" t="s">
        <v>120</v>
      </c>
      <c r="B121" s="26" t="s">
        <v>71</v>
      </c>
      <c r="C121" s="26" t="s">
        <v>90</v>
      </c>
      <c r="D121" s="26">
        <v>5</v>
      </c>
      <c r="E121" s="26">
        <v>54</v>
      </c>
      <c r="F121" s="26">
        <v>45</v>
      </c>
      <c r="G121" s="26">
        <v>8</v>
      </c>
      <c r="H121" s="30">
        <v>105691.68000000002</v>
      </c>
      <c r="I121" s="26">
        <v>4991.5</v>
      </c>
      <c r="J121" s="27">
        <f t="shared" si="25"/>
      </c>
      <c r="K121" s="26">
        <v>52627.87</v>
      </c>
      <c r="L121" s="28">
        <f t="shared" si="34"/>
      </c>
      <c r="M121" s="26">
        <v>43909.56</v>
      </c>
      <c r="N121" s="28">
        <f t="shared" si="32"/>
      </c>
      <c r="O121" s="28">
        <f t="shared" si="35"/>
      </c>
      <c r="P121" s="28">
        <f t="shared" si="0"/>
      </c>
      <c r="Q121" s="26"/>
      <c r="R121" s="26"/>
      <c r="S121" s="29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>
      <c r="A122" s="26" t="s">
        <v>120</v>
      </c>
      <c r="B122" s="31" t="s">
        <v>73</v>
      </c>
      <c r="C122" s="26" t="s">
        <v>95</v>
      </c>
      <c r="D122" s="26">
        <v>5</v>
      </c>
      <c r="E122" s="26">
        <v>29</v>
      </c>
      <c r="F122" s="26">
        <v>24</v>
      </c>
      <c r="G122" s="26">
        <v>5</v>
      </c>
      <c r="H122" s="30">
        <v>60097.79999999999</v>
      </c>
      <c r="I122" s="26">
        <v>5536</v>
      </c>
      <c r="J122" s="27">
        <f t="shared" si="25"/>
      </c>
      <c r="K122" s="26">
        <v>37508.2</v>
      </c>
      <c r="L122" s="28">
        <f t="shared" si="34"/>
      </c>
      <c r="M122" s="26">
        <v>7182.8399999999965</v>
      </c>
      <c r="N122" s="28">
        <f t="shared" si="32"/>
      </c>
      <c r="O122" s="28">
        <f t="shared" si="35"/>
      </c>
      <c r="P122" s="28">
        <f t="shared" si="0"/>
      </c>
      <c r="Q122" s="26"/>
      <c r="R122" s="26"/>
      <c r="S122" s="29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>
      <c r="A123" s="26" t="s">
        <v>120</v>
      </c>
      <c r="B123" s="26" t="s">
        <v>76</v>
      </c>
      <c r="C123" s="26" t="s">
        <v>79</v>
      </c>
      <c r="D123" s="26">
        <v>5</v>
      </c>
      <c r="E123" s="39">
        <v>40</v>
      </c>
      <c r="F123" s="39">
        <v>32</v>
      </c>
      <c r="G123" s="26">
        <v>4</v>
      </c>
      <c r="H123" s="40">
        <v>100479.83999999997</v>
      </c>
      <c r="I123" s="40">
        <v>2653</v>
      </c>
      <c r="J123" s="27">
        <f t="shared" si="25"/>
      </c>
      <c r="K123" s="40">
        <v>37393.189999999995</v>
      </c>
      <c r="L123" s="28">
        <f t="shared" si="34"/>
      </c>
      <c r="M123" s="26">
        <v>7993.52000000001</v>
      </c>
      <c r="N123" s="28">
        <f t="shared" si="32"/>
      </c>
      <c r="O123" s="28">
        <f t="shared" si="35"/>
      </c>
      <c r="P123" s="28">
        <f t="shared" si="0"/>
      </c>
      <c r="Q123" s="26" t="s">
        <v>117</v>
      </c>
      <c r="R123" s="26">
        <v>10</v>
      </c>
      <c r="S123" s="29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>
      <c r="A124" s="32" t="s">
        <v>120</v>
      </c>
      <c r="B124" s="33"/>
      <c r="C124" s="33"/>
      <c r="D124" s="34">
        <f>SUM(D120:D123)</f>
      </c>
      <c r="E124" s="34">
        <f>SUM(E120:E123)</f>
      </c>
      <c r="F124" s="34">
        <f>SUM(F120:F123)</f>
      </c>
      <c r="G124" s="34">
        <f>SUM(G120:G123)</f>
      </c>
      <c r="H124" s="34">
        <f>SUM(H120:H123)</f>
      </c>
      <c r="I124" s="34">
        <f>SUM(I120:I123)</f>
      </c>
      <c r="J124" s="34">
        <f>SUM(J120:J123)</f>
      </c>
      <c r="K124" s="34">
        <f>SUM(K120:K123)</f>
      </c>
      <c r="L124" s="35">
        <f t="shared" si="34"/>
      </c>
      <c r="M124" s="34">
        <f>SUM(M120:M123)</f>
      </c>
      <c r="N124" s="36">
        <f t="shared" si="32"/>
      </c>
      <c r="O124" s="35">
        <f t="shared" si="35"/>
      </c>
      <c r="P124" s="35">
        <f t="shared" si="0"/>
      </c>
      <c r="Q124" s="33"/>
      <c r="R124" s="34">
        <f>SUM(R120:R123)</f>
      </c>
      <c r="S124" s="33"/>
      <c r="T124" s="34">
        <f>SUM(T120:T123)</f>
      </c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>
      <c r="A125" s="26" t="s">
        <v>121</v>
      </c>
      <c r="B125" s="26" t="s">
        <v>68</v>
      </c>
      <c r="C125" s="26" t="s">
        <v>69</v>
      </c>
      <c r="D125" s="26">
        <v>5</v>
      </c>
      <c r="E125" s="26">
        <v>55</v>
      </c>
      <c r="F125" s="26">
        <v>43</v>
      </c>
      <c r="G125" s="26">
        <v>7</v>
      </c>
      <c r="H125" s="26">
        <v>86214.84</v>
      </c>
      <c r="I125" s="26">
        <v>14703.95</v>
      </c>
      <c r="J125" s="27">
        <f t="shared" ref="J125:J129" si="26">H125+I125</f>
      </c>
      <c r="K125" s="26">
        <v>59205.130000000005</v>
      </c>
      <c r="L125" s="28">
        <f t="shared" si="34"/>
      </c>
      <c r="M125" s="26">
        <v>25645.66</v>
      </c>
      <c r="N125" s="28">
        <f t="shared" si="32"/>
      </c>
      <c r="O125" s="28">
        <f t="shared" si="35"/>
      </c>
      <c r="P125" s="28">
        <f t="shared" si="0"/>
      </c>
      <c r="Q125" s="26" t="s">
        <v>122</v>
      </c>
      <c r="R125" s="26">
        <v>10</v>
      </c>
      <c r="S125" s="29" t="s">
        <v>70</v>
      </c>
      <c r="T125" s="26">
        <v>20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>
      <c r="A126" s="26" t="s">
        <v>121</v>
      </c>
      <c r="B126" s="26" t="s">
        <v>71</v>
      </c>
      <c r="C126" s="26" t="s">
        <v>72</v>
      </c>
      <c r="D126" s="26">
        <v>4</v>
      </c>
      <c r="E126" s="26">
        <v>24</v>
      </c>
      <c r="F126" s="26">
        <v>19</v>
      </c>
      <c r="G126" s="26">
        <v>0</v>
      </c>
      <c r="H126" s="30">
        <v>43008.84000000001</v>
      </c>
      <c r="I126" s="26">
        <v>3607</v>
      </c>
      <c r="J126" s="27">
        <f t="shared" si="26"/>
      </c>
      <c r="K126" s="26">
        <v>20137.68</v>
      </c>
      <c r="L126" s="28">
        <f t="shared" si="34"/>
      </c>
      <c r="M126" s="26">
        <v>13563.080000000002</v>
      </c>
      <c r="N126" s="28">
        <f t="shared" si="32"/>
      </c>
      <c r="O126" s="28">
        <f t="shared" si="35"/>
      </c>
      <c r="P126" s="28">
        <f t="shared" si="0"/>
      </c>
      <c r="Q126" s="26"/>
      <c r="R126" s="26"/>
      <c r="S126" s="29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>
      <c r="A127" s="26" t="s">
        <v>121</v>
      </c>
      <c r="B127" s="41" t="s">
        <v>123</v>
      </c>
      <c r="C127" s="26" t="s">
        <v>124</v>
      </c>
      <c r="D127" s="26">
        <v>2</v>
      </c>
      <c r="E127" s="26">
        <v>13</v>
      </c>
      <c r="F127" s="26">
        <v>13</v>
      </c>
      <c r="G127" s="26">
        <v>0</v>
      </c>
      <c r="H127" s="30">
        <v>20593.439999999995</v>
      </c>
      <c r="I127" s="26">
        <v>2641</v>
      </c>
      <c r="J127" s="27">
        <f t="shared" si="26"/>
      </c>
      <c r="K127" s="26">
        <v>13868.79</v>
      </c>
      <c r="L127" s="28">
        <f t="shared" si="34"/>
      </c>
      <c r="M127" s="26">
        <v>2117.88</v>
      </c>
      <c r="N127" s="28">
        <f t="shared" si="32"/>
      </c>
      <c r="O127" s="28">
        <f t="shared" si="35"/>
      </c>
      <c r="P127" s="28">
        <f t="shared" si="0"/>
      </c>
      <c r="Q127" s="26"/>
      <c r="R127" s="26"/>
      <c r="S127" s="29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customHeight="true" ht="16.071428571428573" r="128">
      <c r="A128" s="26" t="s">
        <v>121</v>
      </c>
      <c r="B128" s="41" t="s">
        <v>73</v>
      </c>
      <c r="C128" s="26" t="s">
        <v>125</v>
      </c>
      <c r="D128" s="26">
        <v>4</v>
      </c>
      <c r="E128" s="26">
        <v>43</v>
      </c>
      <c r="F128" s="26">
        <v>36</v>
      </c>
      <c r="G128" s="26">
        <v>3</v>
      </c>
      <c r="H128" s="30">
        <v>60502.20000000001</v>
      </c>
      <c r="I128" s="26">
        <v>1045</v>
      </c>
      <c r="J128" s="27">
        <f t="shared" si="26"/>
      </c>
      <c r="K128" s="26">
        <v>39265.77</v>
      </c>
      <c r="L128" s="28">
        <f t="shared" si="34"/>
      </c>
      <c r="M128" s="26">
        <v>12083.039999999999</v>
      </c>
      <c r="N128" s="28">
        <f t="shared" si="32"/>
      </c>
      <c r="O128" s="28">
        <f t="shared" si="35"/>
      </c>
      <c r="P128" s="28">
        <f t="shared" si="0"/>
      </c>
      <c r="Q128" s="26"/>
      <c r="R128" s="26"/>
      <c r="S128" s="29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>
      <c r="A129" s="26" t="s">
        <v>121</v>
      </c>
      <c r="B129" s="26" t="s">
        <v>76</v>
      </c>
      <c r="C129" s="26" t="s">
        <v>79</v>
      </c>
      <c r="D129" s="26">
        <v>5</v>
      </c>
      <c r="E129" s="38">
        <v>38</v>
      </c>
      <c r="F129" s="38">
        <v>32</v>
      </c>
      <c r="G129" s="26">
        <v>3</v>
      </c>
      <c r="H129" s="40">
        <v>68426.75999999998</v>
      </c>
      <c r="I129" s="40">
        <v>9322</v>
      </c>
      <c r="J129" s="27">
        <f t="shared" si="26"/>
      </c>
      <c r="K129" s="40">
        <v>43986.020000000004</v>
      </c>
      <c r="L129" s="28">
        <f t="shared" si="34"/>
      </c>
      <c r="M129" s="26">
        <v>3965.239999999993</v>
      </c>
      <c r="N129" s="28">
        <f t="shared" si="32"/>
      </c>
      <c r="O129" s="28">
        <f t="shared" si="35"/>
      </c>
      <c r="P129" s="28">
        <f t="shared" si="0"/>
      </c>
      <c r="Q129" s="26" t="s">
        <v>117</v>
      </c>
      <c r="R129" s="26">
        <v>10</v>
      </c>
      <c r="S129" s="29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>
      <c r="A130" s="32" t="s">
        <v>121</v>
      </c>
      <c r="B130" s="33"/>
      <c r="C130" s="33"/>
      <c r="D130" s="34">
        <f>SUM(D125:D129)</f>
      </c>
      <c r="E130" s="34">
        <f>SUM(E125:E129)</f>
      </c>
      <c r="F130" s="34">
        <f>SUM(F125:F129)</f>
      </c>
      <c r="G130" s="34">
        <f>SUM(G125:G129)</f>
      </c>
      <c r="H130" s="34">
        <f>SUM(H125:H129)</f>
      </c>
      <c r="I130" s="34">
        <f>SUM(I125:I129)</f>
      </c>
      <c r="J130" s="34">
        <f>SUM(J125:J129)</f>
      </c>
      <c r="K130" s="34">
        <f>SUM(K125:K129)</f>
      </c>
      <c r="L130" s="35">
        <f t="shared" si="34"/>
      </c>
      <c r="M130" s="34">
        <f>SUM(M125:M129)</f>
      </c>
      <c r="N130" s="36">
        <f t="shared" si="32"/>
      </c>
      <c r="O130" s="35">
        <f t="shared" si="35"/>
      </c>
      <c r="P130" s="35">
        <f t="shared" si="0"/>
      </c>
      <c r="Q130" s="33"/>
      <c r="R130" s="34">
        <f>SUM(R125:R129)</f>
      </c>
      <c r="S130" s="33"/>
      <c r="T130" s="34">
        <f>SUM(T125:T129)</f>
      </c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>
      <c r="A131" s="26" t="s">
        <v>126</v>
      </c>
      <c r="B131" s="26" t="s">
        <v>68</v>
      </c>
      <c r="C131" s="26" t="s">
        <v>69</v>
      </c>
      <c r="D131" s="26">
        <v>5</v>
      </c>
      <c r="E131" s="26">
        <v>69</v>
      </c>
      <c r="F131" s="26">
        <v>59</v>
      </c>
      <c r="G131" s="26">
        <v>13</v>
      </c>
      <c r="H131" s="26">
        <v>149229.36</v>
      </c>
      <c r="I131" s="26">
        <v>8792.15</v>
      </c>
      <c r="J131" s="27">
        <f t="shared" ref="J131:J135" si="27">H131+I131</f>
      </c>
      <c r="K131" s="26">
        <v>72290.01000000001</v>
      </c>
      <c r="L131" s="28">
        <f t="shared" si="34"/>
      </c>
      <c r="M131" s="26">
        <v>44728.280000000006</v>
      </c>
      <c r="N131" s="28">
        <f t="shared" si="32"/>
      </c>
      <c r="O131" s="28">
        <f t="shared" si="35"/>
      </c>
      <c r="P131" s="28">
        <f t="shared" si="0"/>
      </c>
      <c r="Q131" s="26" t="s">
        <v>75</v>
      </c>
      <c r="R131" s="26">
        <v>10</v>
      </c>
      <c r="S131" s="29" t="s">
        <v>70</v>
      </c>
      <c r="T131" s="26">
        <v>20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>
      <c r="A132" s="26" t="s">
        <v>126</v>
      </c>
      <c r="B132" s="26" t="s">
        <v>71</v>
      </c>
      <c r="C132" s="26" t="s">
        <v>72</v>
      </c>
      <c r="D132" s="26">
        <v>4</v>
      </c>
      <c r="E132" s="26">
        <v>43</v>
      </c>
      <c r="F132" s="26">
        <v>34</v>
      </c>
      <c r="G132" s="26">
        <v>4</v>
      </c>
      <c r="H132" s="30">
        <v>65835.36000000002</v>
      </c>
      <c r="I132" s="26">
        <v>6726</v>
      </c>
      <c r="J132" s="27">
        <f t="shared" si="27"/>
      </c>
      <c r="K132" s="26">
        <v>39815.72</v>
      </c>
      <c r="L132" s="28">
        <f t="shared" si="34"/>
      </c>
      <c r="M132" s="26">
        <v>19486.880000000005</v>
      </c>
      <c r="N132" s="28">
        <f t="shared" si="32"/>
      </c>
      <c r="O132" s="28">
        <f t="shared" si="35"/>
      </c>
      <c r="P132" s="28">
        <f t="shared" si="0"/>
      </c>
      <c r="Q132" s="26"/>
      <c r="R132" s="26"/>
      <c r="S132" s="29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>
      <c r="A133" s="26" t="s">
        <v>126</v>
      </c>
      <c r="B133" s="41" t="s">
        <v>123</v>
      </c>
      <c r="C133" s="26" t="s">
        <v>124</v>
      </c>
      <c r="D133" s="26">
        <v>2</v>
      </c>
      <c r="E133" s="26">
        <v>21</v>
      </c>
      <c r="F133" s="26">
        <v>18</v>
      </c>
      <c r="G133" s="26">
        <v>1</v>
      </c>
      <c r="H133" s="30">
        <v>23972.04</v>
      </c>
      <c r="I133" s="26">
        <v>6026.000000000002</v>
      </c>
      <c r="J133" s="27">
        <f t="shared" si="27"/>
      </c>
      <c r="K133" s="26">
        <v>24671.53</v>
      </c>
      <c r="L133" s="28">
        <f t="shared" si="34"/>
      </c>
      <c r="M133" s="26">
        <v>10293.72</v>
      </c>
      <c r="N133" s="28">
        <f t="shared" si="32"/>
      </c>
      <c r="O133" s="28">
        <f t="shared" si="35"/>
      </c>
      <c r="P133" s="28">
        <f t="shared" si="0"/>
      </c>
      <c r="Q133" s="26"/>
      <c r="R133" s="26"/>
      <c r="S133" s="29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>
      <c r="A134" s="26" t="s">
        <v>126</v>
      </c>
      <c r="B134" s="41" t="s">
        <v>73</v>
      </c>
      <c r="C134" s="26" t="s">
        <v>125</v>
      </c>
      <c r="D134" s="26">
        <v>4</v>
      </c>
      <c r="E134" s="26">
        <v>37</v>
      </c>
      <c r="F134" s="26">
        <v>32</v>
      </c>
      <c r="G134" s="26">
        <v>5</v>
      </c>
      <c r="H134" s="30">
        <v>72279.48</v>
      </c>
      <c r="I134" s="26">
        <v>5660.85</v>
      </c>
      <c r="J134" s="27">
        <f t="shared" si="27"/>
      </c>
      <c r="K134" s="26">
        <v>38304.27</v>
      </c>
      <c r="L134" s="28">
        <f t="shared" si="34"/>
      </c>
      <c r="M134" s="26">
        <v>5753.76</v>
      </c>
      <c r="N134" s="28">
        <f t="shared" si="32"/>
      </c>
      <c r="O134" s="28">
        <f t="shared" si="35"/>
      </c>
      <c r="P134" s="28">
        <f t="shared" si="0"/>
      </c>
      <c r="Q134" s="26"/>
      <c r="R134" s="26"/>
      <c r="S134" s="29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>
      <c r="A135" s="26" t="s">
        <v>126</v>
      </c>
      <c r="B135" s="26" t="s">
        <v>78</v>
      </c>
      <c r="C135" s="26" t="s">
        <v>79</v>
      </c>
      <c r="D135" s="26">
        <v>5</v>
      </c>
      <c r="E135" s="38">
        <v>47</v>
      </c>
      <c r="F135" s="38">
        <v>42</v>
      </c>
      <c r="G135" s="26">
        <v>9</v>
      </c>
      <c r="H135" s="40">
        <v>81515.52</v>
      </c>
      <c r="I135" s="40">
        <v>5630</v>
      </c>
      <c r="J135" s="27">
        <f t="shared" si="27"/>
      </c>
      <c r="K135" s="40">
        <v>57050.75000000001</v>
      </c>
      <c r="L135" s="28">
        <f t="shared" si="34"/>
      </c>
      <c r="M135" s="26">
        <v>0</v>
      </c>
      <c r="N135" s="28">
        <f t="shared" si="32"/>
      </c>
      <c r="O135" s="28">
        <f t="shared" si="35"/>
      </c>
      <c r="P135" s="28">
        <f t="shared" si="0"/>
      </c>
      <c r="Q135" s="26" t="s">
        <v>80</v>
      </c>
      <c r="R135" s="26">
        <v>10</v>
      </c>
      <c r="S135" s="29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>
      <c r="A136" s="32" t="s">
        <v>126</v>
      </c>
      <c r="B136" s="33"/>
      <c r="C136" s="33"/>
      <c r="D136" s="34">
        <f>SUM(D131:D135)</f>
      </c>
      <c r="E136" s="34">
        <f>SUM(E131:E135)</f>
      </c>
      <c r="F136" s="34">
        <f>SUM(F131:F135)</f>
      </c>
      <c r="G136" s="34">
        <f>SUM(G131:G135)</f>
      </c>
      <c r="H136" s="34">
        <f>SUM(H131:H135)</f>
      </c>
      <c r="I136" s="34">
        <f>SUM(I131:I135)</f>
      </c>
      <c r="J136" s="34">
        <f>SUM(J131:J135)</f>
      </c>
      <c r="K136" s="34">
        <f>SUM(K131:K135)</f>
      </c>
      <c r="L136" s="35">
        <f t="shared" si="34"/>
      </c>
      <c r="M136" s="34">
        <f>SUM(M131:M135)</f>
      </c>
      <c r="N136" s="36">
        <f t="shared" si="32"/>
      </c>
      <c r="O136" s="35">
        <f t="shared" si="35"/>
      </c>
      <c r="P136" s="35">
        <f t="shared" si="0"/>
      </c>
      <c r="Q136" s="33"/>
      <c r="R136" s="34">
        <f>SUM(R131:R135)</f>
      </c>
      <c r="S136" s="33"/>
      <c r="T136" s="34">
        <f>SUM(T131:T135)</f>
      </c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>
      <c r="A137" s="26" t="s">
        <v>127</v>
      </c>
      <c r="B137" s="26" t="s">
        <v>68</v>
      </c>
      <c r="C137" s="26" t="s">
        <v>69</v>
      </c>
      <c r="D137" s="26">
        <v>5</v>
      </c>
      <c r="E137" s="26">
        <v>45</v>
      </c>
      <c r="F137" s="26">
        <v>33</v>
      </c>
      <c r="G137" s="26">
        <v>9</v>
      </c>
      <c r="H137" s="26">
        <v>85889.40000000001</v>
      </c>
      <c r="I137" s="26">
        <v>4072</v>
      </c>
      <c r="J137" s="27">
        <f t="shared" ref="J137:J141" si="28">H137+I137</f>
      </c>
      <c r="K137" s="26">
        <v>51510.23</v>
      </c>
      <c r="L137" s="28">
        <f t="shared" si="34"/>
      </c>
      <c r="M137" s="26">
        <v>27049.440000000002</v>
      </c>
      <c r="N137" s="28">
        <f t="shared" si="32"/>
      </c>
      <c r="O137" s="28">
        <f t="shared" si="35"/>
      </c>
      <c r="P137" s="28">
        <f t="shared" si="0"/>
      </c>
      <c r="Q137" s="26" t="s">
        <v>75</v>
      </c>
      <c r="R137" s="26">
        <v>10</v>
      </c>
      <c r="S137" s="29" t="s">
        <v>70</v>
      </c>
      <c r="T137" s="26">
        <v>20</v>
      </c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>
      <c r="A138" s="26" t="s">
        <v>127</v>
      </c>
      <c r="B138" s="26" t="s">
        <v>71</v>
      </c>
      <c r="C138" s="26" t="s">
        <v>72</v>
      </c>
      <c r="D138" s="26">
        <v>4</v>
      </c>
      <c r="E138" s="26">
        <v>47</v>
      </c>
      <c r="F138" s="26">
        <v>42</v>
      </c>
      <c r="G138" s="26">
        <v>7</v>
      </c>
      <c r="H138" s="30">
        <v>70610.52000000002</v>
      </c>
      <c r="I138" s="26">
        <v>6141.35</v>
      </c>
      <c r="J138" s="27">
        <f t="shared" si="28"/>
      </c>
      <c r="K138" s="26">
        <v>44022.56</v>
      </c>
      <c r="L138" s="28">
        <f t="shared" si="34"/>
      </c>
      <c r="M138" s="26">
        <v>22714.4</v>
      </c>
      <c r="N138" s="28">
        <f t="shared" si="32"/>
      </c>
      <c r="O138" s="28">
        <f t="shared" si="35"/>
      </c>
      <c r="P138" s="28">
        <f t="shared" si="0"/>
      </c>
      <c r="Q138" s="26"/>
      <c r="R138" s="26"/>
      <c r="S138" s="29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>
      <c r="A139" s="26" t="s">
        <v>127</v>
      </c>
      <c r="B139" s="41" t="s">
        <v>123</v>
      </c>
      <c r="C139" s="26" t="s">
        <v>124</v>
      </c>
      <c r="D139" s="26">
        <v>2</v>
      </c>
      <c r="E139" s="26">
        <v>13</v>
      </c>
      <c r="F139" s="26">
        <v>14</v>
      </c>
      <c r="G139" s="26">
        <v>0</v>
      </c>
      <c r="H139" s="30">
        <v>16133.039999999979</v>
      </c>
      <c r="I139" s="26">
        <v>1656</v>
      </c>
      <c r="J139" s="27">
        <f t="shared" si="28"/>
      </c>
      <c r="K139" s="26">
        <v>20722.42</v>
      </c>
      <c r="L139" s="28">
        <f t="shared" si="34"/>
      </c>
      <c r="M139" s="26">
        <v>2906.6400000000003</v>
      </c>
      <c r="N139" s="28">
        <f t="shared" si="32"/>
      </c>
      <c r="O139" s="28">
        <f t="shared" si="35"/>
      </c>
      <c r="P139" s="28">
        <f t="shared" si="0"/>
      </c>
      <c r="Q139" s="26"/>
      <c r="R139" s="26"/>
      <c r="S139" s="29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>
      <c r="A140" s="26" t="s">
        <v>127</v>
      </c>
      <c r="B140" s="31" t="s">
        <v>76</v>
      </c>
      <c r="C140" s="26" t="s">
        <v>125</v>
      </c>
      <c r="D140" s="26">
        <v>4</v>
      </c>
      <c r="E140" s="26">
        <v>26</v>
      </c>
      <c r="F140" s="26">
        <v>20</v>
      </c>
      <c r="G140" s="26">
        <v>1</v>
      </c>
      <c r="H140" s="30">
        <v>43925.76000000001</v>
      </c>
      <c r="I140" s="26">
        <v>3653.25</v>
      </c>
      <c r="J140" s="27">
        <f t="shared" si="28"/>
      </c>
      <c r="K140" s="26">
        <v>26744.33</v>
      </c>
      <c r="L140" s="28">
        <f t="shared" si="34"/>
      </c>
      <c r="M140" s="26">
        <v>11801.41</v>
      </c>
      <c r="N140" s="28">
        <f t="shared" si="32"/>
      </c>
      <c r="O140" s="28">
        <f t="shared" si="35"/>
      </c>
      <c r="P140" s="28">
        <f t="shared" si="0"/>
      </c>
      <c r="Q140" s="26"/>
      <c r="R140" s="26"/>
      <c r="S140" s="29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>
      <c r="A141" s="26" t="s">
        <v>127</v>
      </c>
      <c r="B141" s="26" t="s">
        <v>78</v>
      </c>
      <c r="C141" s="26" t="s">
        <v>79</v>
      </c>
      <c r="D141" s="26">
        <v>5</v>
      </c>
      <c r="E141" s="38">
        <v>32</v>
      </c>
      <c r="F141" s="38">
        <v>27</v>
      </c>
      <c r="G141" s="26">
        <v>4</v>
      </c>
      <c r="H141" s="40">
        <v>57946.91999999994</v>
      </c>
      <c r="I141" s="40">
        <v>626</v>
      </c>
      <c r="J141" s="27">
        <f t="shared" si="28"/>
      </c>
      <c r="K141" s="40">
        <v>35487.229999999996</v>
      </c>
      <c r="L141" s="28">
        <f t="shared" si="34"/>
      </c>
      <c r="M141" s="26">
        <v>0</v>
      </c>
      <c r="N141" s="28">
        <f t="shared" si="32"/>
      </c>
      <c r="O141" s="28">
        <f t="shared" si="35"/>
      </c>
      <c r="P141" s="28">
        <f t="shared" si="0"/>
      </c>
      <c r="Q141" s="26" t="s">
        <v>80</v>
      </c>
      <c r="R141" s="26">
        <v>10</v>
      </c>
      <c r="S141" s="29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>
      <c r="A142" s="32" t="s">
        <v>127</v>
      </c>
      <c r="B142" s="33"/>
      <c r="C142" s="33"/>
      <c r="D142" s="34">
        <f>SUM(D137:D141)</f>
      </c>
      <c r="E142" s="34">
        <v>47</v>
      </c>
      <c r="F142" s="34">
        <v>42</v>
      </c>
      <c r="G142" s="34">
        <f>SUM(G137:G141)</f>
      </c>
      <c r="H142" s="34">
        <f>SUM(H137:H141)</f>
      </c>
      <c r="I142" s="34">
        <f>SUM(I137:I141)</f>
      </c>
      <c r="J142" s="34">
        <f>SUM(J137:J141)</f>
      </c>
      <c r="K142" s="34">
        <f>SUM(K137:K141)</f>
      </c>
      <c r="L142" s="35">
        <f t="shared" si="34"/>
      </c>
      <c r="M142" s="34">
        <f>SUM(M137:M141)</f>
      </c>
      <c r="N142" s="36">
        <f t="shared" si="32"/>
      </c>
      <c r="O142" s="35">
        <f t="shared" si="35"/>
      </c>
      <c r="P142" s="35">
        <f t="shared" si="0"/>
      </c>
      <c r="Q142" s="33"/>
      <c r="R142" s="34">
        <f>SUM(R137:R141)</f>
      </c>
      <c r="S142" s="33"/>
      <c r="T142" s="34">
        <f>SUM(T137:T141)</f>
      </c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>
      <c r="A143" s="26" t="s">
        <v>128</v>
      </c>
      <c r="B143" s="26" t="s">
        <v>68</v>
      </c>
      <c r="C143" s="26" t="s">
        <v>69</v>
      </c>
      <c r="D143" s="26">
        <v>5</v>
      </c>
      <c r="E143" s="26">
        <v>67</v>
      </c>
      <c r="F143" s="26">
        <v>56</v>
      </c>
      <c r="G143" s="26">
        <v>6</v>
      </c>
      <c r="H143" s="26">
        <v>97576.2</v>
      </c>
      <c r="I143" s="26">
        <v>15506.2</v>
      </c>
      <c r="J143" s="27">
        <f t="shared" ref="J143:J147" si="29">H143+I143</f>
      </c>
      <c r="K143" s="26">
        <v>75202.81999999999</v>
      </c>
      <c r="L143" s="28">
        <f t="shared" si="34"/>
      </c>
      <c r="M143" s="26">
        <v>49994.53999999999</v>
      </c>
      <c r="N143" s="28">
        <f t="shared" si="32"/>
      </c>
      <c r="O143" s="28">
        <f t="shared" si="35"/>
      </c>
      <c r="P143" s="28">
        <f t="shared" si="0"/>
      </c>
      <c r="Q143" s="26" t="s">
        <v>75</v>
      </c>
      <c r="R143" s="26">
        <v>10</v>
      </c>
      <c r="S143" s="29" t="s">
        <v>70</v>
      </c>
      <c r="T143" s="26">
        <v>20</v>
      </c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>
      <c r="A144" s="26" t="s">
        <v>128</v>
      </c>
      <c r="B144" s="26" t="s">
        <v>76</v>
      </c>
      <c r="C144" s="26" t="s">
        <v>72</v>
      </c>
      <c r="D144" s="26">
        <v>4</v>
      </c>
      <c r="E144" s="26">
        <v>22</v>
      </c>
      <c r="F144" s="26">
        <v>15</v>
      </c>
      <c r="G144" s="26">
        <v>1</v>
      </c>
      <c r="H144" s="30">
        <v>29950.799999999996</v>
      </c>
      <c r="I144" s="26">
        <v>1920</v>
      </c>
      <c r="J144" s="27">
        <f t="shared" si="29"/>
      </c>
      <c r="K144" s="26">
        <v>27989.57</v>
      </c>
      <c r="L144" s="28">
        <f t="shared" si="34"/>
      </c>
      <c r="M144" s="26">
        <v>12175.08</v>
      </c>
      <c r="N144" s="28">
        <f t="shared" si="32"/>
      </c>
      <c r="O144" s="28">
        <f t="shared" si="35"/>
      </c>
      <c r="P144" s="28">
        <f t="shared" si="0"/>
      </c>
      <c r="Q144" s="26"/>
      <c r="R144" s="26"/>
      <c r="S144" s="29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>
      <c r="A145" s="26" t="s">
        <v>128</v>
      </c>
      <c r="B145" s="41" t="s">
        <v>123</v>
      </c>
      <c r="C145" s="26" t="s">
        <v>124</v>
      </c>
      <c r="D145" s="26">
        <v>2</v>
      </c>
      <c r="E145" s="26">
        <v>13</v>
      </c>
      <c r="F145" s="26">
        <v>12</v>
      </c>
      <c r="G145" s="26">
        <v>2</v>
      </c>
      <c r="H145" s="30">
        <v>22218.359999999986</v>
      </c>
      <c r="I145" s="26">
        <v>1086</v>
      </c>
      <c r="J145" s="27">
        <f t="shared" si="29"/>
      </c>
      <c r="K145" s="26">
        <v>14415.400000000001</v>
      </c>
      <c r="L145" s="28">
        <f t="shared" si="34"/>
      </c>
      <c r="M145" s="26">
        <v>13085.28</v>
      </c>
      <c r="N145" s="28">
        <f t="shared" si="32"/>
      </c>
      <c r="O145" s="28">
        <f t="shared" si="35"/>
      </c>
      <c r="P145" s="28">
        <f t="shared" si="0"/>
      </c>
      <c r="Q145" s="26"/>
      <c r="R145" s="26"/>
      <c r="S145" s="29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>
      <c r="A146" s="26" t="s">
        <v>128</v>
      </c>
      <c r="B146" s="31" t="s">
        <v>73</v>
      </c>
      <c r="C146" s="26" t="s">
        <v>125</v>
      </c>
      <c r="D146" s="26">
        <v>4</v>
      </c>
      <c r="E146" s="26">
        <v>27</v>
      </c>
      <c r="F146" s="26">
        <v>26</v>
      </c>
      <c r="G146" s="26">
        <v>2</v>
      </c>
      <c r="H146" s="30">
        <v>40462.080000000016</v>
      </c>
      <c r="I146" s="26">
        <v>3571</v>
      </c>
      <c r="J146" s="27">
        <f t="shared" si="29"/>
      </c>
      <c r="K146" s="26">
        <v>29456.300000000003</v>
      </c>
      <c r="L146" s="28">
        <f t="shared" si="34"/>
      </c>
      <c r="M146" s="26">
        <v>3567.24</v>
      </c>
      <c r="N146" s="28">
        <f t="shared" si="32"/>
      </c>
      <c r="O146" s="28">
        <f t="shared" si="35"/>
      </c>
      <c r="P146" s="28">
        <f t="shared" si="0"/>
      </c>
      <c r="Q146" s="26"/>
      <c r="R146" s="26"/>
      <c r="S146" s="29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>
      <c r="A147" s="26" t="s">
        <v>128</v>
      </c>
      <c r="B147" s="26" t="s">
        <v>78</v>
      </c>
      <c r="C147" s="26" t="s">
        <v>79</v>
      </c>
      <c r="D147" s="26">
        <v>5</v>
      </c>
      <c r="E147" s="38">
        <v>26</v>
      </c>
      <c r="F147" s="38">
        <v>22</v>
      </c>
      <c r="G147" s="26">
        <v>3</v>
      </c>
      <c r="H147" s="40">
        <v>54346.080000000016</v>
      </c>
      <c r="I147" s="40">
        <v>953</v>
      </c>
      <c r="J147" s="27">
        <f t="shared" si="29"/>
      </c>
      <c r="K147" s="40">
        <v>29591.679999999997</v>
      </c>
      <c r="L147" s="28">
        <f t="shared" si="34"/>
      </c>
      <c r="M147" s="26">
        <v>657.72</v>
      </c>
      <c r="N147" s="28">
        <f t="shared" si="32"/>
      </c>
      <c r="O147" s="28">
        <f t="shared" si="35"/>
      </c>
      <c r="P147" s="28">
        <f t="shared" si="0"/>
      </c>
      <c r="Q147" s="26" t="s">
        <v>80</v>
      </c>
      <c r="R147" s="26">
        <v>10</v>
      </c>
      <c r="S147" s="29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>
      <c r="A148" s="32" t="s">
        <v>128</v>
      </c>
      <c r="B148" s="33"/>
      <c r="C148" s="33"/>
      <c r="D148" s="34">
        <f>SUM(D143:D147)</f>
      </c>
      <c r="E148" s="34">
        <v>47</v>
      </c>
      <c r="F148" s="34">
        <v>42</v>
      </c>
      <c r="G148" s="34">
        <f>SUM(G143:G147)</f>
      </c>
      <c r="H148" s="34">
        <f>SUM(H143:H147)</f>
      </c>
      <c r="I148" s="34">
        <f>SUM(I143:I147)</f>
      </c>
      <c r="J148" s="34">
        <f>SUM(J143:J147)</f>
      </c>
      <c r="K148" s="34">
        <f>SUM(K143:K147)</f>
      </c>
      <c r="L148" s="35">
        <f t="shared" si="34"/>
      </c>
      <c r="M148" s="34">
        <f>SUM(M143:M147)</f>
      </c>
      <c r="N148" s="36">
        <f t="shared" si="32"/>
      </c>
      <c r="O148" s="35">
        <f t="shared" si="35"/>
      </c>
      <c r="P148" s="35">
        <f t="shared" si="0"/>
      </c>
      <c r="Q148" s="33"/>
      <c r="R148" s="34">
        <f>SUM(R143:R147)</f>
      </c>
      <c r="S148" s="33"/>
      <c r="T148" s="34">
        <f>SUM(T143:T147)</f>
      </c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>
      <c r="A149" s="26" t="s">
        <v>129</v>
      </c>
      <c r="B149" s="26" t="s">
        <v>68</v>
      </c>
      <c r="C149" s="26" t="s">
        <v>69</v>
      </c>
      <c r="D149" s="42">
        <f>5-1</f>
      </c>
      <c r="E149" s="26">
        <v>24</v>
      </c>
      <c r="F149" s="26">
        <v>21</v>
      </c>
      <c r="G149" s="26">
        <v>4</v>
      </c>
      <c r="H149" s="26">
        <v>38982.6</v>
      </c>
      <c r="I149" s="26">
        <v>5201.8</v>
      </c>
      <c r="J149" s="27">
        <f t="shared" ref="J149:J153" si="30">H149+I149</f>
      </c>
      <c r="K149" s="26">
        <v>35756.17</v>
      </c>
      <c r="L149" s="28">
        <f t="shared" si="34"/>
      </c>
      <c r="M149" s="26">
        <v>11114.279999999999</v>
      </c>
      <c r="N149" s="28">
        <f t="shared" si="32"/>
      </c>
      <c r="O149" s="28">
        <f t="shared" si="35"/>
      </c>
      <c r="P149" s="28">
        <f t="shared" si="0"/>
      </c>
      <c r="Q149" s="26" t="s">
        <v>75</v>
      </c>
      <c r="R149" s="26">
        <v>10</v>
      </c>
      <c r="S149" s="29" t="s">
        <v>70</v>
      </c>
      <c r="T149" s="26">
        <v>20</v>
      </c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>
      <c r="A150" s="26" t="s">
        <v>129</v>
      </c>
      <c r="B150" s="26" t="s">
        <v>71</v>
      </c>
      <c r="C150" s="26" t="s">
        <v>72</v>
      </c>
      <c r="D150" s="26">
        <v>4</v>
      </c>
      <c r="E150" s="26">
        <v>26</v>
      </c>
      <c r="F150" s="26">
        <v>24</v>
      </c>
      <c r="G150" s="26">
        <v>2</v>
      </c>
      <c r="H150" s="30">
        <v>46871.880000000005</v>
      </c>
      <c r="I150" s="26">
        <v>0</v>
      </c>
      <c r="J150" s="27">
        <f t="shared" si="30"/>
      </c>
      <c r="K150" s="26">
        <v>24388.35</v>
      </c>
      <c r="L150" s="28">
        <f t="shared" si="34"/>
      </c>
      <c r="M150" s="26">
        <v>10295.64</v>
      </c>
      <c r="N150" s="28">
        <f t="shared" si="32"/>
      </c>
      <c r="O150" s="28">
        <f t="shared" si="35"/>
      </c>
      <c r="P150" s="28">
        <f t="shared" si="0"/>
      </c>
      <c r="Q150" s="26"/>
      <c r="R150" s="26"/>
      <c r="S150" s="29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>
      <c r="A151" s="26" t="s">
        <v>129</v>
      </c>
      <c r="B151" s="41" t="s">
        <v>123</v>
      </c>
      <c r="C151" s="26" t="s">
        <v>124</v>
      </c>
      <c r="D151" s="26">
        <v>2</v>
      </c>
      <c r="E151" s="26">
        <v>5</v>
      </c>
      <c r="F151" s="26">
        <v>6</v>
      </c>
      <c r="G151" s="26">
        <v>0</v>
      </c>
      <c r="H151" s="30">
        <v>4807.079999999987</v>
      </c>
      <c r="I151" s="26">
        <v>0</v>
      </c>
      <c r="J151" s="27">
        <f t="shared" si="30"/>
      </c>
      <c r="K151" s="26">
        <v>8698.07</v>
      </c>
      <c r="L151" s="28">
        <f t="shared" si="34"/>
      </c>
      <c r="M151" s="26">
        <v>453.6</v>
      </c>
      <c r="N151" s="28">
        <f t="shared" si="32"/>
      </c>
      <c r="O151" s="28">
        <f t="shared" si="35"/>
      </c>
      <c r="P151" s="28">
        <f t="shared" si="0"/>
      </c>
      <c r="Q151" s="26"/>
      <c r="R151" s="26"/>
      <c r="S151" s="29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>
      <c r="A152" s="26" t="s">
        <v>129</v>
      </c>
      <c r="B152" s="31" t="s">
        <v>78</v>
      </c>
      <c r="C152" s="26" t="s">
        <v>125</v>
      </c>
      <c r="D152" s="26">
        <v>4</v>
      </c>
      <c r="E152" s="26">
        <v>26</v>
      </c>
      <c r="F152" s="26">
        <v>21</v>
      </c>
      <c r="G152" s="26">
        <v>3</v>
      </c>
      <c r="H152" s="30">
        <v>46392.84</v>
      </c>
      <c r="I152" s="26">
        <v>3202.999999999999</v>
      </c>
      <c r="J152" s="27">
        <f t="shared" si="30"/>
      </c>
      <c r="K152" s="26">
        <v>20598.68</v>
      </c>
      <c r="L152" s="28">
        <f t="shared" si="34"/>
      </c>
      <c r="M152" s="26">
        <v>3954.3599999999997</v>
      </c>
      <c r="N152" s="28">
        <f t="shared" si="32"/>
      </c>
      <c r="O152" s="28">
        <f t="shared" si="35"/>
      </c>
      <c r="P152" s="28">
        <f t="shared" si="0"/>
      </c>
      <c r="Q152" s="26"/>
      <c r="R152" s="26"/>
      <c r="S152" s="29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>
      <c r="A153" s="26" t="s">
        <v>129</v>
      </c>
      <c r="B153" s="26" t="s">
        <v>76</v>
      </c>
      <c r="C153" s="26" t="s">
        <v>79</v>
      </c>
      <c r="D153" s="26">
        <v>5</v>
      </c>
      <c r="E153" s="38">
        <v>50</v>
      </c>
      <c r="F153" s="38">
        <v>42</v>
      </c>
      <c r="G153" s="26">
        <v>3</v>
      </c>
      <c r="H153" s="40">
        <v>74618.76000000001</v>
      </c>
      <c r="I153" s="40">
        <v>4051</v>
      </c>
      <c r="J153" s="27">
        <f t="shared" si="30"/>
      </c>
      <c r="K153" s="40">
        <v>45100.97000000001</v>
      </c>
      <c r="L153" s="28">
        <f t="shared" si="34"/>
      </c>
      <c r="M153" s="26">
        <v>2137.3199999999997</v>
      </c>
      <c r="N153" s="28">
        <f t="shared" si="32"/>
      </c>
      <c r="O153" s="28">
        <f t="shared" si="35"/>
      </c>
      <c r="P153" s="28">
        <f t="shared" si="0"/>
      </c>
      <c r="Q153" s="26" t="s">
        <v>80</v>
      </c>
      <c r="R153" s="26">
        <v>10</v>
      </c>
      <c r="S153" s="29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>
      <c r="A154" s="32" t="s">
        <v>129</v>
      </c>
      <c r="B154" s="33"/>
      <c r="C154" s="33"/>
      <c r="D154" s="34">
        <f>SUM(D149:D153)</f>
      </c>
      <c r="E154" s="34">
        <v>47</v>
      </c>
      <c r="F154" s="34">
        <v>42</v>
      </c>
      <c r="G154" s="34">
        <f>SUM(G149:G153)</f>
      </c>
      <c r="H154" s="34">
        <f>SUM(H149:H153)</f>
      </c>
      <c r="I154" s="34">
        <f>SUM(I149:I153)</f>
      </c>
      <c r="J154" s="34">
        <f>SUM(J149:J153)</f>
      </c>
      <c r="K154" s="34">
        <f>SUM(K149:K153)</f>
      </c>
      <c r="L154" s="35">
        <f t="shared" si="34"/>
      </c>
      <c r="M154" s="34">
        <f>SUM(M149:M153)</f>
      </c>
      <c r="N154" s="36">
        <f t="shared" si="32"/>
      </c>
      <c r="O154" s="35">
        <f t="shared" si="35"/>
      </c>
      <c r="P154" s="35">
        <f t="shared" si="0"/>
      </c>
      <c r="Q154" s="33"/>
      <c r="R154" s="34">
        <f>SUM(R149:R153)</f>
      </c>
      <c r="S154" s="33"/>
      <c r="T154" s="34">
        <f>SUM(T149:T153)</f>
      </c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>
      <c r="A155" s="26" t="s">
        <v>130</v>
      </c>
      <c r="B155" s="26" t="s">
        <v>78</v>
      </c>
      <c r="C155" s="26" t="s">
        <v>69</v>
      </c>
      <c r="D155" s="42">
        <f>5-0.25</f>
      </c>
      <c r="E155" s="26">
        <v>89</v>
      </c>
      <c r="F155" s="26">
        <v>71</v>
      </c>
      <c r="G155" s="26">
        <v>9</v>
      </c>
      <c r="H155" s="26">
        <v>139061.76</v>
      </c>
      <c r="I155" s="26">
        <v>12527.2</v>
      </c>
      <c r="J155" s="27">
        <f t="shared" ref="J155:J159" si="31">H155+I155</f>
      </c>
      <c r="K155" s="26">
        <v>86605.92</v>
      </c>
      <c r="L155" s="28">
        <f t="shared" si="34"/>
      </c>
      <c r="M155" s="26">
        <v>39183.56</v>
      </c>
      <c r="N155" s="28">
        <f t="shared" si="32"/>
      </c>
      <c r="O155" s="28">
        <f t="shared" si="35"/>
      </c>
      <c r="P155" s="28">
        <f t="shared" si="0"/>
      </c>
      <c r="Q155" s="26" t="s">
        <v>75</v>
      </c>
      <c r="R155" s="26">
        <v>10</v>
      </c>
      <c r="S155" s="29" t="s">
        <v>70</v>
      </c>
      <c r="T155" s="26">
        <v>20</v>
      </c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customHeight="true" ht="16.071428571428573" r="156">
      <c r="A156" s="26" t="s">
        <v>130</v>
      </c>
      <c r="B156" s="26" t="s">
        <v>71</v>
      </c>
      <c r="C156" s="26" t="s">
        <v>72</v>
      </c>
      <c r="D156" s="42">
        <f>4-0.75</f>
      </c>
      <c r="E156" s="26">
        <v>40</v>
      </c>
      <c r="F156" s="26">
        <v>32</v>
      </c>
      <c r="G156" s="26">
        <v>4</v>
      </c>
      <c r="H156" s="30">
        <v>76098.95999999999</v>
      </c>
      <c r="I156" s="26">
        <v>1547</v>
      </c>
      <c r="J156" s="27">
        <f t="shared" si="31"/>
      </c>
      <c r="K156" s="26">
        <v>41013.07</v>
      </c>
      <c r="L156" s="28">
        <f t="shared" si="34"/>
      </c>
      <c r="M156" s="26">
        <v>12882.84</v>
      </c>
      <c r="N156" s="28">
        <f t="shared" si="32"/>
      </c>
      <c r="O156" s="28">
        <f t="shared" si="35"/>
      </c>
      <c r="P156" s="28">
        <f t="shared" si="0"/>
      </c>
      <c r="Q156" s="26"/>
      <c r="R156" s="26"/>
      <c r="S156" s="29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customHeight="true" ht="16.071428571428573" r="157">
      <c r="A157" s="26" t="s">
        <v>130</v>
      </c>
      <c r="B157" s="41" t="s">
        <v>123</v>
      </c>
      <c r="C157" s="26" t="s">
        <v>124</v>
      </c>
      <c r="D157" s="42">
        <f>2-0.2</f>
      </c>
      <c r="E157" s="26">
        <v>14</v>
      </c>
      <c r="F157" s="26">
        <v>11</v>
      </c>
      <c r="G157" s="26">
        <v>1</v>
      </c>
      <c r="H157" s="30">
        <v>21350.15999999998</v>
      </c>
      <c r="I157" s="26">
        <v>2443</v>
      </c>
      <c r="J157" s="27">
        <f t="shared" si="31"/>
      </c>
      <c r="K157" s="26">
        <v>18039.059999999998</v>
      </c>
      <c r="L157" s="28">
        <f t="shared" si="34"/>
      </c>
      <c r="M157" s="26">
        <v>2251.44</v>
      </c>
      <c r="N157" s="28">
        <f t="shared" si="32"/>
      </c>
      <c r="O157" s="28">
        <f t="shared" si="35"/>
      </c>
      <c r="P157" s="28">
        <f t="shared" si="0"/>
      </c>
      <c r="Q157" s="26"/>
      <c r="R157" s="26"/>
      <c r="S157" s="29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customHeight="true" ht="16.071428571428573" r="158">
      <c r="A158" s="26" t="s">
        <v>130</v>
      </c>
      <c r="B158" s="31" t="s">
        <v>73</v>
      </c>
      <c r="C158" s="26" t="s">
        <v>125</v>
      </c>
      <c r="D158" s="42">
        <f>4-0.75</f>
      </c>
      <c r="E158" s="26">
        <v>23</v>
      </c>
      <c r="F158" s="26">
        <v>23</v>
      </c>
      <c r="G158" s="26">
        <v>2</v>
      </c>
      <c r="H158" s="30">
        <v>46092.48000000001</v>
      </c>
      <c r="I158" s="26">
        <v>3304.2000000000007</v>
      </c>
      <c r="J158" s="27">
        <f t="shared" si="31"/>
      </c>
      <c r="K158" s="26">
        <v>30504.120000000003</v>
      </c>
      <c r="L158" s="28">
        <f t="shared" si="34"/>
      </c>
      <c r="M158" s="26">
        <v>5678.639999999999</v>
      </c>
      <c r="N158" s="28">
        <f t="shared" si="32"/>
      </c>
      <c r="O158" s="28">
        <f t="shared" si="35"/>
      </c>
      <c r="P158" s="28">
        <f t="shared" si="0"/>
      </c>
      <c r="Q158" s="26"/>
      <c r="R158" s="26"/>
      <c r="S158" s="29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customHeight="true" ht="16.071428571428573" r="159">
      <c r="A159" s="26" t="s">
        <v>130</v>
      </c>
      <c r="B159" s="26" t="s">
        <v>76</v>
      </c>
      <c r="C159" s="26" t="s">
        <v>79</v>
      </c>
      <c r="D159" s="42">
        <f>5-0.75</f>
      </c>
      <c r="E159" s="38">
        <v>47</v>
      </c>
      <c r="F159" s="38">
        <v>41</v>
      </c>
      <c r="G159" s="26">
        <v>2</v>
      </c>
      <c r="H159" s="40">
        <v>82417.91999999998</v>
      </c>
      <c r="I159" s="40">
        <v>829</v>
      </c>
      <c r="J159" s="27">
        <f t="shared" si="31"/>
      </c>
      <c r="K159" s="40">
        <v>45775.520000000004</v>
      </c>
      <c r="L159" s="28">
        <f t="shared" si="34"/>
      </c>
      <c r="M159" s="26">
        <v>5091.120000000001</v>
      </c>
      <c r="N159" s="28">
        <f t="shared" si="32"/>
      </c>
      <c r="O159" s="28">
        <f t="shared" si="35"/>
      </c>
      <c r="P159" s="28">
        <f t="shared" si="0"/>
      </c>
      <c r="Q159" s="26" t="s">
        <v>80</v>
      </c>
      <c r="R159" s="26">
        <v>10</v>
      </c>
      <c r="S159" s="29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customHeight="true" ht="16.071428571428573" r="160">
      <c r="A160" s="32" t="s">
        <v>130</v>
      </c>
      <c r="B160" s="33"/>
      <c r="C160" s="33"/>
      <c r="D160" s="34">
        <f>SUM(D155:D159)</f>
      </c>
      <c r="E160" s="34">
        <v>47</v>
      </c>
      <c r="F160" s="34">
        <v>42</v>
      </c>
      <c r="G160" s="34">
        <f>SUM(G155:G159)</f>
      </c>
      <c r="H160" s="34">
        <f>SUM(H155:H159)</f>
      </c>
      <c r="I160" s="34">
        <f>SUM(I155:I159)</f>
      </c>
      <c r="J160" s="34">
        <f>SUM(J155:J159)</f>
      </c>
      <c r="K160" s="34">
        <f>SUM(K155:K159)</f>
      </c>
      <c r="L160" s="35">
        <f t="shared" si="34"/>
      </c>
      <c r="M160" s="34">
        <f>SUM(M155:M159)</f>
      </c>
      <c r="N160" s="36">
        <f t="shared" si="32"/>
      </c>
      <c r="O160" s="35">
        <f t="shared" si="35"/>
      </c>
      <c r="P160" s="35">
        <f t="shared" si="0"/>
      </c>
      <c r="Q160" s="33"/>
      <c r="R160" s="34">
        <f>SUM(R155:R159)</f>
      </c>
      <c r="S160" s="33"/>
      <c r="T160" s="34">
        <f>SUM(T155:T159)</f>
      </c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customHeight="true" ht="16.071428571428573" r="161"/>
    <row customHeight="true" ht="16.071428571428573" r="162"/>
    <row customHeight="true" ht="16.071428571428573" r="163"/>
    <row customHeight="true" ht="16.071428571428573" r="164"/>
    <row customHeight="true" ht="16.071428571428573" r="165"/>
    <row customHeight="true" ht="16.071428571428573" r="166">
      <c r="G166" s="43" t="s">
        <v>131</v>
      </c>
      <c r="H166" s="43" t="s">
        <v>132</v>
      </c>
      <c r="I166" t="s">
        <v>63</v>
      </c>
      <c r="J166" t="s">
        <v>133</v>
      </c>
    </row>
    <row customHeight="true" ht="16.071428571428573" r="167">
      <c r="F167" s="44"/>
      <c r="G167" s="44">
        <f t="shared" ref="G167:G172" si="33">E167/F167</f>
      </c>
      <c r="H167">
        <f t="shared" ref="H167:H172" si="1">F167/D167</f>
      </c>
      <c r="I167" t="s">
        <v>75</v>
      </c>
      <c r="J167">
        <v>210</v>
      </c>
      <c r="K167">
        <v>21</v>
      </c>
    </row>
    <row customHeight="true" ht="16.071428571428573" r="168">
      <c r="F168" s="45"/>
      <c r="G168" s="44">
        <f t="shared" si="33"/>
      </c>
      <c r="H168">
        <f t="shared" si="1"/>
      </c>
      <c r="I168" t="s">
        <v>117</v>
      </c>
      <c r="J168">
        <v>30</v>
      </c>
    </row>
    <row customHeight="true" ht="16.071428571428573" r="169">
      <c r="F169" s="45"/>
      <c r="G169" s="44">
        <f t="shared" si="33"/>
      </c>
      <c r="H169">
        <f t="shared" si="1"/>
      </c>
      <c r="I169" t="s">
        <v>109</v>
      </c>
      <c r="J169">
        <v>39</v>
      </c>
      <c r="K169">
        <v>4</v>
      </c>
    </row>
    <row customHeight="true" ht="16.071428571428573" r="170">
      <c r="F170" s="45"/>
      <c r="G170" s="44">
        <f t="shared" si="33"/>
      </c>
      <c r="H170">
        <f t="shared" si="1"/>
      </c>
      <c r="I170" t="s">
        <v>85</v>
      </c>
      <c r="J170">
        <v>5.5</v>
      </c>
    </row>
    <row customHeight="true" ht="16.071428571428573" r="171">
      <c r="F171" s="45"/>
      <c r="G171" s="44">
        <f t="shared" si="33"/>
      </c>
      <c r="H171">
        <f t="shared" si="1"/>
      </c>
      <c r="I171" t="s">
        <v>103</v>
      </c>
      <c r="J171">
        <v>10</v>
      </c>
      <c r="K171">
        <v>1</v>
      </c>
    </row>
    <row customHeight="true" ht="16.071428571428573" r="172">
      <c r="F172" s="45"/>
      <c r="G172" s="44">
        <f t="shared" si="33"/>
      </c>
      <c r="H172">
        <f t="shared" si="1"/>
      </c>
      <c r="I172" t="s">
        <v>119</v>
      </c>
      <c r="J172">
        <v>10</v>
      </c>
      <c r="K172">
        <v>1</v>
      </c>
    </row>
    <row customHeight="true" ht="16.071428571428573" r="173">
      <c r="F173" s="45"/>
      <c r="G173" s="45"/>
      <c r="I173" t="s">
        <v>84</v>
      </c>
      <c r="J173">
        <v>44.5</v>
      </c>
      <c r="K173">
        <v>5</v>
      </c>
    </row>
    <row customHeight="true" ht="16.071428571428573" r="174">
      <c r="F174" s="45"/>
      <c r="G174" s="45"/>
      <c r="I174" t="s">
        <v>93</v>
      </c>
      <c r="J174">
        <v>7</v>
      </c>
    </row>
    <row r="175">
      <c r="F175" s="45"/>
      <c r="G175" s="45"/>
      <c r="H175" s="43"/>
      <c r="I175" t="s">
        <v>80</v>
      </c>
      <c r="J175">
        <v>200</v>
      </c>
      <c r="K175">
        <v>20</v>
      </c>
    </row>
    <row r="176">
      <c r="B176" s="46"/>
      <c r="I176" t="s">
        <v>122</v>
      </c>
      <c r="J176">
        <v>10</v>
      </c>
      <c r="K176" s="46">
        <v>1</v>
      </c>
      <c r="L176" s="46"/>
    </row>
    <row r="177">
      <c r="I177" t="s">
        <v>105</v>
      </c>
      <c r="J177">
        <v>30</v>
      </c>
      <c r="K177" s="46"/>
      <c r="L177" s="46"/>
    </row>
    <row r="178">
      <c r="E178" s="47"/>
      <c r="F178" s="47"/>
      <c r="G178" s="47"/>
      <c r="H178" s="46"/>
      <c r="I178" s="46" t="s">
        <v>134</v>
      </c>
      <c r="J178">
        <v>596</v>
      </c>
      <c r="K178">
        <f>SUM(K167:K177)</f>
      </c>
    </row>
    <row r="179">
      <c r="B179" s="46"/>
      <c r="E179" s="47"/>
      <c r="F179" s="47"/>
      <c r="G179" s="47"/>
    </row>
    <row r="180"/>
    <row r="181">
      <c r="K181" s="43"/>
      <c r="L181" s="43"/>
      <c r="M181" s="43"/>
    </row>
  </sheetData>
  <autoFilter ref="A1:T219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48" t="s">
        <v>135</v>
      </c>
      <c r="B1" s="48" t="s">
        <v>136</v>
      </c>
      <c r="C1" s="48" t="s">
        <v>137</v>
      </c>
      <c r="D1" s="48" t="s">
        <v>138</v>
      </c>
      <c r="E1" s="48" t="s">
        <v>139</v>
      </c>
      <c r="F1" s="48" t="s">
        <v>140</v>
      </c>
      <c r="G1" s="48" t="s">
        <v>141</v>
      </c>
      <c r="H1" s="48" t="s">
        <v>142</v>
      </c>
      <c r="I1" s="48" t="s">
        <v>143</v>
      </c>
      <c r="J1" s="49" t="s">
        <v>144</v>
      </c>
      <c r="K1" s="49" t="s">
        <v>145</v>
      </c>
      <c r="L1" s="50" t="s">
        <v>146</v>
      </c>
      <c r="M1" s="49" t="s">
        <v>147</v>
      </c>
      <c r="N1" s="50" t="s">
        <v>148</v>
      </c>
      <c r="O1" s="50" t="s">
        <v>149</v>
      </c>
      <c r="P1" s="50" t="s">
        <v>150</v>
      </c>
      <c r="Q1" s="48" t="s">
        <v>151</v>
      </c>
      <c r="R1" s="48" t="s">
        <v>152</v>
      </c>
      <c r="S1" s="51" t="s">
        <v>153</v>
      </c>
      <c r="T1" s="48" t="s">
        <v>154</v>
      </c>
    </row>
    <row r="2">
      <c r="A2" s="52" t="s">
        <v>155</v>
      </c>
      <c r="B2" s="53" t="s">
        <v>156</v>
      </c>
      <c r="C2" s="53" t="s">
        <v>157</v>
      </c>
      <c r="D2" s="53">
        <v>5</v>
      </c>
      <c r="E2" s="52">
        <v>7</v>
      </c>
      <c r="F2" s="52">
        <v>6</v>
      </c>
      <c r="G2" s="52">
        <v>1</v>
      </c>
      <c r="H2" s="54">
        <v>8017.32</v>
      </c>
      <c r="I2" s="52">
        <v>790</v>
      </c>
      <c r="J2" s="55">
        <f t="shared" ref="J2:J3" si="0">H2+I2</f>
      </c>
      <c r="K2" s="53">
        <v>14314.060000000001</v>
      </c>
      <c r="L2" s="56">
        <f t="shared" ref="L2:L148" si="34">J2/K2</f>
      </c>
      <c r="M2" s="52">
        <v>2411.64</v>
      </c>
      <c r="N2" s="56">
        <f t="shared" ref="N2:N147" si="33">(J2-M2)/K2</f>
      </c>
      <c r="O2" s="56">
        <f t="shared" ref="O2:O147" si="32">J2/E2</f>
      </c>
      <c r="P2" s="56">
        <f t="shared" ref="P2:P147" si="31">K2/E2</f>
      </c>
      <c r="Q2" s="52" t="s">
        <v>158</v>
      </c>
      <c r="R2" s="52">
        <v>10</v>
      </c>
      <c r="S2" s="57" t="s">
        <v>159</v>
      </c>
      <c r="T2" s="52">
        <v>10</v>
      </c>
    </row>
    <row r="3">
      <c r="A3" s="52" t="s">
        <v>155</v>
      </c>
      <c r="B3" s="53" t="s">
        <v>160</v>
      </c>
      <c r="C3" s="53" t="s">
        <v>161</v>
      </c>
      <c r="D3" s="53">
        <v>5</v>
      </c>
      <c r="E3" s="52">
        <v>11</v>
      </c>
      <c r="F3" s="52">
        <v>8</v>
      </c>
      <c r="G3" s="52">
        <v>2</v>
      </c>
      <c r="H3" s="54">
        <v>11194.439999999999</v>
      </c>
      <c r="I3" s="52">
        <v>609</v>
      </c>
      <c r="J3" s="55">
        <f t="shared" si="0"/>
      </c>
      <c r="K3" s="53">
        <v>11363.52</v>
      </c>
      <c r="L3" s="56">
        <f t="shared" si="34"/>
      </c>
      <c r="M3" s="52">
        <v>2495.88</v>
      </c>
      <c r="N3" s="56">
        <f t="shared" si="33"/>
      </c>
      <c r="O3" s="56">
        <f t="shared" si="32"/>
      </c>
      <c r="P3" s="56">
        <f t="shared" si="31"/>
      </c>
      <c r="Q3" s="52"/>
      <c r="R3" s="52"/>
      <c r="S3" s="57"/>
      <c r="T3" s="52"/>
    </row>
    <row r="4">
      <c r="A4" s="58" t="s">
        <v>155</v>
      </c>
      <c r="B4" s="59"/>
      <c r="C4" s="59"/>
      <c r="D4" s="60">
        <f>D2+D3</f>
      </c>
      <c r="E4" s="60">
        <f>E2+E3</f>
      </c>
      <c r="F4" s="60">
        <f>F2+F3</f>
      </c>
      <c r="G4" s="60">
        <f>G2+G3</f>
      </c>
      <c r="H4" s="60">
        <f>H2+H3</f>
      </c>
      <c r="I4" s="60">
        <f>I2+I3</f>
      </c>
      <c r="J4" s="60">
        <f>J2+J3</f>
      </c>
      <c r="K4" s="60">
        <f>K2+K3</f>
      </c>
      <c r="L4" s="61">
        <f t="shared" si="34"/>
      </c>
      <c r="M4" s="60">
        <f>M2+M3</f>
      </c>
      <c r="N4" s="62">
        <f t="shared" si="33"/>
      </c>
      <c r="O4" s="61">
        <f t="shared" si="32"/>
      </c>
      <c r="P4" s="61">
        <f t="shared" si="31"/>
      </c>
      <c r="Q4" s="59"/>
      <c r="R4" s="63">
        <f>R2+R3</f>
      </c>
      <c r="S4" s="59"/>
      <c r="T4" s="60">
        <f>SUM(T2)</f>
      </c>
    </row>
    <row r="5">
      <c r="A5" s="52" t="s">
        <v>162</v>
      </c>
      <c r="B5" s="53" t="s">
        <v>156</v>
      </c>
      <c r="C5" s="53" t="s">
        <v>157</v>
      </c>
      <c r="D5" s="53">
        <v>5</v>
      </c>
      <c r="E5" s="52">
        <v>30</v>
      </c>
      <c r="F5" s="52">
        <v>28</v>
      </c>
      <c r="G5" s="52">
        <v>3</v>
      </c>
      <c r="H5" s="54">
        <v>51009.6</v>
      </c>
      <c r="I5" s="52">
        <v>4988</v>
      </c>
      <c r="J5" s="55">
        <f t="shared" ref="J5:J6" si="1">H5+I5</f>
      </c>
      <c r="K5" s="53">
        <v>27091</v>
      </c>
      <c r="L5" s="56">
        <f t="shared" si="34"/>
      </c>
      <c r="M5" s="52">
        <v>15962.12</v>
      </c>
      <c r="N5" s="56">
        <f t="shared" si="33"/>
      </c>
      <c r="O5" s="56">
        <f t="shared" si="32"/>
      </c>
      <c r="P5" s="56">
        <f t="shared" si="31"/>
      </c>
      <c r="Q5" s="52" t="s">
        <v>158</v>
      </c>
      <c r="R5" s="52">
        <v>10</v>
      </c>
      <c r="S5" s="57" t="s">
        <v>159</v>
      </c>
      <c r="T5" s="52">
        <v>10</v>
      </c>
    </row>
    <row r="6">
      <c r="A6" s="52" t="s">
        <v>162</v>
      </c>
      <c r="B6" s="53" t="s">
        <v>160</v>
      </c>
      <c r="C6" s="53" t="s">
        <v>161</v>
      </c>
      <c r="D6" s="53">
        <v>5</v>
      </c>
      <c r="E6" s="52">
        <v>16</v>
      </c>
      <c r="F6" s="52">
        <v>14</v>
      </c>
      <c r="G6" s="52">
        <v>2</v>
      </c>
      <c r="H6" s="54">
        <v>37543.32</v>
      </c>
      <c r="I6" s="52">
        <v>3267</v>
      </c>
      <c r="J6" s="55">
        <f t="shared" si="1"/>
      </c>
      <c r="K6" s="53">
        <v>22098.64</v>
      </c>
      <c r="L6" s="56">
        <f t="shared" si="34"/>
      </c>
      <c r="M6" s="52">
        <v>465.48</v>
      </c>
      <c r="N6" s="56">
        <f t="shared" si="33"/>
      </c>
      <c r="O6" s="56">
        <f t="shared" si="32"/>
      </c>
      <c r="P6" s="56">
        <f t="shared" si="31"/>
      </c>
      <c r="Q6" s="52"/>
      <c r="R6" s="52"/>
      <c r="S6" s="57"/>
      <c r="T6" s="52"/>
    </row>
    <row r="7">
      <c r="A7" s="58" t="s">
        <v>162</v>
      </c>
      <c r="B7" s="59"/>
      <c r="C7" s="59"/>
      <c r="D7" s="60">
        <f>D5+D6</f>
      </c>
      <c r="E7" s="60">
        <f>E5+E6</f>
      </c>
      <c r="F7" s="60">
        <f>F5+F6</f>
      </c>
      <c r="G7" s="60">
        <f>G5+G6</f>
      </c>
      <c r="H7" s="60">
        <f>H5+H6</f>
      </c>
      <c r="I7" s="60">
        <f>I5+I6</f>
      </c>
      <c r="J7" s="60">
        <f>J5+J6</f>
      </c>
      <c r="K7" s="60">
        <f>K5+K6</f>
      </c>
      <c r="L7" s="61">
        <f t="shared" si="34"/>
      </c>
      <c r="M7" s="60">
        <f>M5+M6</f>
      </c>
      <c r="N7" s="62">
        <f t="shared" si="33"/>
      </c>
      <c r="O7" s="61">
        <f t="shared" si="32"/>
      </c>
      <c r="P7" s="61">
        <f t="shared" si="31"/>
      </c>
      <c r="Q7" s="59"/>
      <c r="R7" s="63">
        <f>R5+R6</f>
      </c>
      <c r="S7" s="59"/>
      <c r="T7" s="60">
        <f>SUM(T5)</f>
      </c>
    </row>
    <row r="8">
      <c r="A8" s="52" t="s">
        <v>163</v>
      </c>
      <c r="B8" s="53" t="s">
        <v>156</v>
      </c>
      <c r="C8" s="53" t="s">
        <v>157</v>
      </c>
      <c r="D8" s="53">
        <v>5</v>
      </c>
      <c r="E8" s="52">
        <v>14</v>
      </c>
      <c r="F8" s="52">
        <v>12</v>
      </c>
      <c r="G8" s="52">
        <v>1</v>
      </c>
      <c r="H8" s="54">
        <v>18037.08</v>
      </c>
      <c r="I8" s="52">
        <v>3098.05</v>
      </c>
      <c r="J8" s="55">
        <f t="shared" ref="J8:J9" si="2">H8+I8</f>
      </c>
      <c r="K8" s="53">
        <v>18886.989999999998</v>
      </c>
      <c r="L8" s="56">
        <f t="shared" si="34"/>
      </c>
      <c r="M8" s="52">
        <v>5221.8</v>
      </c>
      <c r="N8" s="56">
        <f t="shared" si="33"/>
      </c>
      <c r="O8" s="56">
        <f t="shared" si="32"/>
      </c>
      <c r="P8" s="56">
        <f t="shared" si="31"/>
      </c>
      <c r="Q8" s="52" t="s">
        <v>158</v>
      </c>
      <c r="R8" s="52">
        <v>10</v>
      </c>
      <c r="S8" s="57" t="s">
        <v>159</v>
      </c>
      <c r="T8" s="52">
        <v>10</v>
      </c>
    </row>
    <row r="9">
      <c r="A9" s="52" t="s">
        <v>163</v>
      </c>
      <c r="B9" s="53" t="s">
        <v>160</v>
      </c>
      <c r="C9" s="53" t="s">
        <v>161</v>
      </c>
      <c r="D9" s="53">
        <v>5</v>
      </c>
      <c r="E9" s="52">
        <v>12</v>
      </c>
      <c r="F9" s="52">
        <v>11</v>
      </c>
      <c r="G9" s="52">
        <v>3</v>
      </c>
      <c r="H9" s="54">
        <v>30059.879999999997</v>
      </c>
      <c r="I9" s="52">
        <v>539</v>
      </c>
      <c r="J9" s="55">
        <f t="shared" si="2"/>
      </c>
      <c r="K9" s="53">
        <v>14978.560000000001</v>
      </c>
      <c r="L9" s="56">
        <f t="shared" si="34"/>
      </c>
      <c r="M9" s="52">
        <v>0</v>
      </c>
      <c r="N9" s="56">
        <f t="shared" si="33"/>
      </c>
      <c r="O9" s="56">
        <f t="shared" si="32"/>
      </c>
      <c r="P9" s="56">
        <f t="shared" si="31"/>
      </c>
      <c r="Q9" s="52"/>
      <c r="R9" s="52"/>
      <c r="S9" s="57"/>
      <c r="T9" s="52"/>
    </row>
    <row r="10">
      <c r="A10" s="58" t="s">
        <v>163</v>
      </c>
      <c r="B10" s="59"/>
      <c r="C10" s="59"/>
      <c r="D10" s="60">
        <f>D8+D9</f>
      </c>
      <c r="E10" s="60">
        <f>E8+E9</f>
      </c>
      <c r="F10" s="60">
        <f>F8+F9</f>
      </c>
      <c r="G10" s="60">
        <f>G8+G9</f>
      </c>
      <c r="H10" s="60">
        <f>H8+H9</f>
      </c>
      <c r="I10" s="60">
        <f>I8+I9</f>
      </c>
      <c r="J10" s="60">
        <f>J8+J9</f>
      </c>
      <c r="K10" s="60">
        <f>K8+K9</f>
      </c>
      <c r="L10" s="61">
        <f t="shared" si="34"/>
      </c>
      <c r="M10" s="60">
        <f>M8+M9</f>
      </c>
      <c r="N10" s="62">
        <f t="shared" si="33"/>
      </c>
      <c r="O10" s="61">
        <f t="shared" si="32"/>
      </c>
      <c r="P10" s="61">
        <f t="shared" si="31"/>
      </c>
      <c r="Q10" s="59"/>
      <c r="R10" s="63">
        <f>R8+R9</f>
      </c>
      <c r="S10" s="59"/>
      <c r="T10" s="60">
        <f>SUM(T8)</f>
      </c>
    </row>
    <row r="11">
      <c r="A11" s="52" t="s">
        <v>164</v>
      </c>
      <c r="B11" s="53" t="s">
        <v>160</v>
      </c>
      <c r="C11" s="53" t="s">
        <v>157</v>
      </c>
      <c r="D11" s="53">
        <v>5</v>
      </c>
      <c r="E11" s="52">
        <v>14</v>
      </c>
      <c r="F11" s="52">
        <v>12</v>
      </c>
      <c r="G11" s="52">
        <v>2</v>
      </c>
      <c r="H11" s="54">
        <v>26036.28</v>
      </c>
      <c r="I11" s="52">
        <v>0</v>
      </c>
      <c r="J11" s="55">
        <f t="shared" ref="J11:J12" si="3">H11+I11</f>
      </c>
      <c r="K11" s="53">
        <v>18137.75</v>
      </c>
      <c r="L11" s="56">
        <f t="shared" si="34"/>
      </c>
      <c r="M11" s="52">
        <v>1987.2000000000003</v>
      </c>
      <c r="N11" s="56">
        <f t="shared" si="33"/>
      </c>
      <c r="O11" s="56">
        <f t="shared" si="32"/>
      </c>
      <c r="P11" s="56">
        <f t="shared" si="31"/>
      </c>
      <c r="Q11" s="52" t="s">
        <v>165</v>
      </c>
      <c r="R11" s="52">
        <v>10</v>
      </c>
      <c r="S11" s="57" t="s">
        <v>159</v>
      </c>
      <c r="T11" s="52">
        <v>10</v>
      </c>
    </row>
    <row r="12">
      <c r="A12" s="52" t="s">
        <v>164</v>
      </c>
      <c r="B12" s="53" t="s">
        <v>156</v>
      </c>
      <c r="C12" s="53" t="s">
        <v>161</v>
      </c>
      <c r="D12" s="53">
        <v>5</v>
      </c>
      <c r="E12" s="52">
        <v>5</v>
      </c>
      <c r="F12" s="52">
        <v>5</v>
      </c>
      <c r="G12" s="52">
        <v>2</v>
      </c>
      <c r="H12" s="54">
        <v>8666.279999999999</v>
      </c>
      <c r="I12" s="52">
        <v>0</v>
      </c>
      <c r="J12" s="55">
        <f t="shared" si="3"/>
      </c>
      <c r="K12" s="53">
        <v>13568.210000000001</v>
      </c>
      <c r="L12" s="56">
        <f t="shared" si="34"/>
      </c>
      <c r="M12" s="52">
        <v>943.92</v>
      </c>
      <c r="N12" s="56">
        <f t="shared" si="33"/>
      </c>
      <c r="O12" s="56">
        <f t="shared" si="32"/>
      </c>
      <c r="P12" s="56">
        <f t="shared" si="31"/>
      </c>
      <c r="Q12" s="52"/>
      <c r="R12" s="52"/>
      <c r="S12" s="57"/>
      <c r="T12" s="52"/>
    </row>
    <row r="13">
      <c r="A13" s="58" t="s">
        <v>164</v>
      </c>
      <c r="B13" s="59"/>
      <c r="C13" s="59"/>
      <c r="D13" s="60">
        <f>D11+D12</f>
      </c>
      <c r="E13" s="60">
        <f>E11+E12</f>
      </c>
      <c r="F13" s="60">
        <f>F11+F12</f>
      </c>
      <c r="G13" s="60">
        <f>G11+G12</f>
      </c>
      <c r="H13" s="60">
        <f>H11+H12</f>
      </c>
      <c r="I13" s="60">
        <f>I11+I12</f>
      </c>
      <c r="J13" s="60">
        <f>J11+J12</f>
      </c>
      <c r="K13" s="60">
        <f>K11+K12</f>
      </c>
      <c r="L13" s="61">
        <f t="shared" si="34"/>
      </c>
      <c r="M13" s="60">
        <f>M11+M12</f>
      </c>
      <c r="N13" s="62">
        <f t="shared" si="33"/>
      </c>
      <c r="O13" s="61">
        <f t="shared" si="32"/>
      </c>
      <c r="P13" s="61">
        <f t="shared" si="31"/>
      </c>
      <c r="Q13" s="59"/>
      <c r="R13" s="63">
        <f>R11+R12</f>
      </c>
      <c r="S13" s="59"/>
      <c r="T13" s="60">
        <f>SUM(T11)</f>
      </c>
    </row>
    <row r="14">
      <c r="A14" s="52" t="s">
        <v>166</v>
      </c>
      <c r="B14" s="53" t="s">
        <v>160</v>
      </c>
      <c r="C14" s="53" t="s">
        <v>157</v>
      </c>
      <c r="D14" s="53">
        <v>5</v>
      </c>
      <c r="E14" s="52">
        <v>16</v>
      </c>
      <c r="F14" s="52">
        <v>13</v>
      </c>
      <c r="G14" s="52">
        <v>0</v>
      </c>
      <c r="H14" s="54">
        <v>26289.36</v>
      </c>
      <c r="I14" s="52">
        <v>0</v>
      </c>
      <c r="J14" s="55">
        <f t="shared" ref="J14:J15" si="4">H14+I14</f>
      </c>
      <c r="K14" s="53">
        <v>13992.220000000001</v>
      </c>
      <c r="L14" s="56">
        <f t="shared" si="34"/>
      </c>
      <c r="M14" s="52">
        <v>6568.5599999999995</v>
      </c>
      <c r="N14" s="56">
        <f t="shared" si="33"/>
      </c>
      <c r="O14" s="56">
        <f t="shared" si="32"/>
      </c>
      <c r="P14" s="56">
        <f t="shared" si="31"/>
      </c>
      <c r="Q14" s="52" t="s">
        <v>158</v>
      </c>
      <c r="R14" s="52">
        <v>10</v>
      </c>
      <c r="S14" s="57" t="s">
        <v>159</v>
      </c>
      <c r="T14" s="52">
        <v>10</v>
      </c>
    </row>
    <row r="15">
      <c r="A15" s="52" t="s">
        <v>166</v>
      </c>
      <c r="B15" s="53" t="s">
        <v>156</v>
      </c>
      <c r="C15" s="53" t="s">
        <v>161</v>
      </c>
      <c r="D15" s="53">
        <v>5</v>
      </c>
      <c r="E15" s="52">
        <v>21</v>
      </c>
      <c r="F15" s="52">
        <v>15</v>
      </c>
      <c r="G15" s="52">
        <v>2</v>
      </c>
      <c r="H15" s="54">
        <v>24643.68</v>
      </c>
      <c r="I15" s="52">
        <v>5201</v>
      </c>
      <c r="J15" s="55">
        <f t="shared" si="4"/>
      </c>
      <c r="K15" s="53">
        <v>15408.82</v>
      </c>
      <c r="L15" s="56">
        <f t="shared" si="34"/>
      </c>
      <c r="M15" s="52">
        <v>979.56</v>
      </c>
      <c r="N15" s="56">
        <f t="shared" si="33"/>
      </c>
      <c r="O15" s="56">
        <f t="shared" si="32"/>
      </c>
      <c r="P15" s="56">
        <f t="shared" si="31"/>
      </c>
      <c r="Q15" s="52"/>
      <c r="R15" s="52"/>
      <c r="S15" s="57"/>
      <c r="T15" s="52"/>
    </row>
    <row r="16">
      <c r="A16" s="58" t="s">
        <v>166</v>
      </c>
      <c r="B16" s="59"/>
      <c r="C16" s="59"/>
      <c r="D16" s="60">
        <f>D14+D15</f>
      </c>
      <c r="E16" s="60">
        <f>E14+E15</f>
      </c>
      <c r="F16" s="60">
        <f>F14+F15</f>
      </c>
      <c r="G16" s="60">
        <f>G14+G15</f>
      </c>
      <c r="H16" s="60">
        <f>H14+H15</f>
      </c>
      <c r="I16" s="60">
        <f>I14+I15</f>
      </c>
      <c r="J16" s="60">
        <f>J14+J15</f>
      </c>
      <c r="K16" s="60">
        <f>K14+K15</f>
      </c>
      <c r="L16" s="61">
        <f t="shared" si="34"/>
      </c>
      <c r="M16" s="60">
        <f>M14+M15</f>
      </c>
      <c r="N16" s="62">
        <f t="shared" si="33"/>
      </c>
      <c r="O16" s="61">
        <f t="shared" si="32"/>
      </c>
      <c r="P16" s="61">
        <f t="shared" si="31"/>
      </c>
      <c r="Q16" s="59"/>
      <c r="R16" s="63">
        <f>R14+R15</f>
      </c>
      <c r="S16" s="59"/>
      <c r="T16" s="60">
        <f>SUM(T14)</f>
      </c>
    </row>
    <row r="17">
      <c r="A17" s="52" t="s">
        <v>167</v>
      </c>
      <c r="B17" s="53" t="s">
        <v>156</v>
      </c>
      <c r="C17" s="53" t="s">
        <v>157</v>
      </c>
      <c r="D17" s="53">
        <v>5</v>
      </c>
      <c r="E17" s="52">
        <v>14</v>
      </c>
      <c r="F17" s="52">
        <v>10</v>
      </c>
      <c r="G17" s="52">
        <v>1</v>
      </c>
      <c r="H17" s="54">
        <v>18540.96</v>
      </c>
      <c r="I17" s="52">
        <v>2574</v>
      </c>
      <c r="J17" s="55">
        <f t="shared" ref="J17:J18" si="5">H17+I17</f>
      </c>
      <c r="K17" s="53">
        <v>14923.42</v>
      </c>
      <c r="L17" s="56">
        <f t="shared" si="34"/>
      </c>
      <c r="M17" s="52">
        <v>2224.8</v>
      </c>
      <c r="N17" s="56">
        <f t="shared" si="33"/>
      </c>
      <c r="O17" s="56">
        <f t="shared" si="32"/>
      </c>
      <c r="P17" s="56">
        <f t="shared" si="31"/>
      </c>
      <c r="Q17" s="52" t="s">
        <v>158</v>
      </c>
      <c r="R17" s="52">
        <v>10</v>
      </c>
      <c r="S17" s="57" t="s">
        <v>159</v>
      </c>
      <c r="T17" s="52">
        <v>10</v>
      </c>
    </row>
    <row r="18">
      <c r="A18" s="52" t="s">
        <v>167</v>
      </c>
      <c r="B18" s="53" t="s">
        <v>160</v>
      </c>
      <c r="C18" s="53" t="s">
        <v>161</v>
      </c>
      <c r="D18" s="53">
        <v>5</v>
      </c>
      <c r="E18" s="52">
        <v>14</v>
      </c>
      <c r="F18" s="52">
        <v>12</v>
      </c>
      <c r="G18" s="52">
        <v>1</v>
      </c>
      <c r="H18" s="54">
        <v>18502.08</v>
      </c>
      <c r="I18" s="52">
        <v>8165</v>
      </c>
      <c r="J18" s="55">
        <f t="shared" si="5"/>
      </c>
      <c r="K18" s="53">
        <v>18157.14</v>
      </c>
      <c r="L18" s="56">
        <f t="shared" si="34"/>
      </c>
      <c r="M18" s="52">
        <v>1736.64</v>
      </c>
      <c r="N18" s="56">
        <f t="shared" si="33"/>
      </c>
      <c r="O18" s="56">
        <f t="shared" si="32"/>
      </c>
      <c r="P18" s="56">
        <f t="shared" si="31"/>
      </c>
      <c r="Q18" s="52"/>
      <c r="R18" s="52"/>
      <c r="S18" s="57"/>
      <c r="T18" s="52"/>
    </row>
    <row r="19">
      <c r="A19" s="58" t="s">
        <v>167</v>
      </c>
      <c r="B19" s="59"/>
      <c r="C19" s="59"/>
      <c r="D19" s="60">
        <f>D17+D18</f>
      </c>
      <c r="E19" s="60">
        <f>E17+E18</f>
      </c>
      <c r="F19" s="60">
        <f>F17+F18</f>
      </c>
      <c r="G19" s="60">
        <f>G17+G18</f>
      </c>
      <c r="H19" s="60">
        <f>H17+H18</f>
      </c>
      <c r="I19" s="60">
        <f>I17+I18</f>
      </c>
      <c r="J19" s="60">
        <f>J17+J18</f>
      </c>
      <c r="K19" s="60">
        <f>K17+K18</f>
      </c>
      <c r="L19" s="61">
        <f t="shared" si="34"/>
      </c>
      <c r="M19" s="60">
        <f>M17+M18</f>
      </c>
      <c r="N19" s="62">
        <f t="shared" si="33"/>
      </c>
      <c r="O19" s="61">
        <f t="shared" si="32"/>
      </c>
      <c r="P19" s="61">
        <f t="shared" si="31"/>
      </c>
      <c r="Q19" s="59"/>
      <c r="R19" s="63">
        <f>R17+R18</f>
      </c>
      <c r="S19" s="59"/>
      <c r="T19" s="60">
        <f>SUM(T17)</f>
      </c>
    </row>
    <row r="20">
      <c r="A20" s="52" t="s">
        <v>168</v>
      </c>
      <c r="B20" s="53" t="s">
        <v>156</v>
      </c>
      <c r="C20" s="52" t="s">
        <v>169</v>
      </c>
      <c r="D20" s="53">
        <v>5</v>
      </c>
      <c r="E20" s="52">
        <v>17</v>
      </c>
      <c r="F20" s="52">
        <v>15</v>
      </c>
      <c r="G20" s="52">
        <v>2</v>
      </c>
      <c r="H20" s="54">
        <v>30658.44</v>
      </c>
      <c r="I20" s="52">
        <v>663</v>
      </c>
      <c r="J20" s="55">
        <f t="shared" ref="J20:J22" si="6">H20+I20</f>
      </c>
      <c r="K20" s="53">
        <v>19748.02</v>
      </c>
      <c r="L20" s="56">
        <f t="shared" si="34"/>
      </c>
      <c r="M20" s="52">
        <v>10937.16</v>
      </c>
      <c r="N20" s="56">
        <f t="shared" si="33"/>
      </c>
      <c r="O20" s="56">
        <f t="shared" si="32"/>
      </c>
      <c r="P20" s="56">
        <f t="shared" si="31"/>
      </c>
      <c r="Q20" s="52" t="s">
        <v>170</v>
      </c>
      <c r="R20" s="52">
        <v>7</v>
      </c>
      <c r="S20" s="57" t="s">
        <v>159</v>
      </c>
      <c r="T20" s="52">
        <v>15</v>
      </c>
    </row>
    <row customHeight="true" ht="16.071428571428573" r="21">
      <c r="A21" s="52" t="s">
        <v>168</v>
      </c>
      <c r="B21" s="52" t="s">
        <v>171</v>
      </c>
      <c r="C21" s="53" t="s">
        <v>157</v>
      </c>
      <c r="D21" s="53">
        <v>5</v>
      </c>
      <c r="E21" s="52">
        <v>5</v>
      </c>
      <c r="F21" s="52">
        <v>3</v>
      </c>
      <c r="G21" s="52">
        <v>0</v>
      </c>
      <c r="H21" s="54">
        <v>9886.320000000003</v>
      </c>
      <c r="I21" s="52">
        <v>1886</v>
      </c>
      <c r="J21" s="55">
        <f t="shared" si="6"/>
      </c>
      <c r="K21" s="53">
        <v>11138.26</v>
      </c>
      <c r="L21" s="56">
        <f t="shared" si="34"/>
      </c>
      <c r="M21" s="52">
        <v>708.48</v>
      </c>
      <c r="N21" s="56">
        <f t="shared" si="33"/>
      </c>
      <c r="O21" s="56">
        <f t="shared" si="32"/>
      </c>
      <c r="P21" s="56">
        <f t="shared" si="31"/>
      </c>
      <c r="Q21" s="52"/>
      <c r="R21" s="52"/>
      <c r="S21" s="57"/>
      <c r="T21" s="52"/>
    </row>
    <row r="22">
      <c r="A22" s="52" t="s">
        <v>168</v>
      </c>
      <c r="B22" s="53" t="s">
        <v>160</v>
      </c>
      <c r="C22" s="53" t="s">
        <v>161</v>
      </c>
      <c r="D22" s="53">
        <v>5</v>
      </c>
      <c r="E22" s="52">
        <v>11</v>
      </c>
      <c r="F22" s="52">
        <v>9</v>
      </c>
      <c r="G22" s="52">
        <v>1</v>
      </c>
      <c r="H22" s="54">
        <v>14393.159999999996</v>
      </c>
      <c r="I22" s="52">
        <v>5083.25</v>
      </c>
      <c r="J22" s="55">
        <f t="shared" si="6"/>
      </c>
      <c r="K22" s="53">
        <v>13309.73</v>
      </c>
      <c r="L22" s="56">
        <f t="shared" si="34"/>
      </c>
      <c r="M22" s="52">
        <v>0</v>
      </c>
      <c r="N22" s="56">
        <f t="shared" si="33"/>
      </c>
      <c r="O22" s="56">
        <f t="shared" si="32"/>
      </c>
      <c r="P22" s="56">
        <f t="shared" si="31"/>
      </c>
      <c r="Q22" s="52" t="s">
        <v>158</v>
      </c>
      <c r="R22" s="52">
        <v>8</v>
      </c>
      <c r="S22" s="57"/>
      <c r="T22" s="52"/>
    </row>
    <row r="23">
      <c r="A23" s="58" t="s">
        <v>168</v>
      </c>
      <c r="B23" s="59"/>
      <c r="C23" s="59"/>
      <c r="D23" s="60">
        <f>SUM(D20:D22)</f>
      </c>
      <c r="E23" s="60">
        <f>SUM(E20:E22)</f>
      </c>
      <c r="F23" s="60">
        <f>SUM(F20:F22)</f>
      </c>
      <c r="G23" s="60">
        <f>SUM(G20:G22)</f>
      </c>
      <c r="H23" s="60">
        <f>SUM(H20:H22)</f>
      </c>
      <c r="I23" s="60">
        <f>SUM(I20:I22)</f>
      </c>
      <c r="J23" s="60">
        <f>SUM(J20:J22)</f>
      </c>
      <c r="K23" s="60">
        <f>SUM(K20:K22)</f>
      </c>
      <c r="L23" s="61">
        <f t="shared" si="34"/>
      </c>
      <c r="M23" s="60">
        <f>SUM(M20:M22)</f>
      </c>
      <c r="N23" s="62">
        <f t="shared" si="33"/>
      </c>
      <c r="O23" s="61">
        <f t="shared" si="32"/>
      </c>
      <c r="P23" s="61">
        <f t="shared" si="31"/>
      </c>
      <c r="Q23" s="59"/>
      <c r="R23" s="63">
        <f>SUM(R20:R22)</f>
      </c>
      <c r="S23" s="59"/>
      <c r="T23" s="60">
        <f>SUM(T20)</f>
      </c>
    </row>
    <row r="24">
      <c r="A24" s="52" t="s">
        <v>172</v>
      </c>
      <c r="B24" s="53" t="s">
        <v>156</v>
      </c>
      <c r="C24" s="52" t="s">
        <v>169</v>
      </c>
      <c r="D24" s="53">
        <v>5</v>
      </c>
      <c r="E24" s="52">
        <v>11</v>
      </c>
      <c r="F24" s="52">
        <v>9</v>
      </c>
      <c r="G24" s="52">
        <v>2</v>
      </c>
      <c r="H24" s="54">
        <v>26493.6</v>
      </c>
      <c r="I24" s="52">
        <v>2328</v>
      </c>
      <c r="J24" s="55">
        <f t="shared" ref="J24:J26" si="7">H24+I24</f>
      </c>
      <c r="K24" s="53">
        <v>14517.71</v>
      </c>
      <c r="L24" s="56">
        <f t="shared" si="34"/>
      </c>
      <c r="M24" s="52">
        <v>7851.12</v>
      </c>
      <c r="N24" s="56">
        <f t="shared" si="33"/>
      </c>
      <c r="O24" s="56">
        <f t="shared" si="32"/>
      </c>
      <c r="P24" s="56">
        <f t="shared" si="31"/>
      </c>
      <c r="Q24" s="52" t="s">
        <v>170</v>
      </c>
      <c r="R24" s="52">
        <v>7</v>
      </c>
      <c r="S24" s="57" t="s">
        <v>159</v>
      </c>
      <c r="T24" s="52">
        <v>15</v>
      </c>
    </row>
    <row r="25">
      <c r="A25" s="52" t="s">
        <v>172</v>
      </c>
      <c r="B25" s="52" t="s">
        <v>171</v>
      </c>
      <c r="C25" s="53" t="s">
        <v>157</v>
      </c>
      <c r="D25" s="53">
        <v>5</v>
      </c>
      <c r="E25" s="52">
        <v>4</v>
      </c>
      <c r="F25" s="52">
        <v>4</v>
      </c>
      <c r="G25" s="52">
        <v>0</v>
      </c>
      <c r="H25" s="54">
        <v>4996.080000000002</v>
      </c>
      <c r="I25" s="52">
        <v>0</v>
      </c>
      <c r="J25" s="55">
        <f t="shared" si="7"/>
      </c>
      <c r="K25" s="53">
        <v>10944.9</v>
      </c>
      <c r="L25" s="56">
        <f t="shared" si="34"/>
      </c>
      <c r="M25" s="52">
        <v>2298.2400000000002</v>
      </c>
      <c r="N25" s="56">
        <f t="shared" si="33"/>
      </c>
      <c r="O25" s="56">
        <f t="shared" si="32"/>
      </c>
      <c r="P25" s="56">
        <f t="shared" si="31"/>
      </c>
      <c r="Q25" s="52"/>
      <c r="R25" s="52"/>
      <c r="S25" s="57"/>
      <c r="T25" s="52"/>
    </row>
    <row r="26">
      <c r="A26" s="52" t="s">
        <v>172</v>
      </c>
      <c r="B26" s="53" t="s">
        <v>160</v>
      </c>
      <c r="C26" s="53" t="s">
        <v>161</v>
      </c>
      <c r="D26" s="53">
        <v>5</v>
      </c>
      <c r="E26" s="52">
        <v>15</v>
      </c>
      <c r="F26" s="52">
        <v>14</v>
      </c>
      <c r="G26" s="52">
        <v>2</v>
      </c>
      <c r="H26" s="54">
        <v>26172.120000000003</v>
      </c>
      <c r="I26" s="52">
        <v>0</v>
      </c>
      <c r="J26" s="55">
        <f t="shared" si="7"/>
      </c>
      <c r="K26" s="53">
        <v>14353.239999999998</v>
      </c>
      <c r="L26" s="56">
        <f t="shared" si="34"/>
      </c>
      <c r="M26" s="52">
        <v>0</v>
      </c>
      <c r="N26" s="56">
        <f t="shared" si="33"/>
      </c>
      <c r="O26" s="56">
        <f t="shared" si="32"/>
      </c>
      <c r="P26" s="56">
        <f t="shared" si="31"/>
      </c>
      <c r="Q26" s="52" t="s">
        <v>158</v>
      </c>
      <c r="R26" s="52">
        <v>8</v>
      </c>
      <c r="S26" s="57"/>
      <c r="T26" s="52"/>
    </row>
    <row r="27">
      <c r="A27" s="58" t="s">
        <v>172</v>
      </c>
      <c r="B27" s="59"/>
      <c r="C27" s="59"/>
      <c r="D27" s="60">
        <f>SUM(D24:D26)</f>
      </c>
      <c r="E27" s="60">
        <f>SUM(E24:E26)</f>
      </c>
      <c r="F27" s="60">
        <f>SUM(F24:F26)</f>
      </c>
      <c r="G27" s="60">
        <f>SUM(G24:G26)</f>
      </c>
      <c r="H27" s="60">
        <f>SUM(H24:H26)</f>
      </c>
      <c r="I27" s="60">
        <f>SUM(I24:I26)</f>
      </c>
      <c r="J27" s="60">
        <f>SUM(J24:J26)</f>
      </c>
      <c r="K27" s="60">
        <f>SUM(K24:K26)</f>
      </c>
      <c r="L27" s="61">
        <f t="shared" si="34"/>
      </c>
      <c r="M27" s="60">
        <f>SUM(M24:M26)</f>
      </c>
      <c r="N27" s="62">
        <f t="shared" si="33"/>
      </c>
      <c r="O27" s="61">
        <f t="shared" si="32"/>
      </c>
      <c r="P27" s="61">
        <f t="shared" si="31"/>
      </c>
      <c r="Q27" s="59"/>
      <c r="R27" s="63">
        <f>SUM(R24:R26)</f>
      </c>
      <c r="S27" s="59"/>
      <c r="T27" s="60">
        <f>SUM(T24)</f>
      </c>
    </row>
    <row r="28">
      <c r="A28" s="52" t="s">
        <v>173</v>
      </c>
      <c r="B28" s="53" t="s">
        <v>156</v>
      </c>
      <c r="C28" s="53" t="s">
        <v>157</v>
      </c>
      <c r="D28" s="53">
        <v>5</v>
      </c>
      <c r="E28" s="52">
        <v>5</v>
      </c>
      <c r="F28" s="52">
        <v>4</v>
      </c>
      <c r="G28" s="52">
        <v>1</v>
      </c>
      <c r="H28" s="54">
        <v>10756.56</v>
      </c>
      <c r="I28" s="52">
        <v>2823</v>
      </c>
      <c r="J28" s="55">
        <f t="shared" ref="J28:J29" si="8">H28+I28</f>
      </c>
      <c r="K28" s="53">
        <v>11741.2</v>
      </c>
      <c r="L28" s="56">
        <f t="shared" si="34"/>
      </c>
      <c r="M28" s="52">
        <v>0</v>
      </c>
      <c r="N28" s="56">
        <f t="shared" si="33"/>
      </c>
      <c r="O28" s="56">
        <f t="shared" si="32"/>
      </c>
      <c r="P28" s="56">
        <f t="shared" si="31"/>
      </c>
      <c r="Q28" s="52" t="s">
        <v>158</v>
      </c>
      <c r="R28" s="52">
        <v>10</v>
      </c>
      <c r="S28" s="57" t="s">
        <v>159</v>
      </c>
      <c r="T28" s="52">
        <v>10</v>
      </c>
    </row>
    <row r="29">
      <c r="A29" s="52" t="s">
        <v>173</v>
      </c>
      <c r="B29" s="52" t="s">
        <v>171</v>
      </c>
      <c r="C29" s="53" t="s">
        <v>161</v>
      </c>
      <c r="D29" s="64">
        <f>5-0.25</f>
      </c>
      <c r="E29" s="52">
        <v>3</v>
      </c>
      <c r="F29" s="52">
        <v>4</v>
      </c>
      <c r="G29" s="52">
        <v>1</v>
      </c>
      <c r="H29" s="54">
        <v>1503.960000000001</v>
      </c>
      <c r="I29" s="52">
        <v>1086</v>
      </c>
      <c r="J29" s="55">
        <f t="shared" si="8"/>
      </c>
      <c r="K29" s="53">
        <v>11362.31</v>
      </c>
      <c r="L29" s="56">
        <f t="shared" si="34"/>
      </c>
      <c r="M29" s="52">
        <v>0</v>
      </c>
      <c r="N29" s="56">
        <f t="shared" si="33"/>
      </c>
      <c r="O29" s="56">
        <f t="shared" si="32"/>
      </c>
      <c r="P29" s="56">
        <f t="shared" si="31"/>
      </c>
      <c r="Q29" s="52"/>
      <c r="R29" s="52"/>
      <c r="S29" s="57"/>
      <c r="T29" s="52"/>
    </row>
    <row r="30">
      <c r="A30" s="58" t="s">
        <v>173</v>
      </c>
      <c r="B30" s="59"/>
      <c r="C30" s="59"/>
      <c r="D30" s="60">
        <f>D28+D29</f>
      </c>
      <c r="E30" s="60">
        <f>E28+E29</f>
      </c>
      <c r="F30" s="60">
        <f>F28+F29</f>
      </c>
      <c r="G30" s="60">
        <f>G28+G29</f>
      </c>
      <c r="H30" s="60">
        <f>H28+H29</f>
      </c>
      <c r="I30" s="60">
        <f>I28+I29</f>
      </c>
      <c r="J30" s="60">
        <f>J28+J29</f>
      </c>
      <c r="K30" s="60">
        <f>K28+K29</f>
      </c>
      <c r="L30" s="61">
        <f t="shared" si="34"/>
      </c>
      <c r="M30" s="60">
        <f>M28+M29</f>
      </c>
      <c r="N30" s="62">
        <f t="shared" si="33"/>
      </c>
      <c r="O30" s="61">
        <f t="shared" si="32"/>
      </c>
      <c r="P30" s="61">
        <f t="shared" si="31"/>
      </c>
      <c r="Q30" s="59"/>
      <c r="R30" s="63">
        <f>R28+R29</f>
      </c>
      <c r="S30" s="59"/>
      <c r="T30" s="60">
        <f>SUM(T28)</f>
      </c>
    </row>
    <row r="31">
      <c r="A31" s="52" t="s">
        <v>174</v>
      </c>
      <c r="B31" s="53" t="s">
        <v>156</v>
      </c>
      <c r="C31" s="52" t="s">
        <v>175</v>
      </c>
      <c r="D31" s="52">
        <v>6</v>
      </c>
      <c r="E31" s="52">
        <v>10</v>
      </c>
      <c r="F31" s="52">
        <v>9</v>
      </c>
      <c r="G31" s="52">
        <v>0</v>
      </c>
      <c r="H31" s="54">
        <v>11317.32</v>
      </c>
      <c r="I31" s="52">
        <v>656</v>
      </c>
      <c r="J31" s="55">
        <f t="shared" ref="J31:J32" si="9">H31+I31</f>
      </c>
      <c r="K31" s="53">
        <v>17559.3</v>
      </c>
      <c r="L31" s="56">
        <f t="shared" si="34"/>
      </c>
      <c r="M31" s="52">
        <v>4534.92</v>
      </c>
      <c r="N31" s="56">
        <f t="shared" si="33"/>
      </c>
      <c r="O31" s="56">
        <f t="shared" si="32"/>
      </c>
      <c r="P31" s="56">
        <f t="shared" si="31"/>
      </c>
      <c r="Q31" s="52" t="s">
        <v>170</v>
      </c>
      <c r="R31" s="52">
        <v>7</v>
      </c>
      <c r="S31" s="57" t="s">
        <v>159</v>
      </c>
      <c r="T31" s="52">
        <v>10</v>
      </c>
    </row>
    <row r="32">
      <c r="A32" s="52" t="s">
        <v>174</v>
      </c>
      <c r="B32" s="52" t="s">
        <v>176</v>
      </c>
      <c r="C32" s="52" t="s">
        <v>177</v>
      </c>
      <c r="D32" s="52">
        <v>4</v>
      </c>
      <c r="E32" s="52">
        <v>5</v>
      </c>
      <c r="F32" s="52">
        <v>4</v>
      </c>
      <c r="G32" s="52">
        <v>0</v>
      </c>
      <c r="H32" s="54">
        <v>3012.120000000001</v>
      </c>
      <c r="I32" s="52">
        <v>2112</v>
      </c>
      <c r="J32" s="55">
        <f t="shared" si="9"/>
      </c>
      <c r="K32" s="53">
        <v>7571.540000000001</v>
      </c>
      <c r="L32" s="56">
        <f t="shared" si="34"/>
      </c>
      <c r="M32" s="52">
        <v>0</v>
      </c>
      <c r="N32" s="56">
        <f t="shared" si="33"/>
      </c>
      <c r="O32" s="56">
        <f t="shared" si="32"/>
      </c>
      <c r="P32" s="56">
        <f t="shared" si="31"/>
      </c>
      <c r="Q32" s="52" t="s">
        <v>178</v>
      </c>
      <c r="R32" s="52">
        <v>3</v>
      </c>
      <c r="S32" s="57"/>
      <c r="T32" s="52"/>
    </row>
    <row r="33">
      <c r="A33" s="58" t="s">
        <v>174</v>
      </c>
      <c r="B33" s="59"/>
      <c r="C33" s="59"/>
      <c r="D33" s="60">
        <f>SUM(D31:D32)</f>
      </c>
      <c r="E33" s="60">
        <f>SUM(E31:E32)</f>
      </c>
      <c r="F33" s="60">
        <f>SUM(F31:F32)</f>
      </c>
      <c r="G33" s="60">
        <f>SUM(G31:G32)</f>
      </c>
      <c r="H33" s="60">
        <f>SUM(H31:H32)</f>
      </c>
      <c r="I33" s="60">
        <f>SUM(I31:I32)</f>
      </c>
      <c r="J33" s="60">
        <f>SUM(J31:J32)</f>
      </c>
      <c r="K33" s="60">
        <f>SUM(K31:K32)</f>
      </c>
      <c r="L33" s="61">
        <f t="shared" si="34"/>
      </c>
      <c r="M33" s="60">
        <f>SUM(M31:M32)</f>
      </c>
      <c r="N33" s="62">
        <f t="shared" si="33"/>
      </c>
      <c r="O33" s="61">
        <f t="shared" si="32"/>
      </c>
      <c r="P33" s="61">
        <f t="shared" si="31"/>
      </c>
      <c r="Q33" s="59"/>
      <c r="R33" s="63">
        <f>SUM(R31:R32)</f>
      </c>
      <c r="S33" s="59"/>
      <c r="T33" s="60">
        <f>SUM(T31)</f>
      </c>
    </row>
    <row r="34">
      <c r="A34" s="52" t="s">
        <v>179</v>
      </c>
      <c r="B34" s="53" t="s">
        <v>156</v>
      </c>
      <c r="C34" s="52" t="s">
        <v>169</v>
      </c>
      <c r="D34" s="53">
        <v>5</v>
      </c>
      <c r="E34" s="52">
        <v>29</v>
      </c>
      <c r="F34" s="52">
        <v>28</v>
      </c>
      <c r="G34" s="52">
        <v>2</v>
      </c>
      <c r="H34" s="54">
        <v>42957.72</v>
      </c>
      <c r="I34" s="52">
        <v>0</v>
      </c>
      <c r="J34" s="55">
        <f t="shared" ref="J34:J36" si="10">H34+I34</f>
      </c>
      <c r="K34" s="53">
        <v>25174.249999999996</v>
      </c>
      <c r="L34" s="56">
        <f t="shared" si="34"/>
      </c>
      <c r="M34" s="52">
        <v>13290.48</v>
      </c>
      <c r="N34" s="56">
        <f t="shared" si="33"/>
      </c>
      <c r="O34" s="56">
        <f t="shared" si="32"/>
      </c>
      <c r="P34" s="56">
        <f t="shared" si="31"/>
      </c>
      <c r="Q34" s="52" t="s">
        <v>170</v>
      </c>
      <c r="R34" s="52">
        <v>7</v>
      </c>
      <c r="S34" s="57" t="s">
        <v>159</v>
      </c>
      <c r="T34" s="52">
        <v>15</v>
      </c>
    </row>
    <row r="35">
      <c r="A35" s="52" t="s">
        <v>179</v>
      </c>
      <c r="B35" s="53" t="s">
        <v>160</v>
      </c>
      <c r="C35" s="53" t="s">
        <v>157</v>
      </c>
      <c r="D35" s="53">
        <v>5</v>
      </c>
      <c r="E35" s="52">
        <v>3</v>
      </c>
      <c r="F35" s="52">
        <v>2</v>
      </c>
      <c r="G35" s="52">
        <v>1</v>
      </c>
      <c r="H35" s="54">
        <v>8893.68</v>
      </c>
      <c r="I35" s="52">
        <v>0</v>
      </c>
      <c r="J35" s="55">
        <f t="shared" si="10"/>
      </c>
      <c r="K35" s="53">
        <v>14492.869999999999</v>
      </c>
      <c r="L35" s="56">
        <f t="shared" si="34"/>
      </c>
      <c r="M35" s="52">
        <v>0</v>
      </c>
      <c r="N35" s="56">
        <f t="shared" si="33"/>
      </c>
      <c r="O35" s="56">
        <f t="shared" si="32"/>
      </c>
      <c r="P35" s="56">
        <f t="shared" si="31"/>
      </c>
      <c r="Q35" s="52"/>
      <c r="R35" s="52"/>
      <c r="S35" s="57"/>
      <c r="T35" s="52"/>
    </row>
    <row r="36">
      <c r="A36" s="52" t="s">
        <v>179</v>
      </c>
      <c r="B36" s="52" t="s">
        <v>176</v>
      </c>
      <c r="C36" s="53" t="s">
        <v>161</v>
      </c>
      <c r="D36" s="53">
        <v>5</v>
      </c>
      <c r="E36" s="52">
        <v>49</v>
      </c>
      <c r="F36" s="52">
        <v>40</v>
      </c>
      <c r="G36" s="52">
        <v>6</v>
      </c>
      <c r="H36" s="54">
        <v>63596.88</v>
      </c>
      <c r="I36" s="52">
        <v>6778.6</v>
      </c>
      <c r="J36" s="55">
        <f t="shared" si="10"/>
      </c>
      <c r="K36" s="53">
        <v>35783.58</v>
      </c>
      <c r="L36" s="56">
        <f t="shared" si="34"/>
      </c>
      <c r="M36" s="52">
        <v>4294.5199999999995</v>
      </c>
      <c r="N36" s="56">
        <f t="shared" si="33"/>
      </c>
      <c r="O36" s="56">
        <f t="shared" si="32"/>
      </c>
      <c r="P36" s="56">
        <f t="shared" si="31"/>
      </c>
      <c r="Q36" s="52" t="s">
        <v>158</v>
      </c>
      <c r="R36" s="52">
        <v>8</v>
      </c>
      <c r="S36" s="57"/>
      <c r="T36" s="52"/>
    </row>
    <row r="37">
      <c r="A37" s="58" t="s">
        <v>179</v>
      </c>
      <c r="B37" s="59"/>
      <c r="C37" s="59"/>
      <c r="D37" s="60">
        <f>SUM(D34:D36)</f>
      </c>
      <c r="E37" s="60">
        <f>SUM(E34:E36)</f>
      </c>
      <c r="F37" s="60">
        <f>SUM(F34:F36)</f>
      </c>
      <c r="G37" s="60">
        <f>SUM(G34:G36)</f>
      </c>
      <c r="H37" s="60">
        <f>SUM(H34:H36)</f>
      </c>
      <c r="I37" s="60">
        <f>SUM(I34:I36)</f>
      </c>
      <c r="J37" s="60">
        <f>SUM(J34:J36)</f>
      </c>
      <c r="K37" s="60">
        <f>SUM(K34:K36)</f>
      </c>
      <c r="L37" s="61">
        <f t="shared" si="34"/>
      </c>
      <c r="M37" s="60">
        <f>SUM(M34:M36)</f>
      </c>
      <c r="N37" s="62">
        <f t="shared" si="33"/>
      </c>
      <c r="O37" s="61">
        <f t="shared" si="32"/>
      </c>
      <c r="P37" s="61">
        <f t="shared" si="31"/>
      </c>
      <c r="Q37" s="59"/>
      <c r="R37" s="63">
        <f>SUM(R34:R36)</f>
      </c>
      <c r="S37" s="59"/>
      <c r="T37" s="60">
        <f>SUM(T34)</f>
      </c>
    </row>
    <row r="38">
      <c r="A38" s="52" t="s">
        <v>180</v>
      </c>
      <c r="B38" s="53" t="s">
        <v>156</v>
      </c>
      <c r="C38" s="52" t="s">
        <v>169</v>
      </c>
      <c r="D38" s="53">
        <v>5</v>
      </c>
      <c r="E38" s="52">
        <v>29</v>
      </c>
      <c r="F38" s="52">
        <v>25</v>
      </c>
      <c r="G38" s="52">
        <v>2</v>
      </c>
      <c r="H38" s="54">
        <v>45769.08</v>
      </c>
      <c r="I38" s="52">
        <v>3966</v>
      </c>
      <c r="J38" s="55">
        <f t="shared" ref="J38:J40" si="11">H38+I38</f>
      </c>
      <c r="K38" s="53">
        <v>33288.6</v>
      </c>
      <c r="L38" s="56">
        <f t="shared" si="34"/>
      </c>
      <c r="M38" s="52">
        <v>16557</v>
      </c>
      <c r="N38" s="56">
        <f t="shared" si="33"/>
      </c>
      <c r="O38" s="56">
        <f t="shared" si="32"/>
      </c>
      <c r="P38" s="56">
        <f t="shared" si="31"/>
      </c>
      <c r="Q38" s="52" t="s">
        <v>170</v>
      </c>
      <c r="R38" s="52">
        <v>7</v>
      </c>
      <c r="S38" s="57" t="s">
        <v>159</v>
      </c>
      <c r="T38" s="52">
        <v>15</v>
      </c>
    </row>
    <row r="39">
      <c r="A39" s="52" t="s">
        <v>180</v>
      </c>
      <c r="B39" s="53" t="s">
        <v>160</v>
      </c>
      <c r="C39" s="53" t="s">
        <v>157</v>
      </c>
      <c r="D39" s="53">
        <v>5</v>
      </c>
      <c r="E39" s="52">
        <v>33</v>
      </c>
      <c r="F39" s="52">
        <v>24</v>
      </c>
      <c r="G39" s="52">
        <v>2</v>
      </c>
      <c r="H39" s="54">
        <v>48849.23999999999</v>
      </c>
      <c r="I39" s="52">
        <v>6131.549999999999</v>
      </c>
      <c r="J39" s="55">
        <f t="shared" si="11"/>
      </c>
      <c r="K39" s="53">
        <v>32219.12</v>
      </c>
      <c r="L39" s="56">
        <f t="shared" si="34"/>
      </c>
      <c r="M39" s="52">
        <v>14018</v>
      </c>
      <c r="N39" s="56">
        <f t="shared" si="33"/>
      </c>
      <c r="O39" s="56">
        <f t="shared" si="32"/>
      </c>
      <c r="P39" s="56">
        <f t="shared" si="31"/>
      </c>
      <c r="Q39" s="52"/>
      <c r="R39" s="52"/>
      <c r="S39" s="57"/>
      <c r="T39" s="52"/>
    </row>
    <row r="40">
      <c r="A40" s="52" t="s">
        <v>180</v>
      </c>
      <c r="B40" s="52" t="s">
        <v>176</v>
      </c>
      <c r="C40" s="53" t="s">
        <v>161</v>
      </c>
      <c r="D40" s="53">
        <v>5</v>
      </c>
      <c r="E40" s="52">
        <v>115</v>
      </c>
      <c r="F40" s="52">
        <v>99</v>
      </c>
      <c r="G40" s="52">
        <v>20</v>
      </c>
      <c r="H40" s="54">
        <v>168582.83999999997</v>
      </c>
      <c r="I40" s="52">
        <v>38313.100000000006</v>
      </c>
      <c r="J40" s="55">
        <f t="shared" si="11"/>
      </c>
      <c r="K40" s="53">
        <v>99129.28</v>
      </c>
      <c r="L40" s="56">
        <f t="shared" si="34"/>
      </c>
      <c r="M40" s="52">
        <v>8890.8</v>
      </c>
      <c r="N40" s="56">
        <f t="shared" si="33"/>
      </c>
      <c r="O40" s="56">
        <f t="shared" si="32"/>
      </c>
      <c r="P40" s="56">
        <f t="shared" si="31"/>
      </c>
      <c r="Q40" s="52" t="s">
        <v>158</v>
      </c>
      <c r="R40" s="52">
        <v>8</v>
      </c>
      <c r="S40" s="57"/>
      <c r="T40" s="52"/>
    </row>
    <row r="41">
      <c r="A41" s="58" t="s">
        <v>180</v>
      </c>
      <c r="B41" s="59"/>
      <c r="C41" s="59"/>
      <c r="D41" s="60">
        <f>SUM(D38:D40)</f>
      </c>
      <c r="E41" s="60">
        <f>SUM(E38:E40)</f>
      </c>
      <c r="F41" s="60">
        <f>SUM(F38:F40)</f>
      </c>
      <c r="G41" s="60">
        <f>SUM(G38:G40)</f>
      </c>
      <c r="H41" s="60">
        <f>SUM(H38:H40)</f>
      </c>
      <c r="I41" s="60">
        <f>SUM(I38:I40)</f>
      </c>
      <c r="J41" s="60">
        <f>SUM(J38:J40)</f>
      </c>
      <c r="K41" s="60">
        <f>SUM(K38:K40)</f>
      </c>
      <c r="L41" s="61">
        <f t="shared" si="34"/>
      </c>
      <c r="M41" s="60">
        <f>SUM(M38:M40)</f>
      </c>
      <c r="N41" s="62">
        <f t="shared" si="33"/>
      </c>
      <c r="O41" s="61">
        <f t="shared" si="32"/>
      </c>
      <c r="P41" s="61">
        <f t="shared" si="31"/>
      </c>
      <c r="Q41" s="59"/>
      <c r="R41" s="63">
        <f>SUM(R38:R40)</f>
      </c>
      <c r="S41" s="59"/>
      <c r="T41" s="60">
        <f>SUM(T38)</f>
      </c>
    </row>
    <row r="42">
      <c r="A42" s="52" t="s">
        <v>181</v>
      </c>
      <c r="B42" s="53" t="s">
        <v>156</v>
      </c>
      <c r="C42" s="52" t="s">
        <v>169</v>
      </c>
      <c r="D42" s="53">
        <v>5</v>
      </c>
      <c r="E42" s="52">
        <v>16</v>
      </c>
      <c r="F42" s="52">
        <v>15</v>
      </c>
      <c r="G42" s="52">
        <v>4</v>
      </c>
      <c r="H42" s="54">
        <v>34877.52</v>
      </c>
      <c r="I42" s="52">
        <v>0</v>
      </c>
      <c r="J42" s="55">
        <f t="shared" ref="J42:J44" si="12">H42+I42</f>
      </c>
      <c r="K42" s="53">
        <v>26399.83</v>
      </c>
      <c r="L42" s="56">
        <f t="shared" si="34"/>
      </c>
      <c r="M42" s="52">
        <v>13337.28</v>
      </c>
      <c r="N42" s="56">
        <f t="shared" si="33"/>
      </c>
      <c r="O42" s="56">
        <f t="shared" si="32"/>
      </c>
      <c r="P42" s="56">
        <f t="shared" si="31"/>
      </c>
      <c r="Q42" s="52" t="s">
        <v>170</v>
      </c>
      <c r="R42" s="52">
        <v>7</v>
      </c>
      <c r="S42" s="57" t="s">
        <v>159</v>
      </c>
      <c r="T42" s="52">
        <v>15</v>
      </c>
    </row>
    <row r="43">
      <c r="A43" s="52" t="s">
        <v>181</v>
      </c>
      <c r="B43" s="53" t="s">
        <v>160</v>
      </c>
      <c r="C43" s="53" t="s">
        <v>157</v>
      </c>
      <c r="D43" s="53">
        <v>5</v>
      </c>
      <c r="E43" s="52">
        <v>22</v>
      </c>
      <c r="F43" s="52">
        <v>15</v>
      </c>
      <c r="G43" s="52">
        <v>3</v>
      </c>
      <c r="H43" s="54">
        <v>42747.960000000014</v>
      </c>
      <c r="I43" s="52">
        <v>0</v>
      </c>
      <c r="J43" s="55">
        <f t="shared" si="12"/>
      </c>
      <c r="K43" s="53">
        <v>26186.92</v>
      </c>
      <c r="L43" s="56">
        <f t="shared" si="34"/>
      </c>
      <c r="M43" s="52">
        <v>6334.08</v>
      </c>
      <c r="N43" s="56">
        <f t="shared" si="33"/>
      </c>
      <c r="O43" s="56">
        <f t="shared" si="32"/>
      </c>
      <c r="P43" s="56">
        <f t="shared" si="31"/>
      </c>
      <c r="Q43" s="52"/>
      <c r="R43" s="52"/>
      <c r="S43" s="57"/>
      <c r="T43" s="52"/>
    </row>
    <row r="44">
      <c r="A44" s="52" t="s">
        <v>181</v>
      </c>
      <c r="B44" s="52" t="s">
        <v>182</v>
      </c>
      <c r="C44" s="53" t="s">
        <v>161</v>
      </c>
      <c r="D44" s="53">
        <v>5</v>
      </c>
      <c r="E44" s="52">
        <v>30</v>
      </c>
      <c r="F44" s="52">
        <v>29</v>
      </c>
      <c r="G44" s="52">
        <v>3</v>
      </c>
      <c r="H44" s="54">
        <v>47846.639999999985</v>
      </c>
      <c r="I44" s="52">
        <v>5169</v>
      </c>
      <c r="J44" s="55">
        <f t="shared" si="12"/>
      </c>
      <c r="K44" s="53">
        <v>36203.83</v>
      </c>
      <c r="L44" s="56">
        <f t="shared" si="34"/>
      </c>
      <c r="M44" s="52">
        <v>3053.16</v>
      </c>
      <c r="N44" s="56">
        <f t="shared" si="33"/>
      </c>
      <c r="O44" s="56">
        <f t="shared" si="32"/>
      </c>
      <c r="P44" s="56">
        <f t="shared" si="31"/>
      </c>
      <c r="Q44" s="52" t="s">
        <v>158</v>
      </c>
      <c r="R44" s="52">
        <v>8</v>
      </c>
      <c r="S44" s="57"/>
      <c r="T44" s="52"/>
    </row>
    <row r="45">
      <c r="A45" s="58" t="s">
        <v>181</v>
      </c>
      <c r="B45" s="59"/>
      <c r="C45" s="59"/>
      <c r="D45" s="60">
        <f>SUM(D42:D44)</f>
      </c>
      <c r="E45" s="60">
        <f>SUM(E42:E44)</f>
      </c>
      <c r="F45" s="60">
        <f>SUM(F42:F44)</f>
      </c>
      <c r="G45" s="60">
        <f>SUM(G42:G44)</f>
      </c>
      <c r="H45" s="60">
        <f>SUM(H42:H44)</f>
      </c>
      <c r="I45" s="60">
        <f>SUM(I42:I44)</f>
      </c>
      <c r="J45" s="60">
        <f>SUM(J42:J44)</f>
      </c>
      <c r="K45" s="60">
        <f>SUM(K42:K44)</f>
      </c>
      <c r="L45" s="61">
        <f t="shared" si="34"/>
      </c>
      <c r="M45" s="60">
        <f>SUM(M42:M44)</f>
      </c>
      <c r="N45" s="62">
        <f t="shared" si="33"/>
      </c>
      <c r="O45" s="61">
        <f t="shared" si="32"/>
      </c>
      <c r="P45" s="61">
        <f t="shared" si="31"/>
      </c>
      <c r="Q45" s="59"/>
      <c r="R45" s="63">
        <f>SUM(R42:R44)</f>
      </c>
      <c r="S45" s="59"/>
      <c r="T45" s="60">
        <f>SUM(T42)</f>
      </c>
    </row>
    <row r="46">
      <c r="A46" s="52" t="s">
        <v>183</v>
      </c>
      <c r="B46" s="53" t="s">
        <v>156</v>
      </c>
      <c r="C46" s="52" t="s">
        <v>169</v>
      </c>
      <c r="D46" s="53">
        <v>5</v>
      </c>
      <c r="E46" s="52">
        <v>9</v>
      </c>
      <c r="F46" s="52">
        <v>7</v>
      </c>
      <c r="G46" s="52">
        <v>1</v>
      </c>
      <c r="H46" s="54">
        <v>14748.48</v>
      </c>
      <c r="I46" s="52">
        <v>0</v>
      </c>
      <c r="J46" s="55">
        <f t="shared" ref="J46:J49" si="13">H46+I46</f>
      </c>
      <c r="K46" s="53">
        <v>18687.649999999998</v>
      </c>
      <c r="L46" s="56">
        <f t="shared" si="34"/>
      </c>
      <c r="M46" s="52">
        <v>6255.36</v>
      </c>
      <c r="N46" s="56">
        <f t="shared" si="33"/>
      </c>
      <c r="O46" s="56">
        <f t="shared" si="32"/>
      </c>
      <c r="P46" s="56">
        <f t="shared" si="31"/>
      </c>
      <c r="Q46" s="52" t="s">
        <v>170</v>
      </c>
      <c r="R46" s="52">
        <v>7</v>
      </c>
      <c r="S46" s="57" t="s">
        <v>159</v>
      </c>
      <c r="T46" s="52">
        <v>15</v>
      </c>
    </row>
    <row r="47">
      <c r="A47" s="52" t="s">
        <v>183</v>
      </c>
      <c r="B47" s="53" t="s">
        <v>160</v>
      </c>
      <c r="C47" s="52" t="s">
        <v>184</v>
      </c>
      <c r="D47" s="52">
        <v>4</v>
      </c>
      <c r="E47" s="52">
        <v>10</v>
      </c>
      <c r="F47" s="52">
        <v>7</v>
      </c>
      <c r="G47" s="52">
        <v>0</v>
      </c>
      <c r="H47" s="54">
        <v>11921.04</v>
      </c>
      <c r="I47" s="52">
        <v>2415</v>
      </c>
      <c r="J47" s="55">
        <f t="shared" si="13"/>
      </c>
      <c r="K47" s="53">
        <v>15440.08</v>
      </c>
      <c r="L47" s="56">
        <f t="shared" si="34"/>
      </c>
      <c r="M47" s="52">
        <v>388.8</v>
      </c>
      <c r="N47" s="56">
        <f t="shared" si="33"/>
      </c>
      <c r="O47" s="56">
        <f t="shared" si="32"/>
      </c>
      <c r="P47" s="56">
        <f t="shared" si="31"/>
      </c>
      <c r="Q47" s="52"/>
      <c r="R47" s="52"/>
      <c r="S47" s="57"/>
      <c r="T47" s="52"/>
    </row>
    <row r="48">
      <c r="A48" s="52" t="s">
        <v>183</v>
      </c>
      <c r="B48" s="52" t="s">
        <v>185</v>
      </c>
      <c r="C48" s="52" t="s">
        <v>186</v>
      </c>
      <c r="D48" s="52">
        <v>2</v>
      </c>
      <c r="E48" s="52">
        <v>3</v>
      </c>
      <c r="F48" s="52">
        <v>3</v>
      </c>
      <c r="G48" s="52">
        <v>0</v>
      </c>
      <c r="H48" s="54">
        <v>7179.84</v>
      </c>
      <c r="I48" s="52">
        <v>0</v>
      </c>
      <c r="J48" s="55">
        <f t="shared" si="13"/>
      </c>
      <c r="K48" s="53">
        <v>3455.38</v>
      </c>
      <c r="L48" s="56">
        <f t="shared" si="34"/>
      </c>
      <c r="M48" s="52">
        <v>3110.4</v>
      </c>
      <c r="N48" s="56">
        <f t="shared" si="33"/>
      </c>
      <c r="O48" s="56">
        <f t="shared" si="32"/>
      </c>
      <c r="P48" s="56">
        <f t="shared" si="31"/>
      </c>
      <c r="Q48" s="52"/>
      <c r="R48" s="52"/>
      <c r="S48" s="57"/>
      <c r="T48" s="52"/>
    </row>
    <row r="49">
      <c r="A49" s="52" t="s">
        <v>183</v>
      </c>
      <c r="B49" s="65" t="s">
        <v>182</v>
      </c>
      <c r="C49" s="52" t="s">
        <v>187</v>
      </c>
      <c r="D49" s="52">
        <v>4</v>
      </c>
      <c r="E49" s="52">
        <v>6</v>
      </c>
      <c r="F49" s="52">
        <v>6</v>
      </c>
      <c r="G49" s="52">
        <v>2</v>
      </c>
      <c r="H49" s="54">
        <v>6900.120000000003</v>
      </c>
      <c r="I49" s="52">
        <v>506</v>
      </c>
      <c r="J49" s="55">
        <f t="shared" si="13"/>
      </c>
      <c r="K49" s="53">
        <v>9616.76</v>
      </c>
      <c r="L49" s="56">
        <f t="shared" si="34"/>
      </c>
      <c r="M49" s="52">
        <v>0</v>
      </c>
      <c r="N49" s="56">
        <f t="shared" si="33"/>
      </c>
      <c r="O49" s="56">
        <f t="shared" si="32"/>
      </c>
      <c r="P49" s="56">
        <f t="shared" si="31"/>
      </c>
      <c r="Q49" s="52" t="s">
        <v>158</v>
      </c>
      <c r="R49" s="52">
        <v>8</v>
      </c>
      <c r="S49" s="57"/>
      <c r="T49" s="52"/>
    </row>
    <row r="50">
      <c r="A50" s="58" t="s">
        <v>183</v>
      </c>
      <c r="B50" s="59"/>
      <c r="C50" s="59"/>
      <c r="D50" s="60">
        <f>SUM(D46:D49)</f>
      </c>
      <c r="E50" s="60">
        <f>SUM(E46:E49)</f>
      </c>
      <c r="F50" s="60">
        <f>SUM(F46:F49)</f>
      </c>
      <c r="G50" s="60">
        <f>SUM(G46:G49)</f>
      </c>
      <c r="H50" s="60">
        <f>SUM(H46:H49)</f>
      </c>
      <c r="I50" s="60">
        <f>SUM(I46:I49)</f>
      </c>
      <c r="J50" s="60">
        <f>SUM(J46:J49)</f>
      </c>
      <c r="K50" s="60">
        <f>SUM(K46:K49)</f>
      </c>
      <c r="L50" s="61">
        <f t="shared" si="34"/>
      </c>
      <c r="M50" s="60">
        <f>SUM(M46:M49)</f>
      </c>
      <c r="N50" s="62">
        <f t="shared" si="33"/>
      </c>
      <c r="O50" s="61">
        <f t="shared" si="32"/>
      </c>
      <c r="P50" s="61">
        <f t="shared" si="31"/>
      </c>
      <c r="Q50" s="59"/>
      <c r="R50" s="63">
        <f>SUM(R46:R49)</f>
      </c>
      <c r="S50" s="59"/>
      <c r="T50" s="60">
        <f>SUM(T46)</f>
      </c>
    </row>
    <row r="51">
      <c r="A51" s="52" t="s">
        <v>188</v>
      </c>
      <c r="B51" s="53" t="s">
        <v>156</v>
      </c>
      <c r="C51" s="52" t="s">
        <v>169</v>
      </c>
      <c r="D51" s="53">
        <v>5</v>
      </c>
      <c r="E51" s="52">
        <v>29</v>
      </c>
      <c r="F51" s="52">
        <v>25</v>
      </c>
      <c r="G51" s="52">
        <v>1</v>
      </c>
      <c r="H51" s="54">
        <v>49091.880000000005</v>
      </c>
      <c r="I51" s="52">
        <v>3934</v>
      </c>
      <c r="J51" s="55">
        <f t="shared" ref="J51:J54" si="14">H51+I51</f>
      </c>
      <c r="K51" s="53">
        <v>25011.54</v>
      </c>
      <c r="L51" s="56">
        <f t="shared" si="34"/>
      </c>
      <c r="M51" s="52">
        <v>9878.44</v>
      </c>
      <c r="N51" s="56">
        <f t="shared" si="33"/>
      </c>
      <c r="O51" s="56">
        <f t="shared" si="32"/>
      </c>
      <c r="P51" s="56">
        <f t="shared" si="31"/>
      </c>
      <c r="Q51" s="52" t="s">
        <v>170</v>
      </c>
      <c r="R51" s="52">
        <v>7</v>
      </c>
      <c r="S51" s="57" t="s">
        <v>159</v>
      </c>
      <c r="T51" s="52">
        <v>15</v>
      </c>
    </row>
    <row r="52">
      <c r="A52" s="52" t="s">
        <v>188</v>
      </c>
      <c r="B52" s="53" t="s">
        <v>160</v>
      </c>
      <c r="C52" s="52" t="s">
        <v>184</v>
      </c>
      <c r="D52" s="52">
        <v>4</v>
      </c>
      <c r="E52" s="52">
        <v>13</v>
      </c>
      <c r="F52" s="52">
        <v>13</v>
      </c>
      <c r="G52" s="52">
        <v>5</v>
      </c>
      <c r="H52" s="54">
        <v>34861.31999999999</v>
      </c>
      <c r="I52" s="52">
        <v>0</v>
      </c>
      <c r="J52" s="55">
        <f t="shared" si="14"/>
      </c>
      <c r="K52" s="53">
        <v>18733.64</v>
      </c>
      <c r="L52" s="56">
        <f t="shared" si="34"/>
      </c>
      <c r="M52" s="52">
        <v>4371.84</v>
      </c>
      <c r="N52" s="56">
        <f t="shared" si="33"/>
      </c>
      <c r="O52" s="56">
        <f t="shared" si="32"/>
      </c>
      <c r="P52" s="56">
        <f t="shared" si="31"/>
      </c>
      <c r="Q52" s="52"/>
      <c r="R52" s="52"/>
      <c r="S52" s="57"/>
      <c r="T52" s="52"/>
    </row>
    <row r="53">
      <c r="A53" s="52" t="s">
        <v>188</v>
      </c>
      <c r="B53" s="65" t="s">
        <v>189</v>
      </c>
      <c r="C53" s="52" t="s">
        <v>186</v>
      </c>
      <c r="D53" s="52">
        <v>2</v>
      </c>
      <c r="E53" s="52">
        <v>5</v>
      </c>
      <c r="F53" s="52">
        <v>4</v>
      </c>
      <c r="G53" s="52">
        <v>2</v>
      </c>
      <c r="H53" s="54">
        <v>9629.880000000005</v>
      </c>
      <c r="I53" s="52">
        <v>0</v>
      </c>
      <c r="J53" s="55">
        <f t="shared" si="14"/>
      </c>
      <c r="K53" s="53">
        <v>7122.65</v>
      </c>
      <c r="L53" s="56">
        <f t="shared" si="34"/>
      </c>
      <c r="M53" s="52">
        <v>0</v>
      </c>
      <c r="N53" s="56">
        <f t="shared" si="33"/>
      </c>
      <c r="O53" s="56">
        <f t="shared" si="32"/>
      </c>
      <c r="P53" s="56">
        <f t="shared" si="31"/>
      </c>
      <c r="Q53" s="52"/>
      <c r="R53" s="52"/>
      <c r="S53" s="57"/>
      <c r="T53" s="52"/>
    </row>
    <row r="54">
      <c r="A54" s="52" t="s">
        <v>188</v>
      </c>
      <c r="B54" s="65" t="s">
        <v>182</v>
      </c>
      <c r="C54" s="52" t="s">
        <v>187</v>
      </c>
      <c r="D54" s="52">
        <v>4</v>
      </c>
      <c r="E54" s="52">
        <v>17</v>
      </c>
      <c r="F54" s="52">
        <v>17</v>
      </c>
      <c r="G54" s="52">
        <v>1</v>
      </c>
      <c r="H54" s="54">
        <v>26913.839999999997</v>
      </c>
      <c r="I54" s="52">
        <v>1483</v>
      </c>
      <c r="J54" s="55">
        <f t="shared" si="14"/>
      </c>
      <c r="K54" s="53">
        <v>22345.539999999997</v>
      </c>
      <c r="L54" s="56">
        <f t="shared" si="34"/>
      </c>
      <c r="M54" s="52">
        <v>1735.56</v>
      </c>
      <c r="N54" s="56">
        <f t="shared" si="33"/>
      </c>
      <c r="O54" s="56">
        <f t="shared" si="32"/>
      </c>
      <c r="P54" s="56">
        <f t="shared" si="31"/>
      </c>
      <c r="Q54" s="52" t="s">
        <v>158</v>
      </c>
      <c r="R54" s="52">
        <v>8</v>
      </c>
      <c r="S54" s="57"/>
      <c r="T54" s="52"/>
    </row>
    <row r="55">
      <c r="A55" s="58" t="s">
        <v>188</v>
      </c>
      <c r="B55" s="59"/>
      <c r="C55" s="59"/>
      <c r="D55" s="60">
        <f>SUM(D51:D54)</f>
      </c>
      <c r="E55" s="60">
        <f>SUM(E51:E54)</f>
      </c>
      <c r="F55" s="60">
        <f>SUM(F51:F54)</f>
      </c>
      <c r="G55" s="60">
        <f>SUM(G51:G54)</f>
      </c>
      <c r="H55" s="60">
        <f>SUM(H51:H54)</f>
      </c>
      <c r="I55" s="60">
        <f>SUM(I51:I54)</f>
      </c>
      <c r="J55" s="60">
        <f>SUM(J51:J54)</f>
      </c>
      <c r="K55" s="60">
        <f>SUM(K51:K54)</f>
      </c>
      <c r="L55" s="61">
        <f t="shared" si="34"/>
      </c>
      <c r="M55" s="60">
        <f>SUM(M51:M54)</f>
      </c>
      <c r="N55" s="62">
        <f t="shared" si="33"/>
      </c>
      <c r="O55" s="61">
        <f t="shared" si="32"/>
      </c>
      <c r="P55" s="61">
        <f t="shared" si="31"/>
      </c>
      <c r="Q55" s="59"/>
      <c r="R55" s="63">
        <f>SUM(R51:R54)</f>
      </c>
      <c r="S55" s="59"/>
      <c r="T55" s="60">
        <f>SUM(T51)</f>
      </c>
    </row>
    <row r="56">
      <c r="A56" s="52" t="s">
        <v>190</v>
      </c>
      <c r="B56" s="53" t="s">
        <v>156</v>
      </c>
      <c r="C56" s="52" t="s">
        <v>169</v>
      </c>
      <c r="D56" s="53">
        <v>5</v>
      </c>
      <c r="E56" s="52">
        <v>12</v>
      </c>
      <c r="F56" s="52">
        <v>10</v>
      </c>
      <c r="G56" s="52">
        <v>0</v>
      </c>
      <c r="H56" s="54">
        <v>8337.6</v>
      </c>
      <c r="I56" s="52">
        <v>2631</v>
      </c>
      <c r="J56" s="55">
        <f t="shared" ref="J56:J59" si="15">H56+I56</f>
      </c>
      <c r="K56" s="53">
        <v>16123.21</v>
      </c>
      <c r="L56" s="56">
        <f t="shared" si="34"/>
      </c>
      <c r="M56" s="52">
        <v>2745.32</v>
      </c>
      <c r="N56" s="56">
        <f t="shared" si="33"/>
      </c>
      <c r="O56" s="56">
        <f t="shared" si="32"/>
      </c>
      <c r="P56" s="56">
        <f t="shared" si="31"/>
      </c>
      <c r="Q56" s="52" t="s">
        <v>191</v>
      </c>
      <c r="R56" s="52">
        <v>3</v>
      </c>
      <c r="S56" s="57" t="s">
        <v>159</v>
      </c>
      <c r="T56" s="52">
        <v>15</v>
      </c>
    </row>
    <row r="57">
      <c r="A57" s="52" t="s">
        <v>190</v>
      </c>
      <c r="B57" s="53" t="s">
        <v>160</v>
      </c>
      <c r="C57" s="52" t="s">
        <v>184</v>
      </c>
      <c r="D57" s="52">
        <v>4</v>
      </c>
      <c r="E57" s="52">
        <v>7</v>
      </c>
      <c r="F57" s="52">
        <v>6</v>
      </c>
      <c r="G57" s="52">
        <v>2</v>
      </c>
      <c r="H57" s="54">
        <v>10180.199999999999</v>
      </c>
      <c r="I57" s="52">
        <v>1290.1</v>
      </c>
      <c r="J57" s="55">
        <f t="shared" si="15"/>
      </c>
      <c r="K57" s="53">
        <v>8386.96</v>
      </c>
      <c r="L57" s="56">
        <f t="shared" si="34"/>
      </c>
      <c r="M57" s="52">
        <v>1290.1</v>
      </c>
      <c r="N57" s="56">
        <f t="shared" si="33"/>
      </c>
      <c r="O57" s="56">
        <f t="shared" si="32"/>
      </c>
      <c r="P57" s="56">
        <f t="shared" si="31"/>
      </c>
      <c r="Q57" s="52" t="s">
        <v>192</v>
      </c>
      <c r="R57" s="52">
        <v>4</v>
      </c>
      <c r="S57" s="57"/>
      <c r="T57" s="52"/>
    </row>
    <row r="58">
      <c r="A58" s="52" t="s">
        <v>190</v>
      </c>
      <c r="B58" s="65" t="s">
        <v>193</v>
      </c>
      <c r="C58" s="52" t="s">
        <v>186</v>
      </c>
      <c r="D58" s="52">
        <v>2</v>
      </c>
      <c r="E58" s="52">
        <v>4</v>
      </c>
      <c r="F58" s="52">
        <v>2</v>
      </c>
      <c r="G58" s="52">
        <v>1</v>
      </c>
      <c r="H58" s="54">
        <v>9099.240000000002</v>
      </c>
      <c r="I58" s="52">
        <v>0</v>
      </c>
      <c r="J58" s="55">
        <f t="shared" si="15"/>
      </c>
      <c r="K58" s="53">
        <v>3366.4100000000003</v>
      </c>
      <c r="L58" s="56">
        <f t="shared" si="34"/>
      </c>
      <c r="M58" s="52">
        <v>0</v>
      </c>
      <c r="N58" s="56">
        <f t="shared" si="33"/>
      </c>
      <c r="O58" s="56">
        <f t="shared" si="32"/>
      </c>
      <c r="P58" s="56">
        <f t="shared" si="31"/>
      </c>
      <c r="Q58" s="52"/>
      <c r="R58" s="52"/>
      <c r="S58" s="57"/>
      <c r="T58" s="52"/>
    </row>
    <row r="59">
      <c r="A59" s="52" t="s">
        <v>190</v>
      </c>
      <c r="B59" s="65" t="s">
        <v>182</v>
      </c>
      <c r="C59" s="52" t="s">
        <v>187</v>
      </c>
      <c r="D59" s="52">
        <v>4</v>
      </c>
      <c r="E59" s="52">
        <v>10</v>
      </c>
      <c r="F59" s="52">
        <v>7</v>
      </c>
      <c r="G59" s="52">
        <v>0</v>
      </c>
      <c r="H59" s="54">
        <v>17191.440000000002</v>
      </c>
      <c r="I59" s="52">
        <v>0</v>
      </c>
      <c r="J59" s="55">
        <f t="shared" si="15"/>
      </c>
      <c r="K59" s="53">
        <v>11617.75</v>
      </c>
      <c r="L59" s="56">
        <f t="shared" si="34"/>
      </c>
      <c r="M59" s="52">
        <v>3194.64</v>
      </c>
      <c r="N59" s="56">
        <f t="shared" si="33"/>
      </c>
      <c r="O59" s="56">
        <f t="shared" si="32"/>
      </c>
      <c r="P59" s="56">
        <f t="shared" si="31"/>
      </c>
      <c r="Q59" s="52" t="s">
        <v>158</v>
      </c>
      <c r="R59" s="52">
        <v>8</v>
      </c>
      <c r="S59" s="57"/>
      <c r="T59" s="52"/>
    </row>
    <row r="60">
      <c r="A60" s="58" t="s">
        <v>190</v>
      </c>
      <c r="B60" s="59"/>
      <c r="C60" s="59"/>
      <c r="D60" s="60">
        <f>SUM(D56:D59)</f>
      </c>
      <c r="E60" s="60">
        <f>SUM(E56:E59)</f>
      </c>
      <c r="F60" s="60">
        <f>SUM(F56:F59)</f>
      </c>
      <c r="G60" s="60">
        <f>SUM(G56:G59)</f>
      </c>
      <c r="H60" s="60">
        <f>SUM(H56:H59)</f>
      </c>
      <c r="I60" s="60">
        <f>SUM(I56:I59)</f>
      </c>
      <c r="J60" s="60">
        <f>SUM(J56:J59)</f>
      </c>
      <c r="K60" s="60">
        <f>SUM(K56:K59)</f>
      </c>
      <c r="L60" s="61">
        <f t="shared" si="34"/>
      </c>
      <c r="M60" s="60">
        <f>SUM(M56:M59)</f>
      </c>
      <c r="N60" s="62">
        <f t="shared" si="33"/>
      </c>
      <c r="O60" s="61">
        <f t="shared" si="32"/>
      </c>
      <c r="P60" s="61">
        <f t="shared" si="31"/>
      </c>
      <c r="Q60" s="59"/>
      <c r="R60" s="63">
        <f>SUM(R56:R59)</f>
      </c>
      <c r="S60" s="59"/>
      <c r="T60" s="60">
        <f>SUM(T56)</f>
      </c>
    </row>
    <row r="61">
      <c r="A61" s="52" t="s">
        <v>194</v>
      </c>
      <c r="B61" s="53" t="s">
        <v>156</v>
      </c>
      <c r="C61" s="52" t="s">
        <v>195</v>
      </c>
      <c r="D61" s="52">
        <v>4</v>
      </c>
      <c r="E61" s="52">
        <v>9</v>
      </c>
      <c r="F61" s="52">
        <v>9</v>
      </c>
      <c r="G61" s="52">
        <v>1</v>
      </c>
      <c r="H61" s="54">
        <v>21056.64</v>
      </c>
      <c r="I61" s="52">
        <v>0</v>
      </c>
      <c r="J61" s="55">
        <f t="shared" ref="J61:J64" si="16">H61+I61</f>
      </c>
      <c r="K61" s="53">
        <v>10935.869999999999</v>
      </c>
      <c r="L61" s="56">
        <f t="shared" si="34"/>
      </c>
      <c r="M61" s="52">
        <v>10366.8</v>
      </c>
      <c r="N61" s="56">
        <f t="shared" si="33"/>
      </c>
      <c r="O61" s="56">
        <f t="shared" si="32"/>
      </c>
      <c r="P61" s="56">
        <f t="shared" si="31"/>
      </c>
      <c r="Q61" s="52"/>
      <c r="R61" s="52"/>
      <c r="S61" s="57" t="s">
        <v>159</v>
      </c>
      <c r="T61" s="52">
        <v>15</v>
      </c>
    </row>
    <row r="62">
      <c r="A62" s="52" t="s">
        <v>194</v>
      </c>
      <c r="B62" s="53" t="s">
        <v>160</v>
      </c>
      <c r="C62" s="52" t="s">
        <v>196</v>
      </c>
      <c r="D62" s="52">
        <v>4</v>
      </c>
      <c r="E62" s="52">
        <v>13</v>
      </c>
      <c r="F62" s="52">
        <v>12</v>
      </c>
      <c r="G62" s="52">
        <v>2</v>
      </c>
      <c r="H62" s="54">
        <v>34317.24</v>
      </c>
      <c r="I62" s="52">
        <v>5232.75</v>
      </c>
      <c r="J62" s="55">
        <f t="shared" si="16"/>
      </c>
      <c r="K62" s="53">
        <v>17498.949999999997</v>
      </c>
      <c r="L62" s="56">
        <f t="shared" si="34"/>
      </c>
      <c r="M62" s="52">
        <v>18050.67</v>
      </c>
      <c r="N62" s="56">
        <f t="shared" si="33"/>
      </c>
      <c r="O62" s="56">
        <f t="shared" si="32"/>
      </c>
      <c r="P62" s="56">
        <f t="shared" si="31"/>
      </c>
      <c r="Q62" s="52" t="s">
        <v>192</v>
      </c>
      <c r="R62" s="52">
        <v>7</v>
      </c>
      <c r="S62" s="57"/>
      <c r="T62" s="52"/>
    </row>
    <row r="63">
      <c r="A63" s="52" t="s">
        <v>194</v>
      </c>
      <c r="B63" s="65" t="s">
        <v>197</v>
      </c>
      <c r="C63" s="52" t="s">
        <v>198</v>
      </c>
      <c r="D63" s="52">
        <v>2</v>
      </c>
      <c r="E63" s="52">
        <v>7</v>
      </c>
      <c r="F63" s="52">
        <v>6</v>
      </c>
      <c r="G63" s="52">
        <v>1</v>
      </c>
      <c r="H63" s="54">
        <v>9126.720000000001</v>
      </c>
      <c r="I63" s="52">
        <v>1733</v>
      </c>
      <c r="J63" s="55">
        <f t="shared" si="16"/>
      </c>
      <c r="K63" s="53">
        <v>11606.869999999999</v>
      </c>
      <c r="L63" s="56">
        <f t="shared" si="34"/>
      </c>
      <c r="M63" s="52">
        <v>2072.52</v>
      </c>
      <c r="N63" s="56">
        <f t="shared" si="33"/>
      </c>
      <c r="O63" s="56">
        <f t="shared" si="32"/>
      </c>
      <c r="P63" s="56">
        <f t="shared" si="31"/>
      </c>
      <c r="Q63" s="52"/>
      <c r="R63" s="52"/>
      <c r="S63" s="57"/>
      <c r="T63" s="52"/>
    </row>
    <row r="64">
      <c r="A64" s="52" t="s">
        <v>194</v>
      </c>
      <c r="B64" s="52" t="s">
        <v>176</v>
      </c>
      <c r="C64" s="52" t="s">
        <v>161</v>
      </c>
      <c r="D64" s="52">
        <v>5</v>
      </c>
      <c r="E64" s="52">
        <v>32</v>
      </c>
      <c r="F64" s="52">
        <v>29</v>
      </c>
      <c r="G64" s="52">
        <v>4</v>
      </c>
      <c r="H64" s="54">
        <v>43706.64000000001</v>
      </c>
      <c r="I64" s="52">
        <v>4472.700000000001</v>
      </c>
      <c r="J64" s="55">
        <f t="shared" si="16"/>
      </c>
      <c r="K64" s="53">
        <v>33040.270000000004</v>
      </c>
      <c r="L64" s="56">
        <f t="shared" si="34"/>
      </c>
      <c r="M64" s="52">
        <v>3809.16</v>
      </c>
      <c r="N64" s="56">
        <f t="shared" si="33"/>
      </c>
      <c r="O64" s="56">
        <f t="shared" si="32"/>
      </c>
      <c r="P64" s="56">
        <f t="shared" si="31"/>
      </c>
      <c r="Q64" s="52" t="s">
        <v>158</v>
      </c>
      <c r="R64" s="52">
        <v>8</v>
      </c>
      <c r="S64" s="57"/>
      <c r="T64" s="52"/>
    </row>
    <row r="65">
      <c r="A65" s="58" t="s">
        <v>194</v>
      </c>
      <c r="B65" s="59"/>
      <c r="C65" s="59"/>
      <c r="D65" s="60">
        <f>SUM(D61:D64)</f>
      </c>
      <c r="E65" s="60">
        <f>SUM(E61:E64)</f>
      </c>
      <c r="F65" s="60">
        <f>SUM(F61:F64)</f>
      </c>
      <c r="G65" s="60">
        <f>SUM(G61:G64)</f>
      </c>
      <c r="H65" s="60">
        <f>SUM(H61:H64)</f>
      </c>
      <c r="I65" s="60">
        <f>SUM(I61:I64)</f>
      </c>
      <c r="J65" s="60">
        <f>SUM(J61:J64)</f>
      </c>
      <c r="K65" s="60">
        <f>SUM(K61:K64)</f>
      </c>
      <c r="L65" s="61">
        <f t="shared" si="34"/>
      </c>
      <c r="M65" s="60">
        <f>SUM(M61:M64)</f>
      </c>
      <c r="N65" s="62">
        <f t="shared" si="33"/>
      </c>
      <c r="O65" s="61">
        <f t="shared" si="32"/>
      </c>
      <c r="P65" s="61">
        <f t="shared" si="31"/>
      </c>
      <c r="Q65" s="59"/>
      <c r="R65" s="63">
        <f>SUM(R61:R64)</f>
      </c>
      <c r="S65" s="59"/>
      <c r="T65" s="60">
        <f>SUM(T61)</f>
      </c>
    </row>
    <row r="66">
      <c r="A66" s="52" t="s">
        <v>199</v>
      </c>
      <c r="B66" s="53" t="s">
        <v>160</v>
      </c>
      <c r="C66" s="52" t="s">
        <v>169</v>
      </c>
      <c r="D66" s="52">
        <v>5</v>
      </c>
      <c r="E66" s="52">
        <v>22</v>
      </c>
      <c r="F66" s="52">
        <v>19</v>
      </c>
      <c r="G66" s="52">
        <v>0</v>
      </c>
      <c r="H66" s="66">
        <v>35833.32</v>
      </c>
      <c r="I66" s="52">
        <v>0</v>
      </c>
      <c r="J66" s="55">
        <f t="shared" ref="J66:J69" si="17">H66+I66</f>
      </c>
      <c r="K66" s="52">
        <v>25661.71</v>
      </c>
      <c r="L66" s="56">
        <f t="shared" si="34"/>
      </c>
      <c r="M66" s="52">
        <v>8748</v>
      </c>
      <c r="N66" s="56">
        <f t="shared" si="33"/>
      </c>
      <c r="O66" s="56">
        <f t="shared" si="32"/>
      </c>
      <c r="P66" s="56">
        <f t="shared" si="31"/>
      </c>
      <c r="Q66" s="52"/>
      <c r="R66" s="52"/>
      <c r="S66" s="57" t="s">
        <v>159</v>
      </c>
      <c r="T66" s="52">
        <v>15</v>
      </c>
    </row>
    <row r="67">
      <c r="A67" s="52" t="s">
        <v>199</v>
      </c>
      <c r="B67" s="52" t="s">
        <v>185</v>
      </c>
      <c r="C67" s="52" t="s">
        <v>184</v>
      </c>
      <c r="D67" s="52">
        <v>4</v>
      </c>
      <c r="E67" s="52">
        <v>18</v>
      </c>
      <c r="F67" s="52">
        <v>12</v>
      </c>
      <c r="G67" s="52">
        <v>0</v>
      </c>
      <c r="H67" s="54">
        <v>26718.120000000003</v>
      </c>
      <c r="I67" s="52">
        <v>1082</v>
      </c>
      <c r="J67" s="55">
        <f t="shared" si="17"/>
      </c>
      <c r="K67" s="53">
        <v>21912.28</v>
      </c>
      <c r="L67" s="56">
        <f t="shared" si="34"/>
      </c>
      <c r="M67" s="52">
        <v>7646.08</v>
      </c>
      <c r="N67" s="56">
        <f t="shared" si="33"/>
      </c>
      <c r="O67" s="56">
        <f t="shared" si="32"/>
      </c>
      <c r="P67" s="56">
        <f t="shared" si="31"/>
      </c>
      <c r="Q67" s="52" t="s">
        <v>200</v>
      </c>
      <c r="R67" s="52">
        <v>7</v>
      </c>
      <c r="S67" s="57"/>
      <c r="T67" s="52"/>
    </row>
    <row r="68">
      <c r="A68" s="52" t="s">
        <v>199</v>
      </c>
      <c r="B68" s="67" t="s">
        <v>189</v>
      </c>
      <c r="C68" s="52" t="s">
        <v>186</v>
      </c>
      <c r="D68" s="52">
        <v>2</v>
      </c>
      <c r="E68" s="52">
        <v>4</v>
      </c>
      <c r="F68" s="52">
        <v>3</v>
      </c>
      <c r="G68" s="52">
        <v>2</v>
      </c>
      <c r="H68" s="54">
        <v>14905.8</v>
      </c>
      <c r="I68" s="52">
        <v>0</v>
      </c>
      <c r="J68" s="55">
        <f t="shared" si="17"/>
      </c>
      <c r="K68" s="53">
        <v>6001</v>
      </c>
      <c r="L68" s="56">
        <f t="shared" si="34"/>
      </c>
      <c r="M68" s="52">
        <v>0</v>
      </c>
      <c r="N68" s="56">
        <f t="shared" si="33"/>
      </c>
      <c r="O68" s="56">
        <f t="shared" si="32"/>
      </c>
      <c r="P68" s="56">
        <f t="shared" si="31"/>
      </c>
      <c r="Q68" s="52"/>
      <c r="R68" s="52"/>
      <c r="S68" s="57"/>
      <c r="T68" s="52"/>
    </row>
    <row r="69">
      <c r="A69" s="52" t="s">
        <v>199</v>
      </c>
      <c r="B69" s="52" t="s">
        <v>176</v>
      </c>
      <c r="C69" s="52" t="s">
        <v>187</v>
      </c>
      <c r="D69" s="52">
        <v>4</v>
      </c>
      <c r="E69" s="52">
        <v>22</v>
      </c>
      <c r="F69" s="52">
        <v>20</v>
      </c>
      <c r="G69" s="52">
        <v>1</v>
      </c>
      <c r="H69" s="54">
        <v>39114.36</v>
      </c>
      <c r="I69" s="52">
        <v>6327.55</v>
      </c>
      <c r="J69" s="55">
        <f t="shared" si="17"/>
      </c>
      <c r="K69" s="53">
        <v>19584.309999999998</v>
      </c>
      <c r="L69" s="56">
        <f t="shared" si="34"/>
      </c>
      <c r="M69" s="52">
        <v>3360.96</v>
      </c>
      <c r="N69" s="56">
        <f t="shared" si="33"/>
      </c>
      <c r="O69" s="56">
        <f t="shared" si="32"/>
      </c>
      <c r="P69" s="56">
        <f t="shared" si="31"/>
      </c>
      <c r="Q69" s="52" t="s">
        <v>158</v>
      </c>
      <c r="R69" s="52">
        <v>8</v>
      </c>
      <c r="S69" s="57"/>
      <c r="T69" s="52"/>
    </row>
    <row r="70">
      <c r="A70" s="58" t="s">
        <v>199</v>
      </c>
      <c r="B70" s="59"/>
      <c r="C70" s="59"/>
      <c r="D70" s="60">
        <f>SUM(D66:D69)</f>
      </c>
      <c r="E70" s="60">
        <f>SUM(E66:E69)</f>
      </c>
      <c r="F70" s="60">
        <f>SUM(F66:F69)</f>
      </c>
      <c r="G70" s="60">
        <f>SUM(G66:G69)</f>
      </c>
      <c r="H70" s="60">
        <f>SUM(H66:H69)</f>
      </c>
      <c r="I70" s="60">
        <f>SUM(I66:I69)</f>
      </c>
      <c r="J70" s="60">
        <f>SUM(J66:J69)</f>
      </c>
      <c r="K70" s="60">
        <f>SUM(K66:K69)</f>
      </c>
      <c r="L70" s="61">
        <f t="shared" si="34"/>
      </c>
      <c r="M70" s="60">
        <f>SUM(M66:M69)</f>
      </c>
      <c r="N70" s="62">
        <f t="shared" si="33"/>
      </c>
      <c r="O70" s="61">
        <f t="shared" si="32"/>
      </c>
      <c r="P70" s="61">
        <f t="shared" si="31"/>
      </c>
      <c r="Q70" s="59"/>
      <c r="R70" s="63">
        <f>SUM(R66:R69)</f>
      </c>
      <c r="S70" s="59"/>
      <c r="T70" s="60">
        <f>SUM(T66)</f>
      </c>
    </row>
    <row customHeight="true" ht="16.666666666666668" r="71">
      <c r="A71" s="52" t="s">
        <v>201</v>
      </c>
      <c r="B71" s="52" t="s">
        <v>156</v>
      </c>
      <c r="C71" s="52" t="s">
        <v>202</v>
      </c>
      <c r="D71" s="52">
        <v>5</v>
      </c>
      <c r="E71" s="52">
        <v>10</v>
      </c>
      <c r="F71" s="52">
        <v>9</v>
      </c>
      <c r="G71" s="52">
        <v>2</v>
      </c>
      <c r="H71" s="66">
        <v>12954.84</v>
      </c>
      <c r="I71" s="52">
        <v>2954.5</v>
      </c>
      <c r="J71" s="55">
        <f t="shared" ref="J71:J75" si="18">H71+I71</f>
      </c>
      <c r="K71" s="52">
        <v>15842.12</v>
      </c>
      <c r="L71" s="56">
        <f t="shared" si="34"/>
      </c>
      <c r="M71" s="52">
        <v>2468.04</v>
      </c>
      <c r="N71" s="56">
        <f t="shared" si="33"/>
      </c>
      <c r="O71" s="56">
        <f t="shared" si="32"/>
      </c>
      <c r="P71" s="56">
        <f t="shared" si="31"/>
      </c>
      <c r="Q71" s="52"/>
      <c r="R71" s="52"/>
      <c r="S71" s="57" t="s">
        <v>159</v>
      </c>
      <c r="T71" s="52">
        <v>20</v>
      </c>
    </row>
    <row r="72">
      <c r="A72" s="52" t="s">
        <v>201</v>
      </c>
      <c r="B72" s="53" t="s">
        <v>160</v>
      </c>
      <c r="C72" s="52" t="s">
        <v>203</v>
      </c>
      <c r="D72" s="52">
        <v>4</v>
      </c>
      <c r="E72" s="52">
        <v>16</v>
      </c>
      <c r="F72" s="52">
        <v>15</v>
      </c>
      <c r="G72" s="52">
        <v>0</v>
      </c>
      <c r="H72" s="66">
        <v>26415.72</v>
      </c>
      <c r="I72" s="52">
        <v>3829</v>
      </c>
      <c r="J72" s="55">
        <f t="shared" si="18"/>
      </c>
      <c r="K72" s="52">
        <v>13233.18</v>
      </c>
      <c r="L72" s="56">
        <f t="shared" si="34"/>
      </c>
      <c r="M72" s="52">
        <v>4411.8</v>
      </c>
      <c r="N72" s="56">
        <f t="shared" si="33"/>
      </c>
      <c r="O72" s="56">
        <f t="shared" si="32"/>
      </c>
      <c r="P72" s="56">
        <f t="shared" si="31"/>
      </c>
      <c r="Q72" s="52"/>
      <c r="R72" s="52"/>
      <c r="S72" s="57"/>
      <c r="T72" s="52"/>
    </row>
    <row r="73">
      <c r="A73" s="52" t="s">
        <v>201</v>
      </c>
      <c r="B73" s="52" t="s">
        <v>185</v>
      </c>
      <c r="C73" s="52" t="s">
        <v>204</v>
      </c>
      <c r="D73" s="52">
        <v>2</v>
      </c>
      <c r="E73" s="52">
        <v>9</v>
      </c>
      <c r="F73" s="52">
        <v>8</v>
      </c>
      <c r="G73" s="52">
        <v>1</v>
      </c>
      <c r="H73" s="54">
        <v>11714.760000000002</v>
      </c>
      <c r="I73" s="52">
        <v>7916.799999999999</v>
      </c>
      <c r="J73" s="55">
        <f t="shared" si="18"/>
      </c>
      <c r="K73" s="53">
        <v>9302.349999999999</v>
      </c>
      <c r="L73" s="56">
        <f t="shared" si="34"/>
      </c>
      <c r="M73" s="52">
        <v>13815.04</v>
      </c>
      <c r="N73" s="56">
        <f t="shared" si="33"/>
      </c>
      <c r="O73" s="56">
        <f t="shared" si="32"/>
      </c>
      <c r="P73" s="56">
        <f t="shared" si="31"/>
      </c>
      <c r="Q73" s="52" t="s">
        <v>205</v>
      </c>
      <c r="R73" s="52">
        <v>10</v>
      </c>
      <c r="S73" s="57"/>
      <c r="T73" s="52"/>
    </row>
    <row r="74">
      <c r="A74" s="52" t="s">
        <v>201</v>
      </c>
      <c r="B74" s="67" t="s">
        <v>182</v>
      </c>
      <c r="C74" s="52" t="s">
        <v>206</v>
      </c>
      <c r="D74" s="52">
        <v>4</v>
      </c>
      <c r="E74" s="52">
        <v>17</v>
      </c>
      <c r="F74" s="52">
        <v>17</v>
      </c>
      <c r="G74" s="52">
        <v>1</v>
      </c>
      <c r="H74" s="54">
        <v>24645.6</v>
      </c>
      <c r="I74" s="52">
        <v>2238.2999999999993</v>
      </c>
      <c r="J74" s="55">
        <f t="shared" si="18"/>
      </c>
      <c r="K74" s="53">
        <v>17935.63</v>
      </c>
      <c r="L74" s="56">
        <f t="shared" si="34"/>
      </c>
      <c r="M74" s="52">
        <v>5329.8</v>
      </c>
      <c r="N74" s="56">
        <f t="shared" si="33"/>
      </c>
      <c r="O74" s="56">
        <f t="shared" si="32"/>
      </c>
      <c r="P74" s="56">
        <f t="shared" si="31"/>
      </c>
      <c r="Q74" s="52"/>
      <c r="R74" s="52"/>
      <c r="S74" s="57"/>
      <c r="T74" s="52"/>
    </row>
    <row r="75">
      <c r="A75" s="52" t="s">
        <v>201</v>
      </c>
      <c r="B75" s="52" t="s">
        <v>176</v>
      </c>
      <c r="C75" s="52" t="s">
        <v>207</v>
      </c>
      <c r="D75" s="52">
        <v>5</v>
      </c>
      <c r="E75" s="52">
        <v>58</v>
      </c>
      <c r="F75" s="52">
        <v>52</v>
      </c>
      <c r="G75" s="52">
        <v>3</v>
      </c>
      <c r="H75" s="54">
        <v>96090.24000000002</v>
      </c>
      <c r="I75" s="52">
        <v>1715</v>
      </c>
      <c r="J75" s="55">
        <f t="shared" si="18"/>
      </c>
      <c r="K75" s="53">
        <v>58442.280000000006</v>
      </c>
      <c r="L75" s="56">
        <f t="shared" si="34"/>
      </c>
      <c r="M75" s="52">
        <v>13426.8</v>
      </c>
      <c r="N75" s="56">
        <f t="shared" si="33"/>
      </c>
      <c r="O75" s="56">
        <f t="shared" si="32"/>
      </c>
      <c r="P75" s="56">
        <f t="shared" si="31"/>
      </c>
      <c r="Q75" s="52" t="s">
        <v>208</v>
      </c>
      <c r="R75" s="52">
        <v>10</v>
      </c>
      <c r="S75" s="57"/>
      <c r="T75" s="52"/>
    </row>
    <row r="76">
      <c r="A76" s="58" t="s">
        <v>201</v>
      </c>
      <c r="B76" s="59"/>
      <c r="C76" s="59"/>
      <c r="D76" s="60">
        <f>SUM(D71:D75)</f>
      </c>
      <c r="E76" s="60">
        <f>SUM(E71:E75)</f>
      </c>
      <c r="F76" s="60">
        <f>SUM(F71:F75)</f>
      </c>
      <c r="G76" s="60">
        <f>SUM(G71:G75)</f>
      </c>
      <c r="H76" s="60">
        <f>SUM(H71:H75)</f>
      </c>
      <c r="I76" s="60">
        <f>SUM(I71:I75)</f>
      </c>
      <c r="J76" s="60">
        <f>SUM(J71:J75)</f>
      </c>
      <c r="K76" s="60">
        <f>SUM(K71:K75)</f>
      </c>
      <c r="L76" s="61">
        <f t="shared" si="34"/>
      </c>
      <c r="M76" s="60">
        <f>SUM(M71:M75)</f>
      </c>
      <c r="N76" s="62">
        <f t="shared" si="33"/>
      </c>
      <c r="O76" s="61">
        <f t="shared" si="32"/>
      </c>
      <c r="P76" s="61">
        <f t="shared" si="31"/>
      </c>
      <c r="Q76" s="59"/>
      <c r="R76" s="60">
        <f>SUM(R71:R75)</f>
      </c>
      <c r="S76" s="59"/>
      <c r="T76" s="60">
        <f>SUM(T71:T75)</f>
      </c>
    </row>
    <row r="77">
      <c r="A77" s="52" t="s">
        <v>209</v>
      </c>
      <c r="B77" s="52" t="s">
        <v>156</v>
      </c>
      <c r="C77" s="52" t="s">
        <v>202</v>
      </c>
      <c r="D77" s="52">
        <v>5</v>
      </c>
      <c r="E77" s="52">
        <v>29</v>
      </c>
      <c r="F77" s="52">
        <v>22</v>
      </c>
      <c r="G77" s="52">
        <v>4</v>
      </c>
      <c r="H77" s="52">
        <v>36002.64</v>
      </c>
      <c r="I77" s="52">
        <v>10669.1</v>
      </c>
      <c r="J77" s="55">
        <f t="shared" ref="J77:J81" si="19">H77+I77</f>
      </c>
      <c r="K77" s="52">
        <v>27755.66</v>
      </c>
      <c r="L77" s="56">
        <f t="shared" si="34"/>
      </c>
      <c r="M77" s="52">
        <v>9313.92</v>
      </c>
      <c r="N77" s="56">
        <f t="shared" si="33"/>
      </c>
      <c r="O77" s="56">
        <f t="shared" si="32"/>
      </c>
      <c r="P77" s="56">
        <f t="shared" si="31"/>
      </c>
      <c r="Q77" s="52"/>
      <c r="R77" s="52"/>
      <c r="S77" s="57" t="s">
        <v>159</v>
      </c>
      <c r="T77" s="52">
        <v>20</v>
      </c>
    </row>
    <row r="78">
      <c r="A78" s="52" t="s">
        <v>209</v>
      </c>
      <c r="B78" s="53" t="s">
        <v>160</v>
      </c>
      <c r="C78" s="52" t="s">
        <v>203</v>
      </c>
      <c r="D78" s="52">
        <v>4</v>
      </c>
      <c r="E78" s="52">
        <v>16</v>
      </c>
      <c r="F78" s="52">
        <v>11</v>
      </c>
      <c r="G78" s="52">
        <v>2</v>
      </c>
      <c r="H78" s="66">
        <v>23336.28</v>
      </c>
      <c r="I78" s="52">
        <v>6893.9</v>
      </c>
      <c r="J78" s="55">
        <f t="shared" si="19"/>
      </c>
      <c r="K78" s="52">
        <v>20873.89</v>
      </c>
      <c r="L78" s="56">
        <f t="shared" si="34"/>
      </c>
      <c r="M78" s="52">
        <v>7504.120000000001</v>
      </c>
      <c r="N78" s="56">
        <f t="shared" si="33"/>
      </c>
      <c r="O78" s="56">
        <f t="shared" si="32"/>
      </c>
      <c r="P78" s="56">
        <f t="shared" si="31"/>
      </c>
      <c r="Q78" s="52"/>
      <c r="R78" s="52"/>
      <c r="S78" s="57"/>
      <c r="T78" s="52"/>
    </row>
    <row r="79">
      <c r="A79" s="52" t="s">
        <v>209</v>
      </c>
      <c r="B79" s="52" t="s">
        <v>189</v>
      </c>
      <c r="C79" s="52" t="s">
        <v>204</v>
      </c>
      <c r="D79" s="52">
        <v>2</v>
      </c>
      <c r="E79" s="52">
        <v>3</v>
      </c>
      <c r="F79" s="52">
        <v>3</v>
      </c>
      <c r="G79" s="52">
        <v>0</v>
      </c>
      <c r="H79" s="54">
        <v>3846.959999999992</v>
      </c>
      <c r="I79" s="52">
        <v>0</v>
      </c>
      <c r="J79" s="55">
        <f t="shared" si="19"/>
      </c>
      <c r="K79" s="53">
        <v>6574.8099999999995</v>
      </c>
      <c r="L79" s="56">
        <f t="shared" si="34"/>
      </c>
      <c r="M79" s="52">
        <v>1205.28</v>
      </c>
      <c r="N79" s="56">
        <f t="shared" si="33"/>
      </c>
      <c r="O79" s="56">
        <f t="shared" si="32"/>
      </c>
      <c r="P79" s="56">
        <f t="shared" si="31"/>
      </c>
      <c r="Q79" s="52" t="s">
        <v>205</v>
      </c>
      <c r="R79" s="52">
        <v>10</v>
      </c>
      <c r="S79" s="57"/>
      <c r="T79" s="52"/>
    </row>
    <row r="80">
      <c r="A80" s="52" t="s">
        <v>209</v>
      </c>
      <c r="B80" s="67" t="s">
        <v>182</v>
      </c>
      <c r="C80" s="52" t="s">
        <v>206</v>
      </c>
      <c r="D80" s="52">
        <v>4</v>
      </c>
      <c r="E80" s="52">
        <v>8</v>
      </c>
      <c r="F80" s="52">
        <v>6</v>
      </c>
      <c r="G80" s="52">
        <v>0</v>
      </c>
      <c r="H80" s="54">
        <v>12018.239999999998</v>
      </c>
      <c r="I80" s="52">
        <v>0</v>
      </c>
      <c r="J80" s="55">
        <f t="shared" si="19"/>
      </c>
      <c r="K80" s="53">
        <v>15400.04</v>
      </c>
      <c r="L80" s="56">
        <f t="shared" si="34"/>
      </c>
      <c r="M80" s="52">
        <v>3709.8</v>
      </c>
      <c r="N80" s="56">
        <f t="shared" si="33"/>
      </c>
      <c r="O80" s="56">
        <f t="shared" si="32"/>
      </c>
      <c r="P80" s="56">
        <f t="shared" si="31"/>
      </c>
      <c r="Q80" s="52"/>
      <c r="R80" s="52"/>
      <c r="S80" s="57"/>
      <c r="T80" s="52"/>
    </row>
    <row r="81">
      <c r="A81" s="52" t="s">
        <v>209</v>
      </c>
      <c r="B81" s="52" t="s">
        <v>176</v>
      </c>
      <c r="C81" s="52" t="s">
        <v>207</v>
      </c>
      <c r="D81" s="52">
        <v>5</v>
      </c>
      <c r="E81" s="52">
        <v>42</v>
      </c>
      <c r="F81" s="52">
        <v>35</v>
      </c>
      <c r="G81" s="52">
        <v>2</v>
      </c>
      <c r="H81" s="54">
        <v>70721.16</v>
      </c>
      <c r="I81" s="52">
        <v>1904</v>
      </c>
      <c r="J81" s="55">
        <f t="shared" si="19"/>
      </c>
      <c r="K81" s="53">
        <v>28889.92</v>
      </c>
      <c r="L81" s="56">
        <f t="shared" si="34"/>
      </c>
      <c r="M81" s="52">
        <v>2017.44</v>
      </c>
      <c r="N81" s="56">
        <f t="shared" si="33"/>
      </c>
      <c r="O81" s="56">
        <f t="shared" si="32"/>
      </c>
      <c r="P81" s="56">
        <f t="shared" si="31"/>
      </c>
      <c r="Q81" s="52" t="s">
        <v>208</v>
      </c>
      <c r="R81" s="52">
        <v>10</v>
      </c>
      <c r="S81" s="57"/>
      <c r="T81" s="52"/>
    </row>
    <row r="82">
      <c r="A82" s="58" t="s">
        <v>209</v>
      </c>
      <c r="B82" s="59"/>
      <c r="C82" s="59"/>
      <c r="D82" s="60">
        <f>SUM(D77:D81)</f>
      </c>
      <c r="E82" s="60">
        <f>SUM(E77:E81)</f>
      </c>
      <c r="F82" s="60">
        <f>SUM(F77:F81)</f>
      </c>
      <c r="G82" s="60">
        <f>SUM(G77:G81)</f>
      </c>
      <c r="H82" s="60">
        <f>SUM(H77:H81)</f>
      </c>
      <c r="I82" s="60">
        <f>SUM(I77:I81)</f>
      </c>
      <c r="J82" s="60">
        <f>SUM(J77:J81)</f>
      </c>
      <c r="K82" s="60">
        <f>SUM(K77:K81)</f>
      </c>
      <c r="L82" s="61">
        <f t="shared" si="34"/>
      </c>
      <c r="M82" s="60">
        <f>SUM(M77:M81)</f>
      </c>
      <c r="N82" s="62">
        <f t="shared" si="33"/>
      </c>
      <c r="O82" s="61">
        <f t="shared" si="32"/>
      </c>
      <c r="P82" s="61">
        <f t="shared" si="31"/>
      </c>
      <c r="Q82" s="59"/>
      <c r="R82" s="60">
        <f>SUM(R77:R81)</f>
      </c>
      <c r="S82" s="59"/>
      <c r="T82" s="60">
        <f>SUM(T77:T81)</f>
      </c>
    </row>
    <row r="83">
      <c r="A83" s="52" t="s">
        <v>210</v>
      </c>
      <c r="B83" s="52" t="s">
        <v>156</v>
      </c>
      <c r="C83" s="52" t="s">
        <v>202</v>
      </c>
      <c r="D83" s="52">
        <v>5</v>
      </c>
      <c r="E83" s="52">
        <v>55</v>
      </c>
      <c r="F83" s="52">
        <v>48</v>
      </c>
      <c r="G83" s="52">
        <v>5</v>
      </c>
      <c r="H83" s="52">
        <v>81913.44</v>
      </c>
      <c r="I83" s="52">
        <v>8254</v>
      </c>
      <c r="J83" s="55">
        <f t="shared" ref="J83:J87" si="20">H83+I83</f>
      </c>
      <c r="K83" s="52">
        <v>60175.45</v>
      </c>
      <c r="L83" s="56">
        <f t="shared" si="34"/>
      </c>
      <c r="M83" s="52">
        <v>27221.44</v>
      </c>
      <c r="N83" s="56">
        <f t="shared" si="33"/>
      </c>
      <c r="O83" s="56">
        <f t="shared" si="32"/>
      </c>
      <c r="P83" s="56">
        <f t="shared" si="31"/>
      </c>
      <c r="Q83" s="52"/>
      <c r="R83" s="52"/>
      <c r="S83" s="57" t="s">
        <v>159</v>
      </c>
      <c r="T83" s="52">
        <v>20</v>
      </c>
    </row>
    <row r="84">
      <c r="A84" s="52" t="s">
        <v>210</v>
      </c>
      <c r="B84" s="52" t="s">
        <v>176</v>
      </c>
      <c r="C84" s="52" t="s">
        <v>211</v>
      </c>
      <c r="D84" s="52">
        <v>5</v>
      </c>
      <c r="E84" s="52">
        <v>69</v>
      </c>
      <c r="F84" s="52">
        <v>60</v>
      </c>
      <c r="G84" s="52">
        <v>7</v>
      </c>
      <c r="H84" s="66">
        <v>102445.44</v>
      </c>
      <c r="I84" s="52">
        <v>9891.3</v>
      </c>
      <c r="J84" s="55">
        <f t="shared" si="20"/>
      </c>
      <c r="K84" s="52">
        <v>74541.61000000002</v>
      </c>
      <c r="L84" s="56">
        <f t="shared" si="34"/>
      </c>
      <c r="M84" s="52">
        <v>21941.64</v>
      </c>
      <c r="N84" s="56">
        <f t="shared" si="33"/>
      </c>
      <c r="O84" s="56">
        <f t="shared" si="32"/>
      </c>
      <c r="P84" s="56">
        <f t="shared" si="31"/>
      </c>
      <c r="Q84" s="52"/>
      <c r="R84" s="52"/>
      <c r="S84" s="57"/>
      <c r="T84" s="52"/>
    </row>
    <row r="85">
      <c r="A85" s="52" t="s">
        <v>210</v>
      </c>
      <c r="B85" s="52" t="s">
        <v>189</v>
      </c>
      <c r="C85" s="52" t="s">
        <v>212</v>
      </c>
      <c r="D85" s="52">
        <v>2</v>
      </c>
      <c r="E85" s="52">
        <v>8</v>
      </c>
      <c r="F85" s="52">
        <v>7</v>
      </c>
      <c r="G85" s="52">
        <v>1</v>
      </c>
      <c r="H85" s="54">
        <v>9160.559999999983</v>
      </c>
      <c r="I85" s="52">
        <v>5395.9000000000015</v>
      </c>
      <c r="J85" s="55">
        <f t="shared" si="20"/>
      </c>
      <c r="K85" s="53">
        <v>15692.130000000001</v>
      </c>
      <c r="L85" s="56">
        <f t="shared" si="34"/>
      </c>
      <c r="M85" s="52">
        <v>2719.2</v>
      </c>
      <c r="N85" s="56">
        <f t="shared" si="33"/>
      </c>
      <c r="O85" s="56">
        <f t="shared" si="32"/>
      </c>
      <c r="P85" s="56">
        <f t="shared" si="31"/>
      </c>
      <c r="Q85" s="52" t="s">
        <v>205</v>
      </c>
      <c r="R85" s="52">
        <v>10</v>
      </c>
      <c r="S85" s="57"/>
      <c r="T85" s="52"/>
    </row>
    <row r="86">
      <c r="A86" s="52" t="s">
        <v>210</v>
      </c>
      <c r="B86" s="67" t="s">
        <v>185</v>
      </c>
      <c r="C86" s="52" t="s">
        <v>213</v>
      </c>
      <c r="D86" s="52">
        <v>3</v>
      </c>
      <c r="E86" s="52">
        <v>26</v>
      </c>
      <c r="F86" s="52">
        <v>23</v>
      </c>
      <c r="G86" s="52">
        <v>1</v>
      </c>
      <c r="H86" s="54">
        <v>41525.99999999998</v>
      </c>
      <c r="I86" s="52">
        <v>2504.2000000000007</v>
      </c>
      <c r="J86" s="55">
        <f t="shared" si="20"/>
      </c>
      <c r="K86" s="53">
        <v>24882.77</v>
      </c>
      <c r="L86" s="56">
        <f t="shared" si="34"/>
      </c>
      <c r="M86" s="52">
        <v>7913.16</v>
      </c>
      <c r="N86" s="56">
        <f t="shared" si="33"/>
      </c>
      <c r="O86" s="56">
        <f t="shared" si="32"/>
      </c>
      <c r="P86" s="56">
        <f t="shared" si="31"/>
      </c>
      <c r="Q86" s="52"/>
      <c r="R86" s="52"/>
      <c r="S86" s="57"/>
      <c r="T86" s="52"/>
    </row>
    <row r="87">
      <c r="A87" s="52" t="s">
        <v>210</v>
      </c>
      <c r="B87" s="53" t="s">
        <v>160</v>
      </c>
      <c r="C87" s="52" t="s">
        <v>207</v>
      </c>
      <c r="D87" s="52">
        <v>5</v>
      </c>
      <c r="E87" s="52">
        <v>30</v>
      </c>
      <c r="F87" s="52">
        <v>26</v>
      </c>
      <c r="G87" s="52">
        <v>3</v>
      </c>
      <c r="H87" s="54">
        <v>60115.32000000004</v>
      </c>
      <c r="I87" s="52">
        <v>1255</v>
      </c>
      <c r="J87" s="55">
        <f t="shared" si="20"/>
      </c>
      <c r="K87" s="53">
        <v>47378.060000000005</v>
      </c>
      <c r="L87" s="56">
        <f t="shared" si="34"/>
      </c>
      <c r="M87" s="52">
        <v>0</v>
      </c>
      <c r="N87" s="56">
        <f t="shared" si="33"/>
      </c>
      <c r="O87" s="56">
        <f t="shared" si="32"/>
      </c>
      <c r="P87" s="56">
        <f t="shared" si="31"/>
      </c>
      <c r="Q87" s="52" t="s">
        <v>208</v>
      </c>
      <c r="R87" s="52">
        <v>10</v>
      </c>
      <c r="S87" s="57"/>
      <c r="T87" s="52"/>
    </row>
    <row r="88">
      <c r="A88" s="58" t="s">
        <v>210</v>
      </c>
      <c r="B88" s="59"/>
      <c r="C88" s="59"/>
      <c r="D88" s="60">
        <f>SUM(D83:D87)</f>
      </c>
      <c r="E88" s="60">
        <f>SUM(E83:E87)</f>
      </c>
      <c r="F88" s="60">
        <f>SUM(F83:F87)</f>
      </c>
      <c r="G88" s="60">
        <f>SUM(G83:G87)</f>
      </c>
      <c r="H88" s="60">
        <f>SUM(H83:H87)</f>
      </c>
      <c r="I88" s="60">
        <f>SUM(I83:I87)</f>
      </c>
      <c r="J88" s="60">
        <f>SUM(J83:J87)</f>
      </c>
      <c r="K88" s="60">
        <f>SUM(K83:K87)</f>
      </c>
      <c r="L88" s="61">
        <f t="shared" si="34"/>
      </c>
      <c r="M88" s="60">
        <f>SUM(M83:M87)</f>
      </c>
      <c r="N88" s="62">
        <f t="shared" si="33"/>
      </c>
      <c r="O88" s="61">
        <f t="shared" si="32"/>
      </c>
      <c r="P88" s="61">
        <f t="shared" si="31"/>
      </c>
      <c r="Q88" s="59"/>
      <c r="R88" s="60">
        <f>SUM(R83:R87)</f>
      </c>
      <c r="S88" s="59"/>
      <c r="T88" s="60">
        <f>SUM(T83:T87)</f>
      </c>
    </row>
    <row r="89">
      <c r="A89" s="52" t="s">
        <v>214</v>
      </c>
      <c r="B89" s="52" t="s">
        <v>156</v>
      </c>
      <c r="C89" s="52" t="s">
        <v>202</v>
      </c>
      <c r="D89" s="52">
        <v>5</v>
      </c>
      <c r="E89" s="52">
        <v>59</v>
      </c>
      <c r="F89" s="52">
        <v>49</v>
      </c>
      <c r="G89" s="52">
        <v>11</v>
      </c>
      <c r="H89" s="52">
        <v>109363.32</v>
      </c>
      <c r="I89" s="52">
        <v>11404.25</v>
      </c>
      <c r="J89" s="55">
        <f t="shared" ref="J89:J93" si="21">H89+I89</f>
      </c>
      <c r="K89" s="52">
        <v>56389.18</v>
      </c>
      <c r="L89" s="56">
        <f t="shared" si="34"/>
      </c>
      <c r="M89" s="52">
        <v>22364.08</v>
      </c>
      <c r="N89" s="56">
        <f t="shared" si="33"/>
      </c>
      <c r="O89" s="56">
        <f t="shared" si="32"/>
      </c>
      <c r="P89" s="56">
        <f t="shared" si="31"/>
      </c>
      <c r="Q89" s="52"/>
      <c r="R89" s="52"/>
      <c r="S89" s="57" t="s">
        <v>159</v>
      </c>
      <c r="T89" s="52">
        <v>20</v>
      </c>
    </row>
    <row r="90">
      <c r="A90" s="52" t="s">
        <v>214</v>
      </c>
      <c r="B90" s="52" t="s">
        <v>176</v>
      </c>
      <c r="C90" s="52" t="s">
        <v>211</v>
      </c>
      <c r="D90" s="52">
        <v>5</v>
      </c>
      <c r="E90" s="52">
        <v>39</v>
      </c>
      <c r="F90" s="52">
        <v>30</v>
      </c>
      <c r="G90" s="52">
        <v>6</v>
      </c>
      <c r="H90" s="66">
        <v>64150.55999999999</v>
      </c>
      <c r="I90" s="52">
        <v>9706</v>
      </c>
      <c r="J90" s="55">
        <f t="shared" si="21"/>
      </c>
      <c r="K90" s="52">
        <v>35135.13</v>
      </c>
      <c r="L90" s="56">
        <f t="shared" si="34"/>
      </c>
      <c r="M90" s="52">
        <v>21112.16</v>
      </c>
      <c r="N90" s="56">
        <f t="shared" si="33"/>
      </c>
      <c r="O90" s="56">
        <f t="shared" si="32"/>
      </c>
      <c r="P90" s="56">
        <f t="shared" si="31"/>
      </c>
      <c r="Q90" s="52"/>
      <c r="R90" s="52"/>
      <c r="S90" s="57"/>
      <c r="T90" s="52"/>
    </row>
    <row r="91">
      <c r="A91" s="52" t="s">
        <v>214</v>
      </c>
      <c r="B91" s="52" t="s">
        <v>189</v>
      </c>
      <c r="C91" s="52" t="s">
        <v>212</v>
      </c>
      <c r="D91" s="52">
        <v>2</v>
      </c>
      <c r="E91" s="52">
        <v>11</v>
      </c>
      <c r="F91" s="52">
        <v>10</v>
      </c>
      <c r="G91" s="52">
        <v>0</v>
      </c>
      <c r="H91" s="54">
        <v>17157.96</v>
      </c>
      <c r="I91" s="52">
        <v>1733</v>
      </c>
      <c r="J91" s="55">
        <f t="shared" si="21"/>
      </c>
      <c r="K91" s="53">
        <v>13855.880000000001</v>
      </c>
      <c r="L91" s="56">
        <f t="shared" si="34"/>
      </c>
      <c r="M91" s="52">
        <v>5857.92</v>
      </c>
      <c r="N91" s="56">
        <f t="shared" si="33"/>
      </c>
      <c r="O91" s="56">
        <f t="shared" si="32"/>
      </c>
      <c r="P91" s="56">
        <f t="shared" si="31"/>
      </c>
      <c r="Q91" s="52" t="s">
        <v>205</v>
      </c>
      <c r="R91" s="52">
        <v>10</v>
      </c>
      <c r="S91" s="57"/>
      <c r="T91" s="52"/>
    </row>
    <row r="92">
      <c r="A92" s="52" t="s">
        <v>214</v>
      </c>
      <c r="B92" s="67" t="s">
        <v>185</v>
      </c>
      <c r="C92" s="52" t="s">
        <v>213</v>
      </c>
      <c r="D92" s="52">
        <v>3</v>
      </c>
      <c r="E92" s="52">
        <v>12</v>
      </c>
      <c r="F92" s="52">
        <v>11</v>
      </c>
      <c r="G92" s="52">
        <v>1</v>
      </c>
      <c r="H92" s="54">
        <v>15546.600000000017</v>
      </c>
      <c r="I92" s="52">
        <v>2620.5</v>
      </c>
      <c r="J92" s="55">
        <f t="shared" si="21"/>
      </c>
      <c r="K92" s="53">
        <v>24617.670000000002</v>
      </c>
      <c r="L92" s="56">
        <f t="shared" si="34"/>
      </c>
      <c r="M92" s="52">
        <v>1334.88</v>
      </c>
      <c r="N92" s="56">
        <f t="shared" si="33"/>
      </c>
      <c r="O92" s="56">
        <f t="shared" si="32"/>
      </c>
      <c r="P92" s="56">
        <f t="shared" si="31"/>
      </c>
      <c r="Q92" s="52"/>
      <c r="R92" s="52"/>
      <c r="S92" s="57"/>
      <c r="T92" s="52"/>
    </row>
    <row r="93">
      <c r="A93" s="52" t="s">
        <v>214</v>
      </c>
      <c r="B93" s="53" t="s">
        <v>160</v>
      </c>
      <c r="C93" s="52" t="s">
        <v>207</v>
      </c>
      <c r="D93" s="52">
        <v>5</v>
      </c>
      <c r="E93" s="52">
        <v>38</v>
      </c>
      <c r="F93" s="52">
        <v>33</v>
      </c>
      <c r="G93" s="52">
        <v>7</v>
      </c>
      <c r="H93" s="54">
        <v>61020.84000000001</v>
      </c>
      <c r="I93" s="52">
        <v>6330.75</v>
      </c>
      <c r="J93" s="55">
        <f t="shared" si="21"/>
      </c>
      <c r="K93" s="53">
        <v>41475.19</v>
      </c>
      <c r="L93" s="56">
        <f t="shared" si="34"/>
      </c>
      <c r="M93" s="52">
        <v>1551.96</v>
      </c>
      <c r="N93" s="56">
        <f t="shared" si="33"/>
      </c>
      <c r="O93" s="56">
        <f t="shared" si="32"/>
      </c>
      <c r="P93" s="56">
        <f t="shared" si="31"/>
      </c>
      <c r="Q93" s="52" t="s">
        <v>208</v>
      </c>
      <c r="R93" s="52">
        <v>10</v>
      </c>
      <c r="S93" s="57"/>
      <c r="T93" s="52"/>
    </row>
    <row r="94">
      <c r="A94" s="58" t="s">
        <v>214</v>
      </c>
      <c r="B94" s="59"/>
      <c r="C94" s="59"/>
      <c r="D94" s="60">
        <f>SUM(D89:D93)</f>
      </c>
      <c r="E94" s="60">
        <f>SUM(E89:E93)</f>
      </c>
      <c r="F94" s="60">
        <f>SUM(F89:F93)</f>
      </c>
      <c r="G94" s="60">
        <f>SUM(G89:G93)</f>
      </c>
      <c r="H94" s="60">
        <f>SUM(H89:H93)</f>
      </c>
      <c r="I94" s="60">
        <f>SUM(I89:I93)</f>
      </c>
      <c r="J94" s="60">
        <f>SUM(J89:J93)</f>
      </c>
      <c r="K94" s="60">
        <f>SUM(K89:K93)</f>
      </c>
      <c r="L94" s="61">
        <f t="shared" si="34"/>
      </c>
      <c r="M94" s="60">
        <f>SUM(M89:M93)</f>
      </c>
      <c r="N94" s="62">
        <f t="shared" si="33"/>
      </c>
      <c r="O94" s="61">
        <f t="shared" si="32"/>
      </c>
      <c r="P94" s="61">
        <f t="shared" si="31"/>
      </c>
      <c r="Q94" s="59"/>
      <c r="R94" s="60">
        <f>SUM(R89:R93)</f>
      </c>
      <c r="S94" s="59"/>
      <c r="T94" s="60">
        <f>SUM(T89:T93)</f>
      </c>
    </row>
    <row r="95">
      <c r="A95" s="52" t="s">
        <v>215</v>
      </c>
      <c r="B95" s="52" t="s">
        <v>156</v>
      </c>
      <c r="C95" s="52" t="s">
        <v>202</v>
      </c>
      <c r="D95" s="52">
        <v>5</v>
      </c>
      <c r="E95" s="52">
        <v>46</v>
      </c>
      <c r="F95" s="52">
        <v>38</v>
      </c>
      <c r="G95" s="52">
        <v>3</v>
      </c>
      <c r="H95" s="52">
        <v>72345.96</v>
      </c>
      <c r="I95" s="52">
        <v>10562.3</v>
      </c>
      <c r="J95" s="55">
        <f t="shared" ref="J95:J99" si="22">H95+I95</f>
      </c>
      <c r="K95" s="52">
        <v>46953.62</v>
      </c>
      <c r="L95" s="56">
        <f t="shared" si="34"/>
      </c>
      <c r="M95" s="52">
        <v>40005.46</v>
      </c>
      <c r="N95" s="56">
        <f t="shared" si="33"/>
      </c>
      <c r="O95" s="56">
        <f t="shared" si="32"/>
      </c>
      <c r="P95" s="56">
        <f t="shared" si="31"/>
      </c>
      <c r="Q95" s="52"/>
      <c r="R95" s="52"/>
      <c r="S95" s="57" t="s">
        <v>159</v>
      </c>
      <c r="T95" s="52">
        <v>20</v>
      </c>
    </row>
    <row r="96">
      <c r="A96" s="52" t="s">
        <v>215</v>
      </c>
      <c r="B96" s="52" t="s">
        <v>176</v>
      </c>
      <c r="C96" s="52" t="s">
        <v>211</v>
      </c>
      <c r="D96" s="52">
        <v>5</v>
      </c>
      <c r="E96" s="52">
        <v>29</v>
      </c>
      <c r="F96" s="52">
        <v>24</v>
      </c>
      <c r="G96" s="52">
        <v>3</v>
      </c>
      <c r="H96" s="66">
        <v>50476.8</v>
      </c>
      <c r="I96" s="52">
        <v>4866.3</v>
      </c>
      <c r="J96" s="55">
        <f t="shared" si="22"/>
      </c>
      <c r="K96" s="52">
        <v>36862.41</v>
      </c>
      <c r="L96" s="56">
        <f t="shared" si="34"/>
      </c>
      <c r="M96" s="52">
        <v>8978.04</v>
      </c>
      <c r="N96" s="56">
        <f t="shared" si="33"/>
      </c>
      <c r="O96" s="56">
        <f t="shared" si="32"/>
      </c>
      <c r="P96" s="56">
        <f t="shared" si="31"/>
      </c>
      <c r="Q96" s="52"/>
      <c r="R96" s="52"/>
      <c r="S96" s="57"/>
      <c r="T96" s="52"/>
    </row>
    <row r="97">
      <c r="A97" s="52" t="s">
        <v>215</v>
      </c>
      <c r="B97" s="52" t="s">
        <v>197</v>
      </c>
      <c r="C97" s="52" t="s">
        <v>212</v>
      </c>
      <c r="D97" s="52">
        <v>2</v>
      </c>
      <c r="E97" s="52">
        <v>11</v>
      </c>
      <c r="F97" s="52">
        <v>12</v>
      </c>
      <c r="G97" s="52">
        <v>3</v>
      </c>
      <c r="H97" s="54">
        <v>25414.320000000014</v>
      </c>
      <c r="I97" s="52">
        <v>0</v>
      </c>
      <c r="J97" s="55">
        <f t="shared" si="22"/>
      </c>
      <c r="K97" s="53">
        <v>10916.92</v>
      </c>
      <c r="L97" s="56">
        <f t="shared" si="34"/>
      </c>
      <c r="M97" s="52">
        <v>4950.12</v>
      </c>
      <c r="N97" s="56">
        <f t="shared" si="33"/>
      </c>
      <c r="O97" s="56">
        <f t="shared" si="32"/>
      </c>
      <c r="P97" s="56">
        <f t="shared" si="31"/>
      </c>
      <c r="Q97" s="52" t="s">
        <v>205</v>
      </c>
      <c r="R97" s="52">
        <v>10</v>
      </c>
      <c r="S97" s="57"/>
      <c r="T97" s="52"/>
    </row>
    <row r="98">
      <c r="A98" s="52" t="s">
        <v>215</v>
      </c>
      <c r="B98" s="67" t="s">
        <v>182</v>
      </c>
      <c r="C98" s="52" t="s">
        <v>213</v>
      </c>
      <c r="D98" s="52">
        <v>3</v>
      </c>
      <c r="E98" s="52">
        <v>20</v>
      </c>
      <c r="F98" s="52">
        <v>15</v>
      </c>
      <c r="G98" s="52">
        <v>1</v>
      </c>
      <c r="H98" s="54">
        <v>27776.039999999994</v>
      </c>
      <c r="I98" s="52">
        <v>1116</v>
      </c>
      <c r="J98" s="55">
        <f t="shared" si="22"/>
      </c>
      <c r="K98" s="53">
        <v>23449.26</v>
      </c>
      <c r="L98" s="56">
        <f t="shared" si="34"/>
      </c>
      <c r="M98" s="52">
        <v>3454.92</v>
      </c>
      <c r="N98" s="56">
        <f t="shared" si="33"/>
      </c>
      <c r="O98" s="56">
        <f t="shared" si="32"/>
      </c>
      <c r="P98" s="56">
        <f t="shared" si="31"/>
      </c>
      <c r="Q98" s="52"/>
      <c r="R98" s="52"/>
      <c r="S98" s="57"/>
      <c r="T98" s="52"/>
    </row>
    <row r="99">
      <c r="A99" s="52" t="s">
        <v>215</v>
      </c>
      <c r="B99" s="53" t="s">
        <v>160</v>
      </c>
      <c r="C99" s="52" t="s">
        <v>207</v>
      </c>
      <c r="D99" s="52">
        <v>5</v>
      </c>
      <c r="E99" s="52">
        <v>36</v>
      </c>
      <c r="F99" s="52">
        <v>31</v>
      </c>
      <c r="G99" s="52">
        <v>3</v>
      </c>
      <c r="H99" s="54">
        <v>55215.6</v>
      </c>
      <c r="I99" s="52">
        <v>4100</v>
      </c>
      <c r="J99" s="55">
        <f t="shared" si="22"/>
      </c>
      <c r="K99" s="53">
        <v>37223.92</v>
      </c>
      <c r="L99" s="56">
        <f t="shared" si="34"/>
      </c>
      <c r="M99" s="52">
        <v>0</v>
      </c>
      <c r="N99" s="56">
        <f t="shared" si="33"/>
      </c>
      <c r="O99" s="56">
        <f t="shared" si="32"/>
      </c>
      <c r="P99" s="56">
        <f t="shared" si="31"/>
      </c>
      <c r="Q99" s="52" t="s">
        <v>208</v>
      </c>
      <c r="R99" s="52">
        <v>10</v>
      </c>
      <c r="S99" s="57"/>
      <c r="T99" s="52"/>
    </row>
    <row r="100">
      <c r="A100" s="58" t="s">
        <v>215</v>
      </c>
      <c r="B100" s="59"/>
      <c r="C100" s="59"/>
      <c r="D100" s="60">
        <f>SUM(D95:D99)</f>
      </c>
      <c r="E100" s="60">
        <f>SUM(E95:E99)</f>
      </c>
      <c r="F100" s="60">
        <f>SUM(F95:F99)</f>
      </c>
      <c r="G100" s="60">
        <f>SUM(G95:G99)</f>
      </c>
      <c r="H100" s="60">
        <f>SUM(H95:H99)</f>
      </c>
      <c r="I100" s="60">
        <f>SUM(I95:I99)</f>
      </c>
      <c r="J100" s="60">
        <f>SUM(J95:J99)</f>
      </c>
      <c r="K100" s="60">
        <f>SUM(K95:K99)</f>
      </c>
      <c r="L100" s="61">
        <f t="shared" si="34"/>
      </c>
      <c r="M100" s="60">
        <f>SUM(M95:M99)</f>
      </c>
      <c r="N100" s="62">
        <f t="shared" si="33"/>
      </c>
      <c r="O100" s="61">
        <f t="shared" si="32"/>
      </c>
      <c r="P100" s="61">
        <f t="shared" si="31"/>
      </c>
      <c r="Q100" s="59"/>
      <c r="R100" s="60">
        <f>SUM(R95:R99)</f>
      </c>
      <c r="S100" s="59"/>
      <c r="T100" s="60">
        <f>SUM(T95:T99)</f>
      </c>
    </row>
    <row r="101">
      <c r="A101" s="52" t="s">
        <v>216</v>
      </c>
      <c r="B101" s="52" t="s">
        <v>156</v>
      </c>
      <c r="C101" s="52" t="s">
        <v>202</v>
      </c>
      <c r="D101" s="52">
        <v>5</v>
      </c>
      <c r="E101" s="52">
        <v>50</v>
      </c>
      <c r="F101" s="52">
        <v>46</v>
      </c>
      <c r="G101" s="52">
        <v>4</v>
      </c>
      <c r="H101" s="52">
        <v>81417.12</v>
      </c>
      <c r="I101" s="52">
        <v>2545</v>
      </c>
      <c r="J101" s="55">
        <f t="shared" ref="J101:J105" si="23">H101+I101</f>
      </c>
      <c r="K101" s="52">
        <v>57805.32</v>
      </c>
      <c r="L101" s="56">
        <f t="shared" si="34"/>
      </c>
      <c r="M101" s="52">
        <v>17030.16</v>
      </c>
      <c r="N101" s="56">
        <f t="shared" si="33"/>
      </c>
      <c r="O101" s="56">
        <f t="shared" si="32"/>
      </c>
      <c r="P101" s="56">
        <f t="shared" si="31"/>
      </c>
      <c r="Q101" s="52"/>
      <c r="R101" s="52"/>
      <c r="S101" s="57" t="s">
        <v>159</v>
      </c>
      <c r="T101" s="52">
        <v>20</v>
      </c>
    </row>
    <row r="102">
      <c r="A102" s="52" t="s">
        <v>216</v>
      </c>
      <c r="B102" s="67" t="s">
        <v>160</v>
      </c>
      <c r="C102" s="52" t="s">
        <v>211</v>
      </c>
      <c r="D102" s="52">
        <v>5</v>
      </c>
      <c r="E102" s="52">
        <v>18</v>
      </c>
      <c r="F102" s="52">
        <v>14</v>
      </c>
      <c r="G102" s="52">
        <v>3</v>
      </c>
      <c r="H102" s="66">
        <v>36020.399999999994</v>
      </c>
      <c r="I102" s="52">
        <v>0</v>
      </c>
      <c r="J102" s="55">
        <f t="shared" si="23"/>
      </c>
      <c r="K102" s="52">
        <v>26165.559999999998</v>
      </c>
      <c r="L102" s="56">
        <f t="shared" si="34"/>
      </c>
      <c r="M102" s="52">
        <v>3201</v>
      </c>
      <c r="N102" s="56">
        <f t="shared" si="33"/>
      </c>
      <c r="O102" s="56">
        <f t="shared" si="32"/>
      </c>
      <c r="P102" s="56">
        <f t="shared" si="31"/>
      </c>
      <c r="Q102" s="52"/>
      <c r="R102" s="52"/>
      <c r="S102" s="57"/>
      <c r="T102" s="52"/>
    </row>
    <row r="103">
      <c r="A103" s="52" t="s">
        <v>216</v>
      </c>
      <c r="B103" s="52" t="s">
        <v>193</v>
      </c>
      <c r="C103" s="52" t="s">
        <v>212</v>
      </c>
      <c r="D103" s="52">
        <v>2</v>
      </c>
      <c r="E103" s="52">
        <v>8</v>
      </c>
      <c r="F103" s="52">
        <v>8</v>
      </c>
      <c r="G103" s="52">
        <v>0</v>
      </c>
      <c r="H103" s="54">
        <v>7780.320000000007</v>
      </c>
      <c r="I103" s="52">
        <v>0</v>
      </c>
      <c r="J103" s="55">
        <f t="shared" si="23"/>
      </c>
      <c r="K103" s="53">
        <v>10505.3</v>
      </c>
      <c r="L103" s="56">
        <f t="shared" si="34"/>
      </c>
      <c r="M103" s="52">
        <v>1905.12</v>
      </c>
      <c r="N103" s="56">
        <f t="shared" si="33"/>
      </c>
      <c r="O103" s="56">
        <f t="shared" si="32"/>
      </c>
      <c r="P103" s="56">
        <f t="shared" si="31"/>
      </c>
      <c r="Q103" s="52" t="s">
        <v>217</v>
      </c>
      <c r="R103" s="52">
        <v>10</v>
      </c>
      <c r="S103" s="57"/>
      <c r="T103" s="52"/>
    </row>
    <row r="104">
      <c r="A104" s="52" t="s">
        <v>216</v>
      </c>
      <c r="B104" s="67" t="s">
        <v>182</v>
      </c>
      <c r="C104" s="52" t="s">
        <v>213</v>
      </c>
      <c r="D104" s="52">
        <v>3</v>
      </c>
      <c r="E104" s="52">
        <v>23</v>
      </c>
      <c r="F104" s="52">
        <v>19</v>
      </c>
      <c r="G104" s="52">
        <v>2</v>
      </c>
      <c r="H104" s="54">
        <v>24960.72</v>
      </c>
      <c r="I104" s="52">
        <v>1886</v>
      </c>
      <c r="J104" s="55">
        <f t="shared" si="23"/>
      </c>
      <c r="K104" s="53">
        <v>20648.61</v>
      </c>
      <c r="L104" s="56">
        <f t="shared" si="34"/>
      </c>
      <c r="M104" s="52">
        <v>2567.1600000000003</v>
      </c>
      <c r="N104" s="56">
        <f t="shared" si="33"/>
      </c>
      <c r="O104" s="56">
        <f t="shared" si="32"/>
      </c>
      <c r="P104" s="56">
        <f t="shared" si="31"/>
      </c>
      <c r="Q104" s="52"/>
      <c r="R104" s="52"/>
      <c r="S104" s="57"/>
      <c r="T104" s="52"/>
    </row>
    <row r="105">
      <c r="A105" s="52" t="s">
        <v>216</v>
      </c>
      <c r="B105" s="52" t="s">
        <v>176</v>
      </c>
      <c r="C105" s="52" t="s">
        <v>207</v>
      </c>
      <c r="D105" s="52">
        <v>5</v>
      </c>
      <c r="E105" s="52">
        <v>38</v>
      </c>
      <c r="F105" s="52">
        <v>29</v>
      </c>
      <c r="G105" s="52">
        <v>4</v>
      </c>
      <c r="H105" s="54">
        <v>64379.400000000016</v>
      </c>
      <c r="I105" s="52">
        <v>2192</v>
      </c>
      <c r="J105" s="55">
        <f t="shared" si="23"/>
      </c>
      <c r="K105" s="53">
        <v>33960.53999999999</v>
      </c>
      <c r="L105" s="56">
        <f t="shared" si="34"/>
      </c>
      <c r="M105" s="52">
        <v>4112.639999999999</v>
      </c>
      <c r="N105" s="56">
        <f t="shared" si="33"/>
      </c>
      <c r="O105" s="56">
        <f t="shared" si="32"/>
      </c>
      <c r="P105" s="56">
        <f t="shared" si="31"/>
      </c>
      <c r="Q105" s="52" t="s">
        <v>208</v>
      </c>
      <c r="R105" s="52">
        <v>10</v>
      </c>
      <c r="S105" s="57"/>
      <c r="T105" s="52"/>
    </row>
    <row r="106">
      <c r="A106" s="58" t="s">
        <v>216</v>
      </c>
      <c r="B106" s="59"/>
      <c r="C106" s="59"/>
      <c r="D106" s="60">
        <f>SUM(D101:D105)</f>
      </c>
      <c r="E106" s="60">
        <f>SUM(E101:E105)</f>
      </c>
      <c r="F106" s="60">
        <f>SUM(F101:F105)</f>
      </c>
      <c r="G106" s="60">
        <f>SUM(G101:G105)</f>
      </c>
      <c r="H106" s="60">
        <f>SUM(H101:H105)</f>
      </c>
      <c r="I106" s="60">
        <f>SUM(I101:I105)</f>
      </c>
      <c r="J106" s="60">
        <f>SUM(J101:J105)</f>
      </c>
      <c r="K106" s="60">
        <f>SUM(K101:K105)</f>
      </c>
      <c r="L106" s="61">
        <f t="shared" si="34"/>
      </c>
      <c r="M106" s="60">
        <f>SUM(M101:M105)</f>
      </c>
      <c r="N106" s="62">
        <f t="shared" si="33"/>
      </c>
      <c r="O106" s="61">
        <f t="shared" si="32"/>
      </c>
      <c r="P106" s="61">
        <f t="shared" si="31"/>
      </c>
      <c r="Q106" s="59"/>
      <c r="R106" s="60">
        <f>SUM(R101:R105)</f>
      </c>
      <c r="S106" s="59"/>
      <c r="T106" s="60">
        <f>SUM(T101:T105)</f>
      </c>
    </row>
    <row r="107">
      <c r="A107" s="52" t="s">
        <v>218</v>
      </c>
      <c r="B107" s="52" t="s">
        <v>156</v>
      </c>
      <c r="C107" s="52" t="s">
        <v>202</v>
      </c>
      <c r="D107" s="52">
        <v>5</v>
      </c>
      <c r="E107" s="52">
        <v>39</v>
      </c>
      <c r="F107" s="52">
        <v>29</v>
      </c>
      <c r="G107" s="52">
        <v>4</v>
      </c>
      <c r="H107" s="52">
        <v>68320.68000000001</v>
      </c>
      <c r="I107" s="52">
        <v>4705.95</v>
      </c>
      <c r="J107" s="55">
        <f t="shared" ref="J107:J111" si="24">H107+I107</f>
      </c>
      <c r="K107" s="52">
        <v>49420.79</v>
      </c>
      <c r="L107" s="56">
        <f t="shared" si="34"/>
      </c>
      <c r="M107" s="52">
        <v>19627.56</v>
      </c>
      <c r="N107" s="56">
        <f t="shared" si="33"/>
      </c>
      <c r="O107" s="56">
        <f t="shared" si="32"/>
      </c>
      <c r="P107" s="56">
        <f t="shared" si="31"/>
      </c>
      <c r="Q107" s="52"/>
      <c r="R107" s="52"/>
      <c r="S107" s="57" t="s">
        <v>159</v>
      </c>
      <c r="T107" s="52">
        <v>20</v>
      </c>
    </row>
    <row r="108">
      <c r="A108" s="52" t="s">
        <v>218</v>
      </c>
      <c r="B108" s="67" t="s">
        <v>160</v>
      </c>
      <c r="C108" s="52" t="s">
        <v>211</v>
      </c>
      <c r="D108" s="52">
        <v>5</v>
      </c>
      <c r="E108" s="52">
        <v>43</v>
      </c>
      <c r="F108" s="52">
        <v>39</v>
      </c>
      <c r="G108" s="52">
        <v>1</v>
      </c>
      <c r="H108" s="66">
        <v>69350.63999999998</v>
      </c>
      <c r="I108" s="52">
        <v>3872.000000000001</v>
      </c>
      <c r="J108" s="55">
        <f t="shared" si="24"/>
      </c>
      <c r="K108" s="52">
        <v>37602.37</v>
      </c>
      <c r="L108" s="56">
        <f t="shared" si="34"/>
      </c>
      <c r="M108" s="52">
        <v>20086</v>
      </c>
      <c r="N108" s="56">
        <f t="shared" si="33"/>
      </c>
      <c r="O108" s="56">
        <f t="shared" si="32"/>
      </c>
      <c r="P108" s="56">
        <f t="shared" si="31"/>
      </c>
      <c r="Q108" s="52"/>
      <c r="R108" s="52"/>
      <c r="S108" s="57"/>
      <c r="T108" s="52"/>
    </row>
    <row r="109">
      <c r="A109" s="52" t="s">
        <v>218</v>
      </c>
      <c r="B109" s="52" t="s">
        <v>197</v>
      </c>
      <c r="C109" s="52" t="s">
        <v>212</v>
      </c>
      <c r="D109" s="52">
        <v>2</v>
      </c>
      <c r="E109" s="52">
        <v>11</v>
      </c>
      <c r="F109" s="52">
        <v>9</v>
      </c>
      <c r="G109" s="52">
        <v>2</v>
      </c>
      <c r="H109" s="54">
        <v>22811.999999999993</v>
      </c>
      <c r="I109" s="52">
        <v>489</v>
      </c>
      <c r="J109" s="55">
        <f t="shared" si="24"/>
      </c>
      <c r="K109" s="53">
        <v>14932.9</v>
      </c>
      <c r="L109" s="56">
        <f t="shared" si="34"/>
      </c>
      <c r="M109" s="52">
        <v>489</v>
      </c>
      <c r="N109" s="56">
        <f t="shared" si="33"/>
      </c>
      <c r="O109" s="56">
        <f t="shared" si="32"/>
      </c>
      <c r="P109" s="56">
        <f t="shared" si="31"/>
      </c>
      <c r="Q109" s="52" t="s">
        <v>219</v>
      </c>
      <c r="R109" s="52">
        <v>10</v>
      </c>
      <c r="S109" s="57"/>
      <c r="T109" s="52"/>
    </row>
    <row r="110">
      <c r="A110" s="52" t="s">
        <v>218</v>
      </c>
      <c r="B110" s="67" t="s">
        <v>185</v>
      </c>
      <c r="C110" s="52" t="s">
        <v>213</v>
      </c>
      <c r="D110" s="52">
        <v>3</v>
      </c>
      <c r="E110" s="52">
        <v>16</v>
      </c>
      <c r="F110" s="52">
        <v>14</v>
      </c>
      <c r="G110" s="52">
        <v>0</v>
      </c>
      <c r="H110" s="54">
        <v>23253.479999999985</v>
      </c>
      <c r="I110" s="52">
        <v>3887</v>
      </c>
      <c r="J110" s="55">
        <f t="shared" si="24"/>
      </c>
      <c r="K110" s="53">
        <v>15846.64</v>
      </c>
      <c r="L110" s="56">
        <f t="shared" si="34"/>
      </c>
      <c r="M110" s="52">
        <v>5098.88</v>
      </c>
      <c r="N110" s="56">
        <f t="shared" si="33"/>
      </c>
      <c r="O110" s="56">
        <f t="shared" si="32"/>
      </c>
      <c r="P110" s="56">
        <f t="shared" si="31"/>
      </c>
      <c r="Q110" s="52"/>
      <c r="R110" s="52"/>
      <c r="S110" s="57"/>
      <c r="T110" s="52"/>
    </row>
    <row r="111">
      <c r="A111" s="52" t="s">
        <v>218</v>
      </c>
      <c r="B111" s="52" t="s">
        <v>176</v>
      </c>
      <c r="C111" s="52" t="s">
        <v>207</v>
      </c>
      <c r="D111" s="52">
        <v>5</v>
      </c>
      <c r="E111" s="52">
        <v>33</v>
      </c>
      <c r="F111" s="52">
        <v>28</v>
      </c>
      <c r="G111" s="52">
        <v>3</v>
      </c>
      <c r="H111" s="54">
        <v>57778.08</v>
      </c>
      <c r="I111" s="52">
        <v>10779</v>
      </c>
      <c r="J111" s="55">
        <f t="shared" si="24"/>
      </c>
      <c r="K111" s="53">
        <v>35166.049999999996</v>
      </c>
      <c r="L111" s="56">
        <f t="shared" si="34"/>
      </c>
      <c r="M111" s="52">
        <v>6448.68</v>
      </c>
      <c r="N111" s="56">
        <f t="shared" si="33"/>
      </c>
      <c r="O111" s="56">
        <f t="shared" si="32"/>
      </c>
      <c r="P111" s="56">
        <f t="shared" si="31"/>
      </c>
      <c r="Q111" s="52" t="s">
        <v>208</v>
      </c>
      <c r="R111" s="52">
        <v>10</v>
      </c>
      <c r="S111" s="57"/>
      <c r="T111" s="52"/>
    </row>
    <row r="112">
      <c r="A112" s="58" t="s">
        <v>218</v>
      </c>
      <c r="B112" s="59"/>
      <c r="C112" s="59"/>
      <c r="D112" s="60">
        <f>SUM(D107:D111)</f>
      </c>
      <c r="E112" s="60">
        <f>SUM(E107:E111)</f>
      </c>
      <c r="F112" s="60">
        <f>SUM(F107:F111)</f>
      </c>
      <c r="G112" s="60">
        <f>SUM(G107:G111)</f>
      </c>
      <c r="H112" s="60">
        <f>SUM(H107:H111)</f>
      </c>
      <c r="I112" s="60">
        <f>SUM(I107:I111)</f>
      </c>
      <c r="J112" s="60">
        <f>SUM(J107:J111)</f>
      </c>
      <c r="K112" s="60">
        <f>SUM(K107:K111)</f>
      </c>
      <c r="L112" s="61">
        <f t="shared" si="34"/>
      </c>
      <c r="M112" s="60">
        <f>SUM(M107:M111)</f>
      </c>
      <c r="N112" s="62">
        <f t="shared" si="33"/>
      </c>
      <c r="O112" s="61">
        <f t="shared" si="32"/>
      </c>
      <c r="P112" s="61">
        <f t="shared" si="31"/>
      </c>
      <c r="Q112" s="59"/>
      <c r="R112" s="60">
        <f>SUM(R107:R111)</f>
      </c>
      <c r="S112" s="59"/>
      <c r="T112" s="60">
        <f>SUM(T107:T111)</f>
      </c>
    </row>
    <row r="113">
      <c r="A113" s="52" t="s">
        <v>220</v>
      </c>
      <c r="B113" s="52" t="s">
        <v>156</v>
      </c>
      <c r="C113" s="52" t="s">
        <v>202</v>
      </c>
      <c r="D113" s="52">
        <v>5</v>
      </c>
      <c r="E113" s="52">
        <v>45</v>
      </c>
      <c r="F113" s="52">
        <v>40</v>
      </c>
      <c r="G113" s="52">
        <v>5</v>
      </c>
      <c r="H113" s="52">
        <v>90975.72</v>
      </c>
      <c r="I113" s="52">
        <v>4648.5</v>
      </c>
      <c r="J113" s="55">
        <f t="shared" ref="J113:J117" si="25">H113+I113</f>
      </c>
      <c r="K113" s="52">
        <v>52453.65000000001</v>
      </c>
      <c r="L113" s="56">
        <f t="shared" si="34"/>
      </c>
      <c r="M113" s="52">
        <v>26944.88</v>
      </c>
      <c r="N113" s="56">
        <f t="shared" si="33"/>
      </c>
      <c r="O113" s="56">
        <f t="shared" si="32"/>
      </c>
      <c r="P113" s="56">
        <f t="shared" si="31"/>
      </c>
      <c r="Q113" s="52"/>
      <c r="R113" s="52"/>
      <c r="S113" s="57" t="s">
        <v>159</v>
      </c>
      <c r="T113" s="52">
        <v>20</v>
      </c>
    </row>
    <row r="114">
      <c r="A114" s="52" t="s">
        <v>220</v>
      </c>
      <c r="B114" s="52" t="s">
        <v>176</v>
      </c>
      <c r="C114" s="52" t="s">
        <v>211</v>
      </c>
      <c r="D114" s="52">
        <v>5</v>
      </c>
      <c r="E114" s="52">
        <v>20</v>
      </c>
      <c r="F114" s="52">
        <v>17</v>
      </c>
      <c r="G114" s="52">
        <v>3</v>
      </c>
      <c r="H114" s="66">
        <v>38545.68000000001</v>
      </c>
      <c r="I114" s="52">
        <v>6777.4000000000015</v>
      </c>
      <c r="J114" s="55">
        <f t="shared" si="25"/>
      </c>
      <c r="K114" s="52">
        <v>19954.370000000003</v>
      </c>
      <c r="L114" s="56">
        <f t="shared" si="34"/>
      </c>
      <c r="M114" s="52">
        <v>22879.96</v>
      </c>
      <c r="N114" s="56">
        <f t="shared" si="33"/>
      </c>
      <c r="O114" s="56">
        <f t="shared" si="32"/>
      </c>
      <c r="P114" s="56">
        <f t="shared" si="31"/>
      </c>
      <c r="Q114" s="52"/>
      <c r="R114" s="52"/>
      <c r="S114" s="57"/>
      <c r="T114" s="52"/>
    </row>
    <row r="115">
      <c r="A115" s="52" t="s">
        <v>220</v>
      </c>
      <c r="B115" s="52" t="s">
        <v>197</v>
      </c>
      <c r="C115" s="52" t="s">
        <v>212</v>
      </c>
      <c r="D115" s="52">
        <v>2</v>
      </c>
      <c r="E115" s="52">
        <v>12</v>
      </c>
      <c r="F115" s="52">
        <v>8</v>
      </c>
      <c r="G115" s="52">
        <v>0</v>
      </c>
      <c r="H115" s="54">
        <v>13218.119999999992</v>
      </c>
      <c r="I115" s="52">
        <v>5204</v>
      </c>
      <c r="J115" s="55">
        <f t="shared" si="25"/>
      </c>
      <c r="K115" s="53">
        <v>12837.99</v>
      </c>
      <c r="L115" s="56">
        <f t="shared" si="34"/>
      </c>
      <c r="M115" s="52">
        <v>708.48</v>
      </c>
      <c r="N115" s="56">
        <f t="shared" si="33"/>
      </c>
      <c r="O115" s="56">
        <f t="shared" si="32"/>
      </c>
      <c r="P115" s="56">
        <f t="shared" si="31"/>
      </c>
      <c r="Q115" s="52" t="s">
        <v>219</v>
      </c>
      <c r="R115" s="52">
        <v>10</v>
      </c>
      <c r="S115" s="57"/>
      <c r="T115" s="52"/>
    </row>
    <row r="116">
      <c r="A116" s="52" t="s">
        <v>220</v>
      </c>
      <c r="B116" s="67" t="s">
        <v>182</v>
      </c>
      <c r="C116" s="52" t="s">
        <v>213</v>
      </c>
      <c r="D116" s="52">
        <v>3</v>
      </c>
      <c r="E116" s="52">
        <v>27</v>
      </c>
      <c r="F116" s="52">
        <v>21</v>
      </c>
      <c r="G116" s="52">
        <v>0</v>
      </c>
      <c r="H116" s="54">
        <v>31471.200000000008</v>
      </c>
      <c r="I116" s="52">
        <v>11260</v>
      </c>
      <c r="J116" s="55">
        <f t="shared" si="25"/>
      </c>
      <c r="K116" s="53">
        <v>24807.09</v>
      </c>
      <c r="L116" s="56">
        <f t="shared" si="34"/>
      </c>
      <c r="M116" s="52">
        <v>13223.279999999999</v>
      </c>
      <c r="N116" s="56">
        <f t="shared" si="33"/>
      </c>
      <c r="O116" s="56">
        <f t="shared" si="32"/>
      </c>
      <c r="P116" s="56">
        <f t="shared" si="31"/>
      </c>
      <c r="Q116" s="52"/>
      <c r="R116" s="52"/>
      <c r="S116" s="57"/>
      <c r="T116" s="52"/>
    </row>
    <row r="117">
      <c r="A117" s="52" t="s">
        <v>220</v>
      </c>
      <c r="B117" s="67" t="s">
        <v>160</v>
      </c>
      <c r="C117" s="52" t="s">
        <v>207</v>
      </c>
      <c r="D117" s="52">
        <v>5</v>
      </c>
      <c r="E117" s="52">
        <v>50</v>
      </c>
      <c r="F117" s="52">
        <v>40</v>
      </c>
      <c r="G117" s="52">
        <v>9</v>
      </c>
      <c r="H117" s="54">
        <v>89002.08000000003</v>
      </c>
      <c r="I117" s="52">
        <v>2043</v>
      </c>
      <c r="J117" s="55">
        <f t="shared" si="25"/>
      </c>
      <c r="K117" s="53">
        <v>41659.75</v>
      </c>
      <c r="L117" s="56">
        <f t="shared" si="34"/>
      </c>
      <c r="M117" s="52">
        <v>14346.839999999998</v>
      </c>
      <c r="N117" s="56">
        <f t="shared" si="33"/>
      </c>
      <c r="O117" s="56">
        <f t="shared" si="32"/>
      </c>
      <c r="P117" s="56">
        <f t="shared" si="31"/>
      </c>
      <c r="Q117" s="52" t="s">
        <v>208</v>
      </c>
      <c r="R117" s="52">
        <v>10</v>
      </c>
      <c r="S117" s="57"/>
      <c r="T117" s="52"/>
    </row>
    <row r="118">
      <c r="A118" s="58" t="s">
        <v>220</v>
      </c>
      <c r="B118" s="59"/>
      <c r="C118" s="59"/>
      <c r="D118" s="60">
        <f>SUM(D113:D117)</f>
      </c>
      <c r="E118" s="60">
        <f>SUM(E113:E117)</f>
      </c>
      <c r="F118" s="60">
        <f>SUM(F113:F117)</f>
      </c>
      <c r="G118" s="60">
        <f>SUM(G113:G117)</f>
      </c>
      <c r="H118" s="60">
        <f>SUM(H113:H117)</f>
      </c>
      <c r="I118" s="60">
        <f>SUM(I113:I117)</f>
      </c>
      <c r="J118" s="60">
        <f>SUM(J113:J117)</f>
      </c>
      <c r="K118" s="60">
        <f>SUM(K113:K117)</f>
      </c>
      <c r="L118" s="61">
        <f t="shared" si="34"/>
      </c>
      <c r="M118" s="60">
        <f>SUM(M113:M117)</f>
      </c>
      <c r="N118" s="62">
        <f t="shared" si="33"/>
      </c>
      <c r="O118" s="61">
        <f t="shared" si="32"/>
      </c>
      <c r="P118" s="61">
        <f t="shared" si="31"/>
      </c>
      <c r="Q118" s="59"/>
      <c r="R118" s="60">
        <f>SUM(R113:R117)</f>
      </c>
      <c r="S118" s="59"/>
      <c r="T118" s="60">
        <f>SUM(T113:T117)</f>
      </c>
    </row>
    <row r="119">
      <c r="A119" s="52" t="s">
        <v>221</v>
      </c>
      <c r="B119" s="52" t="s">
        <v>156</v>
      </c>
      <c r="C119" s="52" t="s">
        <v>202</v>
      </c>
      <c r="D119" s="52">
        <v>5</v>
      </c>
      <c r="E119" s="52">
        <v>59</v>
      </c>
      <c r="F119" s="52">
        <v>52</v>
      </c>
      <c r="G119" s="52">
        <v>8</v>
      </c>
      <c r="H119" s="52">
        <v>88877.28</v>
      </c>
      <c r="I119" s="52">
        <v>11290</v>
      </c>
      <c r="J119" s="55">
        <f t="shared" ref="J119:J123" si="26">H119+I119</f>
      </c>
      <c r="K119" s="52">
        <v>63585.47</v>
      </c>
      <c r="L119" s="56">
        <f t="shared" si="34"/>
      </c>
      <c r="M119" s="52">
        <v>25501.08</v>
      </c>
      <c r="N119" s="56">
        <f t="shared" si="33"/>
      </c>
      <c r="O119" s="56">
        <f t="shared" si="32"/>
      </c>
      <c r="P119" s="56">
        <f t="shared" si="31"/>
      </c>
      <c r="Q119" s="52"/>
      <c r="R119" s="52"/>
      <c r="S119" s="57" t="s">
        <v>159</v>
      </c>
      <c r="T119" s="52">
        <v>20</v>
      </c>
    </row>
    <row r="120">
      <c r="A120" s="52" t="s">
        <v>221</v>
      </c>
      <c r="B120" s="52" t="s">
        <v>176</v>
      </c>
      <c r="C120" s="52" t="s">
        <v>211</v>
      </c>
      <c r="D120" s="52">
        <v>5</v>
      </c>
      <c r="E120" s="52">
        <v>37</v>
      </c>
      <c r="F120" s="52">
        <v>33</v>
      </c>
      <c r="G120" s="52">
        <v>3</v>
      </c>
      <c r="H120" s="66">
        <v>51142.92000000001</v>
      </c>
      <c r="I120" s="52">
        <v>13356.8</v>
      </c>
      <c r="J120" s="55">
        <f t="shared" si="26"/>
      </c>
      <c r="K120" s="52">
        <v>35955.86</v>
      </c>
      <c r="L120" s="56">
        <f t="shared" si="34"/>
      </c>
      <c r="M120" s="52">
        <v>21650.4</v>
      </c>
      <c r="N120" s="56">
        <f t="shared" si="33"/>
      </c>
      <c r="O120" s="56">
        <f t="shared" si="32"/>
      </c>
      <c r="P120" s="56">
        <f t="shared" si="31"/>
      </c>
      <c r="Q120" s="52"/>
      <c r="R120" s="52"/>
      <c r="S120" s="57"/>
      <c r="T120" s="52"/>
    </row>
    <row r="121">
      <c r="A121" s="52" t="s">
        <v>221</v>
      </c>
      <c r="B121" s="52" t="s">
        <v>185</v>
      </c>
      <c r="C121" s="52" t="s">
        <v>212</v>
      </c>
      <c r="D121" s="52">
        <v>2</v>
      </c>
      <c r="E121" s="52">
        <v>24</v>
      </c>
      <c r="F121" s="52">
        <v>20</v>
      </c>
      <c r="G121" s="52">
        <v>4</v>
      </c>
      <c r="H121" s="54">
        <v>38490.23999999998</v>
      </c>
      <c r="I121" s="52">
        <v>2453</v>
      </c>
      <c r="J121" s="55">
        <f t="shared" si="26"/>
      </c>
      <c r="K121" s="53">
        <v>18597.66</v>
      </c>
      <c r="L121" s="56">
        <f t="shared" si="34"/>
      </c>
      <c r="M121" s="52">
        <v>13930.56</v>
      </c>
      <c r="N121" s="56">
        <f t="shared" si="33"/>
      </c>
      <c r="O121" s="56">
        <f t="shared" si="32"/>
      </c>
      <c r="P121" s="56">
        <f t="shared" si="31"/>
      </c>
      <c r="Q121" s="52" t="s">
        <v>219</v>
      </c>
      <c r="R121" s="52">
        <v>10</v>
      </c>
      <c r="S121" s="57"/>
      <c r="T121" s="52"/>
    </row>
    <row r="122">
      <c r="A122" s="52" t="s">
        <v>221</v>
      </c>
      <c r="B122" s="67" t="s">
        <v>182</v>
      </c>
      <c r="C122" s="52" t="s">
        <v>213</v>
      </c>
      <c r="D122" s="52">
        <v>3</v>
      </c>
      <c r="E122" s="52">
        <v>32</v>
      </c>
      <c r="F122" s="52">
        <v>23</v>
      </c>
      <c r="G122" s="52">
        <v>1</v>
      </c>
      <c r="H122" s="54">
        <v>38827.79999999999</v>
      </c>
      <c r="I122" s="52">
        <v>5980.000000000004</v>
      </c>
      <c r="J122" s="55">
        <f t="shared" si="26"/>
      </c>
      <c r="K122" s="53">
        <v>28941.04</v>
      </c>
      <c r="L122" s="56">
        <f t="shared" si="34"/>
      </c>
      <c r="M122" s="52">
        <v>1622.16</v>
      </c>
      <c r="N122" s="56">
        <f t="shared" si="33"/>
      </c>
      <c r="O122" s="56">
        <f t="shared" si="32"/>
      </c>
      <c r="P122" s="56">
        <f t="shared" si="31"/>
      </c>
      <c r="Q122" s="52"/>
      <c r="R122" s="52"/>
      <c r="S122" s="57"/>
      <c r="T122" s="52"/>
    </row>
    <row r="123">
      <c r="A123" s="52" t="s">
        <v>221</v>
      </c>
      <c r="B123" s="67" t="s">
        <v>160</v>
      </c>
      <c r="C123" s="52" t="s">
        <v>207</v>
      </c>
      <c r="D123" s="52">
        <v>5</v>
      </c>
      <c r="E123" s="52">
        <v>31</v>
      </c>
      <c r="F123" s="52">
        <v>28</v>
      </c>
      <c r="G123" s="52">
        <v>3</v>
      </c>
      <c r="H123" s="54">
        <v>41777.03999999998</v>
      </c>
      <c r="I123" s="52">
        <v>8071</v>
      </c>
      <c r="J123" s="55">
        <f t="shared" si="26"/>
      </c>
      <c r="K123" s="53">
        <v>34676.45</v>
      </c>
      <c r="L123" s="56">
        <f t="shared" si="34"/>
      </c>
      <c r="M123" s="52">
        <v>3251.52</v>
      </c>
      <c r="N123" s="56">
        <f t="shared" si="33"/>
      </c>
      <c r="O123" s="56">
        <f t="shared" si="32"/>
      </c>
      <c r="P123" s="56">
        <f t="shared" si="31"/>
      </c>
      <c r="Q123" s="52" t="s">
        <v>208</v>
      </c>
      <c r="R123" s="52">
        <v>10</v>
      </c>
      <c r="S123" s="57"/>
      <c r="T123" s="52"/>
    </row>
    <row r="124">
      <c r="A124" s="58" t="s">
        <v>221</v>
      </c>
      <c r="B124" s="59"/>
      <c r="C124" s="59"/>
      <c r="D124" s="60">
        <f>SUM(D119:D123)</f>
      </c>
      <c r="E124" s="60">
        <f>SUM(E119:E123)</f>
      </c>
      <c r="F124" s="60">
        <f>SUM(F119:F123)</f>
      </c>
      <c r="G124" s="60">
        <f>SUM(G119:G123)</f>
      </c>
      <c r="H124" s="60">
        <f>SUM(H119:H123)</f>
      </c>
      <c r="I124" s="60">
        <f>SUM(I119:I123)</f>
      </c>
      <c r="J124" s="60">
        <f>SUM(J119:J123)</f>
      </c>
      <c r="K124" s="60">
        <f>SUM(K119:K123)</f>
      </c>
      <c r="L124" s="61">
        <f t="shared" si="34"/>
      </c>
      <c r="M124" s="60">
        <f>SUM(M119:M123)</f>
      </c>
      <c r="N124" s="62">
        <f t="shared" si="33"/>
      </c>
      <c r="O124" s="61">
        <f t="shared" si="32"/>
      </c>
      <c r="P124" s="61">
        <f t="shared" si="31"/>
      </c>
      <c r="Q124" s="59"/>
      <c r="R124" s="60">
        <f>SUM(R119:R123)</f>
      </c>
      <c r="S124" s="59"/>
      <c r="T124" s="60">
        <f>SUM(T119:T123)</f>
      </c>
    </row>
    <row r="125">
      <c r="A125" s="52" t="s">
        <v>222</v>
      </c>
      <c r="B125" s="52" t="s">
        <v>156</v>
      </c>
      <c r="C125" s="52" t="s">
        <v>202</v>
      </c>
      <c r="D125" s="52">
        <v>5</v>
      </c>
      <c r="E125" s="52">
        <v>32</v>
      </c>
      <c r="F125" s="52">
        <v>27</v>
      </c>
      <c r="G125" s="52">
        <v>3</v>
      </c>
      <c r="H125" s="52">
        <v>62031</v>
      </c>
      <c r="I125" s="52">
        <v>2260</v>
      </c>
      <c r="J125" s="55">
        <f t="shared" ref="J125:J129" si="27">H125+I125</f>
      </c>
      <c r="K125" s="52">
        <v>38992.62</v>
      </c>
      <c r="L125" s="56">
        <f t="shared" si="34"/>
      </c>
      <c r="M125" s="52">
        <v>4629.72</v>
      </c>
      <c r="N125" s="56">
        <f t="shared" si="33"/>
      </c>
      <c r="O125" s="56">
        <f t="shared" si="32"/>
      </c>
      <c r="P125" s="56">
        <f t="shared" si="31"/>
      </c>
      <c r="Q125" s="52"/>
      <c r="R125" s="52"/>
      <c r="S125" s="57" t="s">
        <v>159</v>
      </c>
      <c r="T125" s="52">
        <v>20</v>
      </c>
    </row>
    <row r="126">
      <c r="A126" s="52" t="s">
        <v>222</v>
      </c>
      <c r="B126" s="52" t="s">
        <v>176</v>
      </c>
      <c r="C126" s="52" t="s">
        <v>211</v>
      </c>
      <c r="D126" s="52">
        <v>5</v>
      </c>
      <c r="E126" s="52">
        <v>23</v>
      </c>
      <c r="F126" s="52">
        <v>18</v>
      </c>
      <c r="G126" s="52">
        <v>1</v>
      </c>
      <c r="H126" s="66">
        <v>32938.92</v>
      </c>
      <c r="I126" s="52">
        <v>4876.55</v>
      </c>
      <c r="J126" s="55">
        <f t="shared" si="27"/>
      </c>
      <c r="K126" s="52">
        <v>29996.629999999997</v>
      </c>
      <c r="L126" s="56">
        <f t="shared" si="34"/>
      </c>
      <c r="M126" s="52">
        <v>10798.92</v>
      </c>
      <c r="N126" s="56">
        <f t="shared" si="33"/>
      </c>
      <c r="O126" s="56">
        <f t="shared" si="32"/>
      </c>
      <c r="P126" s="56">
        <f t="shared" si="31"/>
      </c>
      <c r="Q126" s="52"/>
      <c r="R126" s="52"/>
      <c r="S126" s="57"/>
      <c r="T126" s="52"/>
    </row>
    <row r="127">
      <c r="A127" s="52" t="s">
        <v>222</v>
      </c>
      <c r="B127" s="52" t="s">
        <v>197</v>
      </c>
      <c r="C127" s="52" t="s">
        <v>212</v>
      </c>
      <c r="D127" s="52">
        <v>2</v>
      </c>
      <c r="E127" s="52">
        <v>8</v>
      </c>
      <c r="F127" s="52">
        <v>8</v>
      </c>
      <c r="G127" s="52">
        <v>1</v>
      </c>
      <c r="H127" s="54">
        <v>13743.119999999995</v>
      </c>
      <c r="I127" s="52">
        <v>1203.999999999999</v>
      </c>
      <c r="J127" s="55">
        <f t="shared" si="27"/>
      </c>
      <c r="K127" s="53">
        <v>13021.939999999999</v>
      </c>
      <c r="L127" s="56">
        <f t="shared" si="34"/>
      </c>
      <c r="M127" s="52">
        <v>1480.68</v>
      </c>
      <c r="N127" s="56">
        <f t="shared" si="33"/>
      </c>
      <c r="O127" s="56">
        <f t="shared" si="32"/>
      </c>
      <c r="P127" s="56">
        <f t="shared" si="31"/>
      </c>
      <c r="Q127" s="52" t="s">
        <v>223</v>
      </c>
      <c r="R127" s="52">
        <v>10</v>
      </c>
      <c r="S127" s="57"/>
      <c r="T127" s="52"/>
    </row>
    <row r="128">
      <c r="A128" s="52" t="s">
        <v>222</v>
      </c>
      <c r="B128" s="67" t="s">
        <v>185</v>
      </c>
      <c r="C128" s="52" t="s">
        <v>213</v>
      </c>
      <c r="D128" s="52">
        <v>3</v>
      </c>
      <c r="E128" s="52">
        <v>17</v>
      </c>
      <c r="F128" s="52">
        <v>16</v>
      </c>
      <c r="G128" s="52">
        <v>2</v>
      </c>
      <c r="H128" s="54">
        <v>23081.639999999992</v>
      </c>
      <c r="I128" s="52">
        <v>2858.2000000000007</v>
      </c>
      <c r="J128" s="55">
        <f t="shared" si="27"/>
      </c>
      <c r="K128" s="53">
        <v>17986</v>
      </c>
      <c r="L128" s="56">
        <f t="shared" si="34"/>
      </c>
      <c r="M128" s="52">
        <v>1339.08</v>
      </c>
      <c r="N128" s="56">
        <f t="shared" si="33"/>
      </c>
      <c r="O128" s="56">
        <f t="shared" si="32"/>
      </c>
      <c r="P128" s="56">
        <f t="shared" si="31"/>
      </c>
      <c r="Q128" s="52"/>
      <c r="R128" s="52"/>
      <c r="S128" s="57"/>
      <c r="T128" s="52"/>
    </row>
    <row r="129">
      <c r="A129" s="52" t="s">
        <v>222</v>
      </c>
      <c r="B129" s="67" t="s">
        <v>160</v>
      </c>
      <c r="C129" s="52" t="s">
        <v>207</v>
      </c>
      <c r="D129" s="52">
        <v>5</v>
      </c>
      <c r="E129" s="52">
        <v>57</v>
      </c>
      <c r="F129" s="52">
        <v>44</v>
      </c>
      <c r="G129" s="52">
        <v>6</v>
      </c>
      <c r="H129" s="54">
        <v>107058.71999999999</v>
      </c>
      <c r="I129" s="52">
        <v>1066</v>
      </c>
      <c r="J129" s="55">
        <f t="shared" si="27"/>
      </c>
      <c r="K129" s="53">
        <v>47326.5</v>
      </c>
      <c r="L129" s="56">
        <f t="shared" si="34"/>
      </c>
      <c r="M129" s="52">
        <v>0</v>
      </c>
      <c r="N129" s="56">
        <f t="shared" si="33"/>
      </c>
      <c r="O129" s="56">
        <f t="shared" si="32"/>
      </c>
      <c r="P129" s="56">
        <f t="shared" si="31"/>
      </c>
      <c r="Q129" s="52" t="s">
        <v>208</v>
      </c>
      <c r="R129" s="52">
        <v>10</v>
      </c>
      <c r="S129" s="57"/>
      <c r="T129" s="52"/>
    </row>
    <row r="130">
      <c r="A130" s="58" t="s">
        <v>222</v>
      </c>
      <c r="B130" s="59"/>
      <c r="C130" s="59"/>
      <c r="D130" s="60">
        <f>SUM(D125:D129)</f>
      </c>
      <c r="E130" s="60">
        <f>SUM(E125:E129)</f>
      </c>
      <c r="F130" s="60">
        <f>SUM(F125:F129)</f>
      </c>
      <c r="G130" s="60">
        <f>SUM(G125:G129)</f>
      </c>
      <c r="H130" s="60">
        <f>SUM(H125:H129)</f>
      </c>
      <c r="I130" s="60">
        <f>SUM(I125:I129)</f>
      </c>
      <c r="J130" s="60">
        <f>SUM(J125:J129)</f>
      </c>
      <c r="K130" s="60">
        <f>SUM(K125:K129)</f>
      </c>
      <c r="L130" s="61">
        <f t="shared" si="34"/>
      </c>
      <c r="M130" s="60">
        <f>SUM(M125:M129)</f>
      </c>
      <c r="N130" s="62">
        <f t="shared" si="33"/>
      </c>
      <c r="O130" s="61">
        <f t="shared" si="32"/>
      </c>
      <c r="P130" s="61">
        <f t="shared" si="31"/>
      </c>
      <c r="Q130" s="59"/>
      <c r="R130" s="60">
        <f>SUM(R125:R129)</f>
      </c>
      <c r="S130" s="59"/>
      <c r="T130" s="60">
        <f>SUM(T125:T129)</f>
      </c>
    </row>
    <row r="131">
      <c r="A131" s="52" t="s">
        <v>224</v>
      </c>
      <c r="B131" s="52" t="s">
        <v>156</v>
      </c>
      <c r="C131" s="52" t="s">
        <v>202</v>
      </c>
      <c r="D131" s="52">
        <v>5</v>
      </c>
      <c r="E131" s="52">
        <v>57</v>
      </c>
      <c r="F131" s="52">
        <v>48</v>
      </c>
      <c r="G131" s="52">
        <v>6</v>
      </c>
      <c r="H131" s="52">
        <v>90106.2</v>
      </c>
      <c r="I131" s="52">
        <v>5693</v>
      </c>
      <c r="J131" s="55">
        <f t="shared" ref="J131:J135" si="28">H131+I131</f>
      </c>
      <c r="K131" s="52">
        <v>58818.8</v>
      </c>
      <c r="L131" s="56">
        <f t="shared" si="34"/>
      </c>
      <c r="M131" s="52">
        <v>21164.76</v>
      </c>
      <c r="N131" s="56">
        <f t="shared" si="33"/>
      </c>
      <c r="O131" s="56">
        <f t="shared" si="32"/>
      </c>
      <c r="P131" s="56">
        <f t="shared" si="31"/>
      </c>
      <c r="Q131" s="52"/>
      <c r="R131" s="52"/>
      <c r="S131" s="57" t="s">
        <v>159</v>
      </c>
      <c r="T131" s="52">
        <v>20</v>
      </c>
    </row>
    <row r="132">
      <c r="A132" s="52" t="s">
        <v>224</v>
      </c>
      <c r="B132" s="52" t="s">
        <v>160</v>
      </c>
      <c r="C132" s="52" t="s">
        <v>211</v>
      </c>
      <c r="D132" s="52">
        <v>5</v>
      </c>
      <c r="E132" s="52">
        <v>44</v>
      </c>
      <c r="F132" s="52">
        <v>36</v>
      </c>
      <c r="G132" s="52">
        <v>3</v>
      </c>
      <c r="H132" s="66">
        <v>66504.96</v>
      </c>
      <c r="I132" s="52">
        <v>10858</v>
      </c>
      <c r="J132" s="55">
        <f t="shared" si="28"/>
      </c>
      <c r="K132" s="52">
        <v>46742.15</v>
      </c>
      <c r="L132" s="56">
        <f t="shared" si="34"/>
      </c>
      <c r="M132" s="52">
        <v>5609.52</v>
      </c>
      <c r="N132" s="56">
        <f t="shared" si="33"/>
      </c>
      <c r="O132" s="56">
        <f t="shared" si="32"/>
      </c>
      <c r="P132" s="56">
        <f t="shared" si="31"/>
      </c>
      <c r="Q132" s="52"/>
      <c r="R132" s="52"/>
      <c r="S132" s="57"/>
      <c r="T132" s="52"/>
    </row>
    <row r="133">
      <c r="A133" s="52" t="s">
        <v>224</v>
      </c>
      <c r="B133" s="52" t="s">
        <v>197</v>
      </c>
      <c r="C133" s="52" t="s">
        <v>212</v>
      </c>
      <c r="D133" s="52">
        <v>2</v>
      </c>
      <c r="E133" s="52">
        <v>16</v>
      </c>
      <c r="F133" s="52">
        <v>11</v>
      </c>
      <c r="G133" s="52">
        <v>5</v>
      </c>
      <c r="H133" s="66">
        <v>30670.44</v>
      </c>
      <c r="I133" s="52">
        <v>3481.2</v>
      </c>
      <c r="J133" s="55">
        <f t="shared" si="28"/>
      </c>
      <c r="K133" s="52">
        <v>12620.48</v>
      </c>
      <c r="L133" s="56">
        <f t="shared" si="34"/>
      </c>
      <c r="M133" s="52">
        <v>2686.32</v>
      </c>
      <c r="N133" s="56">
        <f t="shared" si="33"/>
      </c>
      <c r="O133" s="56">
        <f t="shared" si="32"/>
      </c>
      <c r="P133" s="56">
        <f t="shared" si="31"/>
      </c>
      <c r="Q133" s="52" t="s">
        <v>223</v>
      </c>
      <c r="R133" s="52">
        <v>10</v>
      </c>
      <c r="S133" s="57"/>
      <c r="T133" s="52"/>
    </row>
    <row r="134">
      <c r="A134" s="52" t="s">
        <v>224</v>
      </c>
      <c r="B134" s="67" t="s">
        <v>182</v>
      </c>
      <c r="C134" s="52" t="s">
        <v>213</v>
      </c>
      <c r="D134" s="52">
        <v>3</v>
      </c>
      <c r="E134" s="52">
        <v>36</v>
      </c>
      <c r="F134" s="52">
        <v>28</v>
      </c>
      <c r="G134" s="52">
        <v>3</v>
      </c>
      <c r="H134" s="66">
        <v>46315.08</v>
      </c>
      <c r="I134" s="52">
        <v>5407.6</v>
      </c>
      <c r="J134" s="55">
        <f t="shared" si="28"/>
      </c>
      <c r="K134" s="52">
        <v>28727.47</v>
      </c>
      <c r="L134" s="56">
        <f t="shared" si="34"/>
      </c>
      <c r="M134" s="52">
        <v>3870.12</v>
      </c>
      <c r="N134" s="56">
        <f t="shared" si="33"/>
      </c>
      <c r="O134" s="56">
        <f t="shared" si="32"/>
      </c>
      <c r="P134" s="56">
        <f t="shared" si="31"/>
      </c>
      <c r="Q134" s="52"/>
      <c r="R134" s="52"/>
      <c r="S134" s="57"/>
      <c r="T134" s="52"/>
    </row>
    <row r="135">
      <c r="A135" s="52" t="s">
        <v>224</v>
      </c>
      <c r="B135" s="52" t="s">
        <v>176</v>
      </c>
      <c r="C135" s="52" t="s">
        <v>207</v>
      </c>
      <c r="D135" s="52">
        <v>5</v>
      </c>
      <c r="E135" s="52">
        <v>80</v>
      </c>
      <c r="F135" s="52">
        <v>72</v>
      </c>
      <c r="G135" s="52">
        <v>6</v>
      </c>
      <c r="H135" s="66">
        <v>121342.56</v>
      </c>
      <c r="I135" s="52">
        <v>21322</v>
      </c>
      <c r="J135" s="55">
        <f t="shared" si="28"/>
      </c>
      <c r="K135" s="52">
        <v>92509.5</v>
      </c>
      <c r="L135" s="56">
        <f t="shared" si="34"/>
      </c>
      <c r="M135" s="52">
        <v>4508.08</v>
      </c>
      <c r="N135" s="56">
        <f t="shared" si="33"/>
      </c>
      <c r="O135" s="56">
        <f t="shared" si="32"/>
      </c>
      <c r="P135" s="56">
        <f t="shared" si="31"/>
      </c>
      <c r="Q135" s="52" t="s">
        <v>225</v>
      </c>
      <c r="R135" s="52">
        <v>10</v>
      </c>
      <c r="S135" s="57"/>
      <c r="T135" s="52"/>
    </row>
    <row r="136">
      <c r="A136" s="58" t="s">
        <v>224</v>
      </c>
      <c r="B136" s="59"/>
      <c r="C136" s="59"/>
      <c r="D136" s="60">
        <f>SUM(D131:D135)</f>
      </c>
      <c r="E136" s="60">
        <f>SUM(E131:E135)</f>
      </c>
      <c r="F136" s="60">
        <f>SUM(F131:F135)</f>
      </c>
      <c r="G136" s="60">
        <f>SUM(G131:G135)</f>
      </c>
      <c r="H136" s="60">
        <f>SUM(H131:H135)</f>
      </c>
      <c r="I136" s="60">
        <f>SUM(I131:I135)</f>
      </c>
      <c r="J136" s="60">
        <f>SUM(J131:J135)</f>
      </c>
      <c r="K136" s="60">
        <f>SUM(K131:K135)</f>
      </c>
      <c r="L136" s="61">
        <f t="shared" si="34"/>
      </c>
      <c r="M136" s="60">
        <f>SUM(M131:M135)</f>
      </c>
      <c r="N136" s="62">
        <f t="shared" si="33"/>
      </c>
      <c r="O136" s="61">
        <f t="shared" si="32"/>
      </c>
      <c r="P136" s="61">
        <f t="shared" si="31"/>
      </c>
      <c r="Q136" s="59"/>
      <c r="R136" s="60">
        <f>SUM(R131:R135)</f>
      </c>
      <c r="S136" s="59"/>
      <c r="T136" s="60">
        <f>SUM(T131:T135)</f>
      </c>
    </row>
    <row r="137">
      <c r="A137" s="52" t="s">
        <v>226</v>
      </c>
      <c r="B137" s="52" t="s">
        <v>156</v>
      </c>
      <c r="C137" s="52" t="s">
        <v>202</v>
      </c>
      <c r="D137" s="52">
        <v>5</v>
      </c>
      <c r="E137" s="52">
        <v>55</v>
      </c>
      <c r="F137" s="52">
        <v>48</v>
      </c>
      <c r="G137" s="52">
        <v>11</v>
      </c>
      <c r="H137" s="52">
        <v>83999.4</v>
      </c>
      <c r="I137" s="52">
        <v>10953.25</v>
      </c>
      <c r="J137" s="55">
        <f t="shared" ref="J137:J140" si="29">H137+I137</f>
      </c>
      <c r="K137" s="52">
        <v>62939.7</v>
      </c>
      <c r="L137" s="56">
        <f t="shared" si="34"/>
      </c>
      <c r="M137" s="52">
        <v>25846.800000000003</v>
      </c>
      <c r="N137" s="56">
        <f t="shared" si="33"/>
      </c>
      <c r="O137" s="56">
        <f t="shared" si="32"/>
      </c>
      <c r="P137" s="56">
        <f t="shared" si="31"/>
      </c>
      <c r="Q137" s="52"/>
      <c r="R137" s="52"/>
      <c r="S137" s="57" t="s">
        <v>159</v>
      </c>
      <c r="T137" s="52">
        <v>20</v>
      </c>
    </row>
    <row r="138">
      <c r="A138" s="52" t="s">
        <v>226</v>
      </c>
      <c r="B138" s="65" t="s">
        <v>182</v>
      </c>
      <c r="C138" s="52" t="s">
        <v>211</v>
      </c>
      <c r="D138" s="52">
        <v>5</v>
      </c>
      <c r="E138" s="52">
        <v>49</v>
      </c>
      <c r="F138" s="52">
        <v>44</v>
      </c>
      <c r="G138" s="52">
        <v>3</v>
      </c>
      <c r="H138" s="66">
        <v>90044.40000000001</v>
      </c>
      <c r="I138" s="52">
        <v>3184</v>
      </c>
      <c r="J138" s="55">
        <f t="shared" si="29"/>
      </c>
      <c r="K138" s="52">
        <v>46154.44</v>
      </c>
      <c r="L138" s="56">
        <f t="shared" si="34"/>
      </c>
      <c r="M138" s="52">
        <v>18615.96</v>
      </c>
      <c r="N138" s="56">
        <f t="shared" si="33"/>
      </c>
      <c r="O138" s="56">
        <f t="shared" si="32"/>
      </c>
      <c r="P138" s="56">
        <f t="shared" si="31"/>
      </c>
      <c r="Q138" s="52" t="s">
        <v>223</v>
      </c>
      <c r="R138" s="52">
        <v>10</v>
      </c>
      <c r="S138" s="57"/>
      <c r="T138" s="52"/>
    </row>
    <row r="139">
      <c r="A139" s="52" t="s">
        <v>226</v>
      </c>
      <c r="B139" s="65" t="s">
        <v>197</v>
      </c>
      <c r="C139" s="52" t="s">
        <v>227</v>
      </c>
      <c r="D139" s="52">
        <v>5</v>
      </c>
      <c r="E139" s="52">
        <v>54</v>
      </c>
      <c r="F139" s="52">
        <v>46</v>
      </c>
      <c r="G139" s="52">
        <v>12</v>
      </c>
      <c r="H139" s="66">
        <v>93318.24</v>
      </c>
      <c r="I139" s="52">
        <v>13775</v>
      </c>
      <c r="J139" s="55">
        <f t="shared" si="29"/>
      </c>
      <c r="K139" s="52">
        <v>57963.530000000006</v>
      </c>
      <c r="L139" s="56">
        <f t="shared" si="34"/>
      </c>
      <c r="M139" s="52">
        <v>12384.6</v>
      </c>
      <c r="N139" s="56">
        <f t="shared" si="33"/>
      </c>
      <c r="O139" s="56">
        <f t="shared" si="32"/>
      </c>
      <c r="P139" s="56">
        <f t="shared" si="31"/>
      </c>
      <c r="Q139" s="52"/>
      <c r="R139" s="52"/>
      <c r="S139" s="57"/>
      <c r="T139" s="52"/>
    </row>
    <row r="140">
      <c r="A140" s="52" t="s">
        <v>226</v>
      </c>
      <c r="B140" s="52" t="s">
        <v>176</v>
      </c>
      <c r="C140" s="52" t="s">
        <v>207</v>
      </c>
      <c r="D140" s="52">
        <v>5</v>
      </c>
      <c r="E140" s="52">
        <v>38</v>
      </c>
      <c r="F140" s="52">
        <v>34</v>
      </c>
      <c r="G140" s="52">
        <v>5</v>
      </c>
      <c r="H140" s="66">
        <v>59150.64</v>
      </c>
      <c r="I140" s="52">
        <v>5250.25</v>
      </c>
      <c r="J140" s="55">
        <f t="shared" si="29"/>
      </c>
      <c r="K140" s="52">
        <v>53394.15000000001</v>
      </c>
      <c r="L140" s="56">
        <f t="shared" si="34"/>
      </c>
      <c r="M140" s="52">
        <v>1763.64</v>
      </c>
      <c r="N140" s="56">
        <f t="shared" si="33"/>
      </c>
      <c r="O140" s="56">
        <f t="shared" si="32"/>
      </c>
      <c r="P140" s="56">
        <f t="shared" si="31"/>
      </c>
      <c r="Q140" s="52" t="s">
        <v>208</v>
      </c>
      <c r="R140" s="52">
        <v>10</v>
      </c>
      <c r="S140" s="57"/>
      <c r="T140" s="52"/>
    </row>
    <row r="141">
      <c r="A141" s="58" t="s">
        <v>226</v>
      </c>
      <c r="B141" s="59"/>
      <c r="C141" s="59"/>
      <c r="D141" s="60">
        <f>SUM(D137:D140)</f>
      </c>
      <c r="E141" s="60">
        <f>SUM(E137:E140)</f>
      </c>
      <c r="F141" s="60">
        <f>SUM(F137:F140)</f>
      </c>
      <c r="G141" s="60">
        <f>SUM(G137:G140)</f>
      </c>
      <c r="H141" s="60">
        <f>SUM(H137:H140)</f>
      </c>
      <c r="I141" s="60">
        <f>SUM(I137:I140)</f>
      </c>
      <c r="J141" s="60">
        <f>SUM(J137:J140)</f>
      </c>
      <c r="K141" s="60">
        <f>SUM(K137:K140)</f>
      </c>
      <c r="L141" s="61">
        <f t="shared" si="34"/>
      </c>
      <c r="M141" s="60">
        <f>SUM(M137:M140)</f>
      </c>
      <c r="N141" s="62">
        <f t="shared" si="33"/>
      </c>
      <c r="O141" s="61">
        <f t="shared" si="32"/>
      </c>
      <c r="P141" s="61">
        <f t="shared" si="31"/>
      </c>
      <c r="Q141" s="59"/>
      <c r="R141" s="60">
        <f>SUM(R137:R140)</f>
      </c>
      <c r="S141" s="59"/>
      <c r="T141" s="60">
        <f>SUM(T137:T140)</f>
      </c>
    </row>
    <row r="142">
      <c r="A142" s="52" t="s">
        <v>228</v>
      </c>
      <c r="B142" s="52" t="s">
        <v>156</v>
      </c>
      <c r="C142" s="52" t="s">
        <v>202</v>
      </c>
      <c r="D142" s="68">
        <f>5-1.5</f>
      </c>
      <c r="E142" s="52">
        <v>16</v>
      </c>
      <c r="F142" s="52">
        <v>12</v>
      </c>
      <c r="G142" s="52">
        <v>1</v>
      </c>
      <c r="H142" s="52">
        <v>25148.760000000002</v>
      </c>
      <c r="I142" s="52">
        <v>2870</v>
      </c>
      <c r="J142" s="55">
        <f t="shared" ref="J142:J146" si="30">H142+I142</f>
      </c>
      <c r="K142" s="52">
        <v>24258.3</v>
      </c>
      <c r="L142" s="56">
        <f t="shared" si="34"/>
      </c>
      <c r="M142" s="52">
        <v>13090.560000000001</v>
      </c>
      <c r="N142" s="56">
        <f t="shared" si="33"/>
      </c>
      <c r="O142" s="56">
        <f t="shared" si="32"/>
      </c>
      <c r="P142" s="56">
        <f t="shared" si="31"/>
      </c>
      <c r="Q142" s="52"/>
      <c r="R142" s="52"/>
      <c r="S142" s="57" t="s">
        <v>159</v>
      </c>
      <c r="T142" s="52">
        <v>20</v>
      </c>
    </row>
    <row r="143">
      <c r="A143" s="52" t="s">
        <v>228</v>
      </c>
      <c r="B143" s="52" t="s">
        <v>160</v>
      </c>
      <c r="C143" s="52" t="s">
        <v>211</v>
      </c>
      <c r="D143" s="68">
        <f>5-0.5</f>
      </c>
      <c r="E143" s="52">
        <v>23</v>
      </c>
      <c r="F143" s="52">
        <v>20</v>
      </c>
      <c r="G143" s="52">
        <v>4</v>
      </c>
      <c r="H143" s="66">
        <v>38396.03999999999</v>
      </c>
      <c r="I143" s="52">
        <v>6992.950000000001</v>
      </c>
      <c r="J143" s="55">
        <f t="shared" si="30"/>
      </c>
      <c r="K143" s="52">
        <v>25180.64</v>
      </c>
      <c r="L143" s="56">
        <f t="shared" si="34"/>
      </c>
      <c r="M143" s="52">
        <v>14568.11</v>
      </c>
      <c r="N143" s="56">
        <f t="shared" si="33"/>
      </c>
      <c r="O143" s="56">
        <f t="shared" si="32"/>
      </c>
      <c r="P143" s="56">
        <f t="shared" si="31"/>
      </c>
      <c r="Q143" s="52"/>
      <c r="R143" s="52"/>
      <c r="S143" s="57"/>
      <c r="T143" s="52"/>
    </row>
    <row r="144">
      <c r="A144" s="52" t="s">
        <v>228</v>
      </c>
      <c r="B144" s="67" t="s">
        <v>185</v>
      </c>
      <c r="C144" s="52" t="s">
        <v>212</v>
      </c>
      <c r="D144" s="68">
        <f>2-0.25</f>
      </c>
      <c r="E144" s="52">
        <v>8</v>
      </c>
      <c r="F144" s="52">
        <v>6</v>
      </c>
      <c r="G144" s="52">
        <v>0</v>
      </c>
      <c r="H144" s="66">
        <v>7293.240000000009</v>
      </c>
      <c r="I144" s="52">
        <v>4643</v>
      </c>
      <c r="J144" s="55">
        <f t="shared" si="30"/>
      </c>
      <c r="K144" s="52">
        <v>9347.58</v>
      </c>
      <c r="L144" s="56">
        <f t="shared" si="34"/>
      </c>
      <c r="M144" s="52">
        <v>2990.5200000000004</v>
      </c>
      <c r="N144" s="56">
        <f t="shared" si="33"/>
      </c>
      <c r="O144" s="56">
        <f t="shared" si="32"/>
      </c>
      <c r="P144" s="56">
        <f t="shared" si="31"/>
      </c>
      <c r="Q144" s="52" t="s">
        <v>223</v>
      </c>
      <c r="R144" s="52">
        <v>10</v>
      </c>
      <c r="S144" s="57"/>
      <c r="T144" s="52"/>
    </row>
    <row r="145">
      <c r="A145" s="52" t="s">
        <v>228</v>
      </c>
      <c r="B145" s="67" t="s">
        <v>182</v>
      </c>
      <c r="C145" s="52" t="s">
        <v>213</v>
      </c>
      <c r="D145" s="52">
        <v>3</v>
      </c>
      <c r="E145" s="52">
        <v>25</v>
      </c>
      <c r="F145" s="52">
        <v>22</v>
      </c>
      <c r="G145" s="52">
        <v>0</v>
      </c>
      <c r="H145" s="66">
        <v>41875.92000000001</v>
      </c>
      <c r="I145" s="52">
        <v>4769</v>
      </c>
      <c r="J145" s="55">
        <f t="shared" si="30"/>
      </c>
      <c r="K145" s="52">
        <v>23840.760000000002</v>
      </c>
      <c r="L145" s="56">
        <f t="shared" si="34"/>
      </c>
      <c r="M145" s="52">
        <v>9921.96</v>
      </c>
      <c r="N145" s="56">
        <f t="shared" si="33"/>
      </c>
      <c r="O145" s="56">
        <f t="shared" si="32"/>
      </c>
      <c r="P145" s="56">
        <f t="shared" si="31"/>
      </c>
      <c r="Q145" s="52"/>
      <c r="R145" s="52"/>
      <c r="S145" s="57"/>
      <c r="T145" s="52"/>
    </row>
    <row r="146">
      <c r="A146" s="52" t="s">
        <v>228</v>
      </c>
      <c r="B146" s="52" t="s">
        <v>176</v>
      </c>
      <c r="C146" s="52" t="s">
        <v>207</v>
      </c>
      <c r="D146" s="52">
        <v>5</v>
      </c>
      <c r="E146" s="52">
        <v>47</v>
      </c>
      <c r="F146" s="52">
        <v>40</v>
      </c>
      <c r="G146" s="52">
        <v>9</v>
      </c>
      <c r="H146" s="66">
        <v>78187.07999999999</v>
      </c>
      <c r="I146" s="52">
        <v>1530</v>
      </c>
      <c r="J146" s="55">
        <f t="shared" si="30"/>
      </c>
      <c r="K146" s="52">
        <v>42863.579999999994</v>
      </c>
      <c r="L146" s="56">
        <f t="shared" si="34"/>
      </c>
      <c r="M146" s="52">
        <v>10757.88</v>
      </c>
      <c r="N146" s="56">
        <f t="shared" si="33"/>
      </c>
      <c r="O146" s="56">
        <f t="shared" si="32"/>
      </c>
      <c r="P146" s="56">
        <f t="shared" si="31"/>
      </c>
      <c r="Q146" s="52" t="s">
        <v>208</v>
      </c>
      <c r="R146" s="52">
        <v>10</v>
      </c>
      <c r="S146" s="57"/>
      <c r="T146" s="52"/>
    </row>
    <row r="147">
      <c r="A147" s="58" t="s">
        <v>228</v>
      </c>
      <c r="B147" s="59"/>
      <c r="C147" s="59"/>
      <c r="D147" s="60">
        <f>SUM(D142:D146)</f>
      </c>
      <c r="E147" s="60">
        <f>SUM(E142:E146)</f>
      </c>
      <c r="F147" s="60">
        <f>SUM(F142:F146)</f>
      </c>
      <c r="G147" s="60">
        <f>SUM(G142:G146)</f>
      </c>
      <c r="H147" s="60">
        <f>SUM(H142:H146)</f>
      </c>
      <c r="I147" s="60">
        <f>SUM(I142:I146)</f>
      </c>
      <c r="J147" s="60">
        <f>SUM(J142:J146)</f>
      </c>
      <c r="K147" s="60">
        <f>SUM(K142:K146)</f>
      </c>
      <c r="L147" s="61">
        <f t="shared" si="34"/>
      </c>
      <c r="M147" s="60">
        <f>SUM(M142:M146)</f>
      </c>
      <c r="N147" s="62">
        <f t="shared" si="33"/>
      </c>
      <c r="O147" s="61">
        <f t="shared" si="32"/>
      </c>
      <c r="P147" s="61">
        <f t="shared" si="31"/>
      </c>
      <c r="Q147" s="59"/>
      <c r="R147" s="60">
        <f>SUM(R142:R146)</f>
      </c>
      <c r="S147" s="59"/>
      <c r="T147" s="60">
        <f>SUM(T142:T146)</f>
      </c>
    </row>
    <row r="148">
      <c r="D148" s="69">
        <v>150</v>
      </c>
      <c r="J148" s="70">
        <v>1450898.02</v>
      </c>
      <c r="K148">
        <v>938770.36</v>
      </c>
      <c r="L148">
        <f t="shared" si="34"/>
      </c>
      <c r="M148">
        <f>K148/D148</f>
      </c>
    </row>
    <row r="149">
      <c r="A149" s="71"/>
      <c r="B149" s="71"/>
      <c r="C149" s="71"/>
      <c r="D149" s="71"/>
      <c r="E149" s="71"/>
      <c r="F149" s="71"/>
    </row>
    <row r="150">
      <c r="A150" s="71"/>
      <c r="B150" s="71"/>
      <c r="C150" s="71"/>
      <c r="D150" s="71"/>
      <c r="E150" s="71"/>
      <c r="F150" s="71"/>
      <c r="G150" s="71"/>
    </row>
    <row r="151">
      <c r="A151" s="71"/>
      <c r="B151" s="71"/>
      <c r="C151" s="71"/>
      <c r="D151" s="71"/>
      <c r="E151" s="71"/>
      <c r="F151" s="71"/>
      <c r="G151" s="71"/>
    </row>
    <row r="152">
      <c r="A152" s="71"/>
      <c r="B152" s="71"/>
      <c r="C152" s="71"/>
      <c r="D152" s="71"/>
      <c r="E152" s="71"/>
      <c r="F152" s="71"/>
      <c r="G152" s="71"/>
    </row>
    <row r="153">
      <c r="A153" s="71"/>
      <c r="B153" s="71"/>
      <c r="C153" s="71"/>
      <c r="D153" s="71"/>
      <c r="E153" s="71"/>
      <c r="F153" s="71"/>
      <c r="G153" s="71"/>
    </row>
    <row r="154">
      <c r="A154" s="71"/>
      <c r="B154" s="71"/>
      <c r="C154" s="71"/>
      <c r="D154" s="71"/>
      <c r="E154" s="71"/>
      <c r="F154" s="71"/>
      <c r="G154" s="71"/>
    </row>
    <row r="155">
      <c r="A155" s="71"/>
      <c r="B155" s="71"/>
      <c r="C155" s="71"/>
      <c r="D155" s="71"/>
      <c r="E155" s="71"/>
      <c r="F155" s="71"/>
      <c r="G155" s="71"/>
    </row>
    <row r="156">
      <c r="A156" s="71"/>
      <c r="B156" s="71"/>
      <c r="C156" s="71"/>
      <c r="D156" s="71"/>
      <c r="E156" s="71"/>
      <c r="F156" s="71"/>
      <c r="G156" s="71"/>
    </row>
    <row r="157">
      <c r="A157" s="71"/>
      <c r="B157" s="71"/>
      <c r="C157" s="71"/>
      <c r="D157" s="71"/>
      <c r="E157" s="71"/>
      <c r="F157" s="71"/>
      <c r="G157" s="71"/>
    </row>
    <row r="158">
      <c r="A158" s="71"/>
      <c r="B158" s="71"/>
      <c r="C158" s="71"/>
      <c r="D158" s="71"/>
      <c r="E158" s="71"/>
      <c r="F158" s="71"/>
      <c r="G158" s="71"/>
    </row>
    <row r="159">
      <c r="A159" s="71"/>
      <c r="B159" s="71"/>
      <c r="C159" s="71"/>
      <c r="D159" s="71"/>
      <c r="E159" s="71"/>
      <c r="F159" s="71"/>
      <c r="G159" s="71"/>
    </row>
    <row r="160">
      <c r="A160" s="71"/>
      <c r="B160" s="71"/>
      <c r="C160" s="71"/>
      <c r="D160" s="71"/>
      <c r="E160" s="71"/>
      <c r="F160" s="71"/>
      <c r="G160" s="71"/>
    </row>
    <row r="161">
      <c r="A161" s="71"/>
      <c r="B161" s="71"/>
      <c r="C161" s="71"/>
      <c r="D161" s="71"/>
      <c r="E161" s="71"/>
      <c r="F161" s="71"/>
      <c r="G161" s="71"/>
    </row>
    <row r="162">
      <c r="A162" s="71"/>
      <c r="B162" s="71"/>
      <c r="C162" s="71">
        <v>103832.91</v>
      </c>
      <c r="D162" s="71"/>
      <c r="E162" s="71"/>
      <c r="F162" s="71"/>
      <c r="G162" s="71"/>
    </row>
    <row r="163">
      <c r="A163" s="71"/>
      <c r="B163" s="71"/>
      <c r="C163" s="71">
        <v>870092.3999999999</v>
      </c>
      <c r="D163" s="71"/>
      <c r="E163" s="71"/>
      <c r="F163" s="71"/>
      <c r="G163" s="71"/>
    </row>
    <row r="164">
      <c r="A164" s="71"/>
      <c r="B164" s="71"/>
      <c r="C164" s="71">
        <v>3102200.91</v>
      </c>
      <c r="D164" s="71"/>
      <c r="E164" s="71"/>
      <c r="F164" s="71"/>
      <c r="G164" s="71"/>
    </row>
    <row r="165">
      <c r="A165" s="71"/>
      <c r="B165" s="71"/>
      <c r="C165" s="71"/>
      <c r="D165" s="71"/>
      <c r="E165" s="71"/>
      <c r="F165" s="71"/>
      <c r="G165" s="71"/>
    </row>
    <row r="166">
      <c r="A166" s="71"/>
      <c r="B166" s="71"/>
      <c r="C166" s="71"/>
      <c r="D166" s="71"/>
      <c r="E166" s="71"/>
      <c r="F166" s="71"/>
      <c r="G166" s="71"/>
    </row>
    <row r="167">
      <c r="A167" s="71"/>
      <c r="B167" s="71"/>
      <c r="C167" s="71"/>
      <c r="D167" s="71"/>
      <c r="E167" s="71"/>
      <c r="F167" s="71"/>
      <c r="G167" s="71"/>
    </row>
    <row r="168">
      <c r="A168" s="71"/>
      <c r="B168" s="71"/>
      <c r="C168" s="71"/>
      <c r="D168" s="71"/>
      <c r="E168" s="71"/>
      <c r="F168" s="71"/>
      <c r="G168" s="71"/>
    </row>
    <row r="169">
      <c r="A169" s="71"/>
      <c r="B169" s="71"/>
      <c r="C169" s="71"/>
      <c r="D169" s="71"/>
      <c r="E169" s="71"/>
      <c r="F169" s="71"/>
      <c r="G169" s="71"/>
    </row>
    <row r="170">
      <c r="A170" s="71"/>
      <c r="B170" s="71"/>
      <c r="C170" s="71"/>
      <c r="D170" s="71"/>
      <c r="E170" s="71"/>
      <c r="F170" s="71"/>
      <c r="G170" s="71"/>
    </row>
    <row r="171">
      <c r="A171" s="71"/>
      <c r="B171" s="71"/>
      <c r="C171" s="71"/>
      <c r="D171" s="71"/>
      <c r="E171" s="71"/>
      <c r="F171" s="71"/>
      <c r="G171" s="71"/>
    </row>
    <row r="172">
      <c r="A172" s="71"/>
      <c r="B172" s="71"/>
      <c r="C172" s="71"/>
      <c r="D172" s="71"/>
      <c r="E172" s="71"/>
      <c r="F172" s="71"/>
      <c r="G172" s="71"/>
    </row>
    <row r="173">
      <c r="A173" s="71"/>
      <c r="B173" s="71"/>
      <c r="C173" s="71"/>
      <c r="D173" s="71"/>
      <c r="E173" s="71"/>
      <c r="F173" s="71"/>
      <c r="G173" s="71"/>
    </row>
    <row r="174">
      <c r="A174" s="71"/>
      <c r="B174" s="71"/>
      <c r="C174" s="71"/>
      <c r="D174" s="71"/>
      <c r="E174" s="71"/>
      <c r="F174" s="71"/>
      <c r="G174" s="71"/>
    </row>
    <row r="175">
      <c r="A175" s="71"/>
      <c r="B175" s="71"/>
      <c r="C175" s="71"/>
      <c r="D175" s="71"/>
      <c r="E175" s="71"/>
      <c r="F175" s="71"/>
      <c r="G175" s="71"/>
    </row>
    <row r="176">
      <c r="A176" s="71"/>
      <c r="B176" s="71"/>
      <c r="C176" s="71"/>
      <c r="D176" s="71"/>
      <c r="E176" s="71"/>
      <c r="F176" s="71"/>
      <c r="G176" s="71"/>
    </row>
    <row r="177">
      <c r="A177" s="71"/>
      <c r="B177" s="71"/>
      <c r="C177" s="71"/>
      <c r="D177" s="71"/>
      <c r="E177" s="71"/>
      <c r="F177" s="71"/>
      <c r="G177" s="71"/>
    </row>
    <row r="178">
      <c r="A178" s="71"/>
      <c r="B178" s="71"/>
      <c r="C178" s="71"/>
      <c r="D178" s="71"/>
      <c r="E178" s="71"/>
      <c r="F178" s="71"/>
      <c r="G178" s="71"/>
    </row>
    <row r="179">
      <c r="A179" s="71"/>
      <c r="B179" s="71"/>
      <c r="C179" s="71"/>
      <c r="D179" s="71"/>
      <c r="E179" s="71"/>
      <c r="F179" s="71"/>
      <c r="G179" s="71"/>
    </row>
    <row r="180">
      <c r="A180" s="71"/>
      <c r="B180" s="71"/>
      <c r="C180" s="71"/>
      <c r="D180" s="71"/>
      <c r="E180" s="71"/>
      <c r="F180" s="71"/>
      <c r="G180" s="71"/>
    </row>
    <row r="181">
      <c r="A181" s="71"/>
      <c r="B181" s="71"/>
      <c r="C181" s="71"/>
      <c r="D181" s="71"/>
      <c r="E181" s="71"/>
      <c r="F181" s="71"/>
      <c r="G181" s="71"/>
    </row>
    <row r="182">
      <c r="A182" s="71"/>
      <c r="B182" s="71"/>
      <c r="C182" s="71"/>
      <c r="D182" s="71"/>
      <c r="E182" s="71"/>
      <c r="F182" s="71"/>
      <c r="G182" s="71"/>
    </row>
    <row r="183">
      <c r="A183" s="71"/>
      <c r="B183" s="71"/>
      <c r="C183" s="71"/>
      <c r="D183" s="71"/>
      <c r="E183" s="71"/>
      <c r="F183" s="71"/>
      <c r="G183" s="71"/>
    </row>
    <row r="184">
      <c r="A184" s="71"/>
      <c r="B184" s="71"/>
      <c r="C184" s="71"/>
      <c r="D184" s="71"/>
      <c r="E184" s="71"/>
      <c r="F184" s="71"/>
      <c r="G184" s="71"/>
    </row>
    <row r="185">
      <c r="A185" s="71"/>
      <c r="B185" s="71"/>
      <c r="C185" s="71"/>
      <c r="D185" s="71"/>
      <c r="E185" s="71"/>
      <c r="F185" s="71"/>
      <c r="G185" s="71"/>
    </row>
    <row r="186">
      <c r="A186" s="71"/>
      <c r="B186" s="71"/>
      <c r="C186" s="71"/>
      <c r="D186" s="71"/>
      <c r="E186" s="71"/>
      <c r="F186" s="71"/>
      <c r="G186" s="71"/>
    </row>
    <row r="187">
      <c r="A187" s="71"/>
      <c r="B187" s="71"/>
      <c r="C187" s="71"/>
      <c r="D187" s="71"/>
      <c r="E187" s="71"/>
      <c r="F187" s="71"/>
      <c r="G187" s="71"/>
    </row>
    <row r="188">
      <c r="A188" s="71"/>
      <c r="B188" s="71"/>
      <c r="C188" s="71"/>
      <c r="D188" s="71"/>
      <c r="E188" s="71"/>
      <c r="F188" s="71"/>
      <c r="G188" s="71"/>
    </row>
    <row r="189">
      <c r="A189" s="71"/>
      <c r="B189" s="71"/>
      <c r="C189" s="71"/>
      <c r="D189" s="71"/>
      <c r="E189" s="71"/>
      <c r="F189" s="71"/>
      <c r="G189" s="71"/>
    </row>
    <row r="190">
      <c r="A190" s="71"/>
      <c r="B190" s="71"/>
      <c r="C190" s="71"/>
      <c r="D190" s="71"/>
      <c r="E190" s="71"/>
      <c r="F190" s="71"/>
      <c r="G190" s="71"/>
    </row>
    <row r="191">
      <c r="A191" s="71"/>
      <c r="B191" s="71"/>
      <c r="C191" s="71"/>
      <c r="D191" s="71"/>
      <c r="E191" s="71"/>
      <c r="F191" s="71"/>
      <c r="G191" s="71"/>
    </row>
    <row r="192">
      <c r="A192" s="71"/>
      <c r="B192" s="71"/>
      <c r="C192" s="71"/>
      <c r="D192" s="71"/>
      <c r="E192" s="71"/>
      <c r="F192" s="71"/>
      <c r="G192" s="71"/>
    </row>
    <row r="193">
      <c r="A193" s="71"/>
      <c r="B193" s="71"/>
      <c r="C193" s="71"/>
      <c r="D193" s="71"/>
      <c r="E193" s="71"/>
      <c r="F193" s="71"/>
      <c r="G193" s="71"/>
    </row>
    <row r="194">
      <c r="A194" s="71"/>
      <c r="B194" s="71"/>
      <c r="C194" s="71"/>
      <c r="D194" s="71"/>
      <c r="E194" s="71"/>
      <c r="F194" s="71"/>
      <c r="G194" s="71"/>
    </row>
    <row r="195">
      <c r="A195" s="71"/>
      <c r="B195" s="71"/>
      <c r="C195" s="71"/>
      <c r="D195" s="71"/>
      <c r="E195" s="71"/>
      <c r="F195" s="71"/>
    </row>
  </sheetData>
  <autoFilter ref="A1:T148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customHeight="true" ht="16.666666666666668" r="1">
      <c r="A1" s="72" t="s">
        <v>229</v>
      </c>
      <c r="B1" s="72" t="s">
        <v>230</v>
      </c>
      <c r="C1" s="72" t="s">
        <v>231</v>
      </c>
      <c r="D1" s="72" t="s">
        <v>232</v>
      </c>
      <c r="E1" s="72" t="s">
        <v>233</v>
      </c>
      <c r="F1" s="72" t="s">
        <v>234</v>
      </c>
      <c r="G1" s="72" t="s">
        <v>235</v>
      </c>
      <c r="H1" s="72" t="s">
        <v>236</v>
      </c>
      <c r="I1" s="72" t="s">
        <v>237</v>
      </c>
      <c r="J1" s="73" t="s">
        <v>238</v>
      </c>
      <c r="K1" s="73" t="s">
        <v>239</v>
      </c>
      <c r="L1" s="74" t="s">
        <v>240</v>
      </c>
      <c r="M1" s="73" t="s">
        <v>241</v>
      </c>
      <c r="N1" s="74" t="s">
        <v>242</v>
      </c>
      <c r="O1" s="74" t="s">
        <v>243</v>
      </c>
      <c r="P1" s="74" t="s">
        <v>244</v>
      </c>
      <c r="Q1" s="72" t="s">
        <v>245</v>
      </c>
      <c r="R1" s="72" t="s">
        <v>246</v>
      </c>
      <c r="S1" s="75" t="s">
        <v>247</v>
      </c>
      <c r="T1" s="72" t="s">
        <v>248</v>
      </c>
    </row>
    <row r="2">
      <c r="A2" s="76" t="s">
        <v>249</v>
      </c>
      <c r="B2" s="77" t="s">
        <v>250</v>
      </c>
      <c r="C2" s="76" t="s">
        <v>251</v>
      </c>
      <c r="D2" s="76">
        <v>5</v>
      </c>
      <c r="E2" s="76">
        <v>6</v>
      </c>
      <c r="F2" s="76">
        <v>5</v>
      </c>
      <c r="G2" s="76">
        <v>0</v>
      </c>
      <c r="H2" s="76">
        <v>4641.56</v>
      </c>
      <c r="I2" s="76">
        <v>1907</v>
      </c>
      <c r="J2" s="78">
        <v>6548.56</v>
      </c>
      <c r="K2" s="76">
        <v>21938.43</v>
      </c>
      <c r="L2" s="79">
        <f t="shared" ref="L2:L73" si="4">J2/K2</f>
      </c>
      <c r="M2" s="76">
        <v>0</v>
      </c>
      <c r="N2" s="79">
        <f t="shared" ref="N2:N73" si="0">(J2-M2)/K2</f>
      </c>
      <c r="O2" s="79">
        <f t="shared" ref="O2:O73" si="6">J2/E2</f>
      </c>
      <c r="P2" s="79">
        <f t="shared" ref="P2:P73" si="2">K2/E2</f>
      </c>
      <c r="Q2" s="76" t="s">
        <v>252</v>
      </c>
      <c r="R2" s="76">
        <v>5</v>
      </c>
      <c r="S2" s="80" t="s">
        <v>253</v>
      </c>
      <c r="T2" s="76">
        <v>5</v>
      </c>
    </row>
    <row r="3">
      <c r="A3" s="81" t="s">
        <v>249</v>
      </c>
      <c r="B3" s="82"/>
      <c r="C3" s="82"/>
      <c r="D3" s="83">
        <f>SUM(D2)</f>
      </c>
      <c r="E3" s="83">
        <f>SUM(E2)</f>
      </c>
      <c r="F3" s="83">
        <f>SUM(F2)</f>
      </c>
      <c r="G3" s="83">
        <f>SUM(G2)</f>
      </c>
      <c r="H3" s="83">
        <f>SUM(H2)</f>
      </c>
      <c r="I3" s="83">
        <f>SUM(I2)</f>
      </c>
      <c r="J3" s="83">
        <f>SUM(J2)</f>
      </c>
      <c r="K3" s="83">
        <f>SUM(K2)</f>
      </c>
      <c r="L3" s="84">
        <f t="shared" si="4"/>
      </c>
      <c r="M3" s="83">
        <f>SUM(M2)</f>
      </c>
      <c r="N3" s="85">
        <f t="shared" si="0"/>
      </c>
      <c r="O3" s="84">
        <f t="shared" si="6"/>
      </c>
      <c r="P3" s="84">
        <f t="shared" si="2"/>
      </c>
      <c r="Q3" s="82"/>
      <c r="R3" s="83">
        <f>SUM(R2)</f>
      </c>
      <c r="S3" s="82"/>
      <c r="T3" s="83">
        <f>SUM(T2)</f>
      </c>
    </row>
    <row r="4">
      <c r="A4" s="76" t="s">
        <v>254</v>
      </c>
      <c r="B4" s="77" t="s">
        <v>250</v>
      </c>
      <c r="C4" s="76" t="s">
        <v>251</v>
      </c>
      <c r="D4" s="76">
        <v>5</v>
      </c>
      <c r="E4" s="76">
        <v>14</v>
      </c>
      <c r="F4" s="76">
        <v>14</v>
      </c>
      <c r="G4" s="76">
        <v>0</v>
      </c>
      <c r="H4" s="76">
        <v>23149.68</v>
      </c>
      <c r="I4" s="76">
        <v>899</v>
      </c>
      <c r="J4" s="78">
        <v>24048.68</v>
      </c>
      <c r="K4" s="76">
        <v>22784.82</v>
      </c>
      <c r="L4" s="79">
        <f t="shared" si="4"/>
      </c>
      <c r="M4" s="76">
        <v>3881.52</v>
      </c>
      <c r="N4" s="79">
        <f t="shared" si="0"/>
      </c>
      <c r="O4" s="79">
        <f t="shared" si="6"/>
      </c>
      <c r="P4" s="79">
        <f t="shared" si="2"/>
      </c>
      <c r="Q4" s="76" t="s">
        <v>252</v>
      </c>
      <c r="R4" s="76">
        <v>5</v>
      </c>
      <c r="S4" s="80" t="s">
        <v>253</v>
      </c>
      <c r="T4" s="76">
        <v>5</v>
      </c>
    </row>
    <row customHeight="true" ht="14.880952380952381" r="5">
      <c r="A5" s="81" t="s">
        <v>254</v>
      </c>
      <c r="B5" s="82"/>
      <c r="C5" s="82"/>
      <c r="D5" s="83">
        <f>SUM(D4)</f>
      </c>
      <c r="E5" s="83">
        <f>SUM(E4)</f>
      </c>
      <c r="F5" s="83">
        <f>SUM(F4)</f>
      </c>
      <c r="G5" s="83">
        <f>SUM(G4)</f>
      </c>
      <c r="H5" s="83">
        <f>SUM(H4)</f>
      </c>
      <c r="I5" s="83">
        <f>SUM(I4)</f>
      </c>
      <c r="J5" s="83">
        <f>SUM(J4)</f>
      </c>
      <c r="K5" s="83">
        <f>SUM(K4)</f>
      </c>
      <c r="L5" s="84">
        <f t="shared" si="4"/>
      </c>
      <c r="M5" s="83">
        <f>SUM(M4)</f>
      </c>
      <c r="N5" s="85">
        <f t="shared" si="0"/>
      </c>
      <c r="O5" s="84">
        <f t="shared" si="6"/>
      </c>
      <c r="P5" s="84">
        <f t="shared" si="2"/>
      </c>
      <c r="Q5" s="82"/>
      <c r="R5" s="83">
        <f>SUM(R4)</f>
      </c>
      <c r="S5" s="82"/>
      <c r="T5" s="83">
        <f>SUM(T4)</f>
      </c>
    </row>
    <row r="6">
      <c r="A6" s="76" t="s">
        <v>255</v>
      </c>
      <c r="B6" s="77" t="s">
        <v>250</v>
      </c>
      <c r="C6" s="76" t="s">
        <v>251</v>
      </c>
      <c r="D6" s="76">
        <v>5</v>
      </c>
      <c r="E6" s="76">
        <v>11</v>
      </c>
      <c r="F6" s="76">
        <v>11</v>
      </c>
      <c r="G6" s="76">
        <v>0</v>
      </c>
      <c r="H6" s="76">
        <v>14026.44</v>
      </c>
      <c r="I6" s="76">
        <v>0</v>
      </c>
      <c r="J6" s="78">
        <v>14026.44</v>
      </c>
      <c r="K6" s="76">
        <v>17415.63</v>
      </c>
      <c r="L6" s="79">
        <f t="shared" si="4"/>
      </c>
      <c r="M6" s="76">
        <v>0</v>
      </c>
      <c r="N6" s="79">
        <f t="shared" si="0"/>
      </c>
      <c r="O6" s="79">
        <f t="shared" si="6"/>
      </c>
      <c r="P6" s="79">
        <f t="shared" si="2"/>
      </c>
      <c r="Q6" s="76" t="s">
        <v>252</v>
      </c>
      <c r="R6" s="76">
        <v>5</v>
      </c>
      <c r="S6" s="80" t="s">
        <v>253</v>
      </c>
      <c r="T6" s="76">
        <v>5</v>
      </c>
    </row>
    <row r="7">
      <c r="A7" s="81" t="s">
        <v>255</v>
      </c>
      <c r="B7" s="82"/>
      <c r="C7" s="82"/>
      <c r="D7" s="83">
        <f>SUM(D6)</f>
      </c>
      <c r="E7" s="83">
        <f>SUM(E6)</f>
      </c>
      <c r="F7" s="83">
        <f>SUM(F6)</f>
      </c>
      <c r="G7" s="83">
        <f>SUM(G6)</f>
      </c>
      <c r="H7" s="83">
        <f>SUM(H6)</f>
      </c>
      <c r="I7" s="83">
        <f>SUM(I6)</f>
      </c>
      <c r="J7" s="83">
        <f>SUM(J6)</f>
      </c>
      <c r="K7" s="83">
        <f>SUM(K6)</f>
      </c>
      <c r="L7" s="84">
        <f t="shared" si="4"/>
      </c>
      <c r="M7" s="83">
        <f>SUM(M6)</f>
      </c>
      <c r="N7" s="85">
        <f t="shared" si="0"/>
      </c>
      <c r="O7" s="84">
        <f t="shared" si="6"/>
      </c>
      <c r="P7" s="84">
        <f t="shared" si="2"/>
      </c>
      <c r="Q7" s="82"/>
      <c r="R7" s="83">
        <f>SUM(R6)</f>
      </c>
      <c r="S7" s="82"/>
      <c r="T7" s="83">
        <f>SUM(T6)</f>
      </c>
    </row>
    <row r="8">
      <c r="A8" s="76" t="s">
        <v>256</v>
      </c>
      <c r="B8" s="77" t="s">
        <v>250</v>
      </c>
      <c r="C8" s="76" t="s">
        <v>251</v>
      </c>
      <c r="D8" s="76">
        <v>5</v>
      </c>
      <c r="E8" s="76">
        <v>4</v>
      </c>
      <c r="F8" s="76">
        <v>4</v>
      </c>
      <c r="G8" s="76">
        <v>0</v>
      </c>
      <c r="H8" s="76">
        <v>8067.72</v>
      </c>
      <c r="I8" s="76">
        <v>0</v>
      </c>
      <c r="J8" s="78">
        <v>8067.72</v>
      </c>
      <c r="K8" s="76">
        <v>13258.77</v>
      </c>
      <c r="L8" s="79">
        <f t="shared" si="4"/>
      </c>
      <c r="M8" s="76">
        <v>1480.68</v>
      </c>
      <c r="N8" s="79">
        <f t="shared" si="0"/>
      </c>
      <c r="O8" s="79">
        <f t="shared" si="6"/>
      </c>
      <c r="P8" s="79">
        <f t="shared" si="2"/>
      </c>
      <c r="Q8" s="76" t="s">
        <v>252</v>
      </c>
      <c r="R8" s="76">
        <v>5</v>
      </c>
      <c r="S8" s="80" t="s">
        <v>253</v>
      </c>
      <c r="T8" s="76">
        <v>5</v>
      </c>
    </row>
    <row r="9">
      <c r="A9" s="81" t="s">
        <v>256</v>
      </c>
      <c r="B9" s="82"/>
      <c r="C9" s="82"/>
      <c r="D9" s="83">
        <f>SUM(D8)</f>
      </c>
      <c r="E9" s="83">
        <f>SUM(E8)</f>
      </c>
      <c r="F9" s="83">
        <f>SUM(F8)</f>
      </c>
      <c r="G9" s="83">
        <f>SUM(G8)</f>
      </c>
      <c r="H9" s="83">
        <f>SUM(H8)</f>
      </c>
      <c r="I9" s="83">
        <f>SUM(I8)</f>
      </c>
      <c r="J9" s="83">
        <f>SUM(J8)</f>
      </c>
      <c r="K9" s="83">
        <f>SUM(K8)</f>
      </c>
      <c r="L9" s="84">
        <f t="shared" si="4"/>
      </c>
      <c r="M9" s="83">
        <f>SUM(M8)</f>
      </c>
      <c r="N9" s="85">
        <f t="shared" si="0"/>
      </c>
      <c r="O9" s="84">
        <f t="shared" si="6"/>
      </c>
      <c r="P9" s="84">
        <f t="shared" si="2"/>
      </c>
      <c r="Q9" s="82"/>
      <c r="R9" s="83">
        <f>SUM(R8)</f>
      </c>
      <c r="S9" s="82"/>
      <c r="T9" s="83">
        <f>SUM(T8)</f>
      </c>
    </row>
    <row r="10">
      <c r="A10" s="76" t="s">
        <v>257</v>
      </c>
      <c r="B10" s="77" t="s">
        <v>250</v>
      </c>
      <c r="C10" s="76" t="s">
        <v>251</v>
      </c>
      <c r="D10" s="76">
        <v>5</v>
      </c>
      <c r="E10" s="76">
        <v>16</v>
      </c>
      <c r="F10" s="76">
        <v>16</v>
      </c>
      <c r="G10" s="76">
        <v>0</v>
      </c>
      <c r="H10" s="76">
        <v>31291.2</v>
      </c>
      <c r="I10" s="76">
        <v>0</v>
      </c>
      <c r="J10" s="78">
        <v>31291.2</v>
      </c>
      <c r="K10" s="76">
        <v>15600.86</v>
      </c>
      <c r="L10" s="79">
        <f t="shared" si="4"/>
      </c>
      <c r="M10" s="76">
        <v>4390.2</v>
      </c>
      <c r="N10" s="79">
        <f t="shared" si="0"/>
      </c>
      <c r="O10" s="79">
        <f t="shared" si="6"/>
      </c>
      <c r="P10" s="79">
        <f t="shared" si="2"/>
      </c>
      <c r="Q10" s="76" t="s">
        <v>252</v>
      </c>
      <c r="R10" s="76">
        <v>5</v>
      </c>
      <c r="S10" s="80" t="s">
        <v>253</v>
      </c>
      <c r="T10" s="76">
        <v>5</v>
      </c>
    </row>
    <row r="11">
      <c r="A11" s="81" t="s">
        <v>257</v>
      </c>
      <c r="B11" s="82"/>
      <c r="C11" s="82"/>
      <c r="D11" s="83">
        <f>SUM(D10)</f>
      </c>
      <c r="E11" s="83">
        <f>SUM(E10)</f>
      </c>
      <c r="F11" s="83">
        <f>SUM(F10)</f>
      </c>
      <c r="G11" s="83">
        <f>SUM(G10)</f>
      </c>
      <c r="H11" s="83">
        <f>SUM(H10)</f>
      </c>
      <c r="I11" s="83">
        <f>SUM(I10)</f>
      </c>
      <c r="J11" s="83">
        <f>SUM(J10)</f>
      </c>
      <c r="K11" s="83">
        <f>SUM(K10)</f>
      </c>
      <c r="L11" s="84">
        <f t="shared" si="4"/>
      </c>
      <c r="M11" s="83">
        <f>SUM(M10)</f>
      </c>
      <c r="N11" s="85">
        <f t="shared" si="0"/>
      </c>
      <c r="O11" s="84">
        <f t="shared" si="6"/>
      </c>
      <c r="P11" s="84">
        <f t="shared" si="2"/>
      </c>
      <c r="Q11" s="82"/>
      <c r="R11" s="83">
        <f>SUM(R10)</f>
      </c>
      <c r="S11" s="82"/>
      <c r="T11" s="83">
        <f>SUM(T10)</f>
      </c>
    </row>
    <row r="12">
      <c r="A12" s="76" t="s">
        <v>258</v>
      </c>
      <c r="B12" s="77" t="s">
        <v>250</v>
      </c>
      <c r="C12" s="76" t="s">
        <v>251</v>
      </c>
      <c r="D12" s="76">
        <v>5</v>
      </c>
      <c r="E12" s="76">
        <v>21</v>
      </c>
      <c r="F12" s="76">
        <v>19</v>
      </c>
      <c r="G12" s="76">
        <v>0</v>
      </c>
      <c r="H12" s="76">
        <v>38050.64</v>
      </c>
      <c r="I12" s="76">
        <v>0</v>
      </c>
      <c r="J12" s="78">
        <v>38050.64</v>
      </c>
      <c r="K12" s="76">
        <v>22236.24</v>
      </c>
      <c r="L12" s="79">
        <f t="shared" si="4"/>
      </c>
      <c r="M12" s="76">
        <v>11599.28</v>
      </c>
      <c r="N12" s="79">
        <f t="shared" si="0"/>
      </c>
      <c r="O12" s="79">
        <f t="shared" si="6"/>
      </c>
      <c r="P12" s="79">
        <f t="shared" si="2"/>
      </c>
      <c r="Q12" s="76" t="s">
        <v>252</v>
      </c>
      <c r="R12" s="76">
        <v>5</v>
      </c>
      <c r="S12" s="80" t="s">
        <v>253</v>
      </c>
      <c r="T12" s="76">
        <v>5</v>
      </c>
    </row>
    <row r="13">
      <c r="A13" s="81" t="s">
        <v>258</v>
      </c>
      <c r="B13" s="82"/>
      <c r="C13" s="82"/>
      <c r="D13" s="83">
        <f>SUM(D12)</f>
      </c>
      <c r="E13" s="83">
        <f>SUM(E12)</f>
      </c>
      <c r="F13" s="83">
        <f>SUM(F12)</f>
      </c>
      <c r="G13" s="83">
        <f>SUM(G12)</f>
      </c>
      <c r="H13" s="83">
        <f>SUM(H12)</f>
      </c>
      <c r="I13" s="83">
        <f>SUM(I12)</f>
      </c>
      <c r="J13" s="83">
        <f>SUM(J12)</f>
      </c>
      <c r="K13" s="83">
        <f>SUM(K12)</f>
      </c>
      <c r="L13" s="84">
        <f t="shared" si="4"/>
      </c>
      <c r="M13" s="83">
        <f>SUM(M12)</f>
      </c>
      <c r="N13" s="85">
        <f t="shared" si="0"/>
      </c>
      <c r="O13" s="84">
        <f t="shared" si="6"/>
      </c>
      <c r="P13" s="84">
        <f t="shared" si="2"/>
      </c>
      <c r="Q13" s="82"/>
      <c r="R13" s="83">
        <f>SUM(R12)</f>
      </c>
      <c r="S13" s="82"/>
      <c r="T13" s="83">
        <f>SUM(T12)</f>
      </c>
    </row>
    <row r="14">
      <c r="A14" s="76" t="s">
        <v>259</v>
      </c>
      <c r="B14" s="77" t="s">
        <v>250</v>
      </c>
      <c r="C14" s="76" t="s">
        <v>251</v>
      </c>
      <c r="D14" s="76">
        <v>5</v>
      </c>
      <c r="E14" s="76">
        <v>19</v>
      </c>
      <c r="F14" s="76">
        <v>17</v>
      </c>
      <c r="G14" s="76">
        <v>0</v>
      </c>
      <c r="H14" s="86">
        <v>33510.84</v>
      </c>
      <c r="I14" s="76">
        <v>0</v>
      </c>
      <c r="J14" s="78">
        <v>33510.84</v>
      </c>
      <c r="K14" s="76">
        <v>20718.92</v>
      </c>
      <c r="L14" s="79">
        <f t="shared" si="4"/>
      </c>
      <c r="M14" s="76">
        <v>8824.2</v>
      </c>
      <c r="N14" s="79">
        <f t="shared" si="0"/>
      </c>
      <c r="O14" s="79">
        <f t="shared" si="6"/>
      </c>
      <c r="P14" s="79">
        <f t="shared" si="2"/>
      </c>
      <c r="Q14" s="76" t="s">
        <v>252</v>
      </c>
      <c r="R14" s="76">
        <v>5</v>
      </c>
      <c r="S14" s="80" t="s">
        <v>253</v>
      </c>
      <c r="T14" s="76">
        <v>5</v>
      </c>
    </row>
    <row r="15">
      <c r="A15" s="81" t="s">
        <v>259</v>
      </c>
      <c r="B15" s="82"/>
      <c r="C15" s="82"/>
      <c r="D15" s="83">
        <f>SUM(D14)</f>
      </c>
      <c r="E15" s="83">
        <f>SUM(E14)</f>
      </c>
      <c r="F15" s="83">
        <f>SUM(F14)</f>
      </c>
      <c r="G15" s="83">
        <f>SUM(G14)</f>
      </c>
      <c r="H15" s="83">
        <f>SUM(H14)</f>
      </c>
      <c r="I15" s="83">
        <f>SUM(I14)</f>
      </c>
      <c r="J15" s="83">
        <f>SUM(J14)</f>
      </c>
      <c r="K15" s="83">
        <f>SUM(K14)</f>
      </c>
      <c r="L15" s="84">
        <f t="shared" si="4"/>
      </c>
      <c r="M15" s="83">
        <f>SUM(M14)</f>
      </c>
      <c r="N15" s="85">
        <f t="shared" si="0"/>
      </c>
      <c r="O15" s="84">
        <f t="shared" si="6"/>
      </c>
      <c r="P15" s="84">
        <f t="shared" si="2"/>
      </c>
      <c r="Q15" s="82"/>
      <c r="R15" s="83">
        <f>SUM(R14)</f>
      </c>
      <c r="S15" s="82"/>
      <c r="T15" s="83">
        <f>SUM(T14)</f>
      </c>
    </row>
    <row r="16">
      <c r="A16" s="76" t="s">
        <v>260</v>
      </c>
      <c r="B16" s="77" t="s">
        <v>250</v>
      </c>
      <c r="C16" s="76" t="s">
        <v>251</v>
      </c>
      <c r="D16" s="76">
        <v>5</v>
      </c>
      <c r="E16" s="76">
        <v>22</v>
      </c>
      <c r="F16" s="76">
        <v>16</v>
      </c>
      <c r="G16" s="76">
        <v>0</v>
      </c>
      <c r="H16" s="86">
        <v>39675.44</v>
      </c>
      <c r="I16" s="76">
        <v>0</v>
      </c>
      <c r="J16" s="78">
        <v>39675.44</v>
      </c>
      <c r="K16" s="76">
        <v>19633.46</v>
      </c>
      <c r="L16" s="79">
        <f t="shared" si="4"/>
      </c>
      <c r="M16" s="76">
        <v>4788.72</v>
      </c>
      <c r="N16" s="79">
        <f t="shared" si="0"/>
      </c>
      <c r="O16" s="79">
        <f t="shared" si="6"/>
      </c>
      <c r="P16" s="79">
        <f t="shared" si="2"/>
      </c>
      <c r="Q16" s="76" t="s">
        <v>252</v>
      </c>
      <c r="R16" s="76">
        <v>5</v>
      </c>
      <c r="S16" s="80" t="s">
        <v>253</v>
      </c>
      <c r="T16" s="76">
        <v>5</v>
      </c>
    </row>
    <row r="17">
      <c r="A17" s="81" t="s">
        <v>260</v>
      </c>
      <c r="B17" s="82"/>
      <c r="C17" s="82"/>
      <c r="D17" s="83">
        <f>SUM(D16)</f>
      </c>
      <c r="E17" s="83">
        <f>SUM(E16)</f>
      </c>
      <c r="F17" s="83">
        <f>SUM(F16)</f>
      </c>
      <c r="G17" s="83">
        <f>SUM(G16)</f>
      </c>
      <c r="H17" s="83">
        <f>SUM(H16)</f>
      </c>
      <c r="I17" s="83">
        <f>SUM(I16)</f>
      </c>
      <c r="J17" s="83">
        <f>SUM(J16)</f>
      </c>
      <c r="K17" s="83">
        <f>SUM(K16)</f>
      </c>
      <c r="L17" s="84">
        <f t="shared" si="4"/>
      </c>
      <c r="M17" s="83">
        <f>SUM(M16)</f>
      </c>
      <c r="N17" s="85">
        <f t="shared" si="0"/>
      </c>
      <c r="O17" s="84">
        <f t="shared" si="6"/>
      </c>
      <c r="P17" s="84">
        <f t="shared" si="2"/>
      </c>
      <c r="Q17" s="82"/>
      <c r="R17" s="83">
        <f>SUM(R16)</f>
      </c>
      <c r="S17" s="82"/>
      <c r="T17" s="83">
        <f>SUM(T16)</f>
      </c>
    </row>
    <row r="18">
      <c r="A18" s="76" t="s">
        <v>261</v>
      </c>
      <c r="B18" s="77" t="s">
        <v>250</v>
      </c>
      <c r="C18" s="76" t="s">
        <v>251</v>
      </c>
      <c r="D18" s="76">
        <v>5</v>
      </c>
      <c r="E18" s="76">
        <v>13</v>
      </c>
      <c r="F18" s="76">
        <v>12</v>
      </c>
      <c r="G18" s="76">
        <v>0</v>
      </c>
      <c r="H18" s="86">
        <v>27101.92</v>
      </c>
      <c r="I18" s="76">
        <v>0</v>
      </c>
      <c r="J18" s="78">
        <v>27101.92</v>
      </c>
      <c r="K18" s="76">
        <v>19019.28</v>
      </c>
      <c r="L18" s="79">
        <f t="shared" si="4"/>
      </c>
      <c r="M18" s="76">
        <v>5720.76</v>
      </c>
      <c r="N18" s="79">
        <f t="shared" si="0"/>
      </c>
      <c r="O18" s="79">
        <f t="shared" si="6"/>
      </c>
      <c r="P18" s="79">
        <f t="shared" si="2"/>
      </c>
      <c r="Q18" s="76" t="s">
        <v>252</v>
      </c>
      <c r="R18" s="76">
        <v>5</v>
      </c>
      <c r="S18" s="80" t="s">
        <v>253</v>
      </c>
      <c r="T18" s="76">
        <v>5</v>
      </c>
    </row>
    <row r="19">
      <c r="A19" s="81" t="s">
        <v>261</v>
      </c>
      <c r="B19" s="82"/>
      <c r="C19" s="82"/>
      <c r="D19" s="83">
        <f>SUM(D18)</f>
      </c>
      <c r="E19" s="83">
        <f>SUM(E18)</f>
      </c>
      <c r="F19" s="83">
        <f>SUM(F18)</f>
      </c>
      <c r="G19" s="83">
        <f>SUM(G18)</f>
      </c>
      <c r="H19" s="83">
        <f>SUM(H18)</f>
      </c>
      <c r="I19" s="83">
        <f>SUM(I18)</f>
      </c>
      <c r="J19" s="83">
        <f>SUM(J18)</f>
      </c>
      <c r="K19" s="83">
        <f>SUM(K18)</f>
      </c>
      <c r="L19" s="84">
        <f t="shared" si="4"/>
      </c>
      <c r="M19" s="83">
        <f>SUM(M18)</f>
      </c>
      <c r="N19" s="85">
        <f t="shared" si="0"/>
      </c>
      <c r="O19" s="84">
        <f t="shared" si="6"/>
      </c>
      <c r="P19" s="84">
        <f t="shared" si="2"/>
      </c>
      <c r="Q19" s="82"/>
      <c r="R19" s="83">
        <f>SUM(R18)</f>
      </c>
      <c r="S19" s="82"/>
      <c r="T19" s="83">
        <f>SUM(T18)</f>
      </c>
    </row>
    <row r="20">
      <c r="A20" s="76" t="s">
        <v>262</v>
      </c>
      <c r="B20" s="77" t="s">
        <v>250</v>
      </c>
      <c r="C20" s="76" t="s">
        <v>251</v>
      </c>
      <c r="D20" s="76">
        <v>5</v>
      </c>
      <c r="E20" s="76">
        <v>16</v>
      </c>
      <c r="F20" s="76">
        <v>14</v>
      </c>
      <c r="G20" s="76">
        <v>0</v>
      </c>
      <c r="H20" s="86">
        <v>30739.23</v>
      </c>
      <c r="I20" s="76">
        <v>0</v>
      </c>
      <c r="J20" s="78">
        <v>30739.23</v>
      </c>
      <c r="K20" s="76">
        <v>20456.42</v>
      </c>
      <c r="L20" s="79">
        <f t="shared" si="4"/>
      </c>
      <c r="M20" s="76">
        <v>0</v>
      </c>
      <c r="N20" s="79">
        <f t="shared" si="0"/>
      </c>
      <c r="O20" s="79">
        <f t="shared" si="6"/>
      </c>
      <c r="P20" s="79">
        <f t="shared" si="2"/>
      </c>
      <c r="Q20" s="76" t="s">
        <v>252</v>
      </c>
      <c r="R20" s="76">
        <v>5</v>
      </c>
      <c r="S20" s="80" t="s">
        <v>253</v>
      </c>
      <c r="T20" s="76">
        <v>5</v>
      </c>
    </row>
    <row r="21">
      <c r="A21" s="81" t="s">
        <v>262</v>
      </c>
      <c r="B21" s="82"/>
      <c r="C21" s="82"/>
      <c r="D21" s="83">
        <f>SUM(D20)</f>
      </c>
      <c r="E21" s="83">
        <f>SUM(E20)</f>
      </c>
      <c r="F21" s="83">
        <f>SUM(F20)</f>
      </c>
      <c r="G21" s="83">
        <f>SUM(G20)</f>
      </c>
      <c r="H21" s="83">
        <f>SUM(H20)</f>
      </c>
      <c r="I21" s="83">
        <f>SUM(I20)</f>
      </c>
      <c r="J21" s="83">
        <f>SUM(J20)</f>
      </c>
      <c r="K21" s="83">
        <f>SUM(K20)</f>
      </c>
      <c r="L21" s="84">
        <f t="shared" si="4"/>
      </c>
      <c r="M21" s="83">
        <f>SUM(M20)</f>
      </c>
      <c r="N21" s="85">
        <f t="shared" si="0"/>
      </c>
      <c r="O21" s="84">
        <f t="shared" si="6"/>
      </c>
      <c r="P21" s="84">
        <f t="shared" si="2"/>
      </c>
      <c r="Q21" s="82"/>
      <c r="R21" s="83">
        <f>SUM(R20)</f>
      </c>
      <c r="S21" s="82"/>
      <c r="T21" s="83">
        <f>SUM(T20)</f>
      </c>
    </row>
    <row r="22">
      <c r="A22" s="76" t="s">
        <v>263</v>
      </c>
      <c r="B22" s="77" t="s">
        <v>250</v>
      </c>
      <c r="C22" s="76" t="s">
        <v>251</v>
      </c>
      <c r="D22" s="76">
        <v>5</v>
      </c>
      <c r="E22" s="76">
        <v>22</v>
      </c>
      <c r="F22" s="76">
        <v>16</v>
      </c>
      <c r="G22" s="76">
        <v>0</v>
      </c>
      <c r="H22" s="86">
        <v>41837.04</v>
      </c>
      <c r="I22" s="76">
        <v>1598</v>
      </c>
      <c r="J22" s="78">
        <v>43435.04</v>
      </c>
      <c r="K22" s="76">
        <v>19309.05</v>
      </c>
      <c r="L22" s="79">
        <f t="shared" si="4"/>
      </c>
      <c r="M22" s="76">
        <v>0</v>
      </c>
      <c r="N22" s="79">
        <f t="shared" si="0"/>
      </c>
      <c r="O22" s="79">
        <f t="shared" si="6"/>
      </c>
      <c r="P22" s="79">
        <f t="shared" si="2"/>
      </c>
      <c r="Q22" s="76" t="s">
        <v>252</v>
      </c>
      <c r="R22" s="76">
        <v>5</v>
      </c>
      <c r="S22" s="80" t="s">
        <v>253</v>
      </c>
      <c r="T22" s="76">
        <v>5</v>
      </c>
    </row>
    <row r="23">
      <c r="A23" s="81" t="s">
        <v>263</v>
      </c>
      <c r="B23" s="82"/>
      <c r="C23" s="82"/>
      <c r="D23" s="83">
        <f>SUM(D22)</f>
      </c>
      <c r="E23" s="83">
        <f>SUM(E22)</f>
      </c>
      <c r="F23" s="83">
        <f>SUM(F22)</f>
      </c>
      <c r="G23" s="87">
        <v>0</v>
      </c>
      <c r="H23" s="83">
        <f>SUM(H22)</f>
      </c>
      <c r="I23" s="83">
        <f>SUM(I22)</f>
      </c>
      <c r="J23" s="83">
        <f>SUM(J22)</f>
      </c>
      <c r="K23" s="83">
        <f>SUM(K22)</f>
      </c>
      <c r="L23" s="84">
        <f t="shared" si="4"/>
      </c>
      <c r="M23" s="83">
        <f>SUM(M22)</f>
      </c>
      <c r="N23" s="85">
        <f t="shared" si="0"/>
      </c>
      <c r="O23" s="84">
        <f t="shared" si="6"/>
      </c>
      <c r="P23" s="84">
        <f t="shared" si="2"/>
      </c>
      <c r="Q23" s="82"/>
      <c r="R23" s="83">
        <f>SUM(R22)</f>
      </c>
      <c r="S23" s="82"/>
      <c r="T23" s="83">
        <f>SUM(T22)</f>
      </c>
    </row>
    <row r="24">
      <c r="A24" s="76" t="s">
        <v>264</v>
      </c>
      <c r="B24" s="77" t="s">
        <v>250</v>
      </c>
      <c r="C24" s="76" t="s">
        <v>251</v>
      </c>
      <c r="D24" s="76">
        <v>5</v>
      </c>
      <c r="E24" s="76">
        <v>26</v>
      </c>
      <c r="F24" s="76">
        <v>17</v>
      </c>
      <c r="G24" s="76">
        <v>0</v>
      </c>
      <c r="H24" s="86">
        <v>21543.24</v>
      </c>
      <c r="I24" s="76">
        <v>10260.25</v>
      </c>
      <c r="J24" s="78">
        <v>31803.49</v>
      </c>
      <c r="K24" s="76">
        <v>19760.42</v>
      </c>
      <c r="L24" s="79">
        <f t="shared" si="4"/>
      </c>
      <c r="M24" s="76">
        <v>2301</v>
      </c>
      <c r="N24" s="79">
        <f t="shared" si="0"/>
      </c>
      <c r="O24" s="79">
        <f t="shared" si="6"/>
      </c>
      <c r="P24" s="79">
        <f t="shared" si="2"/>
      </c>
      <c r="Q24" s="76" t="s">
        <v>252</v>
      </c>
      <c r="R24" s="76">
        <v>5</v>
      </c>
      <c r="S24" s="80" t="s">
        <v>253</v>
      </c>
      <c r="T24" s="76">
        <v>5</v>
      </c>
    </row>
    <row r="25">
      <c r="A25" s="81" t="s">
        <v>264</v>
      </c>
      <c r="B25" s="82"/>
      <c r="C25" s="82"/>
      <c r="D25" s="83">
        <f>SUM(D24)</f>
      </c>
      <c r="E25" s="83">
        <f>SUM(E24)</f>
      </c>
      <c r="F25" s="83">
        <f>SUM(F24)</f>
      </c>
      <c r="G25" s="87">
        <v>0</v>
      </c>
      <c r="H25" s="83">
        <f>SUM(H24)</f>
      </c>
      <c r="I25" s="83">
        <f>SUM(I24)</f>
      </c>
      <c r="J25" s="83">
        <f>SUM(J24)</f>
      </c>
      <c r="K25" s="83">
        <f>SUM(K24)</f>
      </c>
      <c r="L25" s="84">
        <f t="shared" si="4"/>
      </c>
      <c r="M25" s="83">
        <f>SUM(M24)</f>
      </c>
      <c r="N25" s="85">
        <f t="shared" si="0"/>
      </c>
      <c r="O25" s="84">
        <f t="shared" si="6"/>
      </c>
      <c r="P25" s="84">
        <f t="shared" si="2"/>
      </c>
      <c r="Q25" s="82"/>
      <c r="R25" s="83">
        <f>SUM(R24)</f>
      </c>
      <c r="S25" s="82"/>
      <c r="T25" s="83">
        <f>SUM(T24)</f>
      </c>
    </row>
    <row customHeight="true" ht="16.071428571428573" r="26">
      <c r="A26" s="76" t="s">
        <v>265</v>
      </c>
      <c r="B26" s="77" t="s">
        <v>250</v>
      </c>
      <c r="C26" s="76" t="s">
        <v>251</v>
      </c>
      <c r="D26" s="76">
        <v>5</v>
      </c>
      <c r="E26" s="76">
        <v>23</v>
      </c>
      <c r="F26" s="76">
        <v>16</v>
      </c>
      <c r="G26" s="76">
        <v>0</v>
      </c>
      <c r="H26" s="86">
        <v>38171.28</v>
      </c>
      <c r="I26" s="76">
        <v>28710.5</v>
      </c>
      <c r="J26" s="78">
        <v>66881.78</v>
      </c>
      <c r="K26" s="76">
        <v>21632.87</v>
      </c>
      <c r="L26" s="79">
        <f t="shared" si="4"/>
      </c>
      <c r="M26" s="76">
        <v>3831.84</v>
      </c>
      <c r="N26" s="79">
        <f t="shared" si="0"/>
      </c>
      <c r="O26" s="79">
        <f t="shared" si="6"/>
      </c>
      <c r="P26" s="79">
        <f t="shared" si="2"/>
      </c>
      <c r="Q26" s="76" t="s">
        <v>252</v>
      </c>
      <c r="R26" s="76">
        <v>5</v>
      </c>
      <c r="S26" s="80" t="s">
        <v>253</v>
      </c>
      <c r="T26" s="76">
        <v>5</v>
      </c>
    </row>
    <row customHeight="true" ht="16.071428571428573" r="27">
      <c r="A27" s="81" t="s">
        <v>265</v>
      </c>
      <c r="B27" s="82"/>
      <c r="C27" s="82"/>
      <c r="D27" s="83">
        <f>SUM(D26)</f>
      </c>
      <c r="E27" s="83">
        <f>SUM(E26)</f>
      </c>
      <c r="F27" s="83">
        <f>SUM(F26)</f>
      </c>
      <c r="G27" s="83">
        <f>SUM(G26)</f>
      </c>
      <c r="H27" s="83">
        <f>SUM(H26)</f>
      </c>
      <c r="I27" s="83">
        <f>SUM(I26)</f>
      </c>
      <c r="J27" s="83">
        <f>SUM(J26)</f>
      </c>
      <c r="K27" s="83">
        <f>SUM(K26)</f>
      </c>
      <c r="L27" s="84">
        <f t="shared" si="4"/>
      </c>
      <c r="M27" s="83">
        <f>SUM(M26)</f>
      </c>
      <c r="N27" s="85">
        <f t="shared" si="0"/>
      </c>
      <c r="O27" s="84">
        <f t="shared" si="6"/>
      </c>
      <c r="P27" s="84">
        <f t="shared" si="2"/>
      </c>
      <c r="Q27" s="82"/>
      <c r="R27" s="83">
        <f>SUM(R26)</f>
      </c>
      <c r="S27" s="82"/>
      <c r="T27" s="83">
        <f>SUM(T26)</f>
      </c>
    </row>
    <row customHeight="true" ht="16.071428571428573" r="28">
      <c r="A28" s="76" t="s">
        <v>266</v>
      </c>
      <c r="B28" s="77" t="s">
        <v>250</v>
      </c>
      <c r="C28" s="76" t="s">
        <v>251</v>
      </c>
      <c r="D28" s="76">
        <v>5</v>
      </c>
      <c r="E28" s="76">
        <v>15</v>
      </c>
      <c r="F28" s="76">
        <v>14</v>
      </c>
      <c r="G28" s="76">
        <v>0</v>
      </c>
      <c r="H28" s="86">
        <v>18200.16</v>
      </c>
      <c r="I28" s="76">
        <v>663</v>
      </c>
      <c r="J28" s="88">
        <f>H28+I28</f>
      </c>
      <c r="K28" s="76">
        <v>17313.28</v>
      </c>
      <c r="L28" s="79">
        <f t="shared" si="4"/>
      </c>
      <c r="M28" s="76">
        <v>3294</v>
      </c>
      <c r="N28" s="79">
        <f t="shared" si="0"/>
      </c>
      <c r="O28" s="79">
        <f t="shared" si="6"/>
      </c>
      <c r="P28" s="79">
        <f t="shared" si="2"/>
      </c>
      <c r="Q28" s="76" t="s">
        <v>267</v>
      </c>
      <c r="R28" s="76">
        <v>5</v>
      </c>
      <c r="S28" s="80" t="s">
        <v>253</v>
      </c>
      <c r="T28" s="76">
        <v>5</v>
      </c>
    </row>
    <row customHeight="true" ht="16.071428571428573" r="29">
      <c r="A29" s="81" t="s">
        <v>266</v>
      </c>
      <c r="B29" s="82"/>
      <c r="C29" s="82"/>
      <c r="D29" s="83">
        <f>SUM(D28)</f>
      </c>
      <c r="E29" s="83">
        <f>SUM(E28)</f>
      </c>
      <c r="F29" s="83">
        <f>SUM(F28)</f>
      </c>
      <c r="G29" s="83">
        <f>SUM(G28)</f>
      </c>
      <c r="H29" s="83">
        <f>SUM(H28)</f>
      </c>
      <c r="I29" s="83">
        <f>SUM(I28)</f>
      </c>
      <c r="J29" s="83">
        <f>SUM(J28)</f>
      </c>
      <c r="K29" s="83">
        <f>SUM(K28)</f>
      </c>
      <c r="L29" s="84">
        <f t="shared" si="4"/>
      </c>
      <c r="M29" s="83">
        <f>SUM(M28)</f>
      </c>
      <c r="N29" s="85">
        <f t="shared" si="0"/>
      </c>
      <c r="O29" s="84">
        <f t="shared" si="6"/>
      </c>
      <c r="P29" s="84">
        <f t="shared" si="2"/>
      </c>
      <c r="Q29" s="82"/>
      <c r="R29" s="83">
        <f>SUM(R28)</f>
      </c>
      <c r="S29" s="82"/>
      <c r="T29" s="83">
        <f>SUM(T28)</f>
      </c>
    </row>
    <row customHeight="true" ht="16.071428571428573" r="30">
      <c r="A30" s="76" t="s">
        <v>268</v>
      </c>
      <c r="B30" s="77" t="s">
        <v>250</v>
      </c>
      <c r="C30" s="77" t="s">
        <v>251</v>
      </c>
      <c r="D30" s="77">
        <v>5</v>
      </c>
      <c r="E30" s="76">
        <v>9</v>
      </c>
      <c r="F30" s="76">
        <v>8</v>
      </c>
      <c r="G30" s="76">
        <v>0</v>
      </c>
      <c r="H30" s="89">
        <v>9432.72</v>
      </c>
      <c r="I30" s="77">
        <v>1761</v>
      </c>
      <c r="J30" s="88">
        <f>H30+I30</f>
      </c>
      <c r="K30" s="77">
        <v>14807.730000000001</v>
      </c>
      <c r="L30" s="79">
        <f t="shared" si="4"/>
      </c>
      <c r="M30" s="77">
        <v>656</v>
      </c>
      <c r="N30" s="79">
        <f t="shared" si="0"/>
      </c>
      <c r="O30" s="79">
        <f t="shared" si="6"/>
      </c>
      <c r="P30" s="79">
        <f t="shared" si="2"/>
      </c>
      <c r="Q30" s="77" t="s">
        <v>267</v>
      </c>
      <c r="R30" s="77">
        <v>5</v>
      </c>
      <c r="S30" s="90" t="s">
        <v>253</v>
      </c>
      <c r="T30" s="77">
        <v>5</v>
      </c>
    </row>
    <row customHeight="true" ht="16.071428571428573" r="31">
      <c r="A31" s="81" t="s">
        <v>268</v>
      </c>
      <c r="B31" s="82"/>
      <c r="C31" s="82"/>
      <c r="D31" s="83">
        <f>SUM(D30)</f>
      </c>
      <c r="E31" s="83">
        <f>SUM(E30)</f>
      </c>
      <c r="F31" s="83">
        <f>SUM(F30)</f>
      </c>
      <c r="G31" s="83">
        <f>SUM(G30)</f>
      </c>
      <c r="H31" s="83">
        <f>SUM(H30)</f>
      </c>
      <c r="I31" s="83">
        <f>SUM(I30)</f>
      </c>
      <c r="J31" s="83">
        <f>SUM(J30)</f>
      </c>
      <c r="K31" s="83">
        <f>SUM(K30)</f>
      </c>
      <c r="L31" s="84">
        <f t="shared" si="4"/>
      </c>
      <c r="M31" s="83">
        <f>SUM(M30)</f>
      </c>
      <c r="N31" s="85">
        <f t="shared" si="0"/>
      </c>
      <c r="O31" s="84">
        <f t="shared" si="6"/>
      </c>
      <c r="P31" s="84">
        <f t="shared" si="2"/>
      </c>
      <c r="Q31" s="82"/>
      <c r="R31" s="83">
        <f>SUM(R30)</f>
      </c>
      <c r="S31" s="82"/>
      <c r="T31" s="83">
        <f>SUM(T30)</f>
      </c>
    </row>
    <row r="32">
      <c r="A32" s="76" t="s">
        <v>269</v>
      </c>
      <c r="B32" s="77" t="s">
        <v>250</v>
      </c>
      <c r="C32" s="77" t="s">
        <v>251</v>
      </c>
      <c r="D32" s="77">
        <v>5</v>
      </c>
      <c r="E32" s="76">
        <v>16</v>
      </c>
      <c r="F32" s="76">
        <v>13</v>
      </c>
      <c r="G32" s="76">
        <v>2</v>
      </c>
      <c r="H32" s="89">
        <v>20473.2</v>
      </c>
      <c r="I32" s="77">
        <v>6243.2</v>
      </c>
      <c r="J32" s="88">
        <f>H32+I32</f>
      </c>
      <c r="K32" s="77">
        <v>18410.59</v>
      </c>
      <c r="L32" s="79">
        <f t="shared" si="4"/>
      </c>
      <c r="M32" s="77">
        <v>2917.08</v>
      </c>
      <c r="N32" s="79">
        <f t="shared" si="0"/>
      </c>
      <c r="O32" s="79">
        <f t="shared" si="6"/>
      </c>
      <c r="P32" s="79">
        <f t="shared" si="2"/>
      </c>
      <c r="Q32" s="77" t="s">
        <v>267</v>
      </c>
      <c r="R32" s="77">
        <v>5</v>
      </c>
      <c r="S32" s="90" t="s">
        <v>253</v>
      </c>
      <c r="T32" s="77">
        <v>5</v>
      </c>
    </row>
    <row r="33">
      <c r="A33" s="81" t="s">
        <v>269</v>
      </c>
      <c r="B33" s="82"/>
      <c r="C33" s="82"/>
      <c r="D33" s="83">
        <f>SUM(D32)</f>
      </c>
      <c r="E33" s="83">
        <f>SUM(E32)</f>
      </c>
      <c r="F33" s="83">
        <f>SUM(F32)</f>
      </c>
      <c r="G33" s="83">
        <f>SUM(G32)</f>
      </c>
      <c r="H33" s="83">
        <f>SUM(H32)</f>
      </c>
      <c r="I33" s="83">
        <f>SUM(I32)</f>
      </c>
      <c r="J33" s="83">
        <f>SUM(J32)</f>
      </c>
      <c r="K33" s="83">
        <f>SUM(K32)</f>
      </c>
      <c r="L33" s="84">
        <f t="shared" si="4"/>
      </c>
      <c r="M33" s="83">
        <f>SUM(M32)</f>
      </c>
      <c r="N33" s="85">
        <f t="shared" si="0"/>
      </c>
      <c r="O33" s="84">
        <f t="shared" si="6"/>
      </c>
      <c r="P33" s="84">
        <f t="shared" si="2"/>
      </c>
      <c r="Q33" s="82"/>
      <c r="R33" s="83">
        <f>SUM(R32)</f>
      </c>
      <c r="S33" s="82"/>
      <c r="T33" s="83">
        <f>SUM(T32)</f>
      </c>
    </row>
    <row r="34">
      <c r="A34" s="76" t="s">
        <v>270</v>
      </c>
      <c r="B34" s="77" t="s">
        <v>250</v>
      </c>
      <c r="C34" s="76" t="s">
        <v>271</v>
      </c>
      <c r="D34" s="77">
        <v>5</v>
      </c>
      <c r="E34" s="76">
        <v>16</v>
      </c>
      <c r="F34" s="76">
        <v>13</v>
      </c>
      <c r="G34" s="76">
        <v>0</v>
      </c>
      <c r="H34" s="89">
        <v>29602.68</v>
      </c>
      <c r="I34" s="77">
        <v>1656</v>
      </c>
      <c r="J34" s="88">
        <f t="shared" ref="J34:J35" si="8">H34+I34</f>
      </c>
      <c r="K34" s="77">
        <v>18322.61</v>
      </c>
      <c r="L34" s="79">
        <f t="shared" si="4"/>
      </c>
      <c r="M34" s="77">
        <v>16869.6</v>
      </c>
      <c r="N34" s="79">
        <f t="shared" si="0"/>
      </c>
      <c r="O34" s="79">
        <f t="shared" si="6"/>
      </c>
      <c r="P34" s="79">
        <f t="shared" si="2"/>
      </c>
      <c r="Q34" s="76" t="s">
        <v>252</v>
      </c>
      <c r="R34" s="77">
        <v>5</v>
      </c>
      <c r="S34" s="90" t="s">
        <v>253</v>
      </c>
      <c r="T34" s="76">
        <v>10</v>
      </c>
    </row>
    <row customHeight="true" ht="16.666666666666668" r="35">
      <c r="A35" s="76" t="s">
        <v>270</v>
      </c>
      <c r="B35" s="76" t="s">
        <v>272</v>
      </c>
      <c r="C35" s="77" t="s">
        <v>251</v>
      </c>
      <c r="D35" s="77">
        <v>5</v>
      </c>
      <c r="E35" s="76">
        <v>30</v>
      </c>
      <c r="F35" s="76">
        <v>25</v>
      </c>
      <c r="G35" s="76">
        <v>6</v>
      </c>
      <c r="H35" s="89">
        <v>73002</v>
      </c>
      <c r="I35" s="77">
        <v>10567.7</v>
      </c>
      <c r="J35" s="88">
        <f t="shared" si="8"/>
      </c>
      <c r="K35" s="77">
        <v>33545.67</v>
      </c>
      <c r="L35" s="79">
        <f t="shared" si="4"/>
      </c>
      <c r="M35" s="77">
        <v>4116.96</v>
      </c>
      <c r="N35" s="79">
        <f t="shared" si="0"/>
      </c>
      <c r="O35" s="79">
        <f t="shared" si="6"/>
      </c>
      <c r="P35" s="79">
        <f t="shared" si="2"/>
      </c>
      <c r="Q35" s="77" t="s">
        <v>267</v>
      </c>
      <c r="R35" s="77">
        <v>5</v>
      </c>
      <c r="S35" s="90"/>
      <c r="T35" s="77"/>
    </row>
    <row r="36">
      <c r="A36" s="81" t="s">
        <v>270</v>
      </c>
      <c r="B36" s="82"/>
      <c r="C36" s="82"/>
      <c r="D36" s="87">
        <f>D34+D35</f>
      </c>
      <c r="E36" s="87">
        <f>E34+E35</f>
      </c>
      <c r="F36" s="87">
        <f>F34+F35</f>
      </c>
      <c r="G36" s="87">
        <f>G34+G35</f>
      </c>
      <c r="H36" s="87">
        <f>H34+H35</f>
      </c>
      <c r="I36" s="87">
        <f>I34+I35</f>
      </c>
      <c r="J36" s="87">
        <f>J34+J35</f>
      </c>
      <c r="K36" s="87">
        <f>K34+K35</f>
      </c>
      <c r="L36" s="84">
        <f t="shared" si="4"/>
      </c>
      <c r="M36" s="87">
        <f>M34+M35</f>
      </c>
      <c r="N36" s="85">
        <f t="shared" si="0"/>
      </c>
      <c r="O36" s="84">
        <f t="shared" si="6"/>
      </c>
      <c r="P36" s="84">
        <f t="shared" si="2"/>
      </c>
      <c r="Q36" s="82"/>
      <c r="R36" s="87">
        <f>R34+R35</f>
      </c>
      <c r="S36" s="82"/>
      <c r="T36" s="83">
        <f>SUM(T34)</f>
      </c>
    </row>
    <row r="37">
      <c r="A37" s="76" t="s">
        <v>273</v>
      </c>
      <c r="B37" s="77" t="s">
        <v>250</v>
      </c>
      <c r="C37" s="76" t="s">
        <v>271</v>
      </c>
      <c r="D37" s="77">
        <v>5</v>
      </c>
      <c r="E37" s="76">
        <v>28</v>
      </c>
      <c r="F37" s="76">
        <v>26</v>
      </c>
      <c r="G37" s="76">
        <v>0</v>
      </c>
      <c r="H37" s="89">
        <v>46497.96</v>
      </c>
      <c r="I37" s="77">
        <v>3611</v>
      </c>
      <c r="J37" s="78">
        <v>50108.96</v>
      </c>
      <c r="K37" s="77">
        <v>29072.700000000004</v>
      </c>
      <c r="L37" s="79">
        <f t="shared" si="4"/>
      </c>
      <c r="M37" s="77">
        <v>10640.16</v>
      </c>
      <c r="N37" s="79">
        <f t="shared" si="0"/>
      </c>
      <c r="O37" s="79">
        <f t="shared" si="6"/>
      </c>
      <c r="P37" s="79">
        <f t="shared" si="2"/>
      </c>
      <c r="Q37" s="76" t="s">
        <v>252</v>
      </c>
      <c r="R37" s="77">
        <v>5</v>
      </c>
      <c r="S37" s="90" t="s">
        <v>253</v>
      </c>
      <c r="T37" s="76">
        <v>10</v>
      </c>
    </row>
    <row r="38">
      <c r="A38" s="76" t="s">
        <v>273</v>
      </c>
      <c r="B38" s="76" t="s">
        <v>272</v>
      </c>
      <c r="C38" s="77" t="s">
        <v>251</v>
      </c>
      <c r="D38" s="77">
        <v>5</v>
      </c>
      <c r="E38" s="76">
        <v>27</v>
      </c>
      <c r="F38" s="76">
        <v>22</v>
      </c>
      <c r="G38" s="76">
        <v>3</v>
      </c>
      <c r="H38" s="89">
        <v>47573.159999999996</v>
      </c>
      <c r="I38" s="77">
        <v>3503.1499999999996</v>
      </c>
      <c r="J38" s="78">
        <v>51076.31</v>
      </c>
      <c r="K38" s="77">
        <v>38183.11</v>
      </c>
      <c r="L38" s="79">
        <f t="shared" si="4"/>
      </c>
      <c r="M38" s="77">
        <v>2142.7199999999993</v>
      </c>
      <c r="N38" s="79">
        <f t="shared" si="0"/>
      </c>
      <c r="O38" s="79">
        <f t="shared" si="6"/>
      </c>
      <c r="P38" s="79">
        <f t="shared" si="2"/>
      </c>
      <c r="Q38" s="77" t="s">
        <v>267</v>
      </c>
      <c r="R38" s="77">
        <v>5</v>
      </c>
      <c r="S38" s="90"/>
      <c r="T38" s="77"/>
    </row>
    <row r="39">
      <c r="A39" s="81" t="s">
        <v>273</v>
      </c>
      <c r="B39" s="82"/>
      <c r="C39" s="82"/>
      <c r="D39" s="87">
        <f>D37+D38</f>
      </c>
      <c r="E39" s="87">
        <f>E37+E38</f>
      </c>
      <c r="F39" s="87">
        <f>F37+F38</f>
      </c>
      <c r="G39" s="87">
        <f>G37+G38</f>
      </c>
      <c r="H39" s="87">
        <f>H37+H38</f>
      </c>
      <c r="I39" s="87">
        <f>I37+I38</f>
      </c>
      <c r="J39" s="87">
        <f>J37+J38</f>
      </c>
      <c r="K39" s="87">
        <f>K37+K38</f>
      </c>
      <c r="L39" s="84">
        <f t="shared" si="4"/>
      </c>
      <c r="M39" s="87">
        <f>M37+M38</f>
      </c>
      <c r="N39" s="85">
        <f t="shared" si="0"/>
      </c>
      <c r="O39" s="84">
        <f t="shared" si="6"/>
      </c>
      <c r="P39" s="84">
        <f t="shared" si="2"/>
      </c>
      <c r="Q39" s="82"/>
      <c r="R39" s="87">
        <f>R37+R38</f>
      </c>
      <c r="S39" s="82"/>
      <c r="T39" s="83">
        <f>SUM(T37)</f>
      </c>
    </row>
    <row customHeight="true" ht="16.666666666666668" r="40">
      <c r="A40" s="77" t="s">
        <v>274</v>
      </c>
      <c r="B40" s="77" t="s">
        <v>250</v>
      </c>
      <c r="C40" s="77" t="s">
        <v>271</v>
      </c>
      <c r="D40" s="77">
        <v>5</v>
      </c>
      <c r="E40" s="77">
        <v>14</v>
      </c>
      <c r="F40" s="77">
        <v>14</v>
      </c>
      <c r="G40" s="77">
        <v>0</v>
      </c>
      <c r="H40" s="89">
        <v>25635</v>
      </c>
      <c r="I40" s="77">
        <v>0</v>
      </c>
      <c r="J40" s="88">
        <v>25635</v>
      </c>
      <c r="K40" s="77">
        <v>23472.68</v>
      </c>
      <c r="L40" s="79">
        <f t="shared" si="4"/>
      </c>
      <c r="M40" s="77">
        <v>15754.08</v>
      </c>
      <c r="N40" s="79">
        <f t="shared" si="0"/>
      </c>
      <c r="O40" s="79">
        <f t="shared" si="6"/>
      </c>
      <c r="P40" s="79">
        <f t="shared" si="2"/>
      </c>
      <c r="Q40" s="77" t="s">
        <v>252</v>
      </c>
      <c r="R40" s="77">
        <v>5</v>
      </c>
      <c r="S40" s="90" t="s">
        <v>253</v>
      </c>
      <c r="T40" s="76">
        <v>10</v>
      </c>
    </row>
    <row customHeight="true" ht="16.666666666666668" r="41">
      <c r="A41" s="77" t="s">
        <v>274</v>
      </c>
      <c r="B41" s="77" t="s">
        <v>272</v>
      </c>
      <c r="C41" s="77" t="s">
        <v>251</v>
      </c>
      <c r="D41" s="77">
        <v>5</v>
      </c>
      <c r="E41" s="77">
        <v>12</v>
      </c>
      <c r="F41" s="77">
        <v>11</v>
      </c>
      <c r="G41" s="77">
        <v>2</v>
      </c>
      <c r="H41" s="89">
        <v>21845.160000000003</v>
      </c>
      <c r="I41" s="77">
        <v>603</v>
      </c>
      <c r="J41" s="88">
        <v>22448.160000000003</v>
      </c>
      <c r="K41" s="77">
        <v>20976.809999999998</v>
      </c>
      <c r="L41" s="79">
        <f t="shared" si="4"/>
      </c>
      <c r="M41" s="77">
        <v>1149.12</v>
      </c>
      <c r="N41" s="79">
        <f t="shared" si="0"/>
      </c>
      <c r="O41" s="79">
        <f t="shared" si="6"/>
      </c>
      <c r="P41" s="79">
        <f t="shared" si="2"/>
      </c>
      <c r="Q41" s="77" t="s">
        <v>267</v>
      </c>
      <c r="R41" s="77">
        <v>5</v>
      </c>
      <c r="S41" s="90"/>
      <c r="T41" s="77"/>
    </row>
    <row customHeight="true" ht="16.666666666666668" r="42">
      <c r="A42" s="91" t="s">
        <v>274</v>
      </c>
      <c r="B42" s="82"/>
      <c r="C42" s="82"/>
      <c r="D42" s="83">
        <f>D40+D41</f>
      </c>
      <c r="E42" s="83">
        <f>E40+E41</f>
      </c>
      <c r="F42" s="83">
        <f>F40+F41</f>
      </c>
      <c r="G42" s="83">
        <f>G40+G41</f>
      </c>
      <c r="H42" s="92">
        <f>H40+H41</f>
      </c>
      <c r="I42" s="83">
        <f>I40+I41</f>
      </c>
      <c r="J42" s="93">
        <f>J40+J41</f>
      </c>
      <c r="K42" s="83">
        <f>K40+K41</f>
      </c>
      <c r="L42" s="84">
        <f t="shared" si="4"/>
      </c>
      <c r="M42" s="83">
        <f>M40+M41</f>
      </c>
      <c r="N42" s="85">
        <f t="shared" si="0"/>
      </c>
      <c r="O42" s="84">
        <f t="shared" si="6"/>
      </c>
      <c r="P42" s="84">
        <f t="shared" si="2"/>
      </c>
      <c r="Q42" s="82"/>
      <c r="R42" s="87">
        <f>R40+R41</f>
      </c>
      <c r="S42" s="82"/>
      <c r="T42" s="83">
        <f>SUM(T40)</f>
      </c>
    </row>
    <row r="43">
      <c r="A43" s="76" t="s">
        <v>275</v>
      </c>
      <c r="B43" s="77" t="s">
        <v>250</v>
      </c>
      <c r="C43" s="76" t="s">
        <v>271</v>
      </c>
      <c r="D43" s="77">
        <v>5</v>
      </c>
      <c r="E43" s="76">
        <v>21</v>
      </c>
      <c r="F43" s="76">
        <v>19</v>
      </c>
      <c r="G43" s="76">
        <v>0</v>
      </c>
      <c r="H43" s="89">
        <v>32818.2</v>
      </c>
      <c r="I43" s="77">
        <v>1446.85</v>
      </c>
      <c r="J43" s="88">
        <f t="shared" ref="J43:J44" si="9">H43+I43</f>
      </c>
      <c r="K43" s="77">
        <v>22535.37</v>
      </c>
      <c r="L43" s="79">
        <f t="shared" si="4"/>
      </c>
      <c r="M43" s="77">
        <v>2761.21</v>
      </c>
      <c r="N43" s="79">
        <f t="shared" si="0"/>
      </c>
      <c r="O43" s="79">
        <f t="shared" si="6"/>
      </c>
      <c r="P43" s="79">
        <f t="shared" si="2"/>
      </c>
      <c r="Q43" s="76" t="s">
        <v>252</v>
      </c>
      <c r="R43" s="77">
        <v>5</v>
      </c>
      <c r="S43" s="90" t="s">
        <v>253</v>
      </c>
      <c r="T43" s="76">
        <v>10</v>
      </c>
    </row>
    <row r="44">
      <c r="A44" s="76" t="s">
        <v>275</v>
      </c>
      <c r="B44" s="76" t="s">
        <v>272</v>
      </c>
      <c r="C44" s="77" t="s">
        <v>251</v>
      </c>
      <c r="D44" s="77">
        <v>5</v>
      </c>
      <c r="E44" s="76">
        <v>7</v>
      </c>
      <c r="F44" s="76">
        <v>7</v>
      </c>
      <c r="G44" s="76">
        <v>0</v>
      </c>
      <c r="H44" s="89">
        <v>9187.560000000005</v>
      </c>
      <c r="I44" s="77">
        <v>0</v>
      </c>
      <c r="J44" s="88">
        <f t="shared" si="9"/>
      </c>
      <c r="K44" s="77">
        <v>18050.87</v>
      </c>
      <c r="L44" s="79">
        <f t="shared" si="4"/>
      </c>
      <c r="M44" s="77">
        <v>1647</v>
      </c>
      <c r="N44" s="79">
        <f t="shared" si="0"/>
      </c>
      <c r="O44" s="79">
        <f t="shared" si="6"/>
      </c>
      <c r="P44" s="79">
        <f t="shared" si="2"/>
      </c>
      <c r="Q44" s="77" t="s">
        <v>267</v>
      </c>
      <c r="R44" s="77">
        <v>5</v>
      </c>
      <c r="S44" s="90"/>
      <c r="T44" s="77"/>
    </row>
    <row r="45">
      <c r="A45" s="81" t="s">
        <v>275</v>
      </c>
      <c r="B45" s="82"/>
      <c r="C45" s="82"/>
      <c r="D45" s="87">
        <f>D43+D44</f>
      </c>
      <c r="E45" s="87">
        <f>E43+E44</f>
      </c>
      <c r="F45" s="87">
        <f>F43+F44</f>
      </c>
      <c r="G45" s="87">
        <f>G43+G44</f>
      </c>
      <c r="H45" s="87">
        <f>H43+H44</f>
      </c>
      <c r="I45" s="87">
        <f>I43+I44</f>
      </c>
      <c r="J45" s="87">
        <f>J43+J44</f>
      </c>
      <c r="K45" s="87">
        <f>K43+K44</f>
      </c>
      <c r="L45" s="84">
        <f t="shared" si="4"/>
      </c>
      <c r="M45" s="87">
        <f>M43+M44</f>
      </c>
      <c r="N45" s="85">
        <f t="shared" si="0"/>
      </c>
      <c r="O45" s="84">
        <f t="shared" si="6"/>
      </c>
      <c r="P45" s="84">
        <f t="shared" si="2"/>
      </c>
      <c r="Q45" s="82"/>
      <c r="R45" s="87">
        <f>R43+R44</f>
      </c>
      <c r="S45" s="82"/>
      <c r="T45" s="83">
        <f>SUM(T43)</f>
      </c>
    </row>
    <row r="46">
      <c r="A46" s="76" t="s">
        <v>276</v>
      </c>
      <c r="B46" s="77" t="s">
        <v>250</v>
      </c>
      <c r="C46" s="76" t="s">
        <v>271</v>
      </c>
      <c r="D46" s="76">
        <v>5</v>
      </c>
      <c r="E46" s="76">
        <v>16</v>
      </c>
      <c r="F46" s="76">
        <v>11</v>
      </c>
      <c r="G46" s="76">
        <v>1</v>
      </c>
      <c r="H46" s="89">
        <v>26027.64</v>
      </c>
      <c r="I46" s="76">
        <v>0</v>
      </c>
      <c r="J46" s="88">
        <f t="shared" ref="J46:J47" si="10">H46+I46</f>
      </c>
      <c r="K46" s="76">
        <v>17961.460000000003</v>
      </c>
      <c r="L46" s="79">
        <f t="shared" si="4"/>
      </c>
      <c r="M46" s="77">
        <v>3657.96</v>
      </c>
      <c r="N46" s="79">
        <f t="shared" si="0"/>
      </c>
      <c r="O46" s="79">
        <f t="shared" si="6"/>
      </c>
      <c r="P46" s="79">
        <f t="shared" si="2"/>
      </c>
      <c r="Q46" s="76" t="s">
        <v>252</v>
      </c>
      <c r="R46" s="77">
        <v>5</v>
      </c>
      <c r="S46" s="90" t="s">
        <v>253</v>
      </c>
      <c r="T46" s="76">
        <v>10</v>
      </c>
    </row>
    <row r="47">
      <c r="A47" s="76" t="s">
        <v>276</v>
      </c>
      <c r="B47" s="76" t="s">
        <v>272</v>
      </c>
      <c r="C47" s="77" t="s">
        <v>251</v>
      </c>
      <c r="D47" s="76">
        <v>5</v>
      </c>
      <c r="E47" s="76">
        <v>18</v>
      </c>
      <c r="F47" s="76">
        <v>16</v>
      </c>
      <c r="G47" s="76">
        <v>1</v>
      </c>
      <c r="H47" s="89">
        <v>33198.36</v>
      </c>
      <c r="I47" s="77">
        <v>2673</v>
      </c>
      <c r="J47" s="88">
        <f t="shared" si="10"/>
      </c>
      <c r="K47" s="77">
        <v>18590.86</v>
      </c>
      <c r="L47" s="79">
        <f t="shared" si="4"/>
      </c>
      <c r="M47" s="77">
        <v>2379.88</v>
      </c>
      <c r="N47" s="79">
        <f t="shared" si="0"/>
      </c>
      <c r="O47" s="79">
        <f t="shared" si="6"/>
      </c>
      <c r="P47" s="79">
        <f t="shared" si="2"/>
      </c>
      <c r="Q47" s="77" t="s">
        <v>267</v>
      </c>
      <c r="R47" s="77">
        <v>5</v>
      </c>
      <c r="S47" s="90"/>
      <c r="T47" s="77"/>
    </row>
    <row r="48">
      <c r="A48" s="81" t="s">
        <v>276</v>
      </c>
      <c r="B48" s="82"/>
      <c r="C48" s="82"/>
      <c r="D48" s="87">
        <f>D46+D47</f>
      </c>
      <c r="E48" s="87">
        <f>E46+E47</f>
      </c>
      <c r="F48" s="87">
        <f>F46+F47</f>
      </c>
      <c r="G48" s="87">
        <f>G46+G47</f>
      </c>
      <c r="H48" s="87">
        <f>H46+H47</f>
      </c>
      <c r="I48" s="87">
        <f>I46+I47</f>
      </c>
      <c r="J48" s="87">
        <f>J46+J47</f>
      </c>
      <c r="K48" s="87">
        <f>K46+K47</f>
      </c>
      <c r="L48" s="84">
        <f t="shared" si="4"/>
      </c>
      <c r="M48" s="87">
        <f>M46+M47</f>
      </c>
      <c r="N48" s="85">
        <f t="shared" si="0"/>
      </c>
      <c r="O48" s="84">
        <f t="shared" si="6"/>
      </c>
      <c r="P48" s="84">
        <f t="shared" si="2"/>
      </c>
      <c r="Q48" s="82"/>
      <c r="R48" s="87">
        <f>R46+R47</f>
      </c>
      <c r="S48" s="82"/>
      <c r="T48" s="83">
        <f>SUM(T46)</f>
      </c>
    </row>
    <row customHeight="true" ht="16.666666666666668" r="49">
      <c r="A49" s="77" t="s">
        <v>277</v>
      </c>
      <c r="B49" s="77" t="s">
        <v>250</v>
      </c>
      <c r="C49" s="77" t="s">
        <v>271</v>
      </c>
      <c r="D49" s="77">
        <v>5</v>
      </c>
      <c r="E49" s="77">
        <v>19</v>
      </c>
      <c r="F49" s="77">
        <v>19</v>
      </c>
      <c r="G49" s="77">
        <v>1</v>
      </c>
      <c r="H49" s="89">
        <v>37511.52</v>
      </c>
      <c r="I49" s="77">
        <v>1024</v>
      </c>
      <c r="J49" s="88">
        <f t="shared" ref="J49:J50" si="11">H49+I49</f>
      </c>
      <c r="K49" s="77">
        <v>23615.489999999998</v>
      </c>
      <c r="L49" s="79">
        <f t="shared" si="4"/>
      </c>
      <c r="M49" s="77">
        <v>20830</v>
      </c>
      <c r="N49" s="79">
        <f t="shared" si="0"/>
      </c>
      <c r="O49" s="79">
        <f t="shared" si="6"/>
      </c>
      <c r="P49" s="79">
        <f t="shared" si="2"/>
      </c>
      <c r="Q49" s="77" t="s">
        <v>252</v>
      </c>
      <c r="R49" s="77">
        <v>5</v>
      </c>
      <c r="S49" s="90" t="s">
        <v>253</v>
      </c>
      <c r="T49" s="76">
        <v>10</v>
      </c>
    </row>
    <row customHeight="true" ht="16.666666666666668" r="50">
      <c r="A50" s="77" t="s">
        <v>277</v>
      </c>
      <c r="B50" s="77" t="s">
        <v>272</v>
      </c>
      <c r="C50" s="77" t="s">
        <v>251</v>
      </c>
      <c r="D50" s="77">
        <v>5</v>
      </c>
      <c r="E50" s="77">
        <v>22</v>
      </c>
      <c r="F50" s="77">
        <v>17</v>
      </c>
      <c r="G50" s="77">
        <v>1</v>
      </c>
      <c r="H50" s="89">
        <v>43519.08000000001</v>
      </c>
      <c r="I50" s="77">
        <v>0</v>
      </c>
      <c r="J50" s="88">
        <f t="shared" si="11"/>
      </c>
      <c r="K50" s="77">
        <v>21726.510000000002</v>
      </c>
      <c r="L50" s="79">
        <f t="shared" si="4"/>
      </c>
      <c r="M50" s="77">
        <v>2710.8</v>
      </c>
      <c r="N50" s="79">
        <f t="shared" si="0"/>
      </c>
      <c r="O50" s="79">
        <f t="shared" si="6"/>
      </c>
      <c r="P50" s="79">
        <f t="shared" si="2"/>
      </c>
      <c r="Q50" s="77" t="s">
        <v>267</v>
      </c>
      <c r="R50" s="77">
        <v>5</v>
      </c>
      <c r="S50" s="90"/>
      <c r="T50" s="77"/>
    </row>
    <row customHeight="true" ht="16.666666666666668" r="51">
      <c r="A51" s="91" t="s">
        <v>277</v>
      </c>
      <c r="B51" s="82"/>
      <c r="C51" s="82"/>
      <c r="D51" s="83">
        <f>D49+D50</f>
      </c>
      <c r="E51" s="83">
        <f>E49+E50</f>
      </c>
      <c r="F51" s="83">
        <f>F49+F50</f>
      </c>
      <c r="G51" s="83">
        <f>G49+G50</f>
      </c>
      <c r="H51" s="83">
        <f>H49+H50</f>
      </c>
      <c r="I51" s="83">
        <f>I49+I50</f>
      </c>
      <c r="J51" s="83">
        <f>J49+J50</f>
      </c>
      <c r="K51" s="83">
        <f>K49+K50</f>
      </c>
      <c r="L51" s="84">
        <f t="shared" si="4"/>
      </c>
      <c r="M51" s="83">
        <f>M49+M50</f>
      </c>
      <c r="N51" s="85">
        <f t="shared" si="0"/>
      </c>
      <c r="O51" s="84">
        <f t="shared" si="6"/>
      </c>
      <c r="P51" s="84">
        <f t="shared" si="2"/>
      </c>
      <c r="Q51" s="82"/>
      <c r="R51" s="87">
        <f>R49+R50</f>
      </c>
      <c r="S51" s="82"/>
      <c r="T51" s="83">
        <f>SUM(T49)</f>
      </c>
    </row>
    <row r="52">
      <c r="A52" s="76" t="s">
        <v>278</v>
      </c>
      <c r="B52" s="77" t="s">
        <v>250</v>
      </c>
      <c r="C52" s="77" t="s">
        <v>251</v>
      </c>
      <c r="D52" s="77">
        <v>5</v>
      </c>
      <c r="E52" s="76">
        <v>18</v>
      </c>
      <c r="F52" s="76">
        <v>16</v>
      </c>
      <c r="G52" s="76">
        <v>3</v>
      </c>
      <c r="H52" s="89">
        <v>25735.8</v>
      </c>
      <c r="I52" s="77">
        <v>4829.5</v>
      </c>
      <c r="J52" s="88">
        <f>H52+I52</f>
      </c>
      <c r="K52" s="77">
        <v>24475.17</v>
      </c>
      <c r="L52" s="79">
        <f t="shared" si="4"/>
      </c>
      <c r="M52" s="77">
        <v>2819.88</v>
      </c>
      <c r="N52" s="79">
        <f t="shared" si="0"/>
      </c>
      <c r="O52" s="79">
        <f t="shared" si="6"/>
      </c>
      <c r="P52" s="79">
        <f t="shared" si="2"/>
      </c>
      <c r="Q52" s="77" t="s">
        <v>267</v>
      </c>
      <c r="R52" s="77">
        <v>5</v>
      </c>
      <c r="S52" s="90" t="s">
        <v>253</v>
      </c>
      <c r="T52" s="77">
        <v>5</v>
      </c>
    </row>
    <row r="53">
      <c r="A53" s="81" t="s">
        <v>278</v>
      </c>
      <c r="B53" s="82"/>
      <c r="C53" s="82"/>
      <c r="D53" s="83">
        <f>SUM(D52)</f>
      </c>
      <c r="E53" s="83">
        <f>SUM(E52)</f>
      </c>
      <c r="F53" s="83">
        <f>SUM(F52)</f>
      </c>
      <c r="G53" s="83">
        <f>SUM(G52)</f>
      </c>
      <c r="H53" s="83">
        <f>SUM(H52)</f>
      </c>
      <c r="I53" s="83">
        <f>SUM(I52)</f>
      </c>
      <c r="J53" s="83">
        <f>SUM(J52)</f>
      </c>
      <c r="K53" s="83">
        <f>SUM(K52)</f>
      </c>
      <c r="L53" s="84">
        <f t="shared" si="4"/>
      </c>
      <c r="M53" s="83">
        <f>SUM(M52)</f>
      </c>
      <c r="N53" s="85">
        <f t="shared" si="0"/>
      </c>
      <c r="O53" s="84">
        <f t="shared" si="6"/>
      </c>
      <c r="P53" s="84">
        <f t="shared" si="2"/>
      </c>
      <c r="Q53" s="82"/>
      <c r="R53" s="83">
        <f>SUM(R52)</f>
      </c>
      <c r="S53" s="82"/>
      <c r="T53" s="83">
        <f>SUM(T52)</f>
      </c>
    </row>
    <row r="54">
      <c r="A54" s="76" t="s">
        <v>279</v>
      </c>
      <c r="B54" s="77" t="s">
        <v>250</v>
      </c>
      <c r="C54" s="77" t="s">
        <v>271</v>
      </c>
      <c r="D54" s="77">
        <v>5</v>
      </c>
      <c r="E54" s="76">
        <v>22</v>
      </c>
      <c r="F54" s="76">
        <v>20</v>
      </c>
      <c r="G54" s="76">
        <v>3</v>
      </c>
      <c r="H54" s="89">
        <v>29354.76</v>
      </c>
      <c r="I54" s="77">
        <v>5964.6</v>
      </c>
      <c r="J54" s="88">
        <f t="shared" ref="J54:J55" si="12">H54+I54</f>
      </c>
      <c r="K54" s="77">
        <v>27439.32</v>
      </c>
      <c r="L54" s="79">
        <f t="shared" si="4"/>
      </c>
      <c r="M54" s="77">
        <v>2242.6400000000003</v>
      </c>
      <c r="N54" s="79">
        <f t="shared" si="0"/>
      </c>
      <c r="O54" s="79">
        <f t="shared" si="6"/>
      </c>
      <c r="P54" s="79">
        <f t="shared" si="2"/>
      </c>
      <c r="Q54" s="77" t="s">
        <v>252</v>
      </c>
      <c r="R54" s="77">
        <v>5</v>
      </c>
      <c r="S54" s="90" t="s">
        <v>253</v>
      </c>
      <c r="T54" s="76">
        <v>10</v>
      </c>
    </row>
    <row r="55">
      <c r="A55" s="76" t="s">
        <v>279</v>
      </c>
      <c r="B55" s="77" t="s">
        <v>272</v>
      </c>
      <c r="C55" s="77" t="s">
        <v>251</v>
      </c>
      <c r="D55" s="77">
        <v>5</v>
      </c>
      <c r="E55" s="76">
        <v>12</v>
      </c>
      <c r="F55" s="76">
        <v>10</v>
      </c>
      <c r="G55" s="76">
        <v>1</v>
      </c>
      <c r="H55" s="89">
        <v>20819.88</v>
      </c>
      <c r="I55" s="77">
        <v>0</v>
      </c>
      <c r="J55" s="88">
        <f t="shared" si="12"/>
      </c>
      <c r="K55" s="77">
        <v>20730.34</v>
      </c>
      <c r="L55" s="79">
        <f t="shared" si="4"/>
      </c>
      <c r="M55" s="77">
        <v>0</v>
      </c>
      <c r="N55" s="79">
        <f t="shared" si="0"/>
      </c>
      <c r="O55" s="79">
        <f t="shared" si="6"/>
      </c>
      <c r="P55" s="79">
        <f t="shared" si="2"/>
      </c>
      <c r="Q55" s="77" t="s">
        <v>267</v>
      </c>
      <c r="R55" s="77">
        <v>5</v>
      </c>
      <c r="S55" s="90"/>
      <c r="T55" s="77"/>
    </row>
    <row r="56">
      <c r="A56" s="81" t="s">
        <v>279</v>
      </c>
      <c r="B56" s="82"/>
      <c r="C56" s="82"/>
      <c r="D56" s="83">
        <f>D54+D55</f>
      </c>
      <c r="E56" s="83">
        <f>E54+E55</f>
      </c>
      <c r="F56" s="83">
        <f>F54+F55</f>
      </c>
      <c r="G56" s="83">
        <f>G54+G55</f>
      </c>
      <c r="H56" s="83">
        <f>H54+H55</f>
      </c>
      <c r="I56" s="83">
        <f>I54+I55</f>
      </c>
      <c r="J56" s="83">
        <f>J54+J55</f>
      </c>
      <c r="K56" s="83">
        <f>K54+K55</f>
      </c>
      <c r="L56" s="84">
        <f t="shared" si="4"/>
      </c>
      <c r="M56" s="83">
        <f>M54+M55</f>
      </c>
      <c r="N56" s="85">
        <f t="shared" si="0"/>
      </c>
      <c r="O56" s="84">
        <f t="shared" si="6"/>
      </c>
      <c r="P56" s="84">
        <f t="shared" si="2"/>
      </c>
      <c r="Q56" s="82"/>
      <c r="R56" s="87">
        <f>R54+R55</f>
      </c>
      <c r="S56" s="82"/>
      <c r="T56" s="83">
        <f>SUM(T54)</f>
      </c>
    </row>
    <row r="57">
      <c r="A57" s="76" t="s">
        <v>280</v>
      </c>
      <c r="B57" s="77" t="s">
        <v>272</v>
      </c>
      <c r="C57" s="77" t="s">
        <v>251</v>
      </c>
      <c r="D57" s="77">
        <v>5</v>
      </c>
      <c r="E57" s="76">
        <v>20</v>
      </c>
      <c r="F57" s="76">
        <v>19</v>
      </c>
      <c r="G57" s="76">
        <v>0</v>
      </c>
      <c r="H57" s="89">
        <v>32147.28</v>
      </c>
      <c r="I57" s="76">
        <v>0</v>
      </c>
      <c r="J57" s="88">
        <f t="shared" ref="J57:J60" si="13">H57+I57</f>
      </c>
      <c r="K57" s="77">
        <v>20302.15</v>
      </c>
      <c r="L57" s="79">
        <f t="shared" si="4"/>
      </c>
      <c r="M57" s="77">
        <v>2306.88</v>
      </c>
      <c r="N57" s="79">
        <f t="shared" si="0"/>
      </c>
      <c r="O57" s="79">
        <f t="shared" si="6"/>
      </c>
      <c r="P57" s="79">
        <f t="shared" si="2"/>
      </c>
      <c r="Q57" s="76" t="s">
        <v>281</v>
      </c>
      <c r="R57" s="77">
        <v>5</v>
      </c>
      <c r="S57" s="90" t="s">
        <v>253</v>
      </c>
      <c r="T57" s="77">
        <v>5</v>
      </c>
    </row>
    <row r="58">
      <c r="A58" s="81" t="s">
        <v>280</v>
      </c>
      <c r="B58" s="82"/>
      <c r="C58" s="82"/>
      <c r="D58" s="83">
        <f>SUM(D57)</f>
      </c>
      <c r="E58" s="83">
        <v>20</v>
      </c>
      <c r="F58" s="83">
        <v>19</v>
      </c>
      <c r="G58" s="83">
        <v>0</v>
      </c>
      <c r="H58" s="83">
        <v>32147.28</v>
      </c>
      <c r="I58" s="83">
        <v>0</v>
      </c>
      <c r="J58" s="83">
        <f t="shared" si="13"/>
      </c>
      <c r="K58" s="83">
        <v>20302.15</v>
      </c>
      <c r="L58" s="84">
        <f t="shared" si="4"/>
      </c>
      <c r="M58" s="83">
        <f>SUM(M57)</f>
      </c>
      <c r="N58" s="85">
        <f t="shared" si="0"/>
      </c>
      <c r="O58" s="84">
        <f t="shared" si="6"/>
      </c>
      <c r="P58" s="84">
        <f t="shared" si="2"/>
      </c>
      <c r="Q58" s="82"/>
      <c r="R58" s="83">
        <f>SUM(R57)</f>
      </c>
      <c r="S58" s="82"/>
      <c r="T58" s="83">
        <f>SUM(T57)</f>
      </c>
    </row>
    <row r="59">
      <c r="A59" s="76" t="s">
        <v>282</v>
      </c>
      <c r="B59" s="77" t="s">
        <v>250</v>
      </c>
      <c r="C59" s="77" t="s">
        <v>271</v>
      </c>
      <c r="D59" s="77">
        <v>5</v>
      </c>
      <c r="E59" s="76">
        <v>22</v>
      </c>
      <c r="F59" s="76">
        <v>21</v>
      </c>
      <c r="G59" s="76">
        <v>0</v>
      </c>
      <c r="H59" s="89">
        <v>37302.12</v>
      </c>
      <c r="I59" s="76">
        <v>2208</v>
      </c>
      <c r="J59" s="88">
        <f t="shared" si="13"/>
      </c>
      <c r="K59" s="77">
        <v>21604.71</v>
      </c>
      <c r="L59" s="79">
        <f t="shared" si="4"/>
      </c>
      <c r="M59" s="76">
        <v>8529.84</v>
      </c>
      <c r="N59" s="79">
        <f t="shared" si="0"/>
      </c>
      <c r="O59" s="79">
        <f t="shared" si="6"/>
      </c>
      <c r="P59" s="79">
        <f t="shared" si="2"/>
      </c>
      <c r="Q59" s="76" t="s">
        <v>281</v>
      </c>
      <c r="R59" s="76">
        <v>10</v>
      </c>
      <c r="S59" s="90" t="s">
        <v>253</v>
      </c>
      <c r="T59" s="76">
        <v>10</v>
      </c>
    </row>
    <row r="60">
      <c r="A60" s="76" t="s">
        <v>282</v>
      </c>
      <c r="B60" s="77" t="s">
        <v>272</v>
      </c>
      <c r="C60" s="77" t="s">
        <v>251</v>
      </c>
      <c r="D60" s="77">
        <v>5</v>
      </c>
      <c r="E60" s="76">
        <v>17</v>
      </c>
      <c r="F60" s="76">
        <v>14</v>
      </c>
      <c r="G60" s="76">
        <v>2</v>
      </c>
      <c r="H60" s="89">
        <v>19411.92</v>
      </c>
      <c r="I60" s="77">
        <v>1116</v>
      </c>
      <c r="J60" s="88">
        <f t="shared" si="13"/>
      </c>
      <c r="K60" s="77">
        <v>20457.45</v>
      </c>
      <c r="L60" s="79">
        <f t="shared" si="4"/>
      </c>
      <c r="M60" s="77">
        <v>0</v>
      </c>
      <c r="N60" s="79">
        <f t="shared" si="0"/>
      </c>
      <c r="O60" s="79">
        <f t="shared" si="6"/>
      </c>
      <c r="P60" s="79">
        <f t="shared" si="2"/>
      </c>
      <c r="Q60" s="76"/>
      <c r="R60" s="76"/>
      <c r="S60" s="90"/>
      <c r="T60" s="76"/>
    </row>
    <row r="61">
      <c r="A61" s="81" t="s">
        <v>282</v>
      </c>
      <c r="B61" s="82"/>
      <c r="C61" s="82"/>
      <c r="D61" s="83">
        <f>D59+D60</f>
      </c>
      <c r="E61" s="83">
        <f>E59+E60</f>
      </c>
      <c r="F61" s="83">
        <f>F59+F60</f>
      </c>
      <c r="G61" s="83">
        <f>G59+G60</f>
      </c>
      <c r="H61" s="83">
        <f>H59+H60</f>
      </c>
      <c r="I61" s="83">
        <f>I59+I60</f>
      </c>
      <c r="J61" s="83">
        <f>J59+J60</f>
      </c>
      <c r="K61" s="83">
        <f>K59+K60</f>
      </c>
      <c r="L61" s="84">
        <f t="shared" si="4"/>
      </c>
      <c r="M61" s="83">
        <f>M59+M60</f>
      </c>
      <c r="N61" s="85">
        <f t="shared" si="0"/>
      </c>
      <c r="O61" s="84">
        <f t="shared" si="6"/>
      </c>
      <c r="P61" s="84">
        <f t="shared" si="2"/>
      </c>
      <c r="Q61" s="82"/>
      <c r="R61" s="87">
        <f>R59+R60</f>
      </c>
      <c r="S61" s="82"/>
      <c r="T61" s="83">
        <f>SUM(T59)</f>
      </c>
    </row>
    <row r="62">
      <c r="A62" s="76" t="s">
        <v>283</v>
      </c>
      <c r="B62" s="77" t="s">
        <v>250</v>
      </c>
      <c r="C62" s="77" t="s">
        <v>271</v>
      </c>
      <c r="D62" s="77">
        <v>5</v>
      </c>
      <c r="E62" s="76">
        <v>19</v>
      </c>
      <c r="F62" s="76">
        <v>20</v>
      </c>
      <c r="G62" s="76">
        <v>1</v>
      </c>
      <c r="H62" s="89">
        <v>35224.44</v>
      </c>
      <c r="I62" s="76">
        <v>0</v>
      </c>
      <c r="J62" s="88">
        <f t="shared" ref="J62:J63" si="14">H62+I62</f>
      </c>
      <c r="K62" s="77">
        <v>20395.190000000002</v>
      </c>
      <c r="L62" s="79">
        <f t="shared" si="4"/>
      </c>
      <c r="M62" s="76">
        <v>8235</v>
      </c>
      <c r="N62" s="79">
        <f t="shared" si="0"/>
      </c>
      <c r="O62" s="79">
        <f t="shared" si="6"/>
      </c>
      <c r="P62" s="79">
        <f t="shared" si="2"/>
      </c>
      <c r="Q62" s="76" t="s">
        <v>281</v>
      </c>
      <c r="R62" s="76">
        <v>10</v>
      </c>
      <c r="S62" s="90" t="s">
        <v>253</v>
      </c>
      <c r="T62" s="76">
        <v>10</v>
      </c>
    </row>
    <row r="63">
      <c r="A63" s="76" t="s">
        <v>283</v>
      </c>
      <c r="B63" s="77" t="s">
        <v>272</v>
      </c>
      <c r="C63" s="77" t="s">
        <v>251</v>
      </c>
      <c r="D63" s="77">
        <v>5</v>
      </c>
      <c r="E63" s="76">
        <v>18</v>
      </c>
      <c r="F63" s="76">
        <v>16</v>
      </c>
      <c r="G63" s="76">
        <v>3</v>
      </c>
      <c r="H63" s="89">
        <v>23599.439999999995</v>
      </c>
      <c r="I63" s="76">
        <v>4638.65</v>
      </c>
      <c r="J63" s="88">
        <f t="shared" si="14"/>
      </c>
      <c r="K63" s="77">
        <v>19574.88</v>
      </c>
      <c r="L63" s="79">
        <f t="shared" si="4"/>
      </c>
      <c r="M63" s="77">
        <v>3853.8</v>
      </c>
      <c r="N63" s="79">
        <f t="shared" si="0"/>
      </c>
      <c r="O63" s="79">
        <f t="shared" si="6"/>
      </c>
      <c r="P63" s="79">
        <f t="shared" si="2"/>
      </c>
      <c r="Q63" s="76"/>
      <c r="R63" s="76"/>
      <c r="S63" s="90"/>
      <c r="T63" s="76"/>
    </row>
    <row r="64">
      <c r="A64" s="81" t="s">
        <v>283</v>
      </c>
      <c r="B64" s="82"/>
      <c r="C64" s="82"/>
      <c r="D64" s="83">
        <f>D62+D63</f>
      </c>
      <c r="E64" s="83">
        <f>E62+E63</f>
      </c>
      <c r="F64" s="83">
        <f>F62+F63</f>
      </c>
      <c r="G64" s="83">
        <f>G62+G63</f>
      </c>
      <c r="H64" s="83">
        <f>H62+H63</f>
      </c>
      <c r="I64" s="83">
        <f>I62+I63</f>
      </c>
      <c r="J64" s="83">
        <f>J62+J63</f>
      </c>
      <c r="K64" s="83">
        <f>K62+K63</f>
      </c>
      <c r="L64" s="84">
        <f t="shared" si="4"/>
      </c>
      <c r="M64" s="83">
        <f>M62+M63</f>
      </c>
      <c r="N64" s="85">
        <f t="shared" si="0"/>
      </c>
      <c r="O64" s="84">
        <f t="shared" si="6"/>
      </c>
      <c r="P64" s="84">
        <f t="shared" si="2"/>
      </c>
      <c r="Q64" s="82"/>
      <c r="R64" s="87">
        <f>R62+R63</f>
      </c>
      <c r="S64" s="82"/>
      <c r="T64" s="83">
        <f>SUM(T62)</f>
      </c>
    </row>
    <row r="65">
      <c r="A65" s="76" t="s">
        <v>284</v>
      </c>
      <c r="B65" s="77" t="s">
        <v>250</v>
      </c>
      <c r="C65" s="77" t="s">
        <v>271</v>
      </c>
      <c r="D65" s="77">
        <v>5</v>
      </c>
      <c r="E65" s="76">
        <v>12</v>
      </c>
      <c r="F65" s="76">
        <v>10</v>
      </c>
      <c r="G65" s="76">
        <v>0</v>
      </c>
      <c r="H65" s="89">
        <v>22903.56</v>
      </c>
      <c r="I65" s="76">
        <v>0</v>
      </c>
      <c r="J65" s="88">
        <f t="shared" ref="J65:J66" si="15">H65+I65</f>
      </c>
      <c r="K65" s="77">
        <v>16298.26</v>
      </c>
      <c r="L65" s="79">
        <f t="shared" si="4"/>
      </c>
      <c r="M65" s="76">
        <v>8262</v>
      </c>
      <c r="N65" s="79">
        <f t="shared" si="0"/>
      </c>
      <c r="O65" s="79">
        <f t="shared" si="6"/>
      </c>
      <c r="P65" s="79">
        <f t="shared" si="2"/>
      </c>
      <c r="Q65" s="76" t="s">
        <v>281</v>
      </c>
      <c r="R65" s="76">
        <v>10</v>
      </c>
      <c r="S65" s="90" t="s">
        <v>253</v>
      </c>
      <c r="T65" s="76">
        <v>10</v>
      </c>
    </row>
    <row r="66">
      <c r="A66" s="76" t="s">
        <v>284</v>
      </c>
      <c r="B66" s="77" t="s">
        <v>272</v>
      </c>
      <c r="C66" s="77" t="s">
        <v>251</v>
      </c>
      <c r="D66" s="77">
        <v>5</v>
      </c>
      <c r="E66" s="76">
        <v>16</v>
      </c>
      <c r="F66" s="76">
        <v>13</v>
      </c>
      <c r="G66" s="76">
        <v>2</v>
      </c>
      <c r="H66" s="89">
        <v>33090.119999999995</v>
      </c>
      <c r="I66" s="76">
        <v>0</v>
      </c>
      <c r="J66" s="88">
        <f t="shared" si="15"/>
      </c>
      <c r="K66" s="77">
        <v>16466.350000000002</v>
      </c>
      <c r="L66" s="79">
        <f t="shared" si="4"/>
      </c>
      <c r="M66" s="77">
        <v>1953.72</v>
      </c>
      <c r="N66" s="79">
        <f t="shared" si="0"/>
      </c>
      <c r="O66" s="79">
        <f t="shared" si="6"/>
      </c>
      <c r="P66" s="79">
        <f t="shared" si="2"/>
      </c>
      <c r="Q66" s="76"/>
      <c r="R66" s="76"/>
      <c r="S66" s="90"/>
      <c r="T66" s="76"/>
    </row>
    <row r="67">
      <c r="A67" s="81" t="s">
        <v>284</v>
      </c>
      <c r="B67" s="82"/>
      <c r="C67" s="82"/>
      <c r="D67" s="83">
        <f>D65+D66</f>
      </c>
      <c r="E67" s="83">
        <f>E65+E66</f>
      </c>
      <c r="F67" s="83">
        <f>F65+F66</f>
      </c>
      <c r="G67" s="83">
        <f>G65+G66</f>
      </c>
      <c r="H67" s="83">
        <f>H65+H66</f>
      </c>
      <c r="I67" s="83">
        <f>I65+I66</f>
      </c>
      <c r="J67" s="83">
        <f>J65+J66</f>
      </c>
      <c r="K67" s="83">
        <f>K65+K66</f>
      </c>
      <c r="L67" s="84">
        <f t="shared" si="4"/>
      </c>
      <c r="M67" s="83">
        <f>M65+M66</f>
      </c>
      <c r="N67" s="85">
        <f t="shared" si="0"/>
      </c>
      <c r="O67" s="84">
        <f t="shared" si="6"/>
      </c>
      <c r="P67" s="84">
        <f t="shared" si="2"/>
      </c>
      <c r="Q67" s="82"/>
      <c r="R67" s="87">
        <f>R65+R66</f>
      </c>
      <c r="S67" s="82"/>
      <c r="T67" s="83">
        <f>SUM(T65)</f>
      </c>
    </row>
    <row r="68">
      <c r="A68" s="76" t="s">
        <v>285</v>
      </c>
      <c r="B68" s="77" t="s">
        <v>250</v>
      </c>
      <c r="C68" s="77" t="s">
        <v>271</v>
      </c>
      <c r="D68" s="77">
        <v>5</v>
      </c>
      <c r="E68" s="76">
        <v>12</v>
      </c>
      <c r="F68" s="76">
        <v>9</v>
      </c>
      <c r="G68" s="76">
        <v>1</v>
      </c>
      <c r="H68" s="89">
        <v>13794.6</v>
      </c>
      <c r="I68" s="76">
        <v>2415</v>
      </c>
      <c r="J68" s="88">
        <f t="shared" ref="J68:J69" si="16">H68+I68</f>
      </c>
      <c r="K68" s="77">
        <v>15609.79</v>
      </c>
      <c r="L68" s="79">
        <f t="shared" si="4"/>
      </c>
      <c r="M68" s="76">
        <v>3111.6</v>
      </c>
      <c r="N68" s="79">
        <f t="shared" si="0"/>
      </c>
      <c r="O68" s="79">
        <f t="shared" si="6"/>
      </c>
      <c r="P68" s="79">
        <f t="shared" si="2"/>
      </c>
      <c r="Q68" s="76" t="s">
        <v>281</v>
      </c>
      <c r="R68" s="76">
        <v>10</v>
      </c>
      <c r="S68" s="90" t="s">
        <v>253</v>
      </c>
      <c r="T68" s="76">
        <v>10</v>
      </c>
    </row>
    <row r="69">
      <c r="A69" s="76" t="s">
        <v>285</v>
      </c>
      <c r="B69" s="77" t="s">
        <v>272</v>
      </c>
      <c r="C69" s="77" t="s">
        <v>251</v>
      </c>
      <c r="D69" s="77">
        <v>5</v>
      </c>
      <c r="E69" s="76">
        <v>19</v>
      </c>
      <c r="F69" s="76">
        <v>17</v>
      </c>
      <c r="G69" s="76">
        <v>4</v>
      </c>
      <c r="H69" s="89">
        <v>30286.32</v>
      </c>
      <c r="I69" s="76">
        <v>8355.95</v>
      </c>
      <c r="J69" s="88">
        <f t="shared" si="16"/>
      </c>
      <c r="K69" s="77">
        <v>20091.260000000002</v>
      </c>
      <c r="L69" s="79">
        <f t="shared" si="4"/>
      </c>
      <c r="M69" s="76">
        <v>0</v>
      </c>
      <c r="N69" s="79">
        <f t="shared" si="0"/>
      </c>
      <c r="O69" s="79">
        <f t="shared" si="6"/>
      </c>
      <c r="P69" s="79">
        <f t="shared" si="2"/>
      </c>
      <c r="Q69" s="76"/>
      <c r="R69" s="76"/>
      <c r="S69" s="90"/>
      <c r="T69" s="76"/>
    </row>
    <row r="70">
      <c r="A70" s="81" t="s">
        <v>285</v>
      </c>
      <c r="B70" s="82"/>
      <c r="C70" s="82"/>
      <c r="D70" s="83">
        <f>D68+D69</f>
      </c>
      <c r="E70" s="83">
        <f>E68+E69</f>
      </c>
      <c r="F70" s="83">
        <f>F68+F69</f>
      </c>
      <c r="G70" s="83">
        <f>G68+G69</f>
      </c>
      <c r="H70" s="83">
        <f>H68+H69</f>
      </c>
      <c r="I70" s="83">
        <f>I68+I69</f>
      </c>
      <c r="J70" s="83">
        <f>J68+J69</f>
      </c>
      <c r="K70" s="83">
        <f>K68+K69</f>
      </c>
      <c r="L70" s="84">
        <f t="shared" si="4"/>
      </c>
      <c r="M70" s="83">
        <f>M68+M69</f>
      </c>
      <c r="N70" s="85">
        <f t="shared" si="0"/>
      </c>
      <c r="O70" s="84">
        <f t="shared" si="6"/>
      </c>
      <c r="P70" s="84">
        <f t="shared" si="2"/>
      </c>
      <c r="Q70" s="82"/>
      <c r="R70" s="87">
        <f>R68+R69</f>
      </c>
      <c r="S70" s="82"/>
      <c r="T70" s="83">
        <f>SUM(T68)</f>
      </c>
    </row>
    <row r="71">
      <c r="A71" s="76" t="s">
        <v>286</v>
      </c>
      <c r="B71" s="77" t="s">
        <v>250</v>
      </c>
      <c r="C71" s="77" t="s">
        <v>271</v>
      </c>
      <c r="D71" s="94">
        <f>5-0.5</f>
      </c>
      <c r="E71" s="76">
        <v>20</v>
      </c>
      <c r="F71" s="76">
        <v>15</v>
      </c>
      <c r="G71" s="76">
        <v>1</v>
      </c>
      <c r="H71" s="89">
        <v>36939.36</v>
      </c>
      <c r="I71" s="76">
        <v>1709</v>
      </c>
      <c r="J71" s="88">
        <f t="shared" ref="J71:J72" si="17">H71+I71</f>
      </c>
      <c r="K71" s="77">
        <v>22774.800000000003</v>
      </c>
      <c r="L71" s="79">
        <f t="shared" si="4"/>
      </c>
      <c r="M71" s="76">
        <v>10715.880000000001</v>
      </c>
      <c r="N71" s="79">
        <f t="shared" si="0"/>
      </c>
      <c r="O71" s="79">
        <f t="shared" si="6"/>
      </c>
      <c r="P71" s="79">
        <f t="shared" si="2"/>
      </c>
      <c r="Q71" s="76" t="s">
        <v>281</v>
      </c>
      <c r="R71" s="76">
        <v>10</v>
      </c>
      <c r="S71" s="90" t="s">
        <v>253</v>
      </c>
      <c r="T71" s="76">
        <v>10</v>
      </c>
    </row>
    <row r="72">
      <c r="A72" s="76" t="s">
        <v>286</v>
      </c>
      <c r="B72" s="77" t="s">
        <v>272</v>
      </c>
      <c r="C72" s="77" t="s">
        <v>251</v>
      </c>
      <c r="D72" s="94">
        <f>5-0.25</f>
      </c>
      <c r="E72" s="76">
        <v>13</v>
      </c>
      <c r="F72" s="76">
        <v>11</v>
      </c>
      <c r="G72" s="76">
        <v>1</v>
      </c>
      <c r="H72" s="89">
        <v>18034.92</v>
      </c>
      <c r="I72" s="76">
        <v>6476.75</v>
      </c>
      <c r="J72" s="88">
        <f t="shared" si="17"/>
      </c>
      <c r="K72" s="77">
        <v>13521.82</v>
      </c>
      <c r="L72" s="79">
        <f t="shared" si="4"/>
      </c>
      <c r="M72" s="76">
        <v>0</v>
      </c>
      <c r="N72" s="79">
        <f t="shared" si="0"/>
      </c>
      <c r="O72" s="79">
        <f t="shared" si="6"/>
      </c>
      <c r="P72" s="79">
        <f t="shared" si="2"/>
      </c>
      <c r="Q72" s="76"/>
      <c r="R72" s="76"/>
      <c r="S72" s="90"/>
      <c r="T72" s="76"/>
    </row>
    <row r="73">
      <c r="A73" s="81" t="s">
        <v>286</v>
      </c>
      <c r="B73" s="82"/>
      <c r="C73" s="82"/>
      <c r="D73" s="83">
        <f>D71+D72</f>
      </c>
      <c r="E73" s="83">
        <f>E71+E72</f>
      </c>
      <c r="F73" s="83">
        <f>F71+F72</f>
      </c>
      <c r="G73" s="83">
        <f>G71+G72</f>
      </c>
      <c r="H73" s="83">
        <f>H71+H72</f>
      </c>
      <c r="I73" s="83">
        <f>I71+I72</f>
      </c>
      <c r="J73" s="83">
        <f>J71+J72</f>
      </c>
      <c r="K73" s="83">
        <f>K71+K72</f>
      </c>
      <c r="L73" s="84">
        <f t="shared" si="4"/>
      </c>
      <c r="M73" s="83">
        <f>M71+M72</f>
      </c>
      <c r="N73" s="85">
        <f t="shared" si="0"/>
      </c>
      <c r="O73" s="84">
        <f t="shared" si="6"/>
      </c>
      <c r="P73" s="84">
        <f t="shared" si="2"/>
      </c>
      <c r="Q73" s="82"/>
      <c r="R73" s="87">
        <f>R71+R72</f>
      </c>
      <c r="S73" s="82"/>
      <c r="T73" s="83">
        <f>SUM(T71)</f>
      </c>
    </row>
    <row r="74"/>
    <row r="75"/>
    <row r="76"/>
    <row r="77">
      <c r="H77" s="95"/>
      <c r="I77" s="95"/>
    </row>
    <row r="78">
      <c r="H78" s="96"/>
      <c r="I78" s="96"/>
    </row>
    <row r="79">
      <c r="H79" s="96"/>
      <c r="I79" s="96"/>
    </row>
    <row r="80"/>
    <row r="81"/>
    <row r="82"/>
    <row r="83">
      <c r="G83">
        <v>103832.91</v>
      </c>
      <c r="J83" s="95"/>
    </row>
    <row r="84">
      <c r="G84">
        <v>870092.3999999999</v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>
      <c r="J209" s="95">
        <f>J35+J38+J39:J38+J41+J44</f>
      </c>
      <c r="K209" s="95">
        <f>K35+K38+K39:K38+K41+K44</f>
      </c>
      <c r="L209" s="79">
        <f t="shared" ref="L209:L212" si="5">J209/K209</f>
      </c>
    </row>
    <row r="210">
      <c r="A210" s="76" t="s">
        <v>277</v>
      </c>
      <c r="B210" s="77" t="s">
        <v>250</v>
      </c>
      <c r="C210" s="76" t="s">
        <v>271</v>
      </c>
      <c r="D210" s="76">
        <v>5</v>
      </c>
      <c r="E210" s="76">
        <v>19</v>
      </c>
      <c r="F210" s="76">
        <v>19</v>
      </c>
      <c r="G210" s="76">
        <v>1</v>
      </c>
      <c r="H210" s="89">
        <v>37511.52</v>
      </c>
      <c r="I210" s="76">
        <v>1024</v>
      </c>
      <c r="J210" s="88">
        <f t="shared" ref="J210:J211" si="18">H210+I210</f>
      </c>
      <c r="K210" s="77">
        <v>23615.47</v>
      </c>
      <c r="L210" s="79">
        <f t="shared" si="5"/>
      </c>
      <c r="M210" s="77">
        <v>20830</v>
      </c>
      <c r="N210" s="79">
        <f t="shared" ref="N210:N212" si="1">(J210-M210)/K210</f>
      </c>
      <c r="O210" s="79">
        <f t="shared" ref="O210:O212" si="7">J210/E210</f>
      </c>
      <c r="P210" s="79">
        <f t="shared" ref="P210:P212" si="3">K210/E210</f>
      </c>
      <c r="Q210" s="76" t="s">
        <v>252</v>
      </c>
      <c r="R210" s="77">
        <v>5</v>
      </c>
      <c r="S210" s="90" t="s">
        <v>253</v>
      </c>
      <c r="T210" s="77">
        <v>5</v>
      </c>
    </row>
    <row r="211">
      <c r="A211" s="76" t="s">
        <v>277</v>
      </c>
      <c r="B211" s="76" t="s">
        <v>272</v>
      </c>
      <c r="C211" s="77" t="s">
        <v>251</v>
      </c>
      <c r="D211" s="76">
        <v>5</v>
      </c>
      <c r="E211" s="76">
        <v>22</v>
      </c>
      <c r="F211" s="76">
        <v>17</v>
      </c>
      <c r="G211" s="76">
        <v>1</v>
      </c>
      <c r="H211" s="89">
        <v>43519.08000000001</v>
      </c>
      <c r="I211" s="77">
        <v>0</v>
      </c>
      <c r="J211" s="88">
        <f t="shared" si="18"/>
      </c>
      <c r="K211" s="77">
        <v>21726.510000000002</v>
      </c>
      <c r="L211" s="79">
        <f t="shared" si="5"/>
      </c>
      <c r="M211" s="77">
        <v>2710.8</v>
      </c>
      <c r="N211" s="79">
        <f t="shared" si="1"/>
      </c>
      <c r="O211" s="79">
        <f t="shared" si="7"/>
      </c>
      <c r="P211" s="79">
        <f t="shared" si="3"/>
      </c>
      <c r="Q211" s="77" t="s">
        <v>267</v>
      </c>
      <c r="R211" s="77">
        <v>5</v>
      </c>
      <c r="S211" s="90" t="s">
        <v>253</v>
      </c>
      <c r="T211" s="77">
        <v>5</v>
      </c>
    </row>
    <row r="212">
      <c r="A212" s="81" t="s">
        <v>277</v>
      </c>
      <c r="B212" s="82"/>
      <c r="C212" s="82"/>
      <c r="D212" s="87">
        <f>D210+D211</f>
      </c>
      <c r="E212" s="87">
        <f>E210+E211</f>
      </c>
      <c r="F212" s="87">
        <f>F210+F211</f>
      </c>
      <c r="G212" s="87">
        <f>G210+G211</f>
      </c>
      <c r="H212" s="87">
        <f>H210+H211</f>
      </c>
      <c r="I212" s="87">
        <f>I210+I211</f>
      </c>
      <c r="J212" s="87">
        <f>J210+J211</f>
      </c>
      <c r="K212" s="87">
        <f>K210+K211</f>
      </c>
      <c r="L212" s="84">
        <f t="shared" si="5"/>
      </c>
      <c r="M212" s="87">
        <f>M210+M211</f>
      </c>
      <c r="N212" s="85">
        <f t="shared" si="1"/>
      </c>
      <c r="O212" s="84">
        <f t="shared" si="7"/>
      </c>
      <c r="P212" s="84">
        <f t="shared" si="3"/>
      </c>
      <c r="Q212" s="82"/>
      <c r="R212" s="83">
        <f>SUM(R210)</f>
      </c>
      <c r="S212" s="82"/>
      <c r="T212" s="83">
        <f>SUM(T210)</f>
      </c>
    </row>
  </sheetData>
  <autoFilter ref="A1:T408"/>
  <mergeCells>
    <mergeCell ref="S59:S60"/>
    <mergeCell ref="T59:T60"/>
    <mergeCell ref="S62:S63"/>
    <mergeCell ref="T62:T63"/>
    <mergeCell ref="S65:S66"/>
    <mergeCell ref="T65:T66"/>
    <mergeCell ref="S68:S69"/>
    <mergeCell ref="T68:T69"/>
    <mergeCell ref="S71:S72"/>
    <mergeCell ref="T71:T7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2.64480633802817"/>
    <col collapsed="false" customWidth="true" hidden="false" max="8" min="8" style="0" width="11.211267605633802"/>
  </cols>
  <sheetData>
    <row r="1">
      <c r="A1" s="97" t="s">
        <v>287</v>
      </c>
      <c r="B1" s="97" t="s">
        <v>288</v>
      </c>
      <c r="C1" s="97" t="s">
        <v>289</v>
      </c>
      <c r="D1" s="97" t="s">
        <v>290</v>
      </c>
      <c r="E1" s="97" t="s">
        <v>291</v>
      </c>
      <c r="F1" s="97" t="s">
        <v>292</v>
      </c>
      <c r="G1" s="97" t="s">
        <v>293</v>
      </c>
      <c r="H1" s="97" t="s">
        <v>294</v>
      </c>
      <c r="I1" s="97" t="s">
        <v>295</v>
      </c>
      <c r="J1" s="98" t="s">
        <v>296</v>
      </c>
      <c r="K1" s="98" t="s">
        <v>297</v>
      </c>
      <c r="L1" s="99" t="s">
        <v>298</v>
      </c>
      <c r="M1" s="98" t="s">
        <v>299</v>
      </c>
      <c r="N1" s="99" t="s">
        <v>300</v>
      </c>
      <c r="O1" s="99" t="s">
        <v>301</v>
      </c>
      <c r="P1" s="99" t="s">
        <v>302</v>
      </c>
      <c r="Q1" s="97" t="s">
        <v>303</v>
      </c>
      <c r="R1" s="97" t="s">
        <v>304</v>
      </c>
      <c r="S1" s="100" t="s">
        <v>305</v>
      </c>
      <c r="T1" s="97" t="s">
        <v>306</v>
      </c>
    </row>
    <row r="2">
      <c r="A2" s="101" t="s">
        <v>307</v>
      </c>
      <c r="B2" s="102" t="s">
        <v>308</v>
      </c>
      <c r="C2" s="101" t="s">
        <v>309</v>
      </c>
      <c r="D2" s="101">
        <v>4</v>
      </c>
      <c r="E2" s="101">
        <v>1</v>
      </c>
      <c r="F2" s="101">
        <v>1</v>
      </c>
      <c r="G2" s="101">
        <v>0</v>
      </c>
      <c r="H2" s="101">
        <v>498.96</v>
      </c>
      <c r="I2" s="101">
        <v>0</v>
      </c>
      <c r="J2" s="103">
        <f>H2+I2</f>
      </c>
      <c r="K2" s="102">
        <v>1481.92</v>
      </c>
      <c r="L2" s="104">
        <f>J2/K2</f>
      </c>
      <c r="M2" s="101">
        <v>0</v>
      </c>
      <c r="N2" s="104">
        <f>(J2-M2)/K2</f>
      </c>
      <c r="O2" s="104">
        <f>J2/E2</f>
      </c>
      <c r="P2" s="104">
        <f>K2/E2</f>
      </c>
      <c r="Q2" s="101" t="s">
        <v>310</v>
      </c>
      <c r="R2" s="101">
        <v>3</v>
      </c>
      <c r="S2" s="105" t="s">
        <v>311</v>
      </c>
      <c r="T2" s="101">
        <v>4</v>
      </c>
    </row>
    <row customHeight="true" ht="16.666666666666668" r="3">
      <c r="A3" s="101" t="s">
        <v>307</v>
      </c>
      <c r="B3" s="102" t="s">
        <v>308</v>
      </c>
      <c r="C3" s="101"/>
      <c r="D3" s="101"/>
      <c r="E3" s="101"/>
      <c r="F3" s="102"/>
      <c r="G3" s="102"/>
      <c r="H3" s="102"/>
      <c r="I3" s="102"/>
      <c r="J3" s="103"/>
      <c r="K3" s="102"/>
      <c r="L3" s="104"/>
      <c r="M3" s="102"/>
      <c r="N3" s="104"/>
      <c r="O3" s="104"/>
      <c r="P3" s="104"/>
      <c r="Q3" s="101" t="s">
        <v>312</v>
      </c>
      <c r="R3" s="101">
        <v>1</v>
      </c>
      <c r="S3" s="105"/>
      <c r="T3" s="101"/>
    </row>
    <row r="4">
      <c r="A4" s="106" t="s">
        <v>307</v>
      </c>
      <c r="B4" s="107"/>
      <c r="C4" s="107"/>
      <c r="D4" s="108">
        <f>SUM(D2:D3)</f>
      </c>
      <c r="E4" s="108">
        <f>SUM(E2:E3)</f>
      </c>
      <c r="F4" s="108">
        <f>SUM(F2:F3)</f>
      </c>
      <c r="G4" s="108">
        <f>SUM(G2:G3)</f>
      </c>
      <c r="H4" s="108">
        <f>SUM(H2:H3)</f>
      </c>
      <c r="I4" s="108">
        <f>SUM(I2:I3)</f>
      </c>
      <c r="J4" s="108">
        <f>SUM(J2:J3)</f>
      </c>
      <c r="K4" s="108">
        <f>SUM(K2:K3)</f>
      </c>
      <c r="L4" s="109">
        <f t="shared" ref="L4:L19" si="5">J4/K4</f>
      </c>
      <c r="M4" s="108">
        <f>SUM(M2:M3)</f>
      </c>
      <c r="N4" s="110">
        <f t="shared" ref="N4:N16" si="0">(J4-M4)/K4</f>
      </c>
      <c r="O4" s="109">
        <f t="shared" ref="O4:O19" si="7">J4/E4</f>
      </c>
      <c r="P4" s="109">
        <f t="shared" ref="P4:P19" si="3">K4/E4</f>
      </c>
      <c r="Q4" s="107"/>
      <c r="R4" s="108">
        <f>SUM(R2:R3)</f>
      </c>
      <c r="S4" s="107"/>
      <c r="T4" s="108">
        <f>SUM(T2:T3)</f>
      </c>
    </row>
    <row r="5">
      <c r="A5" s="101" t="s">
        <v>313</v>
      </c>
      <c r="B5" s="102" t="s">
        <v>308</v>
      </c>
      <c r="C5" s="101" t="s">
        <v>309</v>
      </c>
      <c r="D5" s="101">
        <v>4</v>
      </c>
      <c r="E5" s="101">
        <v>3</v>
      </c>
      <c r="F5" s="101">
        <v>2</v>
      </c>
      <c r="G5" s="101">
        <v>2</v>
      </c>
      <c r="H5" s="101">
        <v>9372.48</v>
      </c>
      <c r="I5" s="101">
        <v>0</v>
      </c>
      <c r="J5" s="103">
        <f>H5+I5</f>
      </c>
      <c r="K5" s="101">
        <v>4257.82</v>
      </c>
      <c r="L5" s="104">
        <f t="shared" si="5"/>
      </c>
      <c r="M5" s="101">
        <v>757.08</v>
      </c>
      <c r="N5" s="104">
        <f t="shared" si="0"/>
      </c>
      <c r="O5" s="104">
        <f t="shared" si="7"/>
      </c>
      <c r="P5" s="104">
        <f t="shared" si="3"/>
      </c>
      <c r="Q5" s="101" t="s">
        <v>314</v>
      </c>
      <c r="R5" s="101">
        <v>4</v>
      </c>
      <c r="S5" s="105" t="s">
        <v>311</v>
      </c>
      <c r="T5" s="101">
        <v>4</v>
      </c>
    </row>
    <row r="6">
      <c r="A6" s="111" t="s">
        <v>313</v>
      </c>
      <c r="B6" s="107"/>
      <c r="C6" s="107"/>
      <c r="D6" s="108">
        <f>SUM(D5)</f>
      </c>
      <c r="E6" s="108">
        <f>SUM(E5)</f>
      </c>
      <c r="F6" s="108">
        <f>SUM(F5)</f>
      </c>
      <c r="G6" s="108">
        <f>SUM(G5)</f>
      </c>
      <c r="H6" s="108">
        <f>SUM(H5)</f>
      </c>
      <c r="I6" s="108">
        <f>SUM(I5)</f>
      </c>
      <c r="J6" s="108">
        <f>SUM(J5)</f>
      </c>
      <c r="K6" s="108">
        <f>SUM(K5)</f>
      </c>
      <c r="L6" s="109">
        <f t="shared" si="5"/>
      </c>
      <c r="M6" s="108">
        <f>SUM(M5)</f>
      </c>
      <c r="N6" s="110">
        <f t="shared" si="0"/>
      </c>
      <c r="O6" s="109">
        <f t="shared" si="7"/>
      </c>
      <c r="P6" s="109">
        <f t="shared" si="3"/>
      </c>
      <c r="Q6" s="107"/>
      <c r="R6" s="108">
        <f>SUM(R5)</f>
      </c>
      <c r="S6" s="107"/>
      <c r="T6" s="108">
        <f>SUM(T5)</f>
      </c>
    </row>
    <row r="7">
      <c r="A7" s="101" t="s">
        <v>315</v>
      </c>
      <c r="B7" s="102" t="s">
        <v>308</v>
      </c>
      <c r="C7" s="101" t="s">
        <v>309</v>
      </c>
      <c r="D7" s="101">
        <v>4</v>
      </c>
      <c r="E7" s="101">
        <v>2</v>
      </c>
      <c r="F7" s="101">
        <v>2</v>
      </c>
      <c r="G7" s="101">
        <v>0</v>
      </c>
      <c r="H7" s="101">
        <v>638.2800000000002</v>
      </c>
      <c r="I7" s="101">
        <v>1664</v>
      </c>
      <c r="J7" s="103">
        <f>H7+I7</f>
      </c>
      <c r="K7" s="101">
        <v>3917.92</v>
      </c>
      <c r="L7" s="104">
        <f t="shared" si="5"/>
      </c>
      <c r="M7" s="101">
        <v>0</v>
      </c>
      <c r="N7" s="104">
        <f t="shared" si="0"/>
      </c>
      <c r="O7" s="104">
        <f t="shared" si="7"/>
      </c>
      <c r="P7" s="104">
        <f t="shared" si="3"/>
      </c>
      <c r="Q7" s="101" t="s">
        <v>316</v>
      </c>
      <c r="R7" s="101">
        <v>4</v>
      </c>
      <c r="S7" s="105" t="s">
        <v>311</v>
      </c>
      <c r="T7" s="101">
        <v>4</v>
      </c>
    </row>
    <row r="8">
      <c r="A8" s="111" t="s">
        <v>315</v>
      </c>
      <c r="B8" s="107"/>
      <c r="C8" s="107"/>
      <c r="D8" s="108">
        <f>SUM(D7)</f>
      </c>
      <c r="E8" s="108">
        <f>SUM(E7)</f>
      </c>
      <c r="F8" s="108">
        <f>SUM(F7)</f>
      </c>
      <c r="G8" s="108">
        <f>SUM(G7)</f>
      </c>
      <c r="H8" s="108">
        <f>SUM(H7)</f>
      </c>
      <c r="I8" s="108">
        <f>SUM(I7)</f>
      </c>
      <c r="J8" s="108">
        <f>SUM(J7)</f>
      </c>
      <c r="K8" s="108">
        <f>SUM(K7)</f>
      </c>
      <c r="L8" s="109">
        <f t="shared" si="5"/>
      </c>
      <c r="M8" s="108">
        <f>SUM(M7)</f>
      </c>
      <c r="N8" s="110">
        <f t="shared" si="0"/>
      </c>
      <c r="O8" s="109">
        <f t="shared" si="7"/>
      </c>
      <c r="P8" s="109">
        <f t="shared" si="3"/>
      </c>
      <c r="Q8" s="107"/>
      <c r="R8" s="108">
        <f>SUM(R7)</f>
      </c>
      <c r="S8" s="107"/>
      <c r="T8" s="108">
        <f>SUM(T7)</f>
      </c>
    </row>
    <row r="9">
      <c r="A9" s="101" t="s">
        <v>317</v>
      </c>
      <c r="B9" s="102" t="s">
        <v>308</v>
      </c>
      <c r="C9" s="101" t="s">
        <v>309</v>
      </c>
      <c r="D9" s="101">
        <v>4</v>
      </c>
      <c r="E9" s="101">
        <v>1</v>
      </c>
      <c r="F9" s="101">
        <v>1</v>
      </c>
      <c r="G9" s="101">
        <v>0</v>
      </c>
      <c r="H9" s="101">
        <v>518.4</v>
      </c>
      <c r="I9" s="101">
        <v>0</v>
      </c>
      <c r="J9" s="103">
        <f>H9+I9</f>
      </c>
      <c r="K9" s="101">
        <v>5061.06</v>
      </c>
      <c r="L9" s="104">
        <f t="shared" si="5"/>
      </c>
      <c r="M9" s="101">
        <v>0</v>
      </c>
      <c r="N9" s="104">
        <f t="shared" si="0"/>
      </c>
      <c r="O9" s="104">
        <f t="shared" si="7"/>
      </c>
      <c r="P9" s="104">
        <f t="shared" si="3"/>
      </c>
      <c r="Q9" s="101" t="s">
        <v>316</v>
      </c>
      <c r="R9" s="101">
        <v>4</v>
      </c>
      <c r="S9" s="105" t="s">
        <v>311</v>
      </c>
      <c r="T9" s="101">
        <v>4</v>
      </c>
    </row>
    <row r="10">
      <c r="A10" s="111" t="s">
        <v>317</v>
      </c>
      <c r="B10" s="107"/>
      <c r="C10" s="107"/>
      <c r="D10" s="108">
        <f>SUM(D9)</f>
      </c>
      <c r="E10" s="108">
        <f>SUM(E9)</f>
      </c>
      <c r="F10" s="108">
        <f>SUM(F9)</f>
      </c>
      <c r="G10" s="108">
        <f>SUM(G9)</f>
      </c>
      <c r="H10" s="108">
        <f>SUM(H9)</f>
      </c>
      <c r="I10" s="108">
        <f>SUM(I9)</f>
      </c>
      <c r="J10" s="108">
        <f>SUM(J9)</f>
      </c>
      <c r="K10" s="108">
        <f>SUM(K9)</f>
      </c>
      <c r="L10" s="109">
        <f t="shared" si="5"/>
      </c>
      <c r="M10" s="108">
        <f>SUM(M9)</f>
      </c>
      <c r="N10" s="110">
        <f t="shared" si="0"/>
      </c>
      <c r="O10" s="109">
        <f t="shared" si="7"/>
      </c>
      <c r="P10" s="109">
        <f t="shared" si="3"/>
      </c>
      <c r="Q10" s="107"/>
      <c r="R10" s="108">
        <f>SUM(R9)</f>
      </c>
      <c r="S10" s="107"/>
      <c r="T10" s="108">
        <f>SUM(T9)</f>
      </c>
    </row>
    <row r="11">
      <c r="A11" s="101" t="s">
        <v>318</v>
      </c>
      <c r="B11" s="102" t="s">
        <v>308</v>
      </c>
      <c r="C11" s="101" t="s">
        <v>319</v>
      </c>
      <c r="D11" s="101">
        <v>2.5</v>
      </c>
      <c r="E11" s="101">
        <v>1</v>
      </c>
      <c r="F11" s="101">
        <v>0</v>
      </c>
      <c r="G11" s="101">
        <v>0</v>
      </c>
      <c r="H11" s="101">
        <v>685.8</v>
      </c>
      <c r="I11" s="101">
        <v>0</v>
      </c>
      <c r="J11" s="103">
        <f>H11+I11</f>
      </c>
      <c r="K11" s="101">
        <v>3106.62</v>
      </c>
      <c r="L11" s="104">
        <f t="shared" si="5"/>
      </c>
      <c r="M11" s="101">
        <v>0</v>
      </c>
      <c r="N11" s="104">
        <f t="shared" si="0"/>
      </c>
      <c r="O11" s="104">
        <f t="shared" si="7"/>
      </c>
      <c r="P11" s="104">
        <f t="shared" si="3"/>
      </c>
      <c r="Q11" s="101" t="s">
        <v>316</v>
      </c>
      <c r="R11" s="101">
        <v>2.5</v>
      </c>
      <c r="S11" s="105" t="s">
        <v>311</v>
      </c>
      <c r="T11" s="101">
        <v>2.5</v>
      </c>
    </row>
    <row r="12">
      <c r="A12" s="111" t="s">
        <v>318</v>
      </c>
      <c r="B12" s="107"/>
      <c r="C12" s="107"/>
      <c r="D12" s="108">
        <f>SUM(D11)</f>
      </c>
      <c r="E12" s="108">
        <f>SUM(E11)</f>
      </c>
      <c r="F12" s="108">
        <f>SUM(F11)</f>
      </c>
      <c r="G12" s="108">
        <f>SUM(G11)</f>
      </c>
      <c r="H12" s="108">
        <f>SUM(H11)</f>
      </c>
      <c r="I12" s="108">
        <f>SUM(I11)</f>
      </c>
      <c r="J12" s="108">
        <f>SUM(J11)</f>
      </c>
      <c r="K12" s="108">
        <f>SUM(K11)</f>
      </c>
      <c r="L12" s="109">
        <f t="shared" si="5"/>
      </c>
      <c r="M12" s="108">
        <f>SUM(M11)</f>
      </c>
      <c r="N12" s="110">
        <f t="shared" si="0"/>
      </c>
      <c r="O12" s="109">
        <f t="shared" si="7"/>
      </c>
      <c r="P12" s="109">
        <f t="shared" si="3"/>
      </c>
      <c r="Q12" s="107"/>
      <c r="R12" s="108">
        <f>SUM(R11)</f>
      </c>
      <c r="S12" s="107"/>
      <c r="T12" s="108">
        <f>SUM(T11)</f>
      </c>
    </row>
    <row r="13">
      <c r="A13" s="101" t="s">
        <v>320</v>
      </c>
      <c r="B13" s="102" t="s">
        <v>308</v>
      </c>
      <c r="C13" s="101" t="s">
        <v>309</v>
      </c>
      <c r="D13" s="101">
        <v>4</v>
      </c>
      <c r="E13" s="101">
        <v>1</v>
      </c>
      <c r="F13" s="101">
        <v>1</v>
      </c>
      <c r="G13" s="101">
        <v>0</v>
      </c>
      <c r="H13" s="101">
        <v>1591.92</v>
      </c>
      <c r="I13" s="101">
        <v>0</v>
      </c>
      <c r="J13" s="103">
        <f>H13+I13</f>
      </c>
      <c r="K13" s="101">
        <v>3669.93</v>
      </c>
      <c r="L13" s="104">
        <f t="shared" si="5"/>
      </c>
      <c r="M13" s="101">
        <v>0</v>
      </c>
      <c r="N13" s="104">
        <f t="shared" si="0"/>
      </c>
      <c r="O13" s="104">
        <f t="shared" si="7"/>
      </c>
      <c r="P13" s="104">
        <f t="shared" si="3"/>
      </c>
      <c r="Q13" s="101" t="s">
        <v>314</v>
      </c>
      <c r="R13" s="101">
        <v>4</v>
      </c>
      <c r="S13" s="105" t="s">
        <v>311</v>
      </c>
      <c r="T13" s="101">
        <v>4</v>
      </c>
    </row>
    <row r="14">
      <c r="A14" s="111" t="s">
        <v>320</v>
      </c>
      <c r="B14" s="107"/>
      <c r="C14" s="107"/>
      <c r="D14" s="108">
        <f>SUM(D13)</f>
      </c>
      <c r="E14" s="108">
        <f>SUM(E13)</f>
      </c>
      <c r="F14" s="108">
        <f>SUM(F13)</f>
      </c>
      <c r="G14" s="108">
        <f>SUM(G13)</f>
      </c>
      <c r="H14" s="108">
        <f>SUM(H13)</f>
      </c>
      <c r="I14" s="108">
        <f>SUM(I13)</f>
      </c>
      <c r="J14" s="108">
        <f>SUM(J13)</f>
      </c>
      <c r="K14" s="108">
        <f>SUM(K13)</f>
      </c>
      <c r="L14" s="109">
        <f t="shared" si="5"/>
      </c>
      <c r="M14" s="108">
        <f>SUM(M13)</f>
      </c>
      <c r="N14" s="110">
        <f t="shared" si="0"/>
      </c>
      <c r="O14" s="109">
        <f t="shared" si="7"/>
      </c>
      <c r="P14" s="109">
        <f t="shared" si="3"/>
      </c>
      <c r="Q14" s="107"/>
      <c r="R14" s="108">
        <f>SUM(R13)</f>
      </c>
      <c r="S14" s="107"/>
      <c r="T14" s="108">
        <f>SUM(T13)</f>
      </c>
    </row>
    <row r="15">
      <c r="A15" s="101" t="s">
        <v>321</v>
      </c>
      <c r="B15" s="102" t="s">
        <v>308</v>
      </c>
      <c r="C15" s="101" t="s">
        <v>309</v>
      </c>
      <c r="D15" s="101">
        <v>4</v>
      </c>
      <c r="E15" s="101">
        <v>2</v>
      </c>
      <c r="F15" s="101">
        <v>2</v>
      </c>
      <c r="G15" s="101">
        <v>0</v>
      </c>
      <c r="H15" s="101">
        <v>2472.12</v>
      </c>
      <c r="I15" s="101">
        <v>0</v>
      </c>
      <c r="J15" s="103">
        <f>H15+I15</f>
      </c>
      <c r="K15" s="101">
        <v>3474.7400000000002</v>
      </c>
      <c r="L15" s="104">
        <f t="shared" si="5"/>
      </c>
      <c r="M15" s="101">
        <v>0</v>
      </c>
      <c r="N15" s="104">
        <f t="shared" si="0"/>
      </c>
      <c r="O15" s="104">
        <f t="shared" si="7"/>
      </c>
      <c r="P15" s="104">
        <f t="shared" si="3"/>
      </c>
      <c r="Q15" s="101" t="s">
        <v>322</v>
      </c>
      <c r="R15" s="101">
        <v>4</v>
      </c>
      <c r="S15" s="105" t="s">
        <v>311</v>
      </c>
      <c r="T15" s="101">
        <v>4</v>
      </c>
    </row>
    <row r="16">
      <c r="A16" s="111" t="s">
        <v>321</v>
      </c>
      <c r="B16" s="107"/>
      <c r="C16" s="107"/>
      <c r="D16" s="108">
        <f>SUM(D15)</f>
      </c>
      <c r="E16" s="108">
        <f>SUM(E15)</f>
      </c>
      <c r="F16" s="108">
        <f>SUM(F15)</f>
      </c>
      <c r="G16" s="108">
        <f>SUM(G15)</f>
      </c>
      <c r="H16" s="108">
        <f>SUM(H15)</f>
      </c>
      <c r="I16" s="108">
        <f>SUM(I15)</f>
      </c>
      <c r="J16" s="108">
        <f>SUM(J15)</f>
      </c>
      <c r="K16" s="108">
        <f>SUM(K15)</f>
      </c>
      <c r="L16" s="109">
        <f t="shared" si="5"/>
      </c>
      <c r="M16" s="108">
        <f>SUM(M15)</f>
      </c>
      <c r="N16" s="110">
        <f t="shared" si="0"/>
      </c>
      <c r="O16" s="109">
        <f t="shared" si="7"/>
      </c>
      <c r="P16" s="109">
        <f t="shared" si="3"/>
      </c>
      <c r="Q16" s="107"/>
      <c r="R16" s="108">
        <f>SUM(R15)</f>
      </c>
      <c r="S16" s="107"/>
      <c r="T16" s="108">
        <f>SUM(T15)</f>
      </c>
    </row>
    <row r="17">
      <c r="A17" s="101" t="s">
        <v>323</v>
      </c>
      <c r="B17" s="102" t="s">
        <v>308</v>
      </c>
      <c r="C17" s="101" t="s">
        <v>309</v>
      </c>
      <c r="D17" s="101">
        <v>4</v>
      </c>
      <c r="E17" s="101">
        <v>3</v>
      </c>
      <c r="F17" s="101">
        <v>3</v>
      </c>
      <c r="G17" s="101">
        <v>0</v>
      </c>
      <c r="H17" s="101">
        <v>2916.12</v>
      </c>
      <c r="I17" s="101">
        <v>0</v>
      </c>
      <c r="J17" s="103">
        <f>H17+I17</f>
      </c>
      <c r="K17" s="101">
        <v>3795.3599999999997</v>
      </c>
      <c r="L17" s="104">
        <f t="shared" si="5"/>
      </c>
      <c r="M17" s="101">
        <v>0</v>
      </c>
      <c r="N17" s="112">
        <v>0</v>
      </c>
      <c r="O17" s="104">
        <f t="shared" si="7"/>
      </c>
      <c r="P17" s="104">
        <f t="shared" si="3"/>
      </c>
      <c r="Q17" s="101" t="s">
        <v>324</v>
      </c>
      <c r="R17" s="101">
        <v>4</v>
      </c>
      <c r="S17" s="105" t="s">
        <v>311</v>
      </c>
      <c r="T17" s="101">
        <v>4</v>
      </c>
    </row>
    <row r="18">
      <c r="A18" s="111" t="s">
        <v>323</v>
      </c>
      <c r="B18" s="107"/>
      <c r="C18" s="107"/>
      <c r="D18" s="108">
        <f>SUM(D17)</f>
      </c>
      <c r="E18" s="108">
        <f>SUM(E17)</f>
      </c>
      <c r="F18" s="108">
        <f>SUM(F17)</f>
      </c>
      <c r="G18" s="108">
        <f>SUM(G17)</f>
      </c>
      <c r="H18" s="108">
        <f>SUM(H17)</f>
      </c>
      <c r="I18" s="108">
        <f>SUM(I17)</f>
      </c>
      <c r="J18" s="108">
        <f>SUM(J17)</f>
      </c>
      <c r="K18" s="108">
        <f>SUM(K17)</f>
      </c>
      <c r="L18" s="109">
        <f t="shared" si="5"/>
      </c>
      <c r="M18" s="108">
        <f>SUM(M17)</f>
      </c>
      <c r="N18" s="110">
        <f t="shared" ref="N18:N19" si="1">(J18-M18)/K18</f>
      </c>
      <c r="O18" s="109">
        <f t="shared" si="7"/>
      </c>
      <c r="P18" s="109">
        <f t="shared" si="3"/>
      </c>
      <c r="Q18" s="107"/>
      <c r="R18" s="108">
        <f>SUM(R17)</f>
      </c>
      <c r="S18" s="107"/>
      <c r="T18" s="108">
        <f>SUM(T17)</f>
      </c>
    </row>
    <row r="19">
      <c r="A19" s="101" t="s">
        <v>325</v>
      </c>
      <c r="B19" s="102" t="s">
        <v>308</v>
      </c>
      <c r="C19" s="101" t="s">
        <v>309</v>
      </c>
      <c r="D19" s="101">
        <v>4</v>
      </c>
      <c r="E19" s="101">
        <v>1</v>
      </c>
      <c r="F19" s="101">
        <v>1</v>
      </c>
      <c r="G19" s="101">
        <v>0</v>
      </c>
      <c r="H19" s="101">
        <v>542.16</v>
      </c>
      <c r="I19" s="101">
        <v>0</v>
      </c>
      <c r="J19" s="103">
        <f>H19+I19</f>
      </c>
      <c r="K19" s="101">
        <v>3362.9800000000005</v>
      </c>
      <c r="L19" s="104">
        <f t="shared" si="5"/>
      </c>
      <c r="M19" s="101">
        <v>0</v>
      </c>
      <c r="N19" s="104">
        <f t="shared" si="1"/>
      </c>
      <c r="O19" s="104">
        <f t="shared" si="7"/>
      </c>
      <c r="P19" s="104">
        <f t="shared" si="3"/>
      </c>
      <c r="Q19" s="101" t="s">
        <v>310</v>
      </c>
      <c r="R19" s="101">
        <v>2</v>
      </c>
      <c r="S19" s="105" t="s">
        <v>311</v>
      </c>
      <c r="T19" s="101">
        <v>4</v>
      </c>
    </row>
    <row customHeight="true" ht="16.666666666666668" r="20">
      <c r="A20" s="101" t="s">
        <v>325</v>
      </c>
      <c r="B20" s="102" t="s">
        <v>308</v>
      </c>
      <c r="C20" s="101"/>
      <c r="D20" s="101"/>
      <c r="E20" s="101"/>
      <c r="F20" s="101"/>
      <c r="G20" s="101"/>
      <c r="H20" s="101"/>
      <c r="I20" s="101"/>
      <c r="J20" s="103"/>
      <c r="K20" s="101"/>
      <c r="L20" s="104"/>
      <c r="M20" s="101"/>
      <c r="N20" s="104"/>
      <c r="O20" s="104"/>
      <c r="P20" s="104"/>
      <c r="Q20" s="101" t="s">
        <v>312</v>
      </c>
      <c r="R20" s="101">
        <v>2</v>
      </c>
      <c r="S20" s="105"/>
      <c r="T20" s="101"/>
    </row>
    <row r="21">
      <c r="A21" s="111" t="s">
        <v>325</v>
      </c>
      <c r="B21" s="107"/>
      <c r="C21" s="107"/>
      <c r="D21" s="108">
        <f>SUM(D19)</f>
      </c>
      <c r="E21" s="108">
        <f>SUM(E19)</f>
      </c>
      <c r="F21" s="108">
        <f>SUM(F19)</f>
      </c>
      <c r="G21" s="108">
        <f>SUM(G19)</f>
      </c>
      <c r="H21" s="108">
        <f>SUM(H19)</f>
      </c>
      <c r="I21" s="108">
        <f>SUM(I19)</f>
      </c>
      <c r="J21" s="108">
        <f>SUM(J19)</f>
      </c>
      <c r="K21" s="108">
        <f>SUM(K19)</f>
      </c>
      <c r="L21" s="109">
        <f t="shared" ref="L21:L29" si="6">J21/K21</f>
      </c>
      <c r="M21" s="108">
        <f>SUM(M19)</f>
      </c>
      <c r="N21" s="110">
        <f t="shared" ref="N21:N29" si="2">(J21-M21)/K21</f>
      </c>
      <c r="O21" s="109">
        <f t="shared" ref="O21:O29" si="8">J21/E21</f>
      </c>
      <c r="P21" s="109">
        <f t="shared" ref="P21:P29" si="4">K21/E21</f>
      </c>
      <c r="Q21" s="107"/>
      <c r="R21" s="108">
        <f>SUM(R19:R20)</f>
      </c>
      <c r="S21" s="107"/>
      <c r="T21" s="108">
        <f>SUM(T19)</f>
      </c>
    </row>
    <row r="22">
      <c r="A22" s="101" t="s">
        <v>326</v>
      </c>
      <c r="B22" s="102" t="s">
        <v>308</v>
      </c>
      <c r="C22" s="101" t="s">
        <v>309</v>
      </c>
      <c r="D22" s="101">
        <v>4</v>
      </c>
      <c r="E22" s="101">
        <v>7</v>
      </c>
      <c r="F22" s="101">
        <v>7</v>
      </c>
      <c r="G22" s="101">
        <v>0</v>
      </c>
      <c r="H22" s="101">
        <v>15242.04</v>
      </c>
      <c r="I22" s="101">
        <v>0</v>
      </c>
      <c r="J22" s="103">
        <f>H22+I22</f>
      </c>
      <c r="K22" s="101">
        <v>14996.130000000001</v>
      </c>
      <c r="L22" s="104">
        <f t="shared" si="6"/>
      </c>
      <c r="M22" s="101">
        <v>1901.88</v>
      </c>
      <c r="N22" s="104">
        <f t="shared" si="2"/>
      </c>
      <c r="O22" s="104">
        <f t="shared" si="8"/>
      </c>
      <c r="P22" s="104">
        <f t="shared" si="4"/>
      </c>
      <c r="Q22" s="101" t="s">
        <v>312</v>
      </c>
      <c r="R22" s="101">
        <v>4</v>
      </c>
      <c r="S22" s="105" t="s">
        <v>311</v>
      </c>
      <c r="T22" s="101">
        <v>4</v>
      </c>
    </row>
    <row r="23">
      <c r="A23" s="111" t="s">
        <v>326</v>
      </c>
      <c r="B23" s="107"/>
      <c r="C23" s="107"/>
      <c r="D23" s="108">
        <f>SUM(D22)</f>
      </c>
      <c r="E23" s="108">
        <f>SUM(E22)</f>
      </c>
      <c r="F23" s="108">
        <f>SUM(F22)</f>
      </c>
      <c r="G23" s="108">
        <f>SUM(G22)</f>
      </c>
      <c r="H23" s="108">
        <f>SUM(H22)</f>
      </c>
      <c r="I23" s="108">
        <f>SUM(I22)</f>
      </c>
      <c r="J23" s="108">
        <f>SUM(J22)</f>
      </c>
      <c r="K23" s="108">
        <f>SUM(K22)</f>
      </c>
      <c r="L23" s="109">
        <f t="shared" si="6"/>
      </c>
      <c r="M23" s="108">
        <f>SUM(M22)</f>
      </c>
      <c r="N23" s="110">
        <f t="shared" si="2"/>
      </c>
      <c r="O23" s="109">
        <f t="shared" si="8"/>
      </c>
      <c r="P23" s="109">
        <f t="shared" si="4"/>
      </c>
      <c r="Q23" s="107"/>
      <c r="R23" s="108">
        <f>SUM(R22)</f>
      </c>
      <c r="S23" s="107"/>
      <c r="T23" s="108">
        <f>SUM(T22)</f>
      </c>
    </row>
    <row r="24">
      <c r="A24" s="101" t="s">
        <v>327</v>
      </c>
      <c r="B24" s="102" t="s">
        <v>308</v>
      </c>
      <c r="C24" s="101" t="s">
        <v>309</v>
      </c>
      <c r="D24" s="101">
        <v>4</v>
      </c>
      <c r="E24" s="101">
        <v>4</v>
      </c>
      <c r="F24" s="101">
        <v>4</v>
      </c>
      <c r="G24" s="101">
        <v>0</v>
      </c>
      <c r="H24" s="101">
        <v>4621.32</v>
      </c>
      <c r="I24" s="101">
        <v>0</v>
      </c>
      <c r="J24" s="103">
        <f>H24+I24</f>
      </c>
      <c r="K24" s="101">
        <v>12163.35</v>
      </c>
      <c r="L24" s="104">
        <f t="shared" si="6"/>
      </c>
      <c r="M24" s="101">
        <v>0</v>
      </c>
      <c r="N24" s="104">
        <f t="shared" si="2"/>
      </c>
      <c r="O24" s="104">
        <f t="shared" si="8"/>
      </c>
      <c r="P24" s="104">
        <f t="shared" si="4"/>
      </c>
      <c r="Q24" s="101" t="s">
        <v>312</v>
      </c>
      <c r="R24" s="101">
        <v>4</v>
      </c>
      <c r="S24" s="105" t="s">
        <v>311</v>
      </c>
      <c r="T24" s="101">
        <v>4</v>
      </c>
    </row>
    <row r="25">
      <c r="A25" s="111" t="s">
        <v>327</v>
      </c>
      <c r="B25" s="107"/>
      <c r="C25" s="107"/>
      <c r="D25" s="108">
        <f>SUM(D24)</f>
      </c>
      <c r="E25" s="108">
        <f>SUM(E24)</f>
      </c>
      <c r="F25" s="108">
        <f>SUM(F24)</f>
      </c>
      <c r="G25" s="108">
        <f>SUM(G24)</f>
      </c>
      <c r="H25" s="108">
        <f>SUM(H24)</f>
      </c>
      <c r="I25" s="108">
        <f>SUM(I24)</f>
      </c>
      <c r="J25" s="108">
        <f>SUM(J24)</f>
      </c>
      <c r="K25" s="108">
        <f>SUM(K24)</f>
      </c>
      <c r="L25" s="109">
        <f t="shared" si="6"/>
      </c>
      <c r="M25" s="108">
        <f>SUM(M24)</f>
      </c>
      <c r="N25" s="110">
        <f t="shared" si="2"/>
      </c>
      <c r="O25" s="109">
        <f t="shared" si="8"/>
      </c>
      <c r="P25" s="109">
        <f t="shared" si="4"/>
      </c>
      <c r="Q25" s="107"/>
      <c r="R25" s="108">
        <f>SUM(R24)</f>
      </c>
      <c r="S25" s="107"/>
      <c r="T25" s="108">
        <f>SUM(T24)</f>
      </c>
    </row>
    <row r="26">
      <c r="A26" s="101" t="s">
        <v>328</v>
      </c>
      <c r="B26" s="102" t="s">
        <v>308</v>
      </c>
      <c r="C26" s="101" t="s">
        <v>329</v>
      </c>
      <c r="D26" s="101">
        <v>5</v>
      </c>
      <c r="E26" s="101">
        <v>14</v>
      </c>
      <c r="F26" s="101">
        <v>11</v>
      </c>
      <c r="G26" s="101">
        <v>0</v>
      </c>
      <c r="H26" s="101">
        <v>15380.28</v>
      </c>
      <c r="I26" s="101">
        <v>452</v>
      </c>
      <c r="J26" s="103">
        <f>H26+I26</f>
      </c>
      <c r="K26" s="101">
        <v>18676.92</v>
      </c>
      <c r="L26" s="104">
        <f t="shared" si="6"/>
      </c>
      <c r="M26" s="101">
        <v>0</v>
      </c>
      <c r="N26" s="104">
        <f t="shared" si="2"/>
      </c>
      <c r="O26" s="104">
        <f t="shared" si="8"/>
      </c>
      <c r="P26" s="104">
        <f t="shared" si="4"/>
      </c>
      <c r="Q26" s="101" t="s">
        <v>324</v>
      </c>
      <c r="R26" s="101">
        <v>5</v>
      </c>
      <c r="S26" s="105" t="s">
        <v>311</v>
      </c>
      <c r="T26" s="101">
        <v>5</v>
      </c>
    </row>
    <row r="27">
      <c r="A27" s="111" t="s">
        <v>328</v>
      </c>
      <c r="B27" s="107"/>
      <c r="C27" s="107"/>
      <c r="D27" s="108">
        <f>SUM(D26)</f>
      </c>
      <c r="E27" s="108">
        <f>SUM(E26)</f>
      </c>
      <c r="F27" s="108">
        <f>SUM(F26)</f>
      </c>
      <c r="G27" s="108">
        <f>SUM(G26)</f>
      </c>
      <c r="H27" s="108">
        <f>SUM(H26)</f>
      </c>
      <c r="I27" s="108">
        <f>SUM(I26)</f>
      </c>
      <c r="J27" s="108">
        <f>SUM(J26)</f>
      </c>
      <c r="K27" s="108">
        <f>SUM(K26)</f>
      </c>
      <c r="L27" s="109">
        <f t="shared" si="6"/>
      </c>
      <c r="M27" s="108">
        <f>SUM(M26)</f>
      </c>
      <c r="N27" s="110">
        <f t="shared" si="2"/>
      </c>
      <c r="O27" s="109">
        <f t="shared" si="8"/>
      </c>
      <c r="P27" s="109">
        <f t="shared" si="4"/>
      </c>
      <c r="Q27" s="107"/>
      <c r="R27" s="108">
        <f>SUM(R26)</f>
      </c>
      <c r="S27" s="107"/>
      <c r="T27" s="108">
        <f>SUM(T26)</f>
      </c>
    </row>
    <row r="28">
      <c r="A28" s="101" t="s">
        <v>330</v>
      </c>
      <c r="B28" s="102" t="s">
        <v>308</v>
      </c>
      <c r="C28" s="101" t="s">
        <v>329</v>
      </c>
      <c r="D28" s="113">
        <f>5-0.5</f>
      </c>
      <c r="E28" s="101">
        <v>20</v>
      </c>
      <c r="F28" s="101">
        <v>17</v>
      </c>
      <c r="G28" s="101">
        <v>0</v>
      </c>
      <c r="H28" s="101">
        <v>38365.32</v>
      </c>
      <c r="I28" s="101">
        <v>0</v>
      </c>
      <c r="J28" s="114">
        <v>38365.32</v>
      </c>
      <c r="K28" s="101">
        <v>25868.16</v>
      </c>
      <c r="L28" s="104">
        <f t="shared" si="6"/>
      </c>
      <c r="M28" s="101">
        <v>0</v>
      </c>
      <c r="N28" s="104">
        <f t="shared" si="2"/>
      </c>
      <c r="O28" s="104">
        <f t="shared" si="8"/>
      </c>
      <c r="P28" s="104">
        <f t="shared" si="4"/>
      </c>
      <c r="Q28" s="101" t="s">
        <v>324</v>
      </c>
      <c r="R28" s="101">
        <v>5</v>
      </c>
      <c r="S28" s="105" t="s">
        <v>311</v>
      </c>
      <c r="T28" s="101">
        <v>5</v>
      </c>
    </row>
    <row r="29">
      <c r="A29" s="111" t="s">
        <v>330</v>
      </c>
      <c r="B29" s="107"/>
      <c r="C29" s="107"/>
      <c r="D29" s="108">
        <f>SUM(D28)</f>
      </c>
      <c r="E29" s="108">
        <f>SUM(E28)</f>
      </c>
      <c r="F29" s="108">
        <f>SUM(F28)</f>
      </c>
      <c r="G29" s="108">
        <f>SUM(G28)</f>
      </c>
      <c r="H29" s="108">
        <f>SUM(H28)</f>
      </c>
      <c r="I29" s="108">
        <f>SUM(I28)</f>
      </c>
      <c r="J29" s="108">
        <f>SUM(J28)</f>
      </c>
      <c r="K29" s="108">
        <f>SUM(K28)</f>
      </c>
      <c r="L29" s="109">
        <f t="shared" si="6"/>
      </c>
      <c r="M29" s="108">
        <f>SUM(M28)</f>
      </c>
      <c r="N29" s="110">
        <f t="shared" si="2"/>
      </c>
      <c r="O29" s="109">
        <f t="shared" si="8"/>
      </c>
      <c r="P29" s="109">
        <f t="shared" si="4"/>
      </c>
      <c r="Q29" s="107"/>
      <c r="R29" s="108">
        <f>SUM(R28)</f>
      </c>
      <c r="S29" s="107"/>
      <c r="T29" s="108">
        <f>SUM(T28)</f>
      </c>
    </row>
    <row r="30"/>
    <row r="31"/>
    <row r="32"/>
    <row r="33"/>
    <row r="34">
      <c r="F34" s="115"/>
    </row>
    <row r="35">
      <c r="F35" s="115"/>
    </row>
    <row r="36"/>
    <row r="37">
      <c r="E37" s="115"/>
    </row>
    <row r="38">
      <c r="D38" s="115"/>
      <c r="E38" s="115"/>
    </row>
    <row r="39">
      <c r="D39" s="115"/>
      <c r="E39" s="115"/>
    </row>
  </sheetData>
  <autoFilter ref="A1:T29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18" min="18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</cols>
  <sheetData>
    <row r="1">
      <c r="A1" s="116" t="s">
        <v>331</v>
      </c>
      <c r="B1" s="116" t="s">
        <v>332</v>
      </c>
      <c r="C1" s="116" t="s">
        <v>333</v>
      </c>
      <c r="D1" s="116" t="s">
        <v>334</v>
      </c>
      <c r="E1" s="116" t="s">
        <v>335</v>
      </c>
      <c r="F1" s="116" t="s">
        <v>336</v>
      </c>
      <c r="G1" s="116" t="s">
        <v>337</v>
      </c>
      <c r="H1" s="116" t="s">
        <v>338</v>
      </c>
      <c r="I1" s="116" t="s">
        <v>339</v>
      </c>
      <c r="J1" s="117" t="s">
        <v>340</v>
      </c>
      <c r="K1" s="117" t="s">
        <v>341</v>
      </c>
      <c r="L1" s="118" t="s">
        <v>342</v>
      </c>
      <c r="M1" s="117" t="s">
        <v>343</v>
      </c>
      <c r="N1" s="118" t="s">
        <v>344</v>
      </c>
      <c r="O1" s="118" t="s">
        <v>345</v>
      </c>
      <c r="P1" s="118" t="s">
        <v>346</v>
      </c>
      <c r="Q1" s="116" t="s">
        <v>347</v>
      </c>
      <c r="R1" s="116" t="s">
        <v>348</v>
      </c>
      <c r="S1" s="119" t="s">
        <v>349</v>
      </c>
      <c r="T1" s="116" t="s">
        <v>350</v>
      </c>
    </row>
    <row r="2">
      <c r="A2" s="120">
        <v>46296</v>
      </c>
      <c r="B2" s="121" t="s">
        <v>351</v>
      </c>
      <c r="C2" s="122" t="s">
        <v>352</v>
      </c>
      <c r="D2" s="122">
        <v>5</v>
      </c>
      <c r="E2" s="122">
        <v>79</v>
      </c>
      <c r="F2" s="122">
        <v>63</v>
      </c>
      <c r="G2" s="122">
        <v>2</v>
      </c>
      <c r="H2" s="122">
        <v>130339.2</v>
      </c>
      <c r="I2" s="122">
        <v>1086</v>
      </c>
      <c r="J2" s="123">
        <f t="shared" ref="J2:J6" si="2">H2+I2</f>
      </c>
      <c r="K2" s="122">
        <v>87387.18</v>
      </c>
      <c r="L2" s="124">
        <f t="shared" ref="L2:L106" si="21">J2/K2</f>
      </c>
      <c r="M2" s="122">
        <v>28181.520000000004</v>
      </c>
      <c r="N2" s="124">
        <f t="shared" ref="N2:N106" si="0">(J2-M2)/K2</f>
      </c>
      <c r="O2" s="124">
        <f t="shared" ref="O2:O106" si="20">J2/E2</f>
      </c>
      <c r="P2" s="124">
        <f t="shared" ref="P2:P106" si="1">K2/E2</f>
      </c>
      <c r="Q2" s="122" t="s">
        <v>353</v>
      </c>
      <c r="R2" s="122">
        <v>10</v>
      </c>
      <c r="S2" s="125" t="s">
        <v>354</v>
      </c>
      <c r="T2" s="122">
        <v>20</v>
      </c>
    </row>
    <row r="3">
      <c r="A3" s="120">
        <v>46296</v>
      </c>
      <c r="B3" s="121" t="s">
        <v>355</v>
      </c>
      <c r="C3" s="122" t="s">
        <v>356</v>
      </c>
      <c r="D3" s="122">
        <v>4</v>
      </c>
      <c r="E3" s="122">
        <v>36</v>
      </c>
      <c r="F3" s="122">
        <v>24</v>
      </c>
      <c r="G3" s="122">
        <v>2</v>
      </c>
      <c r="H3" s="126">
        <v>55998.59999999999</v>
      </c>
      <c r="I3" s="122">
        <v>8092</v>
      </c>
      <c r="J3" s="123">
        <f t="shared" si="2"/>
      </c>
      <c r="K3" s="122">
        <v>35019.8</v>
      </c>
      <c r="L3" s="124">
        <f t="shared" si="21"/>
      </c>
      <c r="M3" s="122">
        <v>13119.48</v>
      </c>
      <c r="N3" s="124">
        <f t="shared" si="0"/>
      </c>
      <c r="O3" s="124">
        <f t="shared" si="20"/>
      </c>
      <c r="P3" s="124">
        <f t="shared" si="1"/>
      </c>
      <c r="Q3" s="122"/>
      <c r="R3" s="122"/>
      <c r="S3" s="125"/>
      <c r="T3" s="122"/>
    </row>
    <row r="4">
      <c r="A4" s="120">
        <v>46296</v>
      </c>
      <c r="B4" s="121" t="s">
        <v>357</v>
      </c>
      <c r="C4" s="122" t="s">
        <v>358</v>
      </c>
      <c r="D4" s="122">
        <v>2</v>
      </c>
      <c r="E4" s="122">
        <v>20</v>
      </c>
      <c r="F4" s="122">
        <v>15</v>
      </c>
      <c r="G4" s="122">
        <v>1</v>
      </c>
      <c r="H4" s="126">
        <v>31048.920000000013</v>
      </c>
      <c r="I4" s="122">
        <v>1371</v>
      </c>
      <c r="J4" s="123">
        <f t="shared" si="2"/>
      </c>
      <c r="K4" s="122">
        <v>14596.1</v>
      </c>
      <c r="L4" s="124">
        <f t="shared" si="21"/>
      </c>
      <c r="M4" s="122">
        <v>3888</v>
      </c>
      <c r="N4" s="124">
        <f t="shared" si="0"/>
      </c>
      <c r="O4" s="124">
        <f t="shared" si="20"/>
      </c>
      <c r="P4" s="124">
        <f t="shared" si="1"/>
      </c>
      <c r="Q4" s="122"/>
      <c r="R4" s="122"/>
      <c r="S4" s="125"/>
      <c r="T4" s="122"/>
    </row>
    <row r="5">
      <c r="A5" s="120">
        <v>46296</v>
      </c>
      <c r="B5" s="121" t="s">
        <v>359</v>
      </c>
      <c r="C5" s="122" t="s">
        <v>360</v>
      </c>
      <c r="D5" s="122">
        <v>4</v>
      </c>
      <c r="E5" s="122">
        <v>49</v>
      </c>
      <c r="F5" s="122">
        <v>43</v>
      </c>
      <c r="G5" s="122">
        <v>8</v>
      </c>
      <c r="H5" s="126">
        <v>85251.00000000003</v>
      </c>
      <c r="I5" s="122">
        <v>11047</v>
      </c>
      <c r="J5" s="123">
        <f t="shared" si="2"/>
      </c>
      <c r="K5" s="122">
        <v>48247.96</v>
      </c>
      <c r="L5" s="124">
        <f t="shared" si="21"/>
      </c>
      <c r="M5" s="122">
        <v>3886.6800000000003</v>
      </c>
      <c r="N5" s="124">
        <f t="shared" si="0"/>
      </c>
      <c r="O5" s="124">
        <f t="shared" si="20"/>
      </c>
      <c r="P5" s="124">
        <f t="shared" si="1"/>
      </c>
      <c r="Q5" s="122"/>
      <c r="R5" s="122"/>
      <c r="S5" s="125"/>
      <c r="T5" s="122"/>
    </row>
    <row r="6">
      <c r="A6" s="120">
        <v>46296</v>
      </c>
      <c r="B6" s="121" t="s">
        <v>361</v>
      </c>
      <c r="C6" s="122" t="s">
        <v>362</v>
      </c>
      <c r="D6" s="122">
        <v>5</v>
      </c>
      <c r="E6" s="127">
        <v>23</v>
      </c>
      <c r="F6" s="127">
        <v>20</v>
      </c>
      <c r="G6" s="122">
        <v>3</v>
      </c>
      <c r="H6" s="128">
        <v>35504.759999999966</v>
      </c>
      <c r="I6" s="128">
        <v>5591</v>
      </c>
      <c r="J6" s="123">
        <f t="shared" si="2"/>
      </c>
      <c r="K6" s="128">
        <v>41176.63</v>
      </c>
      <c r="L6" s="124">
        <f t="shared" si="21"/>
      </c>
      <c r="M6" s="122">
        <v>0</v>
      </c>
      <c r="N6" s="124">
        <f t="shared" si="0"/>
      </c>
      <c r="O6" s="124">
        <f t="shared" si="20"/>
      </c>
      <c r="P6" s="124">
        <f t="shared" si="1"/>
      </c>
      <c r="Q6" s="122" t="s">
        <v>363</v>
      </c>
      <c r="R6" s="122">
        <v>10</v>
      </c>
      <c r="S6" s="125"/>
      <c r="T6" s="122"/>
    </row>
    <row r="7">
      <c r="A7" s="129">
        <v>46296</v>
      </c>
      <c r="B7" s="130"/>
      <c r="C7" s="130"/>
      <c r="D7" s="131">
        <f>SUM(D2:D6)</f>
      </c>
      <c r="E7" s="131">
        <v>47</v>
      </c>
      <c r="F7" s="131">
        <v>42</v>
      </c>
      <c r="G7" s="131">
        <f>SUM(G2:G6)</f>
      </c>
      <c r="H7" s="131">
        <f>SUM(H2:H6)</f>
      </c>
      <c r="I7" s="131">
        <f>SUM(I2:I6)</f>
      </c>
      <c r="J7" s="131">
        <f>SUM(J2:J6)</f>
      </c>
      <c r="K7" s="131">
        <f>SUM(K2:K6)</f>
      </c>
      <c r="L7" s="132">
        <f t="shared" si="21"/>
      </c>
      <c r="M7" s="131">
        <f>SUM(M2:M6)</f>
      </c>
      <c r="N7" s="133">
        <f t="shared" si="0"/>
      </c>
      <c r="O7" s="132">
        <f t="shared" si="20"/>
      </c>
      <c r="P7" s="132">
        <f t="shared" si="1"/>
      </c>
      <c r="Q7" s="130"/>
      <c r="R7" s="131">
        <f>SUM(R2:R6)</f>
      </c>
      <c r="S7" s="130"/>
      <c r="T7" s="131">
        <f>SUM(T2:T6)</f>
      </c>
    </row>
    <row r="8">
      <c r="A8" s="120">
        <v>46297</v>
      </c>
      <c r="B8" s="121" t="s">
        <v>351</v>
      </c>
      <c r="C8" s="122" t="s">
        <v>352</v>
      </c>
      <c r="D8" s="122">
        <v>5</v>
      </c>
      <c r="E8" s="122">
        <v>47</v>
      </c>
      <c r="F8" s="122">
        <v>34</v>
      </c>
      <c r="G8" s="122">
        <v>0</v>
      </c>
      <c r="H8" s="122">
        <v>94664.16</v>
      </c>
      <c r="I8" s="122">
        <v>6370</v>
      </c>
      <c r="J8" s="123">
        <f t="shared" ref="J8:J12" si="3">H8+I8</f>
      </c>
      <c r="K8" s="122">
        <v>47931.23999999999</v>
      </c>
      <c r="L8" s="124">
        <f t="shared" si="21"/>
      </c>
      <c r="M8" s="122">
        <v>15556.759999999998</v>
      </c>
      <c r="N8" s="124">
        <f t="shared" si="0"/>
      </c>
      <c r="O8" s="124">
        <f t="shared" si="20"/>
      </c>
      <c r="P8" s="124">
        <f t="shared" si="1"/>
      </c>
      <c r="Q8" s="122" t="s">
        <v>353</v>
      </c>
      <c r="R8" s="122">
        <v>10</v>
      </c>
      <c r="S8" s="125" t="s">
        <v>354</v>
      </c>
      <c r="T8" s="122">
        <v>20</v>
      </c>
    </row>
    <row r="9">
      <c r="A9" s="120">
        <v>46297</v>
      </c>
      <c r="B9" s="121" t="s">
        <v>355</v>
      </c>
      <c r="C9" s="122" t="s">
        <v>356</v>
      </c>
      <c r="D9" s="122">
        <v>4</v>
      </c>
      <c r="E9" s="122">
        <v>21</v>
      </c>
      <c r="F9" s="122">
        <v>14</v>
      </c>
      <c r="G9" s="122">
        <v>0</v>
      </c>
      <c r="H9" s="126">
        <v>48150.720000000016</v>
      </c>
      <c r="I9" s="122">
        <v>0</v>
      </c>
      <c r="J9" s="123">
        <f t="shared" si="3"/>
      </c>
      <c r="K9" s="122">
        <v>22788.219999999998</v>
      </c>
      <c r="L9" s="124">
        <f t="shared" si="21"/>
      </c>
      <c r="M9" s="122">
        <v>25442.640000000003</v>
      </c>
      <c r="N9" s="124">
        <f t="shared" si="0"/>
      </c>
      <c r="O9" s="124">
        <f t="shared" si="20"/>
      </c>
      <c r="P9" s="124">
        <f t="shared" si="1"/>
      </c>
      <c r="Q9" s="122"/>
      <c r="R9" s="122"/>
      <c r="S9" s="125"/>
      <c r="T9" s="122"/>
    </row>
    <row r="10">
      <c r="A10" s="120">
        <v>46297</v>
      </c>
      <c r="B10" s="121" t="s">
        <v>357</v>
      </c>
      <c r="C10" s="122" t="s">
        <v>358</v>
      </c>
      <c r="D10" s="122">
        <v>2</v>
      </c>
      <c r="E10" s="122">
        <v>13</v>
      </c>
      <c r="F10" s="122">
        <v>11</v>
      </c>
      <c r="G10" s="122">
        <v>0</v>
      </c>
      <c r="H10" s="126">
        <v>23064.480000000018</v>
      </c>
      <c r="I10" s="122">
        <v>0</v>
      </c>
      <c r="J10" s="123">
        <f t="shared" si="3"/>
      </c>
      <c r="K10" s="122">
        <v>10913.150000000001</v>
      </c>
      <c r="L10" s="124">
        <f t="shared" si="21"/>
      </c>
      <c r="M10" s="122">
        <v>5581.4400000000005</v>
      </c>
      <c r="N10" s="124">
        <f t="shared" si="0"/>
      </c>
      <c r="O10" s="124">
        <f t="shared" si="20"/>
      </c>
      <c r="P10" s="124">
        <f t="shared" si="1"/>
      </c>
      <c r="Q10" s="122"/>
      <c r="R10" s="122"/>
      <c r="S10" s="125"/>
      <c r="T10" s="122"/>
    </row>
    <row r="11">
      <c r="A11" s="120">
        <v>46297</v>
      </c>
      <c r="B11" s="121" t="s">
        <v>361</v>
      </c>
      <c r="C11" s="122" t="s">
        <v>360</v>
      </c>
      <c r="D11" s="122">
        <v>4</v>
      </c>
      <c r="E11" s="122">
        <v>21</v>
      </c>
      <c r="F11" s="122">
        <v>18</v>
      </c>
      <c r="G11" s="122">
        <v>1</v>
      </c>
      <c r="H11" s="126">
        <v>28779.839999999997</v>
      </c>
      <c r="I11" s="122">
        <v>2399</v>
      </c>
      <c r="J11" s="123">
        <f t="shared" si="3"/>
      </c>
      <c r="K11" s="122">
        <v>21527.170000000002</v>
      </c>
      <c r="L11" s="124">
        <f t="shared" si="21"/>
      </c>
      <c r="M11" s="122">
        <v>8357.92</v>
      </c>
      <c r="N11" s="124">
        <f t="shared" si="0"/>
      </c>
      <c r="O11" s="124">
        <f t="shared" si="20"/>
      </c>
      <c r="P11" s="124">
        <f t="shared" si="1"/>
      </c>
      <c r="Q11" s="122"/>
      <c r="R11" s="122"/>
      <c r="S11" s="125"/>
      <c r="T11" s="122"/>
    </row>
    <row r="12">
      <c r="A12" s="120">
        <v>46297</v>
      </c>
      <c r="B12" s="121" t="s">
        <v>364</v>
      </c>
      <c r="C12" s="122" t="s">
        <v>362</v>
      </c>
      <c r="D12" s="122">
        <v>5</v>
      </c>
      <c r="E12" s="127">
        <v>23</v>
      </c>
      <c r="F12" s="127">
        <v>20</v>
      </c>
      <c r="G12" s="122">
        <v>4</v>
      </c>
      <c r="H12" s="128">
        <v>44956.92</v>
      </c>
      <c r="I12" s="128">
        <v>4264.7</v>
      </c>
      <c r="J12" s="123">
        <f t="shared" si="3"/>
      </c>
      <c r="K12" s="128">
        <v>26315.860000000004</v>
      </c>
      <c r="L12" s="124">
        <f t="shared" si="21"/>
      </c>
      <c r="M12" s="122">
        <v>0</v>
      </c>
      <c r="N12" s="124">
        <f t="shared" si="0"/>
      </c>
      <c r="O12" s="124">
        <f t="shared" si="20"/>
      </c>
      <c r="P12" s="124">
        <f t="shared" si="1"/>
      </c>
      <c r="Q12" s="122" t="s">
        <v>363</v>
      </c>
      <c r="R12" s="122">
        <v>10</v>
      </c>
      <c r="S12" s="125"/>
      <c r="T12" s="122"/>
    </row>
    <row r="13">
      <c r="A13" s="134">
        <v>46297</v>
      </c>
      <c r="B13" s="130"/>
      <c r="C13" s="130"/>
      <c r="D13" s="131">
        <f>SUM(D8:D12)</f>
      </c>
      <c r="E13" s="131">
        <v>47</v>
      </c>
      <c r="F13" s="131">
        <v>42</v>
      </c>
      <c r="G13" s="131">
        <f>SUM(G8:G12)</f>
      </c>
      <c r="H13" s="131">
        <f>SUM(H8:H12)</f>
      </c>
      <c r="I13" s="131">
        <f>SUM(I8:I12)</f>
      </c>
      <c r="J13" s="131">
        <f>SUM(J8:J12)</f>
      </c>
      <c r="K13" s="131">
        <f>SUM(K8:K12)</f>
      </c>
      <c r="L13" s="132">
        <f t="shared" si="21"/>
      </c>
      <c r="M13" s="131">
        <f>SUM(M8:M12)</f>
      </c>
      <c r="N13" s="133">
        <f t="shared" si="0"/>
      </c>
      <c r="O13" s="132">
        <f t="shared" si="20"/>
      </c>
      <c r="P13" s="132">
        <f t="shared" si="1"/>
      </c>
      <c r="Q13" s="130"/>
      <c r="R13" s="131">
        <f>SUM(R8:R12)</f>
      </c>
      <c r="S13" s="130"/>
      <c r="T13" s="131">
        <f>SUM(T8:T12)</f>
      </c>
    </row>
    <row r="14">
      <c r="A14" s="120">
        <v>46298</v>
      </c>
      <c r="B14" s="121" t="s">
        <v>351</v>
      </c>
      <c r="C14" s="122" t="s">
        <v>352</v>
      </c>
      <c r="D14" s="122">
        <v>5</v>
      </c>
      <c r="E14" s="122">
        <v>38</v>
      </c>
      <c r="F14" s="122">
        <v>34</v>
      </c>
      <c r="G14" s="122">
        <v>4</v>
      </c>
      <c r="H14" s="122">
        <v>56993.64</v>
      </c>
      <c r="I14" s="122">
        <v>3819</v>
      </c>
      <c r="J14" s="123">
        <f t="shared" ref="J14:J18" si="4">H14+I14</f>
      </c>
      <c r="K14" s="122">
        <v>40591.46</v>
      </c>
      <c r="L14" s="124">
        <f t="shared" si="21"/>
      </c>
      <c r="M14" s="122">
        <v>14515.32</v>
      </c>
      <c r="N14" s="124">
        <f t="shared" si="0"/>
      </c>
      <c r="O14" s="124">
        <f t="shared" si="20"/>
      </c>
      <c r="P14" s="124">
        <f t="shared" si="1"/>
      </c>
      <c r="Q14" s="122" t="s">
        <v>353</v>
      </c>
      <c r="R14" s="122">
        <v>10</v>
      </c>
      <c r="S14" s="125" t="s">
        <v>354</v>
      </c>
      <c r="T14" s="122">
        <v>20</v>
      </c>
    </row>
    <row r="15">
      <c r="A15" s="120">
        <v>46298</v>
      </c>
      <c r="B15" s="121" t="s">
        <v>355</v>
      </c>
      <c r="C15" s="122" t="s">
        <v>356</v>
      </c>
      <c r="D15" s="122">
        <v>4</v>
      </c>
      <c r="E15" s="122">
        <v>41</v>
      </c>
      <c r="F15" s="122">
        <v>32</v>
      </c>
      <c r="G15" s="122">
        <v>5</v>
      </c>
      <c r="H15" s="126">
        <v>63658.68000000001</v>
      </c>
      <c r="I15" s="122">
        <v>2271.000000000001</v>
      </c>
      <c r="J15" s="123">
        <f t="shared" si="4"/>
      </c>
      <c r="K15" s="122">
        <v>37758.87</v>
      </c>
      <c r="L15" s="124">
        <f t="shared" si="21"/>
      </c>
      <c r="M15" s="122">
        <v>10279.080000000002</v>
      </c>
      <c r="N15" s="124">
        <f t="shared" si="0"/>
      </c>
      <c r="O15" s="124">
        <f t="shared" si="20"/>
      </c>
      <c r="P15" s="124">
        <f t="shared" si="1"/>
      </c>
      <c r="Q15" s="122"/>
      <c r="R15" s="122"/>
      <c r="S15" s="125"/>
      <c r="T15" s="122"/>
    </row>
    <row r="16">
      <c r="A16" s="120">
        <v>46298</v>
      </c>
      <c r="B16" s="121" t="s">
        <v>365</v>
      </c>
      <c r="C16" s="122" t="s">
        <v>358</v>
      </c>
      <c r="D16" s="122">
        <v>2</v>
      </c>
      <c r="E16" s="122">
        <v>10</v>
      </c>
      <c r="F16" s="122">
        <v>11</v>
      </c>
      <c r="G16" s="122">
        <v>2</v>
      </c>
      <c r="H16" s="126">
        <v>14538.839999999997</v>
      </c>
      <c r="I16" s="122">
        <v>3341.999999999999</v>
      </c>
      <c r="J16" s="123">
        <f t="shared" si="4"/>
      </c>
      <c r="K16" s="122">
        <v>18300.45</v>
      </c>
      <c r="L16" s="124">
        <f t="shared" si="21"/>
      </c>
      <c r="M16" s="122">
        <v>2974.32</v>
      </c>
      <c r="N16" s="124">
        <f t="shared" si="0"/>
      </c>
      <c r="O16" s="124">
        <f t="shared" si="20"/>
      </c>
      <c r="P16" s="124">
        <f t="shared" si="1"/>
      </c>
      <c r="Q16" s="122"/>
      <c r="R16" s="122"/>
      <c r="S16" s="125"/>
      <c r="T16" s="122"/>
    </row>
    <row r="17">
      <c r="A17" s="120">
        <v>46298</v>
      </c>
      <c r="B17" s="121" t="s">
        <v>364</v>
      </c>
      <c r="C17" s="122" t="s">
        <v>366</v>
      </c>
      <c r="D17" s="122">
        <v>5</v>
      </c>
      <c r="E17" s="122">
        <v>25</v>
      </c>
      <c r="F17" s="122">
        <v>20</v>
      </c>
      <c r="G17" s="122">
        <v>0</v>
      </c>
      <c r="H17" s="126">
        <v>35760.96000000002</v>
      </c>
      <c r="I17" s="122">
        <v>0</v>
      </c>
      <c r="J17" s="123">
        <f t="shared" si="4"/>
      </c>
      <c r="K17" s="122">
        <v>34985.55</v>
      </c>
      <c r="L17" s="124">
        <f t="shared" si="21"/>
      </c>
      <c r="M17" s="122">
        <v>2464.56</v>
      </c>
      <c r="N17" s="124">
        <f t="shared" si="0"/>
      </c>
      <c r="O17" s="124">
        <f t="shared" si="20"/>
      </c>
      <c r="P17" s="124">
        <f t="shared" si="1"/>
      </c>
      <c r="Q17" s="122"/>
      <c r="R17" s="122"/>
      <c r="S17" s="125"/>
      <c r="T17" s="122"/>
    </row>
    <row r="18">
      <c r="A18" s="120">
        <v>46298</v>
      </c>
      <c r="B18" s="121" t="s">
        <v>359</v>
      </c>
      <c r="C18" s="122" t="s">
        <v>367</v>
      </c>
      <c r="D18" s="122">
        <v>4</v>
      </c>
      <c r="E18" s="127">
        <v>26</v>
      </c>
      <c r="F18" s="127">
        <v>22</v>
      </c>
      <c r="G18" s="122">
        <v>5</v>
      </c>
      <c r="H18" s="128">
        <v>42777.239999999976</v>
      </c>
      <c r="I18" s="128">
        <v>626</v>
      </c>
      <c r="J18" s="123">
        <f t="shared" si="4"/>
      </c>
      <c r="K18" s="128">
        <v>28207.91</v>
      </c>
      <c r="L18" s="124">
        <f t="shared" si="21"/>
      </c>
      <c r="M18" s="122">
        <v>453.6</v>
      </c>
      <c r="N18" s="124">
        <f t="shared" si="0"/>
      </c>
      <c r="O18" s="124">
        <f t="shared" si="20"/>
      </c>
      <c r="P18" s="124">
        <f t="shared" si="1"/>
      </c>
      <c r="Q18" s="122" t="s">
        <v>363</v>
      </c>
      <c r="R18" s="122">
        <v>10</v>
      </c>
      <c r="S18" s="125"/>
      <c r="T18" s="122"/>
    </row>
    <row r="19">
      <c r="A19" s="134">
        <v>46298</v>
      </c>
      <c r="B19" s="130"/>
      <c r="C19" s="130"/>
      <c r="D19" s="131">
        <f>SUM(D14:D18)</f>
      </c>
      <c r="E19" s="131">
        <v>47</v>
      </c>
      <c r="F19" s="131">
        <v>42</v>
      </c>
      <c r="G19" s="131">
        <f>SUM(G14:G18)</f>
      </c>
      <c r="H19" s="131">
        <f>SUM(H14:H18)</f>
      </c>
      <c r="I19" s="131">
        <f>SUM(I14:I18)</f>
      </c>
      <c r="J19" s="131">
        <f>SUM(J14:J18)</f>
      </c>
      <c r="K19" s="131">
        <f>SUM(K14:K18)</f>
      </c>
      <c r="L19" s="132">
        <f t="shared" si="21"/>
      </c>
      <c r="M19" s="131">
        <f>SUM(M14:M18)</f>
      </c>
      <c r="N19" s="133">
        <f t="shared" si="0"/>
      </c>
      <c r="O19" s="132">
        <f t="shared" si="20"/>
      </c>
      <c r="P19" s="132">
        <f t="shared" si="1"/>
      </c>
      <c r="Q19" s="130"/>
      <c r="R19" s="131">
        <f>SUM(R14:R18)</f>
      </c>
      <c r="S19" s="130"/>
      <c r="T19" s="131">
        <f>SUM(T14:T18)</f>
      </c>
    </row>
    <row r="20">
      <c r="A20" s="120">
        <v>46299</v>
      </c>
      <c r="B20" s="121" t="s">
        <v>364</v>
      </c>
      <c r="C20" s="122" t="s">
        <v>352</v>
      </c>
      <c r="D20" s="122">
        <v>5</v>
      </c>
      <c r="E20" s="122">
        <v>50</v>
      </c>
      <c r="F20" s="122">
        <v>41</v>
      </c>
      <c r="G20" s="122">
        <v>3</v>
      </c>
      <c r="H20" s="122">
        <v>85059.6</v>
      </c>
      <c r="I20" s="122">
        <v>506</v>
      </c>
      <c r="J20" s="123">
        <f t="shared" ref="J20:J24" si="5">H20+I20</f>
      </c>
      <c r="K20" s="122">
        <v>48983.19</v>
      </c>
      <c r="L20" s="124">
        <f t="shared" si="21"/>
      </c>
      <c r="M20" s="122">
        <v>17919.359999999997</v>
      </c>
      <c r="N20" s="124">
        <f t="shared" si="0"/>
      </c>
      <c r="O20" s="124">
        <f t="shared" si="20"/>
      </c>
      <c r="P20" s="124">
        <f t="shared" si="1"/>
      </c>
      <c r="Q20" s="122" t="s">
        <v>353</v>
      </c>
      <c r="R20" s="122">
        <v>10</v>
      </c>
      <c r="S20" s="125" t="s">
        <v>354</v>
      </c>
      <c r="T20" s="122">
        <v>20</v>
      </c>
    </row>
    <row r="21">
      <c r="A21" s="120">
        <v>46299</v>
      </c>
      <c r="B21" s="121" t="s">
        <v>351</v>
      </c>
      <c r="C21" s="122" t="s">
        <v>368</v>
      </c>
      <c r="D21" s="122">
        <v>5</v>
      </c>
      <c r="E21" s="122">
        <v>33</v>
      </c>
      <c r="F21" s="122">
        <v>28</v>
      </c>
      <c r="G21" s="122">
        <v>3</v>
      </c>
      <c r="H21" s="126">
        <v>52719.12000000001</v>
      </c>
      <c r="I21" s="122">
        <v>2605</v>
      </c>
      <c r="J21" s="123">
        <f t="shared" si="5"/>
      </c>
      <c r="K21" s="122">
        <v>33256.66</v>
      </c>
      <c r="L21" s="124">
        <f t="shared" si="21"/>
      </c>
      <c r="M21" s="122">
        <v>19630.08</v>
      </c>
      <c r="N21" s="124">
        <f t="shared" si="0"/>
      </c>
      <c r="O21" s="124">
        <f t="shared" si="20"/>
      </c>
      <c r="P21" s="124">
        <f t="shared" si="1"/>
      </c>
      <c r="Q21" s="122"/>
      <c r="R21" s="122"/>
      <c r="S21" s="125"/>
      <c r="T21" s="122"/>
    </row>
    <row r="22">
      <c r="A22" s="120">
        <v>46299</v>
      </c>
      <c r="B22" s="121" t="s">
        <v>365</v>
      </c>
      <c r="C22" s="122" t="s">
        <v>369</v>
      </c>
      <c r="D22" s="122">
        <v>2</v>
      </c>
      <c r="E22" s="122">
        <v>24</v>
      </c>
      <c r="F22" s="122">
        <v>24</v>
      </c>
      <c r="G22" s="122">
        <v>1</v>
      </c>
      <c r="H22" s="126">
        <v>26435.159999999974</v>
      </c>
      <c r="I22" s="122">
        <v>5983</v>
      </c>
      <c r="J22" s="123">
        <f t="shared" si="5"/>
      </c>
      <c r="K22" s="122">
        <v>21810.36</v>
      </c>
      <c r="L22" s="124">
        <f t="shared" si="21"/>
      </c>
      <c r="M22" s="122">
        <v>1617.84</v>
      </c>
      <c r="N22" s="124">
        <f t="shared" si="0"/>
      </c>
      <c r="O22" s="124">
        <f t="shared" si="20"/>
      </c>
      <c r="P22" s="124">
        <f t="shared" si="1"/>
      </c>
      <c r="Q22" s="122"/>
      <c r="R22" s="122"/>
      <c r="S22" s="125"/>
      <c r="T22" s="122"/>
    </row>
    <row r="23">
      <c r="A23" s="120">
        <v>46299</v>
      </c>
      <c r="B23" s="121" t="s">
        <v>359</v>
      </c>
      <c r="C23" s="122" t="s">
        <v>370</v>
      </c>
      <c r="D23" s="122">
        <v>4</v>
      </c>
      <c r="E23" s="122">
        <v>29</v>
      </c>
      <c r="F23" s="122">
        <v>24</v>
      </c>
      <c r="G23" s="122">
        <v>4</v>
      </c>
      <c r="H23" s="126">
        <v>49482.36</v>
      </c>
      <c r="I23" s="122">
        <v>2355</v>
      </c>
      <c r="J23" s="123">
        <f t="shared" si="5"/>
      </c>
      <c r="K23" s="122">
        <v>36755.37</v>
      </c>
      <c r="L23" s="124">
        <f t="shared" si="21"/>
      </c>
      <c r="M23" s="122">
        <v>676.08</v>
      </c>
      <c r="N23" s="124">
        <f t="shared" si="0"/>
      </c>
      <c r="O23" s="124">
        <f t="shared" si="20"/>
      </c>
      <c r="P23" s="124">
        <f t="shared" si="1"/>
      </c>
      <c r="Q23" s="122"/>
      <c r="R23" s="122"/>
      <c r="S23" s="125"/>
      <c r="T23" s="122"/>
    </row>
    <row r="24">
      <c r="A24" s="120">
        <v>46299</v>
      </c>
      <c r="B24" s="121" t="s">
        <v>355</v>
      </c>
      <c r="C24" s="122" t="s">
        <v>367</v>
      </c>
      <c r="D24" s="122">
        <v>4</v>
      </c>
      <c r="E24" s="127">
        <v>35</v>
      </c>
      <c r="F24" s="127">
        <v>28</v>
      </c>
      <c r="G24" s="122">
        <v>2</v>
      </c>
      <c r="H24" s="128">
        <v>36610.91999999999</v>
      </c>
      <c r="I24" s="128">
        <v>12209.050000000001</v>
      </c>
      <c r="J24" s="123">
        <f t="shared" si="5"/>
      </c>
      <c r="K24" s="128">
        <v>27509.91</v>
      </c>
      <c r="L24" s="124">
        <f t="shared" si="21"/>
      </c>
      <c r="M24" s="122">
        <v>663</v>
      </c>
      <c r="N24" s="124">
        <f t="shared" si="0"/>
      </c>
      <c r="O24" s="124">
        <f t="shared" si="20"/>
      </c>
      <c r="P24" s="124">
        <f t="shared" si="1"/>
      </c>
      <c r="Q24" s="122" t="s">
        <v>363</v>
      </c>
      <c r="R24" s="122">
        <v>10</v>
      </c>
      <c r="S24" s="125"/>
      <c r="T24" s="122"/>
    </row>
    <row r="25">
      <c r="A25" s="134">
        <v>46299</v>
      </c>
      <c r="B25" s="130"/>
      <c r="C25" s="130"/>
      <c r="D25" s="131">
        <f>SUM(D20:D24)</f>
      </c>
      <c r="E25" s="131">
        <v>47</v>
      </c>
      <c r="F25" s="131">
        <v>42</v>
      </c>
      <c r="G25" s="131">
        <f>SUM(G20:G24)</f>
      </c>
      <c r="H25" s="131">
        <f>SUM(H20:H24)</f>
      </c>
      <c r="I25" s="131">
        <f>SUM(I20:I24)</f>
      </c>
      <c r="J25" s="131">
        <f>SUM(J20:J24)</f>
      </c>
      <c r="K25" s="131">
        <f>SUM(K20:K24)</f>
      </c>
      <c r="L25" s="132">
        <f t="shared" si="21"/>
      </c>
      <c r="M25" s="131">
        <f>SUM(M20:M24)</f>
      </c>
      <c r="N25" s="133">
        <f t="shared" si="0"/>
      </c>
      <c r="O25" s="132">
        <f t="shared" si="20"/>
      </c>
      <c r="P25" s="132">
        <f t="shared" si="1"/>
      </c>
      <c r="Q25" s="130"/>
      <c r="R25" s="131">
        <f>SUM(R20:R24)</f>
      </c>
      <c r="S25" s="130"/>
      <c r="T25" s="131">
        <f>SUM(T20:T24)</f>
      </c>
    </row>
    <row r="26">
      <c r="A26" s="120">
        <v>46300</v>
      </c>
      <c r="B26" s="121" t="s">
        <v>364</v>
      </c>
      <c r="C26" s="122" t="s">
        <v>352</v>
      </c>
      <c r="D26" s="122">
        <v>5</v>
      </c>
      <c r="E26" s="122">
        <v>63</v>
      </c>
      <c r="F26" s="122">
        <v>49</v>
      </c>
      <c r="G26" s="122">
        <v>8</v>
      </c>
      <c r="H26" s="122">
        <v>102816.12</v>
      </c>
      <c r="I26" s="122">
        <v>5543</v>
      </c>
      <c r="J26" s="123">
        <f t="shared" ref="J26:J30" si="6">H26+I26</f>
      </c>
      <c r="K26" s="122">
        <v>52387.44</v>
      </c>
      <c r="L26" s="124">
        <f t="shared" si="21"/>
      </c>
      <c r="M26" s="122">
        <v>26848.96</v>
      </c>
      <c r="N26" s="124">
        <f t="shared" si="0"/>
      </c>
      <c r="O26" s="124">
        <f t="shared" si="20"/>
      </c>
      <c r="P26" s="124">
        <f t="shared" si="1"/>
      </c>
      <c r="Q26" s="122" t="s">
        <v>353</v>
      </c>
      <c r="R26" s="122">
        <v>10</v>
      </c>
      <c r="S26" s="125" t="s">
        <v>354</v>
      </c>
      <c r="T26" s="122">
        <v>20</v>
      </c>
    </row>
    <row r="27">
      <c r="A27" s="120">
        <v>46300</v>
      </c>
      <c r="B27" s="121" t="s">
        <v>351</v>
      </c>
      <c r="C27" s="122" t="s">
        <v>368</v>
      </c>
      <c r="D27" s="122">
        <v>5</v>
      </c>
      <c r="E27" s="122">
        <v>31</v>
      </c>
      <c r="F27" s="122">
        <v>26</v>
      </c>
      <c r="G27" s="122">
        <v>5</v>
      </c>
      <c r="H27" s="126">
        <v>73374.12000000004</v>
      </c>
      <c r="I27" s="122">
        <v>1398</v>
      </c>
      <c r="J27" s="123">
        <f t="shared" si="6"/>
      </c>
      <c r="K27" s="122">
        <v>38893.020000000004</v>
      </c>
      <c r="L27" s="124">
        <f t="shared" si="21"/>
      </c>
      <c r="M27" s="122">
        <v>9098.4</v>
      </c>
      <c r="N27" s="124">
        <f t="shared" si="0"/>
      </c>
      <c r="O27" s="124">
        <f t="shared" si="20"/>
      </c>
      <c r="P27" s="124">
        <f t="shared" si="1"/>
      </c>
      <c r="Q27" s="122"/>
      <c r="R27" s="122"/>
      <c r="S27" s="125"/>
      <c r="T27" s="122"/>
    </row>
    <row r="28">
      <c r="A28" s="120">
        <v>46300</v>
      </c>
      <c r="B28" s="121" t="s">
        <v>357</v>
      </c>
      <c r="C28" s="122" t="s">
        <v>369</v>
      </c>
      <c r="D28" s="122">
        <v>2</v>
      </c>
      <c r="E28" s="122">
        <v>26</v>
      </c>
      <c r="F28" s="122">
        <v>21</v>
      </c>
      <c r="G28" s="122">
        <v>3</v>
      </c>
      <c r="H28" s="126">
        <v>33554.87999999995</v>
      </c>
      <c r="I28" s="122">
        <v>2542.8500000000004</v>
      </c>
      <c r="J28" s="123">
        <f t="shared" si="6"/>
      </c>
      <c r="K28" s="122">
        <v>18202.35</v>
      </c>
      <c r="L28" s="124">
        <f t="shared" si="21"/>
      </c>
      <c r="M28" s="122">
        <v>5760.719999999999</v>
      </c>
      <c r="N28" s="124">
        <f t="shared" si="0"/>
      </c>
      <c r="O28" s="124">
        <f t="shared" si="20"/>
      </c>
      <c r="P28" s="124">
        <f t="shared" si="1"/>
      </c>
      <c r="Q28" s="122"/>
      <c r="R28" s="122"/>
      <c r="S28" s="125"/>
      <c r="T28" s="122"/>
    </row>
    <row r="29">
      <c r="A29" s="120">
        <v>46300</v>
      </c>
      <c r="B29" s="121" t="s">
        <v>355</v>
      </c>
      <c r="C29" s="122" t="s">
        <v>370</v>
      </c>
      <c r="D29" s="122">
        <v>4</v>
      </c>
      <c r="E29" s="122">
        <v>41</v>
      </c>
      <c r="F29" s="122">
        <v>36</v>
      </c>
      <c r="G29" s="122">
        <v>3</v>
      </c>
      <c r="H29" s="126">
        <v>66324</v>
      </c>
      <c r="I29" s="122">
        <v>1796</v>
      </c>
      <c r="J29" s="123">
        <f t="shared" si="6"/>
      </c>
      <c r="K29" s="122">
        <v>52667.01</v>
      </c>
      <c r="L29" s="124">
        <f t="shared" si="21"/>
      </c>
      <c r="M29" s="122">
        <v>4752</v>
      </c>
      <c r="N29" s="124">
        <f t="shared" si="0"/>
      </c>
      <c r="O29" s="124">
        <f t="shared" si="20"/>
      </c>
      <c r="P29" s="124">
        <f t="shared" si="1"/>
      </c>
      <c r="Q29" s="122"/>
      <c r="R29" s="122"/>
      <c r="S29" s="125"/>
      <c r="T29" s="122"/>
    </row>
    <row r="30">
      <c r="A30" s="120">
        <v>46300</v>
      </c>
      <c r="B30" s="121" t="s">
        <v>359</v>
      </c>
      <c r="C30" s="122" t="s">
        <v>367</v>
      </c>
      <c r="D30" s="122">
        <v>4</v>
      </c>
      <c r="E30" s="127">
        <v>21</v>
      </c>
      <c r="F30" s="127">
        <v>16</v>
      </c>
      <c r="G30" s="122">
        <v>5</v>
      </c>
      <c r="H30" s="128">
        <v>39870.719999999994</v>
      </c>
      <c r="I30" s="128">
        <v>3260.4</v>
      </c>
      <c r="J30" s="123">
        <f t="shared" si="6"/>
      </c>
      <c r="K30" s="128">
        <v>24933.690000000002</v>
      </c>
      <c r="L30" s="124">
        <f t="shared" si="21"/>
      </c>
      <c r="M30" s="122">
        <v>0</v>
      </c>
      <c r="N30" s="124">
        <f t="shared" si="0"/>
      </c>
      <c r="O30" s="124">
        <f t="shared" si="20"/>
      </c>
      <c r="P30" s="124">
        <f t="shared" si="1"/>
      </c>
      <c r="Q30" s="122" t="s">
        <v>363</v>
      </c>
      <c r="R30" s="122">
        <v>10</v>
      </c>
      <c r="S30" s="125"/>
      <c r="T30" s="122"/>
    </row>
    <row r="31">
      <c r="A31" s="134">
        <v>46300</v>
      </c>
      <c r="B31" s="130"/>
      <c r="C31" s="130"/>
      <c r="D31" s="131">
        <f>SUM(D26:D30)</f>
      </c>
      <c r="E31" s="131">
        <v>47</v>
      </c>
      <c r="F31" s="131">
        <v>42</v>
      </c>
      <c r="G31" s="131">
        <f>SUM(G26:G30)</f>
      </c>
      <c r="H31" s="131">
        <f>SUM(H26:H30)</f>
      </c>
      <c r="I31" s="131">
        <f>SUM(I26:I30)</f>
      </c>
      <c r="J31" s="131">
        <f>SUM(J26:J30)</f>
      </c>
      <c r="K31" s="131">
        <f>SUM(K26:K30)</f>
      </c>
      <c r="L31" s="132">
        <f t="shared" si="21"/>
      </c>
      <c r="M31" s="131">
        <f>SUM(M26:M30)</f>
      </c>
      <c r="N31" s="133">
        <f t="shared" si="0"/>
      </c>
      <c r="O31" s="132">
        <f t="shared" si="20"/>
      </c>
      <c r="P31" s="132">
        <f t="shared" si="1"/>
      </c>
      <c r="Q31" s="130"/>
      <c r="R31" s="131">
        <f>SUM(R26:R30)</f>
      </c>
      <c r="S31" s="130"/>
      <c r="T31" s="131">
        <f>SUM(T26:T30)</f>
      </c>
    </row>
    <row r="32">
      <c r="A32" s="120">
        <v>46301</v>
      </c>
      <c r="B32" s="121" t="s">
        <v>364</v>
      </c>
      <c r="C32" s="122" t="s">
        <v>352</v>
      </c>
      <c r="D32" s="122">
        <v>5</v>
      </c>
      <c r="E32" s="122">
        <v>16</v>
      </c>
      <c r="F32" s="122">
        <v>14</v>
      </c>
      <c r="G32" s="122">
        <v>1</v>
      </c>
      <c r="H32" s="122">
        <v>29562.96</v>
      </c>
      <c r="I32" s="122">
        <v>379</v>
      </c>
      <c r="J32" s="123">
        <f t="shared" ref="J32:J36" si="7">H32+I32</f>
      </c>
      <c r="K32" s="122">
        <v>29874.02</v>
      </c>
      <c r="L32" s="124">
        <f t="shared" si="21"/>
      </c>
      <c r="M32" s="122">
        <v>15839.32</v>
      </c>
      <c r="N32" s="124">
        <f t="shared" si="0"/>
      </c>
      <c r="O32" s="124">
        <f t="shared" si="20"/>
      </c>
      <c r="P32" s="124">
        <f t="shared" si="1"/>
      </c>
      <c r="Q32" s="122" t="s">
        <v>371</v>
      </c>
      <c r="R32" s="122">
        <v>9</v>
      </c>
      <c r="S32" s="125" t="s">
        <v>354</v>
      </c>
      <c r="T32" s="122">
        <v>20</v>
      </c>
    </row>
    <row r="33">
      <c r="A33" s="120">
        <v>46301</v>
      </c>
      <c r="B33" s="121" t="s">
        <v>351</v>
      </c>
      <c r="C33" s="122" t="s">
        <v>368</v>
      </c>
      <c r="D33" s="122">
        <v>5</v>
      </c>
      <c r="E33" s="122">
        <v>32</v>
      </c>
      <c r="F33" s="122">
        <v>20</v>
      </c>
      <c r="G33" s="122">
        <v>4</v>
      </c>
      <c r="H33" s="126">
        <v>58546.679999999986</v>
      </c>
      <c r="I33" s="122">
        <v>6421</v>
      </c>
      <c r="J33" s="123">
        <f t="shared" si="7"/>
      </c>
      <c r="K33" s="122">
        <v>23939.2</v>
      </c>
      <c r="L33" s="124">
        <f t="shared" si="21"/>
      </c>
      <c r="M33" s="122">
        <v>12740.639999999998</v>
      </c>
      <c r="N33" s="124">
        <f t="shared" si="0"/>
      </c>
      <c r="O33" s="124">
        <f t="shared" si="20"/>
      </c>
      <c r="P33" s="124">
        <f t="shared" si="1"/>
      </c>
      <c r="Q33" s="122" t="s">
        <v>372</v>
      </c>
      <c r="R33" s="122">
        <v>1</v>
      </c>
      <c r="S33" s="125"/>
      <c r="T33" s="122"/>
    </row>
    <row r="34">
      <c r="A34" s="120">
        <v>46301</v>
      </c>
      <c r="B34" s="121" t="s">
        <v>357</v>
      </c>
      <c r="C34" s="122" t="s">
        <v>369</v>
      </c>
      <c r="D34" s="122">
        <v>2</v>
      </c>
      <c r="E34" s="122">
        <v>23</v>
      </c>
      <c r="F34" s="122">
        <v>19</v>
      </c>
      <c r="G34" s="122">
        <v>1</v>
      </c>
      <c r="H34" s="126">
        <v>45524.76</v>
      </c>
      <c r="I34" s="122">
        <v>0</v>
      </c>
      <c r="J34" s="123">
        <f t="shared" si="7"/>
      </c>
      <c r="K34" s="122">
        <v>17341.91</v>
      </c>
      <c r="L34" s="124">
        <f t="shared" si="21"/>
      </c>
      <c r="M34" s="122">
        <v>15010.919999999998</v>
      </c>
      <c r="N34" s="124">
        <f t="shared" si="0"/>
      </c>
      <c r="O34" s="124">
        <f t="shared" si="20"/>
      </c>
      <c r="P34" s="124">
        <f t="shared" si="1"/>
      </c>
      <c r="Q34" s="122"/>
      <c r="R34" s="122"/>
      <c r="S34" s="125"/>
      <c r="T34" s="122"/>
    </row>
    <row r="35">
      <c r="A35" s="120">
        <v>46301</v>
      </c>
      <c r="B35" s="121" t="s">
        <v>359</v>
      </c>
      <c r="C35" s="122" t="s">
        <v>370</v>
      </c>
      <c r="D35" s="122">
        <v>4</v>
      </c>
      <c r="E35" s="122">
        <v>32</v>
      </c>
      <c r="F35" s="122">
        <v>22</v>
      </c>
      <c r="G35" s="122">
        <v>5</v>
      </c>
      <c r="H35" s="126">
        <v>32495.28</v>
      </c>
      <c r="I35" s="122">
        <v>5018.200000000001</v>
      </c>
      <c r="J35" s="123">
        <f t="shared" si="7"/>
      </c>
      <c r="K35" s="122">
        <v>34009.46</v>
      </c>
      <c r="L35" s="124">
        <f t="shared" si="21"/>
      </c>
      <c r="M35" s="122">
        <v>5095.08</v>
      </c>
      <c r="N35" s="124">
        <f t="shared" si="0"/>
      </c>
      <c r="O35" s="124">
        <f t="shared" si="20"/>
      </c>
      <c r="P35" s="124">
        <f t="shared" si="1"/>
      </c>
      <c r="Q35" s="122"/>
      <c r="R35" s="122"/>
      <c r="S35" s="125"/>
      <c r="T35" s="122"/>
    </row>
    <row r="36">
      <c r="A36" s="120">
        <v>46301</v>
      </c>
      <c r="B36" s="121" t="s">
        <v>361</v>
      </c>
      <c r="C36" s="122" t="s">
        <v>367</v>
      </c>
      <c r="D36" s="122">
        <v>4</v>
      </c>
      <c r="E36" s="127">
        <v>25</v>
      </c>
      <c r="F36" s="127">
        <v>21</v>
      </c>
      <c r="G36" s="122">
        <v>1</v>
      </c>
      <c r="H36" s="128">
        <v>37422.36</v>
      </c>
      <c r="I36" s="128">
        <v>1116</v>
      </c>
      <c r="J36" s="123">
        <f t="shared" si="7"/>
      </c>
      <c r="K36" s="128">
        <v>24061.109999999997</v>
      </c>
      <c r="L36" s="124">
        <f t="shared" si="21"/>
      </c>
      <c r="M36" s="122">
        <v>0</v>
      </c>
      <c r="N36" s="124">
        <f t="shared" si="0"/>
      </c>
      <c r="O36" s="124">
        <f t="shared" si="20"/>
      </c>
      <c r="P36" s="124">
        <f t="shared" si="1"/>
      </c>
      <c r="Q36" s="122" t="s">
        <v>363</v>
      </c>
      <c r="R36" s="122">
        <v>10</v>
      </c>
      <c r="S36" s="125"/>
      <c r="T36" s="122"/>
    </row>
    <row r="37">
      <c r="A37" s="134">
        <v>46301</v>
      </c>
      <c r="B37" s="130"/>
      <c r="C37" s="130"/>
      <c r="D37" s="131">
        <f>SUM(D32:D36)</f>
      </c>
      <c r="E37" s="131">
        <v>47</v>
      </c>
      <c r="F37" s="131">
        <v>42</v>
      </c>
      <c r="G37" s="131">
        <f>SUM(G32:G36)</f>
      </c>
      <c r="H37" s="131">
        <f>SUM(H32:H36)</f>
      </c>
      <c r="I37" s="131">
        <f>SUM(I32:I36)</f>
      </c>
      <c r="J37" s="131">
        <f>SUM(J32:J36)</f>
      </c>
      <c r="K37" s="131">
        <f>SUM(K32:K36)</f>
      </c>
      <c r="L37" s="132">
        <f t="shared" si="21"/>
      </c>
      <c r="M37" s="131">
        <f>SUM(M32:M36)</f>
      </c>
      <c r="N37" s="133">
        <f t="shared" si="0"/>
      </c>
      <c r="O37" s="132">
        <f t="shared" si="20"/>
      </c>
      <c r="P37" s="132">
        <f t="shared" si="1"/>
      </c>
      <c r="Q37" s="130"/>
      <c r="R37" s="131">
        <f>SUM(R32:R36)</f>
      </c>
      <c r="S37" s="130"/>
      <c r="T37" s="131">
        <f>SUM(T32:T36)</f>
      </c>
    </row>
    <row r="38">
      <c r="A38" s="120">
        <v>46302</v>
      </c>
      <c r="B38" s="121" t="s">
        <v>351</v>
      </c>
      <c r="C38" s="122" t="s">
        <v>352</v>
      </c>
      <c r="D38" s="122">
        <v>5</v>
      </c>
      <c r="E38" s="122">
        <v>38</v>
      </c>
      <c r="F38" s="122">
        <v>32</v>
      </c>
      <c r="G38" s="122">
        <v>1</v>
      </c>
      <c r="H38" s="122">
        <v>53286.84</v>
      </c>
      <c r="I38" s="122">
        <v>4075</v>
      </c>
      <c r="J38" s="123">
        <f t="shared" ref="J38:J42" si="8">H38+I38</f>
      </c>
      <c r="K38" s="122">
        <v>49516.14</v>
      </c>
      <c r="L38" s="124">
        <f t="shared" si="21"/>
      </c>
      <c r="M38" s="122">
        <v>21434.399999999998</v>
      </c>
      <c r="N38" s="124">
        <f t="shared" si="0"/>
      </c>
      <c r="O38" s="124">
        <f t="shared" si="20"/>
      </c>
      <c r="P38" s="124">
        <f t="shared" si="1"/>
      </c>
      <c r="Q38" s="122" t="s">
        <v>371</v>
      </c>
      <c r="R38" s="122">
        <v>10</v>
      </c>
      <c r="S38" s="125" t="s">
        <v>354</v>
      </c>
      <c r="T38" s="122">
        <v>20</v>
      </c>
    </row>
    <row r="39">
      <c r="A39" s="120">
        <v>46302</v>
      </c>
      <c r="B39" s="121" t="s">
        <v>355</v>
      </c>
      <c r="C39" s="122" t="s">
        <v>356</v>
      </c>
      <c r="D39" s="122">
        <v>4</v>
      </c>
      <c r="E39" s="122">
        <v>27</v>
      </c>
      <c r="F39" s="122">
        <v>22</v>
      </c>
      <c r="G39" s="122">
        <v>0</v>
      </c>
      <c r="H39" s="126">
        <v>35355.96000000001</v>
      </c>
      <c r="I39" s="122">
        <v>2521</v>
      </c>
      <c r="J39" s="123">
        <f t="shared" si="8"/>
      </c>
      <c r="K39" s="122">
        <v>25819.71</v>
      </c>
      <c r="L39" s="124">
        <f t="shared" si="21"/>
      </c>
      <c r="M39" s="122">
        <v>10843.2</v>
      </c>
      <c r="N39" s="124">
        <f t="shared" si="0"/>
      </c>
      <c r="O39" s="124">
        <f t="shared" si="20"/>
      </c>
      <c r="P39" s="124">
        <f t="shared" si="1"/>
      </c>
      <c r="Q39" s="122"/>
      <c r="R39" s="122"/>
      <c r="S39" s="125"/>
      <c r="T39" s="122"/>
    </row>
    <row r="40">
      <c r="A40" s="120">
        <v>46302</v>
      </c>
      <c r="B40" s="121" t="s">
        <v>365</v>
      </c>
      <c r="C40" s="122" t="s">
        <v>358</v>
      </c>
      <c r="D40" s="122">
        <v>2</v>
      </c>
      <c r="E40" s="122">
        <v>9</v>
      </c>
      <c r="F40" s="122">
        <v>9</v>
      </c>
      <c r="G40" s="122">
        <v>2</v>
      </c>
      <c r="H40" s="126">
        <v>15868.559999999998</v>
      </c>
      <c r="I40" s="122">
        <v>3976</v>
      </c>
      <c r="J40" s="123">
        <f t="shared" si="8"/>
      </c>
      <c r="K40" s="122">
        <v>9700.45</v>
      </c>
      <c r="L40" s="124">
        <f t="shared" si="21"/>
      </c>
      <c r="M40" s="122">
        <v>5287.5599999999995</v>
      </c>
      <c r="N40" s="124">
        <f t="shared" si="0"/>
      </c>
      <c r="O40" s="124">
        <f t="shared" si="20"/>
      </c>
      <c r="P40" s="124">
        <f t="shared" si="1"/>
      </c>
      <c r="Q40" s="122"/>
      <c r="R40" s="122"/>
      <c r="S40" s="125"/>
      <c r="T40" s="122"/>
    </row>
    <row r="41">
      <c r="A41" s="120">
        <v>46302</v>
      </c>
      <c r="B41" s="121" t="s">
        <v>359</v>
      </c>
      <c r="C41" s="122" t="s">
        <v>360</v>
      </c>
      <c r="D41" s="122">
        <v>4</v>
      </c>
      <c r="E41" s="122">
        <v>12</v>
      </c>
      <c r="F41" s="122">
        <v>11</v>
      </c>
      <c r="G41" s="122">
        <v>0</v>
      </c>
      <c r="H41" s="126">
        <v>17119.079999999994</v>
      </c>
      <c r="I41" s="122">
        <v>4509</v>
      </c>
      <c r="J41" s="123">
        <f t="shared" si="8"/>
      </c>
      <c r="K41" s="122">
        <v>21441.97</v>
      </c>
      <c r="L41" s="124">
        <f t="shared" si="21"/>
      </c>
      <c r="M41" s="122">
        <v>2075.76</v>
      </c>
      <c r="N41" s="124">
        <f t="shared" si="0"/>
      </c>
      <c r="O41" s="124">
        <f t="shared" si="20"/>
      </c>
      <c r="P41" s="124">
        <f t="shared" si="1"/>
      </c>
      <c r="Q41" s="122"/>
      <c r="R41" s="122"/>
      <c r="S41" s="125"/>
      <c r="T41" s="122"/>
    </row>
    <row r="42">
      <c r="A42" s="120">
        <v>46302</v>
      </c>
      <c r="B42" s="121" t="s">
        <v>361</v>
      </c>
      <c r="C42" s="122" t="s">
        <v>362</v>
      </c>
      <c r="D42" s="122">
        <v>5</v>
      </c>
      <c r="E42" s="127">
        <v>25</v>
      </c>
      <c r="F42" s="127">
        <v>24</v>
      </c>
      <c r="G42" s="122">
        <v>1</v>
      </c>
      <c r="H42" s="128">
        <v>35025.84000000002</v>
      </c>
      <c r="I42" s="128">
        <v>0</v>
      </c>
      <c r="J42" s="123">
        <f t="shared" si="8"/>
      </c>
      <c r="K42" s="128">
        <v>26724.909999999996</v>
      </c>
      <c r="L42" s="124">
        <f t="shared" si="21"/>
      </c>
      <c r="M42" s="122">
        <v>1622.16</v>
      </c>
      <c r="N42" s="124">
        <f t="shared" si="0"/>
      </c>
      <c r="O42" s="124">
        <f t="shared" si="20"/>
      </c>
      <c r="P42" s="124">
        <f t="shared" si="1"/>
      </c>
      <c r="Q42" s="122" t="s">
        <v>363</v>
      </c>
      <c r="R42" s="122">
        <v>10</v>
      </c>
      <c r="S42" s="125"/>
      <c r="T42" s="122"/>
    </row>
    <row r="43">
      <c r="A43" s="134">
        <v>46302</v>
      </c>
      <c r="B43" s="130"/>
      <c r="C43" s="130"/>
      <c r="D43" s="131">
        <f>SUM(D38:D42)</f>
      </c>
      <c r="E43" s="131">
        <v>47</v>
      </c>
      <c r="F43" s="131">
        <v>42</v>
      </c>
      <c r="G43" s="131">
        <f>SUM(G38:G42)</f>
      </c>
      <c r="H43" s="131">
        <f>SUM(H38:H42)</f>
      </c>
      <c r="I43" s="131">
        <f>SUM(I38:I42)</f>
      </c>
      <c r="J43" s="131">
        <f>SUM(J38:J42)</f>
      </c>
      <c r="K43" s="131">
        <f>SUM(K38:K42)</f>
      </c>
      <c r="L43" s="132">
        <f t="shared" si="21"/>
      </c>
      <c r="M43" s="131">
        <f>SUM(M38:M42)</f>
      </c>
      <c r="N43" s="133">
        <f t="shared" si="0"/>
      </c>
      <c r="O43" s="132">
        <f t="shared" si="20"/>
      </c>
      <c r="P43" s="132">
        <f t="shared" si="1"/>
      </c>
      <c r="Q43" s="130"/>
      <c r="R43" s="131">
        <f>SUM(R38:R42)</f>
      </c>
      <c r="S43" s="130"/>
      <c r="T43" s="131">
        <f>SUM(T38:T42)</f>
      </c>
    </row>
    <row r="44">
      <c r="A44" s="120">
        <v>46303</v>
      </c>
      <c r="B44" s="121" t="s">
        <v>364</v>
      </c>
      <c r="C44" s="122" t="s">
        <v>352</v>
      </c>
      <c r="D44" s="122">
        <v>5</v>
      </c>
      <c r="E44" s="122">
        <v>30</v>
      </c>
      <c r="F44" s="122">
        <v>26</v>
      </c>
      <c r="G44" s="122">
        <v>3</v>
      </c>
      <c r="H44" s="122">
        <v>39156</v>
      </c>
      <c r="I44" s="122">
        <v>5352.7</v>
      </c>
      <c r="J44" s="123">
        <f t="shared" ref="J44:J48" si="9">H44+I44</f>
      </c>
      <c r="K44" s="122">
        <v>31841.08</v>
      </c>
      <c r="L44" s="124">
        <f t="shared" si="21"/>
      </c>
      <c r="M44" s="122">
        <v>5338.32</v>
      </c>
      <c r="N44" s="124">
        <f t="shared" si="0"/>
      </c>
      <c r="O44" s="124">
        <f t="shared" si="20"/>
      </c>
      <c r="P44" s="124">
        <f t="shared" si="1"/>
      </c>
      <c r="Q44" s="122" t="s">
        <v>371</v>
      </c>
      <c r="R44" s="122">
        <v>10</v>
      </c>
      <c r="S44" s="125" t="s">
        <v>354</v>
      </c>
      <c r="T44" s="122">
        <v>20</v>
      </c>
    </row>
    <row r="45">
      <c r="A45" s="120">
        <v>46303</v>
      </c>
      <c r="B45" s="121" t="s">
        <v>361</v>
      </c>
      <c r="C45" s="122" t="s">
        <v>356</v>
      </c>
      <c r="D45" s="122">
        <v>4</v>
      </c>
      <c r="E45" s="122">
        <v>33</v>
      </c>
      <c r="F45" s="122">
        <v>30</v>
      </c>
      <c r="G45" s="122">
        <v>0</v>
      </c>
      <c r="H45" s="126">
        <v>48015.72</v>
      </c>
      <c r="I45" s="122">
        <v>2661</v>
      </c>
      <c r="J45" s="123">
        <f t="shared" si="9"/>
      </c>
      <c r="K45" s="122">
        <v>34192.49</v>
      </c>
      <c r="L45" s="124">
        <f t="shared" si="21"/>
      </c>
      <c r="M45" s="122">
        <v>20811.120000000003</v>
      </c>
      <c r="N45" s="124">
        <f t="shared" si="0"/>
      </c>
      <c r="O45" s="124">
        <f t="shared" si="20"/>
      </c>
      <c r="P45" s="124">
        <f t="shared" si="1"/>
      </c>
      <c r="Q45" s="122"/>
      <c r="R45" s="122"/>
      <c r="S45" s="125"/>
      <c r="T45" s="122"/>
    </row>
    <row r="46">
      <c r="A46" s="120">
        <v>46303</v>
      </c>
      <c r="B46" s="121" t="s">
        <v>357</v>
      </c>
      <c r="C46" s="122" t="s">
        <v>358</v>
      </c>
      <c r="D46" s="122">
        <v>2</v>
      </c>
      <c r="E46" s="122">
        <v>7</v>
      </c>
      <c r="F46" s="122">
        <v>4</v>
      </c>
      <c r="G46" s="122">
        <v>0</v>
      </c>
      <c r="H46" s="126">
        <v>8687.51999999999</v>
      </c>
      <c r="I46" s="122">
        <v>0</v>
      </c>
      <c r="J46" s="123">
        <f t="shared" si="9"/>
      </c>
      <c r="K46" s="122">
        <v>12728.8</v>
      </c>
      <c r="L46" s="124">
        <f t="shared" si="21"/>
      </c>
      <c r="M46" s="122">
        <v>3336.12</v>
      </c>
      <c r="N46" s="124">
        <f t="shared" si="0"/>
      </c>
      <c r="O46" s="124">
        <f t="shared" si="20"/>
      </c>
      <c r="P46" s="124">
        <f t="shared" si="1"/>
      </c>
      <c r="Q46" s="122"/>
      <c r="R46" s="122"/>
      <c r="S46" s="125"/>
      <c r="T46" s="122"/>
    </row>
    <row r="47">
      <c r="A47" s="120">
        <v>46303</v>
      </c>
      <c r="B47" s="121" t="s">
        <v>355</v>
      </c>
      <c r="C47" s="122" t="s">
        <v>360</v>
      </c>
      <c r="D47" s="122">
        <v>4</v>
      </c>
      <c r="E47" s="122">
        <v>25</v>
      </c>
      <c r="F47" s="122">
        <v>14</v>
      </c>
      <c r="G47" s="122">
        <v>1</v>
      </c>
      <c r="H47" s="126">
        <v>43922.88000000001</v>
      </c>
      <c r="I47" s="122">
        <v>0</v>
      </c>
      <c r="J47" s="123">
        <f t="shared" si="9"/>
      </c>
      <c r="K47" s="122">
        <v>16522.91</v>
      </c>
      <c r="L47" s="124">
        <f t="shared" si="21"/>
      </c>
      <c r="M47" s="122">
        <v>5352.4800000000005</v>
      </c>
      <c r="N47" s="124">
        <f t="shared" si="0"/>
      </c>
      <c r="O47" s="124">
        <f t="shared" si="20"/>
      </c>
      <c r="P47" s="124">
        <f t="shared" si="1"/>
      </c>
      <c r="Q47" s="122"/>
      <c r="R47" s="122"/>
      <c r="S47" s="125"/>
      <c r="T47" s="122"/>
    </row>
    <row r="48">
      <c r="A48" s="120">
        <v>46303</v>
      </c>
      <c r="B48" s="121" t="s">
        <v>351</v>
      </c>
      <c r="C48" s="122" t="s">
        <v>362</v>
      </c>
      <c r="D48" s="122">
        <v>5</v>
      </c>
      <c r="E48" s="127">
        <v>37</v>
      </c>
      <c r="F48" s="127">
        <v>34</v>
      </c>
      <c r="G48" s="122">
        <v>2</v>
      </c>
      <c r="H48" s="128">
        <v>47970.12000000002</v>
      </c>
      <c r="I48" s="128">
        <v>4150.1500000000015</v>
      </c>
      <c r="J48" s="123">
        <f t="shared" si="9"/>
      </c>
      <c r="K48" s="128">
        <v>28545.47</v>
      </c>
      <c r="L48" s="124">
        <f t="shared" si="21"/>
      </c>
      <c r="M48" s="122">
        <v>2126.52</v>
      </c>
      <c r="N48" s="124">
        <f t="shared" si="0"/>
      </c>
      <c r="O48" s="124">
        <f t="shared" si="20"/>
      </c>
      <c r="P48" s="124">
        <f t="shared" si="1"/>
      </c>
      <c r="Q48" s="122" t="s">
        <v>363</v>
      </c>
      <c r="R48" s="122">
        <v>10</v>
      </c>
      <c r="S48" s="125"/>
      <c r="T48" s="122"/>
    </row>
    <row r="49">
      <c r="A49" s="134">
        <v>46303</v>
      </c>
      <c r="B49" s="130"/>
      <c r="C49" s="130"/>
      <c r="D49" s="131">
        <f>SUM(D44:D48)</f>
      </c>
      <c r="E49" s="131">
        <v>47</v>
      </c>
      <c r="F49" s="131">
        <v>42</v>
      </c>
      <c r="G49" s="131">
        <f>SUM(G44:G48)</f>
      </c>
      <c r="H49" s="131">
        <f>SUM(H44:H48)</f>
      </c>
      <c r="I49" s="131">
        <f>SUM(I44:I48)</f>
      </c>
      <c r="J49" s="131">
        <f>SUM(J44:J48)</f>
      </c>
      <c r="K49" s="131">
        <f>SUM(K44:K48)</f>
      </c>
      <c r="L49" s="132">
        <f t="shared" si="21"/>
      </c>
      <c r="M49" s="131">
        <f>SUM(M44:M48)</f>
      </c>
      <c r="N49" s="133">
        <f t="shared" si="0"/>
      </c>
      <c r="O49" s="132">
        <f t="shared" si="20"/>
      </c>
      <c r="P49" s="132">
        <f t="shared" si="1"/>
      </c>
      <c r="Q49" s="130"/>
      <c r="R49" s="131">
        <f>SUM(R44:R48)</f>
      </c>
      <c r="S49" s="130"/>
      <c r="T49" s="131">
        <f>SUM(T44:T48)</f>
      </c>
    </row>
    <row r="50">
      <c r="A50" s="120">
        <v>46304</v>
      </c>
      <c r="B50" s="121" t="s">
        <v>364</v>
      </c>
      <c r="C50" s="122" t="s">
        <v>352</v>
      </c>
      <c r="D50" s="122">
        <v>5</v>
      </c>
      <c r="E50" s="122">
        <v>44</v>
      </c>
      <c r="F50" s="122">
        <v>37</v>
      </c>
      <c r="G50" s="122">
        <v>4</v>
      </c>
      <c r="H50" s="122">
        <v>73903.92</v>
      </c>
      <c r="I50" s="122">
        <v>3017.9999999999995</v>
      </c>
      <c r="J50" s="123">
        <f t="shared" ref="J50:J54" si="10">H50+I50</f>
      </c>
      <c r="K50" s="122">
        <v>53142.77</v>
      </c>
      <c r="L50" s="124">
        <f t="shared" si="21"/>
      </c>
      <c r="M50" s="122">
        <v>24572.679999999997</v>
      </c>
      <c r="N50" s="124">
        <f t="shared" si="0"/>
      </c>
      <c r="O50" s="124">
        <f t="shared" si="20"/>
      </c>
      <c r="P50" s="124">
        <f t="shared" si="1"/>
      </c>
      <c r="Q50" s="122" t="s">
        <v>373</v>
      </c>
      <c r="R50" s="122">
        <v>10</v>
      </c>
      <c r="S50" s="125" t="s">
        <v>354</v>
      </c>
      <c r="T50" s="122">
        <v>20</v>
      </c>
    </row>
    <row r="51">
      <c r="A51" s="120">
        <v>46304</v>
      </c>
      <c r="B51" s="121" t="s">
        <v>351</v>
      </c>
      <c r="C51" s="122" t="s">
        <v>356</v>
      </c>
      <c r="D51" s="122">
        <v>4</v>
      </c>
      <c r="E51" s="122">
        <v>35</v>
      </c>
      <c r="F51" s="122">
        <v>28</v>
      </c>
      <c r="G51" s="122">
        <v>0</v>
      </c>
      <c r="H51" s="126">
        <v>49426.2</v>
      </c>
      <c r="I51" s="122">
        <v>1024</v>
      </c>
      <c r="J51" s="123">
        <f t="shared" si="10"/>
      </c>
      <c r="K51" s="122">
        <v>30784.9</v>
      </c>
      <c r="L51" s="124">
        <f t="shared" si="21"/>
      </c>
      <c r="M51" s="122">
        <v>21094.72</v>
      </c>
      <c r="N51" s="124">
        <f t="shared" si="0"/>
      </c>
      <c r="O51" s="124">
        <f t="shared" si="20"/>
      </c>
      <c r="P51" s="124">
        <f t="shared" si="1"/>
      </c>
      <c r="Q51" s="122"/>
      <c r="R51" s="122"/>
      <c r="S51" s="125"/>
      <c r="T51" s="122"/>
    </row>
    <row r="52">
      <c r="A52" s="120">
        <v>46304</v>
      </c>
      <c r="B52" s="121" t="s">
        <v>357</v>
      </c>
      <c r="C52" s="122" t="s">
        <v>374</v>
      </c>
      <c r="D52" s="122">
        <v>3</v>
      </c>
      <c r="E52" s="122">
        <v>13</v>
      </c>
      <c r="F52" s="122">
        <v>12</v>
      </c>
      <c r="G52" s="122">
        <v>1</v>
      </c>
      <c r="H52" s="126">
        <v>16438.559999999998</v>
      </c>
      <c r="I52" s="122">
        <v>1664.0000000000005</v>
      </c>
      <c r="J52" s="123">
        <f t="shared" si="10"/>
      </c>
      <c r="K52" s="122">
        <v>16169.73</v>
      </c>
      <c r="L52" s="124">
        <f t="shared" si="21"/>
      </c>
      <c r="M52" s="122">
        <v>2416.760000000002</v>
      </c>
      <c r="N52" s="124">
        <f t="shared" si="0"/>
      </c>
      <c r="O52" s="124">
        <f t="shared" si="20"/>
      </c>
      <c r="P52" s="124">
        <f t="shared" si="1"/>
      </c>
      <c r="Q52" s="122"/>
      <c r="R52" s="122"/>
      <c r="S52" s="125"/>
      <c r="T52" s="122"/>
    </row>
    <row r="53">
      <c r="A53" s="120">
        <v>46304</v>
      </c>
      <c r="B53" s="121" t="s">
        <v>355</v>
      </c>
      <c r="C53" s="122" t="s">
        <v>370</v>
      </c>
      <c r="D53" s="122">
        <v>4</v>
      </c>
      <c r="E53" s="122">
        <v>22</v>
      </c>
      <c r="F53" s="122">
        <v>14</v>
      </c>
      <c r="G53" s="122">
        <v>1</v>
      </c>
      <c r="H53" s="126">
        <v>34660.32000000001</v>
      </c>
      <c r="I53" s="122">
        <v>1886</v>
      </c>
      <c r="J53" s="123">
        <f t="shared" si="10"/>
      </c>
      <c r="K53" s="122">
        <v>24871.07</v>
      </c>
      <c r="L53" s="124">
        <f t="shared" si="21"/>
      </c>
      <c r="M53" s="122">
        <v>7232.759999999998</v>
      </c>
      <c r="N53" s="124">
        <f t="shared" si="0"/>
      </c>
      <c r="O53" s="124">
        <f t="shared" si="20"/>
      </c>
      <c r="P53" s="124">
        <f t="shared" si="1"/>
      </c>
      <c r="Q53" s="122"/>
      <c r="R53" s="122"/>
      <c r="S53" s="125"/>
      <c r="T53" s="122"/>
    </row>
    <row r="54">
      <c r="A54" s="120">
        <v>46304</v>
      </c>
      <c r="B54" s="121" t="s">
        <v>361</v>
      </c>
      <c r="C54" s="122" t="s">
        <v>367</v>
      </c>
      <c r="D54" s="122">
        <v>4</v>
      </c>
      <c r="E54" s="127">
        <v>29</v>
      </c>
      <c r="F54" s="127">
        <v>25</v>
      </c>
      <c r="G54" s="122">
        <v>2</v>
      </c>
      <c r="H54" s="128">
        <v>45571.32</v>
      </c>
      <c r="I54" s="128">
        <v>3272</v>
      </c>
      <c r="J54" s="123">
        <f t="shared" si="10"/>
      </c>
      <c r="K54" s="128" cm="1">
        <f t="array" ref="K54:K54">IMPORTRANGE("https://meimeiwangluo.feishu.cn/sheets/F9A3suPgoh9arZtkkTkcPeRxnZc","'2026.10'!D242")</f>
      </c>
      <c r="L54" s="124">
        <f t="shared" si="21"/>
      </c>
      <c r="M54" s="122" cm="1">
        <f t="array" ref="M54:M54">IMPORTRANGE("https://meimeiwangluo.feishu.cn/sheets/F9A3suPgoh9arZtkkTkcPeRxnZc","'2026.10'!J242")</f>
      </c>
      <c r="N54" s="124">
        <f t="shared" si="0"/>
      </c>
      <c r="O54" s="124">
        <f t="shared" si="20"/>
      </c>
      <c r="P54" s="124">
        <f t="shared" si="1"/>
      </c>
      <c r="Q54" s="122" t="s">
        <v>371</v>
      </c>
      <c r="R54" s="122">
        <v>10</v>
      </c>
      <c r="S54" s="125"/>
      <c r="T54" s="122"/>
    </row>
    <row r="55">
      <c r="A55" s="134">
        <v>46304</v>
      </c>
      <c r="B55" s="130"/>
      <c r="C55" s="130"/>
      <c r="D55" s="131">
        <f>SUM(D50:D54)</f>
      </c>
      <c r="E55" s="131">
        <f>SUM(E50:E54)</f>
      </c>
      <c r="F55" s="131">
        <f>SUM(F50:F54)</f>
      </c>
      <c r="G55" s="131">
        <f>SUM(G50:G54)</f>
      </c>
      <c r="H55" s="131">
        <f>SUM(H50:H54)</f>
      </c>
      <c r="I55" s="131">
        <f>SUM(I50:I54)</f>
      </c>
      <c r="J55" s="131">
        <f>SUM(J50:J54)</f>
      </c>
      <c r="K55" s="131">
        <f>SUM(K50:K54)</f>
      </c>
      <c r="L55" s="132">
        <f t="shared" si="21"/>
      </c>
      <c r="M55" s="131">
        <f>SUM(M50:M54)</f>
      </c>
      <c r="N55" s="133">
        <f t="shared" si="0"/>
      </c>
      <c r="O55" s="132">
        <f t="shared" si="20"/>
      </c>
      <c r="P55" s="132">
        <f t="shared" si="1"/>
      </c>
      <c r="Q55" s="130"/>
      <c r="R55" s="131">
        <f>SUM(R50:R54)</f>
      </c>
      <c r="S55" s="130"/>
      <c r="T55" s="131">
        <f>SUM(T50:T54)</f>
      </c>
    </row>
    <row r="56">
      <c r="A56" s="120">
        <v>46305</v>
      </c>
      <c r="B56" s="121" t="s">
        <v>351</v>
      </c>
      <c r="C56" s="122" t="s">
        <v>352</v>
      </c>
      <c r="D56" s="122">
        <v>5</v>
      </c>
      <c r="E56" s="122">
        <v>19</v>
      </c>
      <c r="F56" s="122">
        <v>13</v>
      </c>
      <c r="G56" s="122">
        <v>1</v>
      </c>
      <c r="H56" s="122">
        <v>26104.68</v>
      </c>
      <c r="I56" s="122">
        <v>4683</v>
      </c>
      <c r="J56" s="123">
        <f t="shared" ref="J56:J60" si="11">H56+I56</f>
      </c>
      <c r="K56" s="122">
        <v>27087.53</v>
      </c>
      <c r="L56" s="124">
        <f t="shared" si="21"/>
      </c>
      <c r="M56" s="122">
        <v>4780.2</v>
      </c>
      <c r="N56" s="124">
        <f t="shared" si="0"/>
      </c>
      <c r="O56" s="124">
        <f t="shared" si="20"/>
      </c>
      <c r="P56" s="124">
        <f t="shared" si="1"/>
      </c>
      <c r="Q56" s="122" t="s">
        <v>353</v>
      </c>
      <c r="R56" s="122">
        <v>10</v>
      </c>
      <c r="S56" s="125" t="s">
        <v>354</v>
      </c>
      <c r="T56" s="122">
        <v>20</v>
      </c>
    </row>
    <row r="57">
      <c r="A57" s="120">
        <v>46305</v>
      </c>
      <c r="B57" s="121" t="s">
        <v>364</v>
      </c>
      <c r="C57" s="122" t="s">
        <v>356</v>
      </c>
      <c r="D57" s="122">
        <v>4</v>
      </c>
      <c r="E57" s="122">
        <v>36</v>
      </c>
      <c r="F57" s="122">
        <v>26</v>
      </c>
      <c r="G57" s="122">
        <v>5</v>
      </c>
      <c r="H57" s="126">
        <v>75109.92000000001</v>
      </c>
      <c r="I57" s="122">
        <v>2422</v>
      </c>
      <c r="J57" s="123">
        <f t="shared" si="11"/>
      </c>
      <c r="K57" s="122">
        <v>26392.530000000002</v>
      </c>
      <c r="L57" s="124">
        <f t="shared" si="21"/>
      </c>
      <c r="M57" s="122">
        <v>35230.08</v>
      </c>
      <c r="N57" s="124">
        <f t="shared" si="0"/>
      </c>
      <c r="O57" s="124">
        <f t="shared" si="20"/>
      </c>
      <c r="P57" s="124">
        <f t="shared" si="1"/>
      </c>
      <c r="Q57" s="122"/>
      <c r="R57" s="122"/>
      <c r="S57" s="125"/>
      <c r="T57" s="122"/>
    </row>
    <row r="58">
      <c r="A58" s="120">
        <v>46305</v>
      </c>
      <c r="B58" s="121" t="s">
        <v>357</v>
      </c>
      <c r="C58" s="122" t="s">
        <v>374</v>
      </c>
      <c r="D58" s="122">
        <v>3</v>
      </c>
      <c r="E58" s="122">
        <v>25</v>
      </c>
      <c r="F58" s="122">
        <v>21</v>
      </c>
      <c r="G58" s="122">
        <v>0</v>
      </c>
      <c r="H58" s="126">
        <v>47703.59999999998</v>
      </c>
      <c r="I58" s="122">
        <v>1204</v>
      </c>
      <c r="J58" s="123">
        <f t="shared" si="11"/>
      </c>
      <c r="K58" s="122">
        <v>25309.61</v>
      </c>
      <c r="L58" s="124">
        <f t="shared" si="21"/>
      </c>
      <c r="M58" s="122">
        <v>18215.28</v>
      </c>
      <c r="N58" s="124">
        <f t="shared" si="0"/>
      </c>
      <c r="O58" s="124">
        <f t="shared" si="20"/>
      </c>
      <c r="P58" s="124">
        <f t="shared" si="1"/>
      </c>
      <c r="Q58" s="122"/>
      <c r="R58" s="122"/>
      <c r="S58" s="125"/>
      <c r="T58" s="122"/>
    </row>
    <row r="59">
      <c r="A59" s="120">
        <v>46305</v>
      </c>
      <c r="B59" s="121" t="s">
        <v>355</v>
      </c>
      <c r="C59" s="122" t="s">
        <v>370</v>
      </c>
      <c r="D59" s="122">
        <v>4</v>
      </c>
      <c r="E59" s="122">
        <v>39</v>
      </c>
      <c r="F59" s="122">
        <v>30</v>
      </c>
      <c r="G59" s="122">
        <v>4</v>
      </c>
      <c r="H59" s="126">
        <v>73930.92</v>
      </c>
      <c r="I59" s="122">
        <v>506</v>
      </c>
      <c r="J59" s="123">
        <f t="shared" si="11"/>
      </c>
      <c r="K59" s="122">
        <v>35333</v>
      </c>
      <c r="L59" s="124">
        <f t="shared" si="21"/>
      </c>
      <c r="M59" s="122">
        <v>22043.39999999999</v>
      </c>
      <c r="N59" s="124">
        <f t="shared" si="0"/>
      </c>
      <c r="O59" s="124">
        <f t="shared" si="20"/>
      </c>
      <c r="P59" s="124">
        <f t="shared" si="1"/>
      </c>
      <c r="Q59" s="122"/>
      <c r="R59" s="122"/>
      <c r="S59" s="125"/>
      <c r="T59" s="122"/>
    </row>
    <row r="60">
      <c r="A60" s="120">
        <v>46305</v>
      </c>
      <c r="B60" s="121" t="s">
        <v>359</v>
      </c>
      <c r="C60" s="122" t="s">
        <v>367</v>
      </c>
      <c r="D60" s="122">
        <v>4</v>
      </c>
      <c r="E60" s="127">
        <v>33</v>
      </c>
      <c r="F60" s="127">
        <v>28</v>
      </c>
      <c r="G60" s="122">
        <v>4</v>
      </c>
      <c r="H60" s="128">
        <v>68464.43999999997</v>
      </c>
      <c r="I60" s="128">
        <v>861</v>
      </c>
      <c r="J60" s="123">
        <f t="shared" si="11"/>
      </c>
      <c r="K60" s="128" cm="1">
        <f t="array" ref="K60:K60">IMPORTRANGE("https://meimeiwangluo.feishu.cn/sheets/F9A3suPgoh9arZtkkTkcPeRxnZc","'2026.10'!D269")</f>
      </c>
      <c r="L60" s="124">
        <f t="shared" si="21"/>
      </c>
      <c r="M60" s="122" cm="1">
        <f t="array" ref="M60:M60">IMPORTRANGE("https://meimeiwangluo.feishu.cn/sheets/F9A3suPgoh9arZtkkTkcPeRxnZc","'2026.10'!J269")</f>
      </c>
      <c r="N60" s="124">
        <f t="shared" si="0"/>
      </c>
      <c r="O60" s="124">
        <f t="shared" si="20"/>
      </c>
      <c r="P60" s="124">
        <f t="shared" si="1"/>
      </c>
      <c r="Q60" s="122" t="s">
        <v>371</v>
      </c>
      <c r="R60" s="122">
        <v>10</v>
      </c>
      <c r="S60" s="125"/>
      <c r="T60" s="122"/>
    </row>
    <row r="61">
      <c r="A61" s="134">
        <v>46305</v>
      </c>
      <c r="B61" s="130"/>
      <c r="C61" s="130"/>
      <c r="D61" s="131">
        <f>SUM(D56:D60)</f>
      </c>
      <c r="E61" s="131">
        <f>SUM(E56:E60)</f>
      </c>
      <c r="F61" s="131">
        <f>SUM(F56:F60)</f>
      </c>
      <c r="G61" s="131">
        <f>SUM(G56:G60)</f>
      </c>
      <c r="H61" s="131">
        <f>SUM(H56:H60)</f>
      </c>
      <c r="I61" s="131">
        <f>SUM(I56:I60)</f>
      </c>
      <c r="J61" s="131">
        <f>SUM(J56:J60)</f>
      </c>
      <c r="K61" s="131">
        <f>SUM(K56:K60)</f>
      </c>
      <c r="L61" s="132">
        <f t="shared" si="21"/>
      </c>
      <c r="M61" s="131">
        <f>SUM(M56:M60)</f>
      </c>
      <c r="N61" s="133">
        <f t="shared" si="0"/>
      </c>
      <c r="O61" s="132">
        <f t="shared" si="20"/>
      </c>
      <c r="P61" s="132">
        <f t="shared" si="1"/>
      </c>
      <c r="Q61" s="130"/>
      <c r="R61" s="131">
        <f>SUM(R56:R60)</f>
      </c>
      <c r="S61" s="130"/>
      <c r="T61" s="131">
        <f>SUM(T56:T60)</f>
      </c>
    </row>
    <row r="62">
      <c r="A62" s="120">
        <v>46306</v>
      </c>
      <c r="B62" s="121" t="s">
        <v>364</v>
      </c>
      <c r="C62" s="122" t="s">
        <v>352</v>
      </c>
      <c r="D62" s="122">
        <v>5</v>
      </c>
      <c r="E62" s="122">
        <v>37</v>
      </c>
      <c r="F62" s="122">
        <v>31</v>
      </c>
      <c r="G62" s="122">
        <v>6</v>
      </c>
      <c r="H62" s="122">
        <v>70175.04000000001</v>
      </c>
      <c r="I62" s="122">
        <v>5585.5</v>
      </c>
      <c r="J62" s="123">
        <f t="shared" ref="J62:J66" si="12">H62+I62</f>
      </c>
      <c r="K62" s="122">
        <v>41160.619999999995</v>
      </c>
      <c r="L62" s="124">
        <f t="shared" si="21"/>
      </c>
      <c r="M62" s="122">
        <v>37388.159999999996</v>
      </c>
      <c r="N62" s="124">
        <f t="shared" si="0"/>
      </c>
      <c r="O62" s="124">
        <f t="shared" si="20"/>
      </c>
      <c r="P62" s="124">
        <f t="shared" si="1"/>
      </c>
      <c r="Q62" s="122" t="s">
        <v>353</v>
      </c>
      <c r="R62" s="122">
        <v>10</v>
      </c>
      <c r="S62" s="125" t="s">
        <v>354</v>
      </c>
      <c r="T62" s="122">
        <v>20</v>
      </c>
    </row>
    <row r="63">
      <c r="A63" s="120">
        <v>46306</v>
      </c>
      <c r="B63" s="121" t="s">
        <v>355</v>
      </c>
      <c r="C63" s="122" t="s">
        <v>356</v>
      </c>
      <c r="D63" s="122">
        <v>4</v>
      </c>
      <c r="E63" s="122">
        <v>23</v>
      </c>
      <c r="F63" s="122">
        <v>20</v>
      </c>
      <c r="G63" s="122">
        <v>2</v>
      </c>
      <c r="H63" s="126">
        <v>41178.72</v>
      </c>
      <c r="I63" s="122">
        <v>0</v>
      </c>
      <c r="J63" s="123">
        <f t="shared" si="12"/>
      </c>
      <c r="K63" s="122">
        <v>23943.2</v>
      </c>
      <c r="L63" s="124">
        <f t="shared" si="21"/>
      </c>
      <c r="M63" s="122">
        <v>8387.28</v>
      </c>
      <c r="N63" s="124">
        <f t="shared" si="0"/>
      </c>
      <c r="O63" s="124">
        <f t="shared" si="20"/>
      </c>
      <c r="P63" s="124">
        <f t="shared" si="1"/>
      </c>
      <c r="Q63" s="122"/>
      <c r="R63" s="122"/>
      <c r="S63" s="125"/>
      <c r="T63" s="122"/>
    </row>
    <row r="64">
      <c r="A64" s="120">
        <v>46306</v>
      </c>
      <c r="B64" s="121" t="s">
        <v>365</v>
      </c>
      <c r="C64" s="122" t="s">
        <v>358</v>
      </c>
      <c r="D64" s="122">
        <v>2</v>
      </c>
      <c r="E64" s="122">
        <v>17</v>
      </c>
      <c r="F64" s="122">
        <v>13</v>
      </c>
      <c r="G64" s="122">
        <v>0</v>
      </c>
      <c r="H64" s="126">
        <v>34913.16</v>
      </c>
      <c r="I64" s="122">
        <v>0</v>
      </c>
      <c r="J64" s="123">
        <f t="shared" si="12"/>
      </c>
      <c r="K64" s="122">
        <v>16077.939999999999</v>
      </c>
      <c r="L64" s="124">
        <f t="shared" si="21"/>
      </c>
      <c r="M64" s="122">
        <v>3633.12</v>
      </c>
      <c r="N64" s="124">
        <f t="shared" si="0"/>
      </c>
      <c r="O64" s="124">
        <f t="shared" si="20"/>
      </c>
      <c r="P64" s="124">
        <f t="shared" si="1"/>
      </c>
      <c r="Q64" s="122"/>
      <c r="R64" s="122"/>
      <c r="S64" s="125"/>
      <c r="T64" s="122"/>
    </row>
    <row r="65">
      <c r="A65" s="120">
        <v>46306</v>
      </c>
      <c r="B65" s="121" t="s">
        <v>351</v>
      </c>
      <c r="C65" s="122" t="s">
        <v>366</v>
      </c>
      <c r="D65" s="122">
        <v>5</v>
      </c>
      <c r="E65" s="122">
        <v>29</v>
      </c>
      <c r="F65" s="122">
        <v>25</v>
      </c>
      <c r="G65" s="122">
        <v>1</v>
      </c>
      <c r="H65" s="126">
        <v>57534.479999999996</v>
      </c>
      <c r="I65" s="122">
        <v>1437</v>
      </c>
      <c r="J65" s="123">
        <f t="shared" si="12"/>
      </c>
      <c r="K65" s="122">
        <v>33182.28999999999</v>
      </c>
      <c r="L65" s="124">
        <f t="shared" si="21"/>
      </c>
      <c r="M65" s="122">
        <v>3018.6000000000004</v>
      </c>
      <c r="N65" s="124">
        <f t="shared" si="0"/>
      </c>
      <c r="O65" s="124">
        <f t="shared" si="20"/>
      </c>
      <c r="P65" s="124">
        <f t="shared" si="1"/>
      </c>
      <c r="Q65" s="122"/>
      <c r="R65" s="122"/>
      <c r="S65" s="125"/>
      <c r="T65" s="122"/>
    </row>
    <row r="66">
      <c r="A66" s="120">
        <v>46306</v>
      </c>
      <c r="B66" s="121" t="s">
        <v>359</v>
      </c>
      <c r="C66" s="122" t="s">
        <v>367</v>
      </c>
      <c r="D66" s="122">
        <v>4</v>
      </c>
      <c r="E66" s="127">
        <v>19</v>
      </c>
      <c r="F66" s="127">
        <v>15</v>
      </c>
      <c r="G66" s="122">
        <v>4</v>
      </c>
      <c r="H66" s="128">
        <v>23599.799999999974</v>
      </c>
      <c r="I66" s="128">
        <v>7415.7</v>
      </c>
      <c r="J66" s="123">
        <f t="shared" si="12"/>
      </c>
      <c r="K66" s="128">
        <v>25129.14</v>
      </c>
      <c r="L66" s="124">
        <f t="shared" si="21"/>
      </c>
      <c r="M66" s="122">
        <v>0</v>
      </c>
      <c r="N66" s="124">
        <f t="shared" si="0"/>
      </c>
      <c r="O66" s="124">
        <f t="shared" si="20"/>
      </c>
      <c r="P66" s="124">
        <f t="shared" si="1"/>
      </c>
      <c r="Q66" s="122" t="s">
        <v>363</v>
      </c>
      <c r="R66" s="122">
        <v>10</v>
      </c>
      <c r="S66" s="125"/>
      <c r="T66" s="122"/>
    </row>
    <row r="67">
      <c r="A67" s="134">
        <v>46306</v>
      </c>
      <c r="B67" s="130"/>
      <c r="C67" s="130"/>
      <c r="D67" s="131">
        <f>SUM(D62:D66)</f>
      </c>
      <c r="E67" s="131">
        <f>SUM(E62:E66)</f>
      </c>
      <c r="F67" s="131">
        <f>SUM(F62:F66)</f>
      </c>
      <c r="G67" s="131">
        <f>SUM(G62:G66)</f>
      </c>
      <c r="H67" s="131">
        <f>SUM(H62:H66)</f>
      </c>
      <c r="I67" s="131">
        <f>SUM(I62:I66)</f>
      </c>
      <c r="J67" s="131">
        <f>SUM(J62:J66)</f>
      </c>
      <c r="K67" s="131">
        <f>SUM(K62:K66)</f>
      </c>
      <c r="L67" s="132">
        <f t="shared" si="21"/>
      </c>
      <c r="M67" s="131">
        <f>SUM(M62:M66)</f>
      </c>
      <c r="N67" s="133">
        <f t="shared" si="0"/>
      </c>
      <c r="O67" s="132">
        <f t="shared" si="20"/>
      </c>
      <c r="P67" s="132">
        <f t="shared" si="1"/>
      </c>
      <c r="Q67" s="130"/>
      <c r="R67" s="131">
        <f>SUM(R62:R66)</f>
      </c>
      <c r="S67" s="130"/>
      <c r="T67" s="131">
        <f>SUM(T62:T66)</f>
      </c>
    </row>
    <row r="68">
      <c r="A68" s="120">
        <v>46307</v>
      </c>
      <c r="B68" s="121" t="s">
        <v>364</v>
      </c>
      <c r="C68" s="122" t="s">
        <v>352</v>
      </c>
      <c r="D68" s="122">
        <v>5</v>
      </c>
      <c r="E68" s="122">
        <v>34</v>
      </c>
      <c r="F68" s="122">
        <v>29</v>
      </c>
      <c r="G68" s="122">
        <v>2</v>
      </c>
      <c r="H68" s="122">
        <v>57121.799999999996</v>
      </c>
      <c r="I68" s="122">
        <v>5551.000000000001</v>
      </c>
      <c r="J68" s="123">
        <f t="shared" ref="J68:J72" si="13">H68+I68</f>
      </c>
      <c r="K68" s="122">
        <v>41517.420000000006</v>
      </c>
      <c r="L68" s="124">
        <f t="shared" si="21"/>
      </c>
      <c r="M68" s="122">
        <v>23821.28</v>
      </c>
      <c r="N68" s="124">
        <f t="shared" si="0"/>
      </c>
      <c r="O68" s="124">
        <f t="shared" si="20"/>
      </c>
      <c r="P68" s="124">
        <f t="shared" si="1"/>
      </c>
      <c r="Q68" s="122" t="s">
        <v>353</v>
      </c>
      <c r="R68" s="122">
        <v>10</v>
      </c>
      <c r="S68" s="125" t="s">
        <v>354</v>
      </c>
      <c r="T68" s="122">
        <v>20</v>
      </c>
    </row>
    <row r="69">
      <c r="A69" s="120">
        <v>46307</v>
      </c>
      <c r="B69" s="121" t="s">
        <v>351</v>
      </c>
      <c r="C69" s="122" t="s">
        <v>356</v>
      </c>
      <c r="D69" s="122">
        <v>4</v>
      </c>
      <c r="E69" s="122">
        <v>40</v>
      </c>
      <c r="F69" s="122">
        <v>32</v>
      </c>
      <c r="G69" s="122">
        <v>2</v>
      </c>
      <c r="H69" s="126">
        <v>65578.44</v>
      </c>
      <c r="I69" s="122">
        <v>0</v>
      </c>
      <c r="J69" s="123">
        <f t="shared" si="13"/>
      </c>
      <c r="K69" s="122">
        <v>42231.28999999999</v>
      </c>
      <c r="L69" s="124">
        <f t="shared" si="21"/>
      </c>
      <c r="M69" s="122">
        <v>16941.96</v>
      </c>
      <c r="N69" s="124">
        <f t="shared" si="0"/>
      </c>
      <c r="O69" s="124">
        <f t="shared" si="20"/>
      </c>
      <c r="P69" s="124">
        <f t="shared" si="1"/>
      </c>
      <c r="Q69" s="122"/>
      <c r="R69" s="122"/>
      <c r="S69" s="125"/>
      <c r="T69" s="122"/>
    </row>
    <row r="70">
      <c r="A70" s="120">
        <v>46307</v>
      </c>
      <c r="B70" s="121" t="s">
        <v>357</v>
      </c>
      <c r="C70" s="122" t="s">
        <v>374</v>
      </c>
      <c r="D70" s="122">
        <v>3</v>
      </c>
      <c r="E70" s="122">
        <v>30</v>
      </c>
      <c r="F70" s="122">
        <v>23</v>
      </c>
      <c r="G70" s="122">
        <v>1</v>
      </c>
      <c r="H70" s="126">
        <v>54090.72000000004</v>
      </c>
      <c r="I70" s="122">
        <v>0</v>
      </c>
      <c r="J70" s="123">
        <f t="shared" si="13"/>
      </c>
      <c r="K70" s="122">
        <v>26013.33</v>
      </c>
      <c r="L70" s="124">
        <f t="shared" si="21"/>
      </c>
      <c r="M70" s="122">
        <v>14576.76</v>
      </c>
      <c r="N70" s="124">
        <f t="shared" si="0"/>
      </c>
      <c r="O70" s="124">
        <f t="shared" si="20"/>
      </c>
      <c r="P70" s="124">
        <f t="shared" si="1"/>
      </c>
      <c r="Q70" s="122"/>
      <c r="R70" s="122"/>
      <c r="S70" s="125"/>
      <c r="T70" s="122"/>
    </row>
    <row r="71">
      <c r="A71" s="120">
        <v>46307</v>
      </c>
      <c r="B71" s="121" t="s">
        <v>359</v>
      </c>
      <c r="C71" s="122" t="s">
        <v>370</v>
      </c>
      <c r="D71" s="122">
        <v>4</v>
      </c>
      <c r="E71" s="122">
        <v>35</v>
      </c>
      <c r="F71" s="122">
        <v>30</v>
      </c>
      <c r="G71" s="122">
        <v>1</v>
      </c>
      <c r="H71" s="126">
        <v>47369.75999999998</v>
      </c>
      <c r="I71" s="122">
        <v>2563</v>
      </c>
      <c r="J71" s="123">
        <f t="shared" si="13"/>
      </c>
      <c r="K71" s="122">
        <v>28919.77</v>
      </c>
      <c r="L71" s="124">
        <f t="shared" si="21"/>
      </c>
      <c r="M71" s="122">
        <v>3159.44</v>
      </c>
      <c r="N71" s="124">
        <f t="shared" si="0"/>
      </c>
      <c r="O71" s="124">
        <f t="shared" si="20"/>
      </c>
      <c r="P71" s="124">
        <f t="shared" si="1"/>
      </c>
      <c r="Q71" s="122"/>
      <c r="R71" s="122"/>
      <c r="S71" s="125"/>
      <c r="T71" s="122"/>
    </row>
    <row r="72">
      <c r="A72" s="120">
        <v>46307</v>
      </c>
      <c r="B72" s="121" t="s">
        <v>361</v>
      </c>
      <c r="C72" s="122" t="s">
        <v>367</v>
      </c>
      <c r="D72" s="122">
        <v>4</v>
      </c>
      <c r="E72" s="127">
        <v>36</v>
      </c>
      <c r="F72" s="127">
        <v>33</v>
      </c>
      <c r="G72" s="122">
        <v>1</v>
      </c>
      <c r="H72" s="128">
        <v>65071.68000000004</v>
      </c>
      <c r="I72" s="128">
        <v>3380.999999999999</v>
      </c>
      <c r="J72" s="123">
        <f t="shared" si="13"/>
      </c>
      <c r="K72" s="128">
        <v>33778.86</v>
      </c>
      <c r="L72" s="124">
        <f t="shared" si="21"/>
      </c>
      <c r="M72" s="122">
        <v>855.36</v>
      </c>
      <c r="N72" s="124">
        <f t="shared" si="0"/>
      </c>
      <c r="O72" s="124">
        <f t="shared" si="20"/>
      </c>
      <c r="P72" s="124">
        <f t="shared" si="1"/>
      </c>
      <c r="Q72" s="122" t="s">
        <v>363</v>
      </c>
      <c r="R72" s="122">
        <v>10</v>
      </c>
      <c r="S72" s="125"/>
      <c r="T72" s="122"/>
    </row>
    <row r="73">
      <c r="A73" s="134">
        <v>46307</v>
      </c>
      <c r="B73" s="130"/>
      <c r="C73" s="130"/>
      <c r="D73" s="131">
        <f>SUM(D68:D72)</f>
      </c>
      <c r="E73" s="131">
        <f>SUM(E68:E72)</f>
      </c>
      <c r="F73" s="131">
        <f>SUM(F68:F72)</f>
      </c>
      <c r="G73" s="131">
        <f>SUM(G68:G72)</f>
      </c>
      <c r="H73" s="131">
        <f>SUM(H68:H72)</f>
      </c>
      <c r="I73" s="131">
        <f>SUM(I68:I72)</f>
      </c>
      <c r="J73" s="131">
        <f>SUM(J68:J72)</f>
      </c>
      <c r="K73" s="131">
        <f>SUM(K68:K72)</f>
      </c>
      <c r="L73" s="132">
        <f t="shared" si="21"/>
      </c>
      <c r="M73" s="131">
        <f>SUM(M68:M72)</f>
      </c>
      <c r="N73" s="133">
        <f t="shared" si="0"/>
      </c>
      <c r="O73" s="132">
        <f t="shared" si="20"/>
      </c>
      <c r="P73" s="132">
        <f t="shared" si="1"/>
      </c>
      <c r="Q73" s="130"/>
      <c r="R73" s="131">
        <f>SUM(R68:R72)</f>
      </c>
      <c r="S73" s="130"/>
      <c r="T73" s="131">
        <f>SUM(T68:T72)</f>
      </c>
    </row>
    <row r="74">
      <c r="A74" s="120">
        <v>46308</v>
      </c>
      <c r="B74" s="121" t="s">
        <v>351</v>
      </c>
      <c r="C74" s="122" t="s">
        <v>352</v>
      </c>
      <c r="D74" s="122">
        <v>5</v>
      </c>
      <c r="E74" s="122">
        <v>33</v>
      </c>
      <c r="F74" s="122">
        <v>28</v>
      </c>
      <c r="G74" s="122">
        <v>1</v>
      </c>
      <c r="H74" s="122">
        <v>57924.36000000001</v>
      </c>
      <c r="I74" s="122">
        <v>0</v>
      </c>
      <c r="J74" s="123">
        <f t="shared" ref="J74:J78" si="14">H74+I74</f>
      </c>
      <c r="K74" s="122">
        <v>36969.79</v>
      </c>
      <c r="L74" s="124">
        <f t="shared" si="21"/>
      </c>
      <c r="M74" s="122">
        <v>14415.84</v>
      </c>
      <c r="N74" s="124">
        <f t="shared" si="0"/>
      </c>
      <c r="O74" s="124">
        <f t="shared" si="20"/>
      </c>
      <c r="P74" s="124">
        <f t="shared" si="1"/>
      </c>
      <c r="Q74" s="122" t="s">
        <v>353</v>
      </c>
      <c r="R74" s="122">
        <v>10</v>
      </c>
      <c r="S74" s="125" t="s">
        <v>354</v>
      </c>
      <c r="T74" s="122">
        <v>20</v>
      </c>
    </row>
    <row r="75">
      <c r="A75" s="120">
        <v>46308</v>
      </c>
      <c r="B75" s="121" t="s">
        <v>364</v>
      </c>
      <c r="C75" s="122" t="s">
        <v>356</v>
      </c>
      <c r="D75" s="122">
        <v>4</v>
      </c>
      <c r="E75" s="122">
        <v>23</v>
      </c>
      <c r="F75" s="122">
        <v>17</v>
      </c>
      <c r="G75" s="122">
        <v>1</v>
      </c>
      <c r="H75" s="126">
        <v>31686.359999999986</v>
      </c>
      <c r="I75" s="122">
        <v>0</v>
      </c>
      <c r="J75" s="123">
        <f t="shared" si="14"/>
      </c>
      <c r="K75" s="122">
        <v>27963.5</v>
      </c>
      <c r="L75" s="124">
        <f t="shared" si="21"/>
      </c>
      <c r="M75" s="122">
        <v>11687.759999999998</v>
      </c>
      <c r="N75" s="124">
        <f t="shared" si="0"/>
      </c>
      <c r="O75" s="124">
        <f t="shared" si="20"/>
      </c>
      <c r="P75" s="124">
        <f t="shared" si="1"/>
      </c>
      <c r="Q75" s="122"/>
      <c r="R75" s="122"/>
      <c r="S75" s="125"/>
      <c r="T75" s="122"/>
    </row>
    <row r="76">
      <c r="A76" s="120">
        <v>46308</v>
      </c>
      <c r="B76" s="121" t="s">
        <v>365</v>
      </c>
      <c r="C76" s="122" t="s">
        <v>374</v>
      </c>
      <c r="D76" s="122">
        <v>3</v>
      </c>
      <c r="E76" s="122">
        <v>13</v>
      </c>
      <c r="F76" s="122">
        <v>8</v>
      </c>
      <c r="G76" s="122">
        <v>0</v>
      </c>
      <c r="H76" s="126">
        <v>14907.240000000023</v>
      </c>
      <c r="I76" s="122">
        <v>3520</v>
      </c>
      <c r="J76" s="123">
        <f t="shared" si="14"/>
      </c>
      <c r="K76" s="122">
        <v>19498.800000000003</v>
      </c>
      <c r="L76" s="124">
        <f t="shared" si="21"/>
      </c>
      <c r="M76" s="122">
        <v>7664</v>
      </c>
      <c r="N76" s="124">
        <f t="shared" si="0"/>
      </c>
      <c r="O76" s="124">
        <f t="shared" si="20"/>
      </c>
      <c r="P76" s="124">
        <f t="shared" si="1"/>
      </c>
      <c r="Q76" s="122"/>
      <c r="R76" s="122"/>
      <c r="S76" s="125"/>
      <c r="T76" s="122"/>
    </row>
    <row r="77">
      <c r="A77" s="120">
        <v>46308</v>
      </c>
      <c r="B77" s="121" t="s">
        <v>355</v>
      </c>
      <c r="C77" s="122" t="s">
        <v>370</v>
      </c>
      <c r="D77" s="122">
        <v>4</v>
      </c>
      <c r="E77" s="122">
        <v>25</v>
      </c>
      <c r="F77" s="122">
        <v>23</v>
      </c>
      <c r="G77" s="122">
        <v>6</v>
      </c>
      <c r="H77" s="126">
        <v>61996.919999999984</v>
      </c>
      <c r="I77" s="122">
        <v>5000</v>
      </c>
      <c r="J77" s="123">
        <f t="shared" si="14"/>
      </c>
      <c r="K77" s="122">
        <v>25172.63</v>
      </c>
      <c r="L77" s="124">
        <f t="shared" si="21"/>
      </c>
      <c r="M77" s="122">
        <v>0</v>
      </c>
      <c r="N77" s="124">
        <f t="shared" si="0"/>
      </c>
      <c r="O77" s="124">
        <f t="shared" si="20"/>
      </c>
      <c r="P77" s="124">
        <f t="shared" si="1"/>
      </c>
      <c r="Q77" s="122"/>
      <c r="R77" s="122"/>
      <c r="S77" s="125"/>
      <c r="T77" s="122"/>
    </row>
    <row r="78">
      <c r="A78" s="120">
        <v>46308</v>
      </c>
      <c r="B78" s="121" t="s">
        <v>361</v>
      </c>
      <c r="C78" s="122" t="s">
        <v>367</v>
      </c>
      <c r="D78" s="122">
        <v>4</v>
      </c>
      <c r="E78" s="127">
        <v>24</v>
      </c>
      <c r="F78" s="127">
        <v>23</v>
      </c>
      <c r="G78" s="122">
        <v>3</v>
      </c>
      <c r="H78" s="128">
        <v>34300.20000000002</v>
      </c>
      <c r="I78" s="128">
        <v>3117.9</v>
      </c>
      <c r="J78" s="123">
        <f t="shared" si="14"/>
      </c>
      <c r="K78" s="128">
        <v>26862.89</v>
      </c>
      <c r="L78" s="124">
        <f t="shared" si="21"/>
      </c>
      <c r="M78" s="122">
        <v>1290.6</v>
      </c>
      <c r="N78" s="124">
        <f t="shared" si="0"/>
      </c>
      <c r="O78" s="124">
        <f t="shared" si="20"/>
      </c>
      <c r="P78" s="124">
        <f t="shared" si="1"/>
      </c>
      <c r="Q78" s="122" t="s">
        <v>363</v>
      </c>
      <c r="R78" s="122">
        <v>10</v>
      </c>
      <c r="S78" s="125"/>
      <c r="T78" s="122"/>
    </row>
    <row r="79">
      <c r="A79" s="134">
        <v>46308</v>
      </c>
      <c r="B79" s="130"/>
      <c r="C79" s="130"/>
      <c r="D79" s="131">
        <f>SUM(D74:D78)</f>
      </c>
      <c r="E79" s="131">
        <f>SUM(E74:E78)</f>
      </c>
      <c r="F79" s="131">
        <f>SUM(F74:F78)</f>
      </c>
      <c r="G79" s="131">
        <f>SUM(G74:G78)</f>
      </c>
      <c r="H79" s="131">
        <f>SUM(H74:H78)</f>
      </c>
      <c r="I79" s="131">
        <f>SUM(I74:I78)</f>
      </c>
      <c r="J79" s="131">
        <f>SUM(J74:J78)</f>
      </c>
      <c r="K79" s="131">
        <f>SUM(K74:K78)</f>
      </c>
      <c r="L79" s="132">
        <f t="shared" si="21"/>
      </c>
      <c r="M79" s="131">
        <f>SUM(M74:M78)</f>
      </c>
      <c r="N79" s="133">
        <f t="shared" si="0"/>
      </c>
      <c r="O79" s="132">
        <f t="shared" si="20"/>
      </c>
      <c r="P79" s="132">
        <f t="shared" si="1"/>
      </c>
      <c r="Q79" s="130"/>
      <c r="R79" s="131">
        <f>SUM(R74:R78)</f>
      </c>
      <c r="S79" s="130"/>
      <c r="T79" s="131">
        <f>SUM(T74:T78)</f>
      </c>
    </row>
    <row r="80">
      <c r="A80" s="120">
        <v>46309</v>
      </c>
      <c r="B80" s="121" t="s">
        <v>351</v>
      </c>
      <c r="C80" s="122" t="s">
        <v>352</v>
      </c>
      <c r="D80" s="122">
        <v>5</v>
      </c>
      <c r="E80" s="122">
        <v>26</v>
      </c>
      <c r="F80" s="122">
        <v>20</v>
      </c>
      <c r="G80" s="122">
        <v>1</v>
      </c>
      <c r="H80" s="122">
        <v>32969.520000000004</v>
      </c>
      <c r="I80" s="122">
        <v>2042.9999999999995</v>
      </c>
      <c r="J80" s="123">
        <f t="shared" ref="J80:J84" si="15">H80+I80</f>
      </c>
      <c r="K80" s="122">
        <v>34832.28</v>
      </c>
      <c r="L80" s="124">
        <f t="shared" si="21"/>
      </c>
      <c r="M80" s="122">
        <v>14091.84</v>
      </c>
      <c r="N80" s="124">
        <f t="shared" si="0"/>
      </c>
      <c r="O80" s="124">
        <f t="shared" si="20"/>
      </c>
      <c r="P80" s="124">
        <f t="shared" si="1"/>
      </c>
      <c r="Q80" s="122" t="s">
        <v>353</v>
      </c>
      <c r="R80" s="122">
        <v>10</v>
      </c>
      <c r="S80" s="125" t="s">
        <v>354</v>
      </c>
      <c r="T80" s="122">
        <v>20</v>
      </c>
    </row>
    <row r="81">
      <c r="A81" s="120">
        <v>46309</v>
      </c>
      <c r="B81" s="121" t="s">
        <v>364</v>
      </c>
      <c r="C81" s="122" t="s">
        <v>356</v>
      </c>
      <c r="D81" s="122">
        <v>4</v>
      </c>
      <c r="E81" s="122">
        <v>21</v>
      </c>
      <c r="F81" s="122">
        <v>19</v>
      </c>
      <c r="G81" s="122">
        <v>3</v>
      </c>
      <c r="H81" s="126">
        <v>27621.72</v>
      </c>
      <c r="I81" s="122">
        <v>1314</v>
      </c>
      <c r="J81" s="123">
        <f t="shared" si="15"/>
      </c>
      <c r="K81" s="122">
        <v>26752.25</v>
      </c>
      <c r="L81" s="124">
        <f t="shared" si="21"/>
      </c>
      <c r="M81" s="122">
        <v>10842</v>
      </c>
      <c r="N81" s="124">
        <f t="shared" si="0"/>
      </c>
      <c r="O81" s="124">
        <f t="shared" si="20"/>
      </c>
      <c r="P81" s="124">
        <f t="shared" si="1"/>
      </c>
      <c r="Q81" s="122"/>
      <c r="R81" s="122"/>
      <c r="S81" s="125"/>
      <c r="T81" s="122"/>
    </row>
    <row r="82">
      <c r="A82" s="120">
        <v>46309</v>
      </c>
      <c r="B82" s="121" t="s">
        <v>357</v>
      </c>
      <c r="C82" s="122" t="s">
        <v>374</v>
      </c>
      <c r="D82" s="122">
        <v>3</v>
      </c>
      <c r="E82" s="122">
        <v>8</v>
      </c>
      <c r="F82" s="122">
        <v>9</v>
      </c>
      <c r="G82" s="122">
        <v>0</v>
      </c>
      <c r="H82" s="126">
        <v>9471.599999999991</v>
      </c>
      <c r="I82" s="122">
        <v>325</v>
      </c>
      <c r="J82" s="123">
        <f t="shared" si="15"/>
      </c>
      <c r="K82" s="122">
        <v>13713.24</v>
      </c>
      <c r="L82" s="124">
        <f t="shared" si="21"/>
      </c>
      <c r="M82" s="122">
        <v>4860</v>
      </c>
      <c r="N82" s="124">
        <f t="shared" si="0"/>
      </c>
      <c r="O82" s="124">
        <f t="shared" si="20"/>
      </c>
      <c r="P82" s="124">
        <f t="shared" si="1"/>
      </c>
      <c r="Q82" s="122"/>
      <c r="R82" s="122"/>
      <c r="S82" s="125"/>
      <c r="T82" s="122"/>
    </row>
    <row r="83">
      <c r="A83" s="120">
        <v>46309</v>
      </c>
      <c r="B83" s="121" t="s">
        <v>359</v>
      </c>
      <c r="C83" s="122" t="s">
        <v>370</v>
      </c>
      <c r="D83" s="122">
        <v>4</v>
      </c>
      <c r="E83" s="122">
        <v>10</v>
      </c>
      <c r="F83" s="122">
        <v>7</v>
      </c>
      <c r="G83" s="122">
        <v>1</v>
      </c>
      <c r="H83" s="126">
        <v>16529.640000000018</v>
      </c>
      <c r="I83" s="122">
        <v>5646</v>
      </c>
      <c r="J83" s="123">
        <f t="shared" si="15"/>
      </c>
      <c r="K83" s="122">
        <v>15041.08</v>
      </c>
      <c r="L83" s="124">
        <f t="shared" si="21"/>
      </c>
      <c r="M83" s="122">
        <v>6704.52</v>
      </c>
      <c r="N83" s="124">
        <f t="shared" si="0"/>
      </c>
      <c r="O83" s="124">
        <f t="shared" si="20"/>
      </c>
      <c r="P83" s="124">
        <f t="shared" si="1"/>
      </c>
      <c r="Q83" s="122"/>
      <c r="R83" s="122"/>
      <c r="S83" s="125"/>
      <c r="T83" s="122"/>
    </row>
    <row r="84">
      <c r="A84" s="120">
        <v>46309</v>
      </c>
      <c r="B84" s="121" t="s">
        <v>361</v>
      </c>
      <c r="C84" s="122" t="s">
        <v>367</v>
      </c>
      <c r="D84" s="122">
        <v>4</v>
      </c>
      <c r="E84" s="127">
        <v>19</v>
      </c>
      <c r="F84" s="127">
        <v>17</v>
      </c>
      <c r="G84" s="122">
        <v>1</v>
      </c>
      <c r="H84" s="128">
        <v>36676.679999999986</v>
      </c>
      <c r="I84" s="128">
        <v>0</v>
      </c>
      <c r="J84" s="123">
        <f t="shared" si="15"/>
      </c>
      <c r="K84" s="128">
        <v>14833.1</v>
      </c>
      <c r="L84" s="124">
        <f t="shared" si="21"/>
      </c>
      <c r="M84" s="122">
        <v>685.8</v>
      </c>
      <c r="N84" s="124">
        <f t="shared" si="0"/>
      </c>
      <c r="O84" s="124">
        <f t="shared" si="20"/>
      </c>
      <c r="P84" s="124">
        <f t="shared" si="1"/>
      </c>
      <c r="Q84" s="122" t="s">
        <v>363</v>
      </c>
      <c r="R84" s="122">
        <v>10</v>
      </c>
      <c r="S84" s="125"/>
      <c r="T84" s="122"/>
    </row>
    <row r="85">
      <c r="A85" s="134">
        <v>46309</v>
      </c>
      <c r="B85" s="130"/>
      <c r="C85" s="130"/>
      <c r="D85" s="131">
        <f>SUM(D80:D84)</f>
      </c>
      <c r="E85" s="131">
        <f>SUM(E80:E84)</f>
      </c>
      <c r="F85" s="131">
        <f>SUM(F80:F84)</f>
      </c>
      <c r="G85" s="131">
        <f>SUM(G80:G84)</f>
      </c>
      <c r="H85" s="131">
        <f>SUM(H80:H84)</f>
      </c>
      <c r="I85" s="131">
        <f>SUM(I80:I84)</f>
      </c>
      <c r="J85" s="131">
        <f>SUM(J80:J84)</f>
      </c>
      <c r="K85" s="131">
        <f>SUM(K80:K84)</f>
      </c>
      <c r="L85" s="132">
        <f t="shared" si="21"/>
      </c>
      <c r="M85" s="131">
        <f>SUM(M80:M84)</f>
      </c>
      <c r="N85" s="133">
        <f t="shared" si="0"/>
      </c>
      <c r="O85" s="132">
        <f t="shared" si="20"/>
      </c>
      <c r="P85" s="132">
        <f t="shared" si="1"/>
      </c>
      <c r="Q85" s="130"/>
      <c r="R85" s="131">
        <f>SUM(R80:R84)</f>
      </c>
      <c r="S85" s="130"/>
      <c r="T85" s="131">
        <f>SUM(T80:T84)</f>
      </c>
    </row>
    <row r="86">
      <c r="A86" s="120">
        <v>46310</v>
      </c>
      <c r="B86" s="121" t="s">
        <v>364</v>
      </c>
      <c r="C86" s="122" t="s">
        <v>352</v>
      </c>
      <c r="D86" s="122">
        <v>5</v>
      </c>
      <c r="E86" s="122">
        <v>20</v>
      </c>
      <c r="F86" s="122">
        <v>15</v>
      </c>
      <c r="G86" s="122">
        <v>1</v>
      </c>
      <c r="H86" s="122">
        <v>43506</v>
      </c>
      <c r="I86" s="122">
        <v>0</v>
      </c>
      <c r="J86" s="123">
        <f t="shared" ref="J86:J90" si="16">H86+I86</f>
      </c>
      <c r="K86" s="122">
        <v>26208.6</v>
      </c>
      <c r="L86" s="124">
        <f t="shared" si="21"/>
      </c>
      <c r="M86" s="122">
        <v>23446.8</v>
      </c>
      <c r="N86" s="124">
        <f t="shared" si="0"/>
      </c>
      <c r="O86" s="124">
        <f t="shared" si="20"/>
      </c>
      <c r="P86" s="124">
        <f t="shared" si="1"/>
      </c>
      <c r="Q86" s="122" t="s">
        <v>373</v>
      </c>
      <c r="R86" s="122">
        <v>10</v>
      </c>
      <c r="S86" s="125" t="s">
        <v>354</v>
      </c>
      <c r="T86" s="122">
        <v>20</v>
      </c>
    </row>
    <row r="87">
      <c r="A87" s="120">
        <v>46310</v>
      </c>
      <c r="B87" s="121" t="s">
        <v>355</v>
      </c>
      <c r="C87" s="122" t="s">
        <v>356</v>
      </c>
      <c r="D87" s="122">
        <v>4</v>
      </c>
      <c r="E87" s="122">
        <v>15</v>
      </c>
      <c r="F87" s="122">
        <v>11</v>
      </c>
      <c r="G87" s="122">
        <v>2</v>
      </c>
      <c r="H87" s="126">
        <v>32612.51999999999</v>
      </c>
      <c r="I87" s="122">
        <v>0</v>
      </c>
      <c r="J87" s="123">
        <f t="shared" si="16"/>
      </c>
      <c r="K87" s="122">
        <v>15143.78</v>
      </c>
      <c r="L87" s="124">
        <f t="shared" si="21"/>
      </c>
      <c r="M87" s="122">
        <v>5479.92</v>
      </c>
      <c r="N87" s="124">
        <f t="shared" si="0"/>
      </c>
      <c r="O87" s="124">
        <f t="shared" si="20"/>
      </c>
      <c r="P87" s="124">
        <f t="shared" si="1"/>
      </c>
      <c r="Q87" s="122"/>
      <c r="R87" s="122"/>
      <c r="S87" s="125"/>
      <c r="T87" s="122"/>
    </row>
    <row r="88">
      <c r="A88" s="120">
        <v>46310</v>
      </c>
      <c r="B88" s="121" t="s">
        <v>357</v>
      </c>
      <c r="C88" s="122" t="s">
        <v>374</v>
      </c>
      <c r="D88" s="122">
        <v>3</v>
      </c>
      <c r="E88" s="122">
        <v>17</v>
      </c>
      <c r="F88" s="122">
        <v>16</v>
      </c>
      <c r="G88" s="122">
        <v>0</v>
      </c>
      <c r="H88" s="126">
        <v>21706.920000000013</v>
      </c>
      <c r="I88" s="122">
        <v>663</v>
      </c>
      <c r="J88" s="123">
        <f t="shared" si="16"/>
      </c>
      <c r="K88" s="122">
        <v>14407.11</v>
      </c>
      <c r="L88" s="124">
        <f t="shared" si="21"/>
      </c>
      <c r="M88" s="122">
        <v>3827.52</v>
      </c>
      <c r="N88" s="124">
        <f t="shared" si="0"/>
      </c>
      <c r="O88" s="124">
        <f t="shared" si="20"/>
      </c>
      <c r="P88" s="124">
        <f t="shared" si="1"/>
      </c>
      <c r="Q88" s="122"/>
      <c r="R88" s="122"/>
      <c r="S88" s="125"/>
      <c r="T88" s="122"/>
    </row>
    <row r="89">
      <c r="A89" s="120">
        <v>46310</v>
      </c>
      <c r="B89" s="121" t="s">
        <v>361</v>
      </c>
      <c r="C89" s="122" t="s">
        <v>370</v>
      </c>
      <c r="D89" s="122">
        <v>4</v>
      </c>
      <c r="E89" s="122">
        <v>32</v>
      </c>
      <c r="F89" s="122">
        <v>29</v>
      </c>
      <c r="G89" s="122">
        <v>0</v>
      </c>
      <c r="H89" s="126">
        <v>65673.71999999999</v>
      </c>
      <c r="I89" s="122">
        <v>1656</v>
      </c>
      <c r="J89" s="123">
        <f t="shared" si="16"/>
      </c>
      <c r="K89" s="122">
        <v>31854.13</v>
      </c>
      <c r="L89" s="124">
        <f t="shared" si="21"/>
      </c>
      <c r="M89" s="122">
        <v>3881.52</v>
      </c>
      <c r="N89" s="124">
        <f t="shared" si="0"/>
      </c>
      <c r="O89" s="124">
        <f t="shared" si="20"/>
      </c>
      <c r="P89" s="124">
        <f t="shared" si="1"/>
      </c>
      <c r="Q89" s="122"/>
      <c r="R89" s="122"/>
      <c r="S89" s="125"/>
      <c r="T89" s="122"/>
    </row>
    <row r="90">
      <c r="A90" s="120">
        <v>46310</v>
      </c>
      <c r="B90" s="121" t="s">
        <v>359</v>
      </c>
      <c r="C90" s="122" t="s">
        <v>367</v>
      </c>
      <c r="D90" s="122">
        <v>4</v>
      </c>
      <c r="E90" s="127">
        <v>24</v>
      </c>
      <c r="F90" s="127">
        <v>19</v>
      </c>
      <c r="G90" s="122">
        <v>3</v>
      </c>
      <c r="H90" s="128">
        <v>48652.92000000001</v>
      </c>
      <c r="I90" s="128">
        <v>11176.65</v>
      </c>
      <c r="J90" s="123">
        <f t="shared" si="16"/>
      </c>
      <c r="K90" s="128">
        <v>22813.04</v>
      </c>
      <c r="L90" s="124">
        <f t="shared" si="21"/>
      </c>
      <c r="M90" s="122">
        <v>0</v>
      </c>
      <c r="N90" s="124">
        <f t="shared" si="0"/>
      </c>
      <c r="O90" s="124">
        <f t="shared" si="20"/>
      </c>
      <c r="P90" s="124">
        <f t="shared" si="1"/>
      </c>
      <c r="Q90" s="122" t="s">
        <v>363</v>
      </c>
      <c r="R90" s="122">
        <v>10</v>
      </c>
      <c r="S90" s="125"/>
      <c r="T90" s="122"/>
    </row>
    <row r="91">
      <c r="A91" s="134">
        <v>46310</v>
      </c>
      <c r="B91" s="130"/>
      <c r="C91" s="130"/>
      <c r="D91" s="131">
        <f>SUM(D86:D90)</f>
      </c>
      <c r="E91" s="131">
        <f>SUM(E86:E90)</f>
      </c>
      <c r="F91" s="131">
        <f>SUM(F86:F90)</f>
      </c>
      <c r="G91" s="131">
        <f>SUM(G86:G90)</f>
      </c>
      <c r="H91" s="131">
        <f>SUM(H86:H90)</f>
      </c>
      <c r="I91" s="131">
        <f>SUM(I86:I90)</f>
      </c>
      <c r="J91" s="131">
        <f>SUM(J86:J90)</f>
      </c>
      <c r="K91" s="131">
        <f>SUM(K86:K90)</f>
      </c>
      <c r="L91" s="132">
        <f t="shared" si="21"/>
      </c>
      <c r="M91" s="131">
        <f>SUM(M86:M90)</f>
      </c>
      <c r="N91" s="133">
        <f t="shared" si="0"/>
      </c>
      <c r="O91" s="132">
        <f t="shared" si="20"/>
      </c>
      <c r="P91" s="132">
        <f t="shared" si="1"/>
      </c>
      <c r="Q91" s="130"/>
      <c r="R91" s="131">
        <f>SUM(R86:R90)</f>
      </c>
      <c r="S91" s="130"/>
      <c r="T91" s="131">
        <f>SUM(T86:T90)</f>
      </c>
    </row>
    <row r="92">
      <c r="A92" s="120">
        <v>46311</v>
      </c>
      <c r="B92" s="121" t="s">
        <v>364</v>
      </c>
      <c r="C92" s="122" t="s">
        <v>352</v>
      </c>
      <c r="D92" s="122">
        <v>5</v>
      </c>
      <c r="E92" s="122">
        <v>45</v>
      </c>
      <c r="F92" s="122">
        <v>36</v>
      </c>
      <c r="G92" s="122">
        <v>6</v>
      </c>
      <c r="H92" s="122">
        <v>78576.12</v>
      </c>
      <c r="I92" s="122">
        <v>2339</v>
      </c>
      <c r="J92" s="123">
        <f t="shared" ref="J92:J95" si="17">H92+I92</f>
      </c>
      <c r="K92" s="122">
        <v>40939.66</v>
      </c>
      <c r="L92" s="124">
        <f t="shared" si="21"/>
      </c>
      <c r="M92" s="122">
        <v>24845.04</v>
      </c>
      <c r="N92" s="124">
        <f t="shared" si="0"/>
      </c>
      <c r="O92" s="124">
        <f t="shared" si="20"/>
      </c>
      <c r="P92" s="124">
        <f t="shared" si="1"/>
      </c>
      <c r="Q92" s="122" t="s">
        <v>353</v>
      </c>
      <c r="R92" s="122">
        <v>10</v>
      </c>
      <c r="S92" s="125" t="s">
        <v>354</v>
      </c>
      <c r="T92" s="122">
        <v>20</v>
      </c>
    </row>
    <row r="93">
      <c r="A93" s="120">
        <v>46311</v>
      </c>
      <c r="B93" s="121" t="s">
        <v>355</v>
      </c>
      <c r="C93" s="122" t="s">
        <v>368</v>
      </c>
      <c r="D93" s="122">
        <v>5</v>
      </c>
      <c r="E93" s="122">
        <v>46</v>
      </c>
      <c r="F93" s="122">
        <v>34</v>
      </c>
      <c r="G93" s="122">
        <v>4</v>
      </c>
      <c r="H93" s="126">
        <v>70715.52000000002</v>
      </c>
      <c r="I93" s="122">
        <v>2413</v>
      </c>
      <c r="J93" s="123">
        <f t="shared" si="17"/>
      </c>
      <c r="K93" s="122">
        <v>46436.2</v>
      </c>
      <c r="L93" s="124">
        <f t="shared" si="21"/>
      </c>
      <c r="M93" s="122">
        <v>21025.32</v>
      </c>
      <c r="N93" s="124">
        <f t="shared" si="0"/>
      </c>
      <c r="O93" s="124">
        <f t="shared" si="20"/>
      </c>
      <c r="P93" s="124">
        <f t="shared" si="1"/>
      </c>
      <c r="Q93" s="122"/>
      <c r="R93" s="122"/>
      <c r="S93" s="125"/>
      <c r="T93" s="122"/>
    </row>
    <row r="94">
      <c r="A94" s="120">
        <v>46311</v>
      </c>
      <c r="B94" s="121" t="s">
        <v>357</v>
      </c>
      <c r="C94" s="122" t="s">
        <v>375</v>
      </c>
      <c r="D94" s="122">
        <v>5</v>
      </c>
      <c r="E94" s="122">
        <v>42</v>
      </c>
      <c r="F94" s="122">
        <v>31</v>
      </c>
      <c r="G94" s="122">
        <v>5</v>
      </c>
      <c r="H94" s="126">
        <v>61640.99999999999</v>
      </c>
      <c r="I94" s="122">
        <v>5757.450000000001</v>
      </c>
      <c r="J94" s="123">
        <f t="shared" si="17"/>
      </c>
      <c r="K94" s="122">
        <v>39806.96000000001</v>
      </c>
      <c r="L94" s="124">
        <f t="shared" si="21"/>
      </c>
      <c r="M94" s="122">
        <v>18929.230000000003</v>
      </c>
      <c r="N94" s="124">
        <f t="shared" si="0"/>
      </c>
      <c r="O94" s="124">
        <f t="shared" si="20"/>
      </c>
      <c r="P94" s="124">
        <f t="shared" si="1"/>
      </c>
      <c r="Q94" s="122"/>
      <c r="R94" s="122"/>
      <c r="S94" s="125"/>
      <c r="T94" s="122"/>
    </row>
    <row r="95">
      <c r="A95" s="120">
        <v>46311</v>
      </c>
      <c r="B95" s="121" t="s">
        <v>361</v>
      </c>
      <c r="C95" s="122" t="s">
        <v>362</v>
      </c>
      <c r="D95" s="122">
        <v>5</v>
      </c>
      <c r="E95" s="127">
        <v>52</v>
      </c>
      <c r="F95" s="127">
        <v>48</v>
      </c>
      <c r="G95" s="122">
        <v>5</v>
      </c>
      <c r="H95" s="128">
        <v>84213.95999999995</v>
      </c>
      <c r="I95" s="128">
        <v>3893.8999999999983</v>
      </c>
      <c r="J95" s="123">
        <f t="shared" si="17"/>
      </c>
      <c r="K95" s="128">
        <v>46221.9</v>
      </c>
      <c r="L95" s="124">
        <f t="shared" si="21"/>
      </c>
      <c r="M95" s="122">
        <v>3237.84</v>
      </c>
      <c r="N95" s="124">
        <f t="shared" si="0"/>
      </c>
      <c r="O95" s="124">
        <f t="shared" si="20"/>
      </c>
      <c r="P95" s="124">
        <f t="shared" si="1"/>
      </c>
      <c r="Q95" s="122" t="s">
        <v>363</v>
      </c>
      <c r="R95" s="122">
        <v>10</v>
      </c>
      <c r="S95" s="125"/>
      <c r="T95" s="122"/>
    </row>
    <row r="96">
      <c r="A96" s="134">
        <v>46311</v>
      </c>
      <c r="B96" s="130"/>
      <c r="C96" s="130"/>
      <c r="D96" s="131">
        <f>SUM(D92:D95)</f>
      </c>
      <c r="E96" s="131">
        <f>SUM(E92:E95)</f>
      </c>
      <c r="F96" s="131">
        <f>SUM(F92:F95)</f>
      </c>
      <c r="G96" s="131">
        <f>SUM(G92:G95)</f>
      </c>
      <c r="H96" s="131">
        <f>SUM(H92:H95)</f>
      </c>
      <c r="I96" s="131">
        <f>SUM(I92:I95)</f>
      </c>
      <c r="J96" s="131">
        <f>SUM(J92:J95)</f>
      </c>
      <c r="K96" s="131">
        <f>SUM(K92:K95)</f>
      </c>
      <c r="L96" s="132">
        <f t="shared" si="21"/>
      </c>
      <c r="M96" s="131">
        <f>SUM(M92:M95)</f>
      </c>
      <c r="N96" s="133">
        <f t="shared" si="0"/>
      </c>
      <c r="O96" s="132">
        <f t="shared" si="20"/>
      </c>
      <c r="P96" s="132">
        <f t="shared" si="1"/>
      </c>
      <c r="Q96" s="130"/>
      <c r="R96" s="131">
        <f>SUM(R92:R95)</f>
      </c>
      <c r="S96" s="130"/>
      <c r="T96" s="131">
        <f>SUM(T92:T95)</f>
      </c>
    </row>
    <row r="97">
      <c r="A97" s="120">
        <v>46312</v>
      </c>
      <c r="B97" s="121" t="s">
        <v>364</v>
      </c>
      <c r="C97" s="122" t="s">
        <v>352</v>
      </c>
      <c r="D97" s="122">
        <v>5</v>
      </c>
      <c r="E97" s="122">
        <v>42</v>
      </c>
      <c r="F97" s="122">
        <v>36</v>
      </c>
      <c r="G97" s="122">
        <v>3</v>
      </c>
      <c r="H97" s="122">
        <v>68529.24</v>
      </c>
      <c r="I97" s="122">
        <v>4115</v>
      </c>
      <c r="J97" s="123">
        <f t="shared" ref="J97:J100" si="18">H97+I97</f>
      </c>
      <c r="K97" s="122">
        <v>46998.42</v>
      </c>
      <c r="L97" s="124">
        <f t="shared" si="21"/>
      </c>
      <c r="M97" s="122">
        <v>14603.16</v>
      </c>
      <c r="N97" s="124">
        <f t="shared" si="0"/>
      </c>
      <c r="O97" s="124">
        <f t="shared" si="20"/>
      </c>
      <c r="P97" s="124">
        <f t="shared" si="1"/>
      </c>
      <c r="Q97" s="122" t="s">
        <v>353</v>
      </c>
      <c r="R97" s="122">
        <v>10</v>
      </c>
      <c r="S97" s="125" t="s">
        <v>354</v>
      </c>
      <c r="T97" s="122">
        <v>20</v>
      </c>
    </row>
    <row r="98">
      <c r="A98" s="120">
        <v>46312</v>
      </c>
      <c r="B98" s="121" t="s">
        <v>357</v>
      </c>
      <c r="C98" s="122" t="s">
        <v>368</v>
      </c>
      <c r="D98" s="122">
        <v>5</v>
      </c>
      <c r="E98" s="122">
        <v>33</v>
      </c>
      <c r="F98" s="122">
        <v>28</v>
      </c>
      <c r="G98" s="122">
        <v>3</v>
      </c>
      <c r="H98" s="126">
        <v>58301.639999999985</v>
      </c>
      <c r="I98" s="122">
        <v>1265</v>
      </c>
      <c r="J98" s="123">
        <f t="shared" si="18"/>
      </c>
      <c r="K98" s="122">
        <v>35083.25</v>
      </c>
      <c r="L98" s="124">
        <f t="shared" si="21"/>
      </c>
      <c r="M98" s="122">
        <v>20491.28</v>
      </c>
      <c r="N98" s="124">
        <f t="shared" si="0"/>
      </c>
      <c r="O98" s="124">
        <f t="shared" si="20"/>
      </c>
      <c r="P98" s="124">
        <f t="shared" si="1"/>
      </c>
      <c r="Q98" s="122"/>
      <c r="R98" s="122"/>
      <c r="S98" s="125"/>
      <c r="T98" s="122"/>
    </row>
    <row r="99">
      <c r="A99" s="120">
        <v>46312</v>
      </c>
      <c r="B99" s="121" t="s">
        <v>361</v>
      </c>
      <c r="C99" s="122" t="s">
        <v>375</v>
      </c>
      <c r="D99" s="122">
        <v>5</v>
      </c>
      <c r="E99" s="122">
        <v>35</v>
      </c>
      <c r="F99" s="122">
        <v>29</v>
      </c>
      <c r="G99" s="122">
        <v>6</v>
      </c>
      <c r="H99" s="126">
        <v>74948.88000000002</v>
      </c>
      <c r="I99" s="122">
        <v>6429</v>
      </c>
      <c r="J99" s="123">
        <f t="shared" si="18"/>
      </c>
      <c r="K99" s="122">
        <v>38675.3</v>
      </c>
      <c r="L99" s="124">
        <f t="shared" si="21"/>
      </c>
      <c r="M99" s="122">
        <v>2056.32</v>
      </c>
      <c r="N99" s="124">
        <f t="shared" si="0"/>
      </c>
      <c r="O99" s="124">
        <f t="shared" si="20"/>
      </c>
      <c r="P99" s="124">
        <f t="shared" si="1"/>
      </c>
      <c r="Q99" s="122"/>
      <c r="R99" s="122"/>
      <c r="S99" s="125"/>
      <c r="T99" s="122"/>
    </row>
    <row r="100">
      <c r="A100" s="120">
        <v>46312</v>
      </c>
      <c r="B100" s="121" t="s">
        <v>359</v>
      </c>
      <c r="C100" s="122" t="s">
        <v>362</v>
      </c>
      <c r="D100" s="122">
        <v>5</v>
      </c>
      <c r="E100" s="127">
        <v>21</v>
      </c>
      <c r="F100" s="127">
        <v>18</v>
      </c>
      <c r="G100" s="122">
        <v>4</v>
      </c>
      <c r="H100" s="128">
        <v>37185.719999999994</v>
      </c>
      <c r="I100" s="128">
        <v>3008.35</v>
      </c>
      <c r="J100" s="123">
        <f t="shared" si="18"/>
      </c>
      <c r="K100" s="128">
        <v>33446.5</v>
      </c>
      <c r="L100" s="124">
        <f t="shared" si="21"/>
      </c>
      <c r="M100" s="122">
        <v>0</v>
      </c>
      <c r="N100" s="124">
        <f t="shared" si="0"/>
      </c>
      <c r="O100" s="124">
        <f t="shared" si="20"/>
      </c>
      <c r="P100" s="124">
        <f t="shared" si="1"/>
      </c>
      <c r="Q100" s="122" t="s">
        <v>363</v>
      </c>
      <c r="R100" s="122">
        <v>10</v>
      </c>
      <c r="S100" s="125"/>
      <c r="T100" s="122"/>
    </row>
    <row r="101">
      <c r="A101" s="134">
        <v>46312</v>
      </c>
      <c r="B101" s="130"/>
      <c r="C101" s="130"/>
      <c r="D101" s="131">
        <f>SUM(D97:D100)</f>
      </c>
      <c r="E101" s="131">
        <f>SUM(E97:E100)</f>
      </c>
      <c r="F101" s="131">
        <f>SUM(F97:F100)</f>
      </c>
      <c r="G101" s="131">
        <f>SUM(G97:G100)</f>
      </c>
      <c r="H101" s="131">
        <f>SUM(H97:H100)</f>
      </c>
      <c r="I101" s="131">
        <f>SUM(I97:I100)</f>
      </c>
      <c r="J101" s="131">
        <f>SUM(J97:J100)</f>
      </c>
      <c r="K101" s="131">
        <f>SUM(K97:K100)</f>
      </c>
      <c r="L101" s="132">
        <f t="shared" si="21"/>
      </c>
      <c r="M101" s="131">
        <f>SUM(M97:M100)</f>
      </c>
      <c r="N101" s="133">
        <f t="shared" si="0"/>
      </c>
      <c r="O101" s="132">
        <f t="shared" si="20"/>
      </c>
      <c r="P101" s="132">
        <f t="shared" si="1"/>
      </c>
      <c r="Q101" s="130"/>
      <c r="R101" s="131">
        <f>SUM(R97:R100)</f>
      </c>
      <c r="S101" s="130"/>
      <c r="T101" s="131">
        <f>SUM(T97:T100)</f>
      </c>
    </row>
    <row r="102">
      <c r="A102" s="120">
        <v>46313</v>
      </c>
      <c r="B102" s="121" t="s">
        <v>364</v>
      </c>
      <c r="C102" s="122" t="s">
        <v>352</v>
      </c>
      <c r="D102" s="122">
        <v>5</v>
      </c>
      <c r="E102" s="122">
        <v>29</v>
      </c>
      <c r="F102" s="122">
        <v>25</v>
      </c>
      <c r="G102" s="122">
        <v>3</v>
      </c>
      <c r="H102" s="122">
        <v>47381.15999999999</v>
      </c>
      <c r="I102" s="122">
        <v>4926</v>
      </c>
      <c r="J102" s="123">
        <f t="shared" ref="J102:J105" si="19">H102+I102</f>
      </c>
      <c r="K102" s="122">
        <v>41347.520000000004</v>
      </c>
      <c r="L102" s="124">
        <f t="shared" si="21"/>
      </c>
      <c r="M102" s="122">
        <v>11922.6</v>
      </c>
      <c r="N102" s="124">
        <f t="shared" si="0"/>
      </c>
      <c r="O102" s="124">
        <f t="shared" si="20"/>
      </c>
      <c r="P102" s="124">
        <f t="shared" si="1"/>
      </c>
      <c r="Q102" s="122" t="s">
        <v>353</v>
      </c>
      <c r="R102" s="122">
        <v>10</v>
      </c>
      <c r="S102" s="125" t="s">
        <v>354</v>
      </c>
      <c r="T102" s="122">
        <v>20</v>
      </c>
    </row>
    <row r="103">
      <c r="A103" s="120">
        <v>46313</v>
      </c>
      <c r="B103" s="121" t="s">
        <v>361</v>
      </c>
      <c r="C103" s="122" t="s">
        <v>368</v>
      </c>
      <c r="D103" s="122">
        <v>5</v>
      </c>
      <c r="E103" s="122">
        <v>31</v>
      </c>
      <c r="F103" s="122">
        <v>23</v>
      </c>
      <c r="G103" s="122">
        <v>0</v>
      </c>
      <c r="H103" s="126">
        <v>40375.8</v>
      </c>
      <c r="I103" s="122">
        <v>0</v>
      </c>
      <c r="J103" s="123">
        <f t="shared" si="19"/>
      </c>
      <c r="K103" s="122">
        <v>26002.630000000005</v>
      </c>
      <c r="L103" s="124">
        <f t="shared" si="21"/>
      </c>
      <c r="M103" s="122">
        <v>13572.36</v>
      </c>
      <c r="N103" s="124">
        <f t="shared" si="0"/>
      </c>
      <c r="O103" s="124">
        <f t="shared" si="20"/>
      </c>
      <c r="P103" s="124">
        <f t="shared" si="1"/>
      </c>
      <c r="Q103" s="122"/>
      <c r="R103" s="122"/>
      <c r="S103" s="125"/>
      <c r="T103" s="122"/>
    </row>
    <row r="104">
      <c r="A104" s="120">
        <v>46313</v>
      </c>
      <c r="B104" s="121" t="s">
        <v>359</v>
      </c>
      <c r="C104" s="122" t="s">
        <v>375</v>
      </c>
      <c r="D104" s="122">
        <v>5</v>
      </c>
      <c r="E104" s="122">
        <v>29</v>
      </c>
      <c r="F104" s="122">
        <v>26</v>
      </c>
      <c r="G104" s="122">
        <v>4</v>
      </c>
      <c r="H104" s="126">
        <v>36848.039999999986</v>
      </c>
      <c r="I104" s="122">
        <v>8375</v>
      </c>
      <c r="J104" s="123">
        <f t="shared" si="19"/>
      </c>
      <c r="K104" s="122">
        <v>31705.969999999998</v>
      </c>
      <c r="L104" s="124">
        <f t="shared" si="21"/>
      </c>
      <c r="M104" s="122">
        <v>1899.9</v>
      </c>
      <c r="N104" s="124">
        <f t="shared" si="0"/>
      </c>
      <c r="O104" s="124">
        <f t="shared" si="20"/>
      </c>
      <c r="P104" s="124">
        <f t="shared" si="1"/>
      </c>
      <c r="Q104" s="122"/>
      <c r="R104" s="122"/>
      <c r="S104" s="125"/>
      <c r="T104" s="122"/>
    </row>
    <row r="105">
      <c r="A105" s="120">
        <v>46313</v>
      </c>
      <c r="B105" s="121" t="s">
        <v>357</v>
      </c>
      <c r="C105" s="122" t="s">
        <v>362</v>
      </c>
      <c r="D105" s="122">
        <v>5</v>
      </c>
      <c r="E105" s="127">
        <v>32</v>
      </c>
      <c r="F105" s="127">
        <v>25</v>
      </c>
      <c r="G105" s="122">
        <v>3</v>
      </c>
      <c r="H105" s="128">
        <v>62401.92000000003</v>
      </c>
      <c r="I105" s="128">
        <v>2144.999999999998</v>
      </c>
      <c r="J105" s="123">
        <f t="shared" si="19"/>
      </c>
      <c r="K105" s="128">
        <v>29808.850000000006</v>
      </c>
      <c r="L105" s="124">
        <f t="shared" si="21"/>
      </c>
      <c r="M105" s="122">
        <v>2298.24</v>
      </c>
      <c r="N105" s="124">
        <f t="shared" si="0"/>
      </c>
      <c r="O105" s="124">
        <f t="shared" si="20"/>
      </c>
      <c r="P105" s="124">
        <f t="shared" si="1"/>
      </c>
      <c r="Q105" s="122" t="s">
        <v>363</v>
      </c>
      <c r="R105" s="122">
        <v>10</v>
      </c>
      <c r="S105" s="125"/>
      <c r="T105" s="122"/>
    </row>
    <row r="106">
      <c r="A106" s="134">
        <v>46313</v>
      </c>
      <c r="B106" s="130"/>
      <c r="C106" s="130"/>
      <c r="D106" s="131">
        <f>SUM(D102:D105)</f>
      </c>
      <c r="E106" s="131">
        <f>SUM(E102:E105)</f>
      </c>
      <c r="F106" s="131">
        <f>SUM(F102:F105)</f>
      </c>
      <c r="G106" s="131">
        <f>SUM(G102:G105)</f>
      </c>
      <c r="H106" s="131">
        <f>SUM(H102:H105)</f>
      </c>
      <c r="I106" s="131">
        <f>SUM(I102:I105)</f>
      </c>
      <c r="J106" s="131">
        <f>SUM(J102:J105)</f>
      </c>
      <c r="K106" s="131">
        <f>SUM(K102:K105)</f>
      </c>
      <c r="L106" s="132">
        <f t="shared" si="21"/>
      </c>
      <c r="M106" s="131">
        <f>SUM(M102:M105)</f>
      </c>
      <c r="N106" s="133">
        <f t="shared" si="0"/>
      </c>
      <c r="O106" s="132">
        <f t="shared" si="20"/>
      </c>
      <c r="P106" s="132">
        <f t="shared" si="1"/>
      </c>
      <c r="Q106" s="130"/>
      <c r="R106" s="131">
        <f>SUM(R102:R105)</f>
      </c>
      <c r="S106" s="130"/>
      <c r="T106" s="131">
        <f>SUM(T102:T105)</f>
      </c>
    </row>
    <row r="107">
      <c r="B107" s="135" t="s">
        <v>376</v>
      </c>
      <c r="C107" s="135"/>
      <c r="D107" s="135"/>
      <c r="E107" s="135"/>
      <c r="F107" s="135"/>
    </row>
    <row r="108"/>
    <row r="109"/>
    <row r="110"/>
    <row r="111"/>
    <row r="112"/>
    <row r="113"/>
    <row r="114"/>
    <row r="115"/>
    <row r="116"/>
    <row r="117"/>
    <row r="118"/>
    <row r="119">
      <c r="F119">
        <f>D119/E119</f>
      </c>
    </row>
  </sheetData>
  <mergeCells>
    <mergeCell ref="B107:F10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